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年10月" sheetId="2" r:id="rId5"/>
    <sheet name="2026年9月" sheetId="3" r:id="rId6"/>
    <sheet name="2026年8月" sheetId="4" r:id="rId7"/>
    <sheet name="2026年7月" sheetId="5" r:id="rId8"/>
    <sheet name="2026年6月" sheetId="6" r:id="rId9"/>
    <sheet name="小时报模板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3" i="7" a="true"/>
  <c r="F23" i="7" a="true"/>
  <c r="E458" i="2" a="true"/>
  <c r="G458" i="2" a="true"/>
  <c r="E716" i="3" a="true"/>
  <c r="G716" i="3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<sst xmlns="http://schemas.openxmlformats.org/spreadsheetml/2006/main" count="429" uniqueCount="429">
  <si>
    <t xml:space="preserve">  </t>
  </si>
  <si>
    <t xml:space="preserve">日期</t>
  </si>
  <si>
    <t xml:space="preserve">主播</t>
  </si>
  <si>
    <t xml:space="preserve">时间段</t>
  </si>
  <si>
    <t xml:space="preserve">消耗 （账面）</t>
  </si>
  <si>
    <t xml:space="preserve">xm保单数</t>
  </si>
  <si>
    <t xml:space="preserve">xm保单成本</t>
  </si>
  <si>
    <t xml:space="preserve">年化保费</t>
  </si>
  <si>
    <t xml:space="preserve">账户转化数</t>
  </si>
  <si>
    <t xml:space="preserve">账户成本</t>
  </si>
  <si>
    <t xml:space="preserve">件均</t>
  </si>
  <si>
    <t xml:space="preserve">ROI</t>
  </si>
  <si>
    <t xml:space="preserve">直播间进入成本</t>
  </si>
  <si>
    <t xml:space="preserve">组件点击成本</t>
  </si>
  <si>
    <t xml:space="preserve">直播间进入-组件点击</t>
  </si>
  <si>
    <t xml:space="preserve">组件点击-转化</t>
  </si>
  <si>
    <t xml:space="preserve">ctr</t>
  </si>
  <si>
    <t xml:space="preserve">cvr</t>
  </si>
  <si>
    <t xml:space="preserve">cpm（封面）</t>
  </si>
  <si>
    <t xml:space="preserve">cpc</t>
  </si>
  <si>
    <t xml:space="preserve">直播间进入-直播观看60s</t>
  </si>
  <si>
    <t xml:space="preserve">直播间进入-评论</t>
  </si>
  <si>
    <t xml:space="preserve">直播间进入-加粉</t>
  </si>
  <si>
    <t xml:space="preserve">直播间进入-分享</t>
  </si>
  <si>
    <t xml:space="preserve">投手</t>
  </si>
  <si>
    <t xml:space="preserve">场控</t>
  </si>
  <si>
    <t xml:space="preserve">曝光数</t>
  </si>
  <si>
    <t xml:space="preserve">行为数</t>
  </si>
  <si>
    <t xml:space="preserve">直播间进入人数</t>
  </si>
  <si>
    <t xml:space="preserve">组件点击量</t>
  </si>
  <si>
    <t xml:space="preserve">转化数</t>
  </si>
  <si>
    <t xml:space="preserve">直播观看60秒数</t>
  </si>
  <si>
    <t xml:space="preserve">直播间评论数</t>
  </si>
  <si>
    <t xml:space="preserve">粉丝关注数</t>
  </si>
  <si>
    <t xml:space="preserve">直播间分享数</t>
  </si>
  <si>
    <t xml:space="preserve">家庭单数</t>
  </si>
  <si>
    <t xml:space="preserve">韩毅</t>
  </si>
  <si>
    <t xml:space="preserve">06:00-07：00</t>
  </si>
  <si>
    <t xml:space="preserve">叶有好</t>
  </si>
  <si>
    <t xml:space="preserve">姜晓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</si>
  <si>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</si>
  <si>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</si>
  <si>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</si>
  <si>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</si>
  <si>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主播合计</t>
  </si>
  <si>
    <t xml:space="preserve">高晨悦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</si>
  <si>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</si>
  <si>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</si>
  <si>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</si>
  <si>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</si>
  <si>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崔红亚</t>
  </si>
  <si>
    <t xml:space="preserve">15:00-16:00</t>
  </si>
  <si>
    <t xml:space="preserve">邵二波</t>
  </si>
  <si>
    <t xml:space="preserve">16:00-17:00</t>
  </si>
  <si>
    <t xml:space="preserve">魏迪</t>
  </si>
  <si>
    <t xml:space="preserve">17:00-18:00</t>
  </si>
  <si>
    <t xml:space="preserve">18:00-19:00</t>
  </si>
  <si>
    <t xml:space="preserve">郭一笑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</si>
  <si>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</si>
  <si>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</si>
  <si>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</si>
  <si>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</si>
  <si>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</si>
  <si>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当日合计</t>
  </si>
  <si>
    <t xml:space="preserve">李杜娟</t>
  </si>
  <si>
    <t xml:space="preserve">闫小姗</t>
  </si>
  <si>
    <t xml:space="preserve">张滋怡</t>
  </si>
  <si>
    <t xml:space="preserve">王浩博</t>
  </si>
  <si>
    <t xml:space="preserve">有公式</t>
  </si>
  <si>
    <t xml:space="preserve">消耗和</t>
  </si>
  <si>
    <t xml:space="preserve">日期</t>
  </si>
  <si>
    <t xml:space="preserve">主播</t>
  </si>
  <si>
    <t xml:space="preserve">时间段</t>
  </si>
  <si>
    <t xml:space="preserve">消耗 （账面）</t>
  </si>
  <si>
    <t xml:space="preserve">xm保单数</t>
  </si>
  <si>
    <t xml:space="preserve">xm保单成本</t>
  </si>
  <si>
    <t xml:space="preserve">年化保费</t>
  </si>
  <si>
    <t xml:space="preserve">账户转化数</t>
  </si>
  <si>
    <t xml:space="preserve">账户成本</t>
  </si>
  <si>
    <t xml:space="preserve">件均</t>
  </si>
  <si>
    <t xml:space="preserve">ROI</t>
  </si>
  <si>
    <t xml:space="preserve">直播间进入成本</t>
  </si>
  <si>
    <t xml:space="preserve">组件点击成本</t>
  </si>
  <si>
    <t xml:space="preserve">直播间进入-组件点击</t>
  </si>
  <si>
    <t xml:space="preserve">组件点击-转化</t>
  </si>
  <si>
    <t xml:space="preserve">ctr</t>
  </si>
  <si>
    <t xml:space="preserve">cvr</t>
  </si>
  <si>
    <t xml:space="preserve">cpm（封面）</t>
  </si>
  <si>
    <t xml:space="preserve">cpc</t>
  </si>
  <si>
    <t xml:space="preserve">直播间进入-直播观看60s</t>
  </si>
  <si>
    <t xml:space="preserve">直播间进入-评论</t>
  </si>
  <si>
    <t xml:space="preserve">直播间进入-加粉</t>
  </si>
  <si>
    <t xml:space="preserve">直播间进入-分享</t>
  </si>
  <si>
    <t xml:space="preserve">投手</t>
  </si>
  <si>
    <t xml:space="preserve">场控</t>
  </si>
  <si>
    <t xml:space="preserve">曝光数</t>
  </si>
  <si>
    <t xml:space="preserve">行为数</t>
  </si>
  <si>
    <t xml:space="preserve">直播间进入人数</t>
  </si>
  <si>
    <t xml:space="preserve">组件点击量</t>
  </si>
  <si>
    <t xml:space="preserve">转化数</t>
  </si>
  <si>
    <t xml:space="preserve">直播观看60秒数</t>
  </si>
  <si>
    <t xml:space="preserve">直播间评论数</t>
  </si>
  <si>
    <t xml:space="preserve">粉丝关注数</t>
  </si>
  <si>
    <t xml:space="preserve">直播间分享数</t>
  </si>
  <si>
    <t xml:space="preserve">家庭单数</t>
  </si>
  <si>
    <t xml:space="preserve">韩毅</t>
  </si>
  <si>
    <t xml:space="preserve">08:00-09:00</t>
  </si>
  <si>
    <t xml:space="preserve">邵二波</t>
  </si>
  <si>
    <t xml:space="preserve">杨博</t>
  </si>
  <si>
    <t xml:space="preserve">09:00-10:00</t>
  </si>
  <si>
    <t xml:space="preserve">10:00-11:00</t>
  </si>
  <si>
    <t xml:space="preserve">11:00-12:00</t>
  </si>
  <si>
    <t xml:space="preserve">主播合计</t>
  </si>
  <si>
    <t xml:space="preserve">张保林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</si>
  <si>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</si>
  <si>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</si>
  <si>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</si>
  <si>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</si>
  <si>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郭一笑</t>
  </si>
  <si>
    <t xml:space="preserve">16:00-17:00</t>
  </si>
  <si>
    <t xml:space="preserve">王浩博</t>
  </si>
  <si>
    <t xml:space="preserve">17:00-18:00</t>
  </si>
  <si>
    <t xml:space="preserve">18:00-19:00</t>
  </si>
  <si>
    <t xml:space="preserve">19:00-20:00</t>
  </si>
  <si>
    <t xml:space="preserve">崔红亚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</si>
  <si>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</si>
  <si>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</si>
  <si>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</si>
  <si>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</si>
  <si>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当日合计</t>
  </si>
  <si>
    <t xml:space="preserve">高晨悦</t>
  </si>
  <si>
    <t xml:space="preserve">李杜娟</t>
  </si>
  <si>
    <t xml:space="preserve">姜晓</t>
  </si>
  <si>
    <t xml:space="preserve">13:00-13:30</t>
  </si>
  <si>
    <t xml:space="preserve">13:30-14:00</t>
  </si>
  <si>
    <t xml:space="preserve">06:00-07：00</t>
  </si>
  <si>
    <t xml:space="preserve">07:00-08:00</t>
  </si>
  <si>
    <t xml:space="preserve">魏迪</t>
  </si>
  <si>
    <t xml:space="preserve">23:00-00:00</t>
  </si>
  <si>
    <t xml:space="preserve">00:00-01:00</t>
  </si>
  <si>
    <t xml:space="preserve">李子健</t>
  </si>
  <si>
    <t xml:space="preserve">01:00-02:00</t>
  </si>
  <si>
    <t xml:space="preserve">叶有好</t>
  </si>
  <si>
    <t xml:space="preserve">有公式</t>
  </si>
  <si>
    <t xml:space="preserve">消耗和</t>
  </si>
  <si>
    <t xml:space="preserve">日期</t>
  </si>
  <si>
    <t xml:space="preserve">主播</t>
  </si>
  <si>
    <t xml:space="preserve">时间段</t>
  </si>
  <si>
    <t xml:space="preserve">消耗 （账面）</t>
  </si>
  <si>
    <t xml:space="preserve">保单数</t>
  </si>
  <si>
    <t xml:space="preserve">年化保费</t>
  </si>
  <si>
    <t xml:space="preserve">账户成本</t>
  </si>
  <si>
    <t xml:space="preserve">件均</t>
  </si>
  <si>
    <t xml:space="preserve">保单成本</t>
  </si>
  <si>
    <t xml:space="preserve">ROI</t>
  </si>
  <si>
    <t xml:space="preserve">直播间进入成本</t>
  </si>
  <si>
    <t xml:space="preserve">组件点击成本</t>
  </si>
  <si>
    <t xml:space="preserve">直播间进入-组件点击</t>
  </si>
  <si>
    <t xml:space="preserve">组件点击-转化</t>
  </si>
  <si>
    <t xml:space="preserve">ctr</t>
  </si>
  <si>
    <t xml:space="preserve">cvr</t>
  </si>
  <si>
    <t xml:space="preserve">cpm（封面）</t>
  </si>
  <si>
    <t xml:space="preserve">cpc</t>
  </si>
  <si>
    <t xml:space="preserve">直播间进入-直播观看60s</t>
  </si>
  <si>
    <t xml:space="preserve">直播间进入-评论</t>
  </si>
  <si>
    <t xml:space="preserve">直播间进入-加粉</t>
  </si>
  <si>
    <t xml:space="preserve">直播间进入-分享</t>
  </si>
  <si>
    <t xml:space="preserve">投手</t>
  </si>
  <si>
    <t xml:space="preserve">场控</t>
  </si>
  <si>
    <t xml:space="preserve">曝光数</t>
  </si>
  <si>
    <t xml:space="preserve">行为数</t>
  </si>
  <si>
    <t xml:space="preserve">直播间进入人数</t>
  </si>
  <si>
    <t xml:space="preserve">组件点击量</t>
  </si>
  <si>
    <t xml:space="preserve">转化数</t>
  </si>
  <si>
    <t xml:space="preserve">直播观看60秒数</t>
  </si>
  <si>
    <t xml:space="preserve">直播间评论数</t>
  </si>
  <si>
    <t xml:space="preserve">粉丝关注数</t>
  </si>
  <si>
    <t xml:space="preserve">直播间分享数</t>
  </si>
  <si>
    <t xml:space="preserve">家庭单数</t>
  </si>
  <si>
    <t xml:space="preserve">张保林</t>
  </si>
  <si>
    <t xml:space="preserve">08:00-09:00</t>
  </si>
  <si>
    <t xml:space="preserve">邵二波</t>
  </si>
  <si>
    <t xml:space="preserve">李子健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</si>
  <si>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</si>
  <si>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</si>
  <si>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</si>
  <si>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</si>
  <si>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主播合计</t>
  </si>
  <si>
    <t xml:space="preserve">崔红亚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</si>
  <si>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</si>
  <si>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</si>
  <si>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</si>
  <si>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</si>
  <si>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姜晓</t>
  </si>
  <si>
    <t xml:space="preserve">17:00-18:00</t>
  </si>
  <si>
    <t xml:space="preserve">高晨悦</t>
  </si>
  <si>
    <t xml:space="preserve">18:00-19:00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</si>
  <si>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</si>
  <si>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</si>
  <si>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</si>
  <si>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</si>
  <si>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当日合计</t>
  </si>
  <si>
    <t xml:space="preserve">杨博</t>
  </si>
  <si>
    <t xml:space="preserve">郭一笑</t>
  </si>
  <si>
    <t xml:space="preserve">魏迪</t>
  </si>
  <si>
    <t xml:space="preserve">王浩博</t>
  </si>
  <si>
    <t xml:space="preserve">曹颖慧</t>
  </si>
  <si>
    <t xml:space="preserve">11:00-11:30</t>
  </si>
  <si>
    <t xml:space="preserve">韩毅</t>
  </si>
  <si>
    <t xml:space="preserve">11:30-13:00</t>
  </si>
  <si>
    <t xml:space="preserve">董柯言</t>
  </si>
  <si>
    <t xml:space="preserve">左璐筠</t>
  </si>
  <si>
    <t xml:space="preserve">23:00-24:00</t>
  </si>
  <si>
    <t xml:space="preserve">xm保单数</t>
  </si>
  <si>
    <t xml:space="preserve">xm保单成本</t>
  </si>
  <si>
    <t xml:space="preserve">账户转化数</t>
  </si>
  <si>
    <t xml:space="preserve">李杜娟</t>
  </si>
  <si>
    <t xml:space="preserve">消耗和</t>
  </si>
  <si>
    <t xml:space="preserve">日期</t>
  </si>
  <si>
    <t xml:space="preserve">主播</t>
  </si>
  <si>
    <t xml:space="preserve">时间段</t>
  </si>
  <si>
    <t xml:space="preserve">消耗 （账面）</t>
  </si>
  <si>
    <t xml:space="preserve">保单数</t>
  </si>
  <si>
    <t xml:space="preserve">年化保费</t>
  </si>
  <si>
    <t xml:space="preserve">账户成本</t>
  </si>
  <si>
    <t xml:space="preserve">件均</t>
  </si>
  <si>
    <t xml:space="preserve">保单成本</t>
  </si>
  <si>
    <t xml:space="preserve">ROI</t>
  </si>
  <si>
    <t xml:space="preserve">直播间进入成本</t>
  </si>
  <si>
    <t xml:space="preserve">组件点击成本</t>
  </si>
  <si>
    <t xml:space="preserve">转化成本</t>
  </si>
  <si>
    <t xml:space="preserve">直播间进入-组件点击</t>
  </si>
  <si>
    <t xml:space="preserve">组件点击-转化</t>
  </si>
  <si>
    <t xml:space="preserve">ctr</t>
  </si>
  <si>
    <t xml:space="preserve">cvr</t>
  </si>
  <si>
    <t xml:space="preserve">cpm（封面）</t>
  </si>
  <si>
    <t xml:space="preserve">cpc</t>
  </si>
  <si>
    <t xml:space="preserve">直播间进入-直播观看60s</t>
  </si>
  <si>
    <t xml:space="preserve">直播间进入-评论</t>
  </si>
  <si>
    <t xml:space="preserve">直播间进入-加粉</t>
  </si>
  <si>
    <t xml:space="preserve">直播间进入-分享</t>
  </si>
  <si>
    <t xml:space="preserve">投手</t>
  </si>
  <si>
    <t xml:space="preserve">场控</t>
  </si>
  <si>
    <t xml:space="preserve">曝光数</t>
  </si>
  <si>
    <t xml:space="preserve">行为数</t>
  </si>
  <si>
    <t xml:space="preserve">直播间进入人数</t>
  </si>
  <si>
    <t xml:space="preserve">组件点击量</t>
  </si>
  <si>
    <t xml:space="preserve">转化数</t>
  </si>
  <si>
    <t xml:space="preserve">直播观看60秒数</t>
  </si>
  <si>
    <t xml:space="preserve">直播间评论数</t>
  </si>
  <si>
    <t xml:space="preserve">粉丝关注数</t>
  </si>
  <si>
    <t xml:space="preserve">直播间分享数</t>
  </si>
  <si>
    <t xml:space="preserve">家庭单数</t>
  </si>
  <si>
    <t xml:space="preserve">郭一笑</t>
  </si>
  <si>
    <t xml:space="preserve">08:00-09:00</t>
  </si>
  <si>
    <t xml:space="preserve">邵二波</t>
  </si>
  <si>
    <t xml:space="preserve">李子健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</si>
  <si>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</si>
  <si>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</si>
  <si>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</si>
  <si>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</si>
  <si>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主播合计</t>
  </si>
  <si>
    <t xml:space="preserve">李桐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</si>
  <si>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</si>
  <si>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</si>
  <si>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</si>
  <si>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</si>
  <si>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张见森</t>
  </si>
  <si>
    <t xml:space="preserve">高晨悦</t>
  </si>
  <si>
    <t xml:space="preserve">17:00-18:00</t>
  </si>
  <si>
    <t xml:space="preserve">18:00-19:00</t>
  </si>
  <si>
    <t xml:space="preserve">崔红亚</t>
  </si>
  <si>
    <t xml:space="preserve">19:00-20:00</t>
  </si>
  <si>
    <t xml:space="preserve">20:00-21:00</t>
  </si>
  <si>
    <t xml:space="preserve">21:00-22:00</t>
  </si>
  <si>
    <t xml:space="preserve">22:00-23:00</t>
  </si>
  <si>
    <t xml:space="preserve">当日合计</t>
  </si>
  <si>
    <t xml:space="preserve">张保林</t>
  </si>
  <si>
    <t xml:space="preserve">21:00-21:30</t>
  </si>
  <si>
    <t xml:space="preserve">姜晓</t>
  </si>
  <si>
    <t xml:space="preserve">23:00-24:00</t>
  </si>
  <si>
    <t xml:space="preserve">陈思钰</t>
  </si>
  <si>
    <t xml:space="preserve">王浩博</t>
  </si>
  <si>
    <t xml:space="preserve">杨博</t>
  </si>
  <si>
    <t xml:space="preserve">李哲</t>
  </si>
  <si>
    <t xml:space="preserve">郭斯元</t>
  </si>
  <si>
    <t xml:space="preserve">张滋怡</t>
  </si>
  <si>
    <t xml:space="preserve">消耗</t>
  </si>
  <si>
    <t xml:space="preserve">核心指标</t>
  </si>
  <si>
    <t xml:space="preserve">过程指标</t>
  </si>
  <si>
    <t xml:space="preserve">互动指标</t>
  </si>
  <si>
    <t xml:space="preserve">日期</t>
  </si>
  <si>
    <t xml:space="preserve">主播</t>
  </si>
  <si>
    <t xml:space="preserve">时间段</t>
  </si>
  <si>
    <t xml:space="preserve">消耗 （账面）</t>
  </si>
  <si>
    <t xml:space="preserve">保单数</t>
  </si>
  <si>
    <t xml:space="preserve">年化保费</t>
  </si>
  <si>
    <t xml:space="preserve">件均</t>
  </si>
  <si>
    <t xml:space="preserve">保单成本</t>
  </si>
  <si>
    <t xml:space="preserve">ROI</t>
  </si>
  <si>
    <t xml:space="preserve">直播间进入成本</t>
  </si>
  <si>
    <t xml:space="preserve">组件点击成本</t>
  </si>
  <si>
    <t xml:space="preserve">转化成本</t>
  </si>
  <si>
    <t xml:space="preserve">直播间进入-组件点击</t>
  </si>
  <si>
    <t xml:space="preserve">组件点击-转化</t>
  </si>
  <si>
    <t xml:space="preserve">ctr</t>
  </si>
  <si>
    <t xml:space="preserve">cvr</t>
  </si>
  <si>
    <t xml:space="preserve">cpm（封面）</t>
  </si>
  <si>
    <t xml:space="preserve">cpc</t>
  </si>
  <si>
    <t xml:space="preserve">直播间进入-直播观看60s</t>
  </si>
  <si>
    <t xml:space="preserve">直播间进入-评论</t>
  </si>
  <si>
    <t xml:space="preserve">直播间进入-加粉</t>
  </si>
  <si>
    <t xml:space="preserve">直播间进入-分享</t>
  </si>
  <si>
    <t xml:space="preserve">投手</t>
  </si>
  <si>
    <t xml:space="preserve">场控</t>
  </si>
  <si>
    <t xml:space="preserve">曝光数</t>
  </si>
  <si>
    <t xml:space="preserve">行为数</t>
  </si>
  <si>
    <t xml:space="preserve">直播间进入人数</t>
  </si>
  <si>
    <t xml:space="preserve">组件点击量</t>
  </si>
  <si>
    <t xml:space="preserve">转化数</t>
  </si>
  <si>
    <t xml:space="preserve">直播观看60秒数</t>
  </si>
  <si>
    <t xml:space="preserve">直播间评论数</t>
  </si>
  <si>
    <t xml:space="preserve">粉丝关注数</t>
  </si>
  <si>
    <t xml:space="preserve">直播间分享数</t>
  </si>
  <si>
    <t xml:space="preserve">家庭单数</t>
  </si>
  <si>
    <t xml:space="preserve">郭一笑</t>
  </si>
  <si>
    <t xml:space="preserve">16:00-17:00</t>
  </si>
  <si>
    <t xml:space="preserve">邵二波</t>
  </si>
  <si>
    <t xml:space="preserve">张滋怡</t>
  </si>
  <si>
    <t xml:space="preserve">17:00-18:00</t>
  </si>
  <si>
    <t xml:space="preserve">18:00-19:00</t>
  </si>
  <si>
    <t xml:space="preserve">19:00-20:00</t>
  </si>
  <si>
    <t xml:space="preserve">主播合计</t>
  </si>
  <si>
    <t xml:space="preserve">张保林</t>
  </si>
  <si>
    <t xml:space="preserve">20:00-21:00</t>
  </si>
  <si>
    <t xml:space="preserve">21:00-22:00</t>
  </si>
  <si>
    <t xml:space="preserve">22:00-23:00</t>
  </si>
  <si>
    <t xml:space="preserve">当日合计</t>
  </si>
  <si>
    <t xml:space="preserve">08:00-09:00</t>
  </si>
  <si>
    <t xml:space="preserve">董柯言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</si>
  <si>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</si>
  <si>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</si>
  <si>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</si>
  <si>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</si>
  <si>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</si>
  <si>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</si>
  <si>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</si>
  <si>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李仓</t>
  </si>
  <si>
    <t xml:space="preserve">郭斯元</t>
  </si>
  <si>
    <t xml:space="preserve">账户成本</t>
  </si>
  <si>
    <t xml:space="preserve">郭璐琪</t>
  </si>
  <si>
    <t xml:space="preserve">任子硕</t>
  </si>
  <si>
    <t xml:space="preserve">崔志丹</t>
  </si>
  <si>
    <t xml:space="preserve">崔红亚</t>
  </si>
  <si>
    <t xml:space="preserve">高雨辰</t>
  </si>
  <si>
    <t xml:space="preserve">周舒馨</t>
  </si>
  <si>
    <t xml:space="preserve">王浩博</t>
  </si>
  <si>
    <t xml:space="preserve">李哲</t>
  </si>
  <si>
    <t xml:space="preserve">陈思钰</t>
  </si>
  <si>
    <t xml:space="preserve">曹颖慧</t>
  </si>
  <si>
    <t xml:space="preserve">何莎</t>
  </si>
  <si>
    <t xml:space="preserve">孔丹阳</t>
  </si>
  <si>
    <t xml:space="preserve">李桐</t>
  </si>
  <si>
    <t xml:space="preserve">李子健</t>
  </si>
  <si>
    <t xml:space="preserve">高晨悦</t>
  </si>
  <si>
    <t xml:space="preserve">消耗</t>
  </si>
  <si>
    <t xml:space="preserve">核心指标</t>
  </si>
  <si>
    <t xml:space="preserve">过程指标</t>
  </si>
  <si>
    <t xml:space="preserve">互动指标</t>
  </si>
  <si>
    <t xml:space="preserve">日期</t>
  </si>
  <si>
    <t xml:space="preserve">主播</t>
  </si>
  <si>
    <t xml:space="preserve">时间段</t>
  </si>
  <si>
    <t xml:space="preserve">消耗 （账面）</t>
  </si>
  <si>
    <t xml:space="preserve">保单数</t>
  </si>
  <si>
    <t xml:space="preserve">年化保费</t>
  </si>
  <si>
    <t xml:space="preserve">账户成本</t>
  </si>
  <si>
    <t xml:space="preserve">件均</t>
  </si>
  <si>
    <t xml:space="preserve">保单成本</t>
  </si>
  <si>
    <t xml:space="preserve">ROI</t>
  </si>
  <si>
    <t xml:space="preserve">业务ROI</t>
  </si>
  <si>
    <t xml:space="preserve">直播间进入成本</t>
  </si>
  <si>
    <t xml:space="preserve">组件点击成本</t>
  </si>
  <si>
    <t xml:space="preserve">转化成本</t>
  </si>
  <si>
    <t xml:space="preserve">直播间进入-组件点击</t>
  </si>
  <si>
    <t xml:space="preserve">组件点击-转化</t>
  </si>
  <si>
    <t xml:space="preserve">ctr</t>
  </si>
  <si>
    <t xml:space="preserve">cvr</t>
  </si>
  <si>
    <t xml:space="preserve">cpm（封面）</t>
  </si>
  <si>
    <t xml:space="preserve">cpc</t>
  </si>
  <si>
    <t xml:space="preserve">直播间进入-直播观看60s</t>
  </si>
  <si>
    <t xml:space="preserve">直播间进入-评论</t>
  </si>
  <si>
    <t xml:space="preserve">直播间进入-加粉</t>
  </si>
  <si>
    <t xml:space="preserve">直播间进入-分享</t>
  </si>
  <si>
    <t xml:space="preserve">投手</t>
  </si>
  <si>
    <t xml:space="preserve">场控</t>
  </si>
  <si>
    <t xml:space="preserve">曝光数</t>
  </si>
  <si>
    <t xml:space="preserve">行为数</t>
  </si>
  <si>
    <t xml:space="preserve">直播间进入人数</t>
  </si>
  <si>
    <t xml:space="preserve">组件点击量</t>
  </si>
  <si>
    <t xml:space="preserve">转化数</t>
  </si>
  <si>
    <t xml:space="preserve">直播观看60秒数</t>
  </si>
  <si>
    <t xml:space="preserve">直播间评论数</t>
  </si>
  <si>
    <t xml:space="preserve">粉丝关注数</t>
  </si>
  <si>
    <t xml:space="preserve">直播间分享数</t>
  </si>
  <si>
    <t xml:space="preserve">家庭单数</t>
  </si>
  <si>
    <t xml:space="preserve">勿动</t>
  </si>
  <si>
    <t xml:space="preserve">张保林</t>
  </si>
  <si>
    <t xml:space="preserve">08:00-09:00</t>
  </si>
  <si>
    <t xml:space="preserve">邵二波</t>
  </si>
  <si>
    <t xml:space="preserve">郭斯元</t>
  </si>
  <si>
    <t xml:space="preserve">09:00-10:00</t>
  </si>
  <si>
    <t xml:space="preserve">10:00-11:00</t>
  </si>
  <si>
    <t xml:space="preserve">11:00-12:00</t>
  </si>
  <si>
    <t xml:space="preserve">12:00-13:00</t>
  </si>
  <si>
    <t xml:space="preserve">主播合计</t>
  </si>
  <si>
    <t xml:space="preserve">高雨辰</t>
  </si>
  <si>
    <t xml:space="preserve">13:00-14:00</t>
  </si>
  <si>
    <t xml:space="preserve">14:00-15:00</t>
  </si>
  <si>
    <t xml:space="preserve">15:00-16:00</t>
  </si>
  <si>
    <t xml:space="preserve">16:00-17:00</t>
  </si>
  <si>
    <t xml:space="preserve">17:00-18:00</t>
  </si>
  <si>
    <t xml:space="preserve">郭一笑</t>
  </si>
  <si>
    <t xml:space="preserve">18:00-19:00</t>
  </si>
  <si>
    <t xml:space="preserve">19:00-20:00</t>
  </si>
  <si>
    <t xml:space="preserve">任子硕</t>
  </si>
  <si>
    <t xml:space="preserve">20:00-21:00</t>
  </si>
  <si>
    <t xml:space="preserve">21:00-22:00</t>
  </si>
  <si>
    <t xml:space="preserve">22:00-23:00</t>
  </si>
  <si>
    <t xml:space="preserve">当日合计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</si>
</sst>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4">
    <numFmt numFmtId="164" formatCode="yyyy/m/d"/>
    <numFmt numFmtId="165" formatCode="#,##0.00"/>
    <numFmt numFmtId="166" formatCode="0"/>
    <numFmt numFmtId="167" formatCode="#,##0.00_ "/>
    <numFmt numFmtId="168" formatCode="0_);(0)"/>
    <numFmt numFmtId="169" formatCode="0.00_);(0.00)"/>
    <numFmt numFmtId="170" formatCode="0.00_ "/>
    <numFmt numFmtId="171" formatCode="0.00"/>
    <numFmt numFmtId="172" formatCode="0.00%"/>
    <numFmt numFmtId="173" formatCode="#,##0"/>
    <numFmt numFmtId="174" formatCode="General"/>
    <numFmt numFmtId="175" formatCode="0.000_);(0.000)"/>
    <numFmt numFmtId="176" formatCode="h:mm;@"/>
    <numFmt numFmtId="177" formatCode="#,##0.00"/>
    <numFmt numFmtId="178" formatCode="0"/>
    <numFmt numFmtId="179" formatCode="#,##0"/>
    <numFmt numFmtId="180" formatCode="General"/>
    <numFmt numFmtId="181" formatCode="yyyy/m/d"/>
    <numFmt numFmtId="182" formatCode="0.000_);(0.000)"/>
    <numFmt numFmtId="183" formatCode="0.00_ "/>
    <numFmt numFmtId="184" formatCode="0_);(0)"/>
    <numFmt numFmtId="185" formatCode="0.00_);(0.00)"/>
    <numFmt numFmtId="186" formatCode="#,##0.00_ "/>
    <numFmt numFmtId="187" formatCode="0.00"/>
    <numFmt numFmtId="188" formatCode="0.00%"/>
    <numFmt numFmtId="189" formatCode="h:mm;@"/>
    <numFmt numFmtId="190" formatCode="#,##0.00"/>
    <numFmt numFmtId="191" formatCode="0"/>
    <numFmt numFmtId="192" formatCode="#,##0"/>
    <numFmt numFmtId="193" formatCode="General"/>
    <numFmt numFmtId="194" formatCode="yyyy/m/d"/>
    <numFmt numFmtId="195" formatCode="0.000_);(0.000)"/>
    <numFmt numFmtId="196" formatCode="0.00_);(0.00)"/>
    <numFmt numFmtId="197" formatCode="0.00_ "/>
    <numFmt numFmtId="198" formatCode="#,##0.00_ "/>
    <numFmt numFmtId="199" formatCode="0.00"/>
    <numFmt numFmtId="200" formatCode="0.00%"/>
    <numFmt numFmtId="201" formatCode="h:mm;@"/>
    <numFmt numFmtId="202" formatCode="0_);(0)"/>
    <numFmt numFmtId="203" formatCode="#,##0.00"/>
    <numFmt numFmtId="204" formatCode="0"/>
    <numFmt numFmtId="205" formatCode="#,##0"/>
    <numFmt numFmtId="206" formatCode="yyyy/m/d"/>
    <numFmt numFmtId="207" formatCode="0.000_);(0.000)"/>
    <numFmt numFmtId="208" formatCode="General"/>
    <numFmt numFmtId="209" formatCode="0.00_);(0.00)"/>
    <numFmt numFmtId="210" formatCode="0.00_ "/>
    <numFmt numFmtId="211" formatCode="#,##0.00_ "/>
    <numFmt numFmtId="212" formatCode="0.00"/>
    <numFmt numFmtId="213" formatCode="0.00%"/>
    <numFmt numFmtId="214" formatCode="h:mm;@"/>
    <numFmt numFmtId="215" formatCode="0"/>
    <numFmt numFmtId="216" formatCode="yyyy/m/d"/>
    <numFmt numFmtId="217" formatCode="#,##0.00"/>
    <numFmt numFmtId="218" formatCode="0.00_ "/>
    <numFmt numFmtId="219" formatCode="#,##0.00_ "/>
    <numFmt numFmtId="220" formatCode="0.00"/>
    <numFmt numFmtId="221" formatCode="0.00%"/>
    <numFmt numFmtId="222" formatCode="#,##0"/>
    <numFmt numFmtId="223" formatCode="h:mm;@"/>
    <numFmt numFmtId="224" formatCode="0.00_);(0.00)"/>
    <numFmt numFmtId="225" formatCode="General"/>
    <numFmt numFmtId="226" formatCode="0.000_);(0.000)"/>
    <numFmt numFmtId="227" formatCode="#,##0.00"/>
    <numFmt numFmtId="228" formatCode="0"/>
    <numFmt numFmtId="229" formatCode="#,##0"/>
    <numFmt numFmtId="230" formatCode="yyyy/m/d"/>
    <numFmt numFmtId="231" formatCode="General"/>
    <numFmt numFmtId="232" formatCode="0.00_);(0.00)"/>
    <numFmt numFmtId="233" formatCode="0.00_ "/>
    <numFmt numFmtId="234" formatCode="#,##0.00_ "/>
    <numFmt numFmtId="235" formatCode="0.00"/>
    <numFmt numFmtId="236" formatCode="0.00%"/>
    <numFmt numFmtId="237" formatCode="h:mm;@"/>
  </numFmts>
  <fonts count="10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D83931"/>
      <name val="Calibri"/>
      <family val="2"/>
      <scheme val="minor"/>
    </font>
    <font>
      <sz val="10"/>
      <color rgb="FFF54A45"/>
      <name val="Calibri"/>
      <family val="2"/>
      <scheme val="minor"/>
    </font>
    <font>
      <sz val="11"/>
      <color rgb="FF33384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73C43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1F2329"/>
      <name val="Calibri"/>
      <family val="2"/>
      <scheme val="minor"/>
    </font>
  </fonts>
  <fills count="8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EAFAF1"/>
        <bgColor/>
      </patternFill>
    </fill>
    <fill>
      <patternFill patternType="solid">
        <fgColor rgb="FFDE3C36"/>
        <bgColor/>
      </patternFill>
    </fill>
    <fill>
      <patternFill patternType="solid">
        <fgColor rgb="FFF5F6F7"/>
        <bgColor/>
      </patternFill>
    </fill>
    <fill>
      <patternFill patternType="solid">
        <fgColor rgb="FFFFFFFF"/>
        <bgColor/>
      </patternFill>
    </fill>
    <fill>
      <patternFill patternType="solid">
        <fgColor rgb="FFD8D8D8"/>
        <bgColor/>
      </patternFill>
    </fill>
    <fill>
      <patternFill patternType="solid">
        <fgColor rgb="FFDEE0E3"/>
        <bgColor/>
      </patternFill>
    </fill>
    <fill>
      <patternFill patternType="solid">
        <fgColor rgb="FFFFC9C7"/>
        <bgColor/>
      </patternFill>
    </fill>
    <fill>
      <patternFill patternType="solid">
        <fgColor rgb="FFFBBFBC"/>
        <bgColor/>
      </patternFill>
    </fill>
    <fill>
      <patternFill patternType="solid">
        <fgColor rgb="FFFFF258"/>
        <bgColor/>
      </patternFill>
    </fill>
    <fill>
      <patternFill patternType="solid">
        <fgColor rgb="FFEDEFF2"/>
        <bgColor/>
      </patternFill>
    </fill>
    <fill>
      <patternFill patternType="solid">
        <fgColor rgb="FFFFBA6B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EAFAF1"/>
        <bgColor/>
      </patternFill>
    </fill>
    <fill>
      <patternFill patternType="solid">
        <fgColor rgb="FFDE3C36"/>
        <bgColor/>
      </patternFill>
    </fill>
    <fill>
      <patternFill patternType="solid">
        <fgColor rgb="FFF5F6F7"/>
        <bgColor/>
      </patternFill>
    </fill>
    <fill>
      <patternFill patternType="solid">
        <fgColor rgb="FFFFFFFF"/>
        <bgColor/>
      </patternFill>
    </fill>
    <fill>
      <patternFill patternType="solid">
        <fgColor rgb="FFD8D8D8"/>
        <bgColor/>
      </patternFill>
    </fill>
    <fill>
      <patternFill patternType="solid">
        <fgColor rgb="FFDEE0E3"/>
        <bgColor/>
      </patternFill>
    </fill>
    <fill>
      <patternFill patternType="solid">
        <fgColor rgb="FFFFC9C7"/>
        <bgColor/>
      </patternFill>
    </fill>
    <fill>
      <patternFill patternType="solid">
        <fgColor rgb="FFFBBFBC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BBFBC"/>
        <bgColor/>
      </patternFill>
    </fill>
    <fill>
      <patternFill patternType="solid">
        <fgColor rgb="FFEDEFF2"/>
        <bgColor/>
      </patternFill>
    </fill>
    <fill>
      <patternFill patternType="solid">
        <fgColor rgb="FFFFF258"/>
        <bgColor/>
      </patternFill>
    </fill>
    <fill>
      <patternFill patternType="solid">
        <fgColor rgb="FFFFBA6B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EAFAF1"/>
        <bgColor/>
      </patternFill>
    </fill>
    <fill>
      <patternFill patternType="solid">
        <fgColor rgb="FFDE3C36"/>
        <bgColor/>
      </patternFill>
    </fill>
    <fill>
      <patternFill patternType="solid">
        <fgColor rgb="FFF5F6F7"/>
        <bgColor/>
      </patternFill>
    </fill>
    <fill>
      <patternFill patternType="solid">
        <fgColor rgb="FFD8D8D8"/>
        <bgColor/>
      </patternFill>
    </fill>
    <fill>
      <patternFill patternType="solid">
        <fgColor rgb="FFFFFFFF"/>
        <bgColor/>
      </patternFill>
    </fill>
    <fill>
      <patternFill patternType="solid">
        <fgColor rgb="FFFFC9C7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BBFBC"/>
        <bgColor/>
      </patternFill>
    </fill>
    <fill>
      <patternFill patternType="solid">
        <fgColor rgb="FFEDEFF2"/>
        <bgColor/>
      </patternFill>
    </fill>
    <fill>
      <patternFill patternType="solid">
        <fgColor rgb="FFFFF258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EAFAF1"/>
        <bgColor/>
      </patternFill>
    </fill>
    <fill>
      <patternFill patternType="solid">
        <fgColor rgb="FFDE3C36"/>
        <bgColor/>
      </patternFill>
    </fill>
    <fill>
      <patternFill patternType="solid">
        <fgColor rgb="FFF5F6F7"/>
        <bgColor/>
      </patternFill>
    </fill>
    <fill>
      <patternFill patternType="solid">
        <fgColor rgb="FFD8D8D8"/>
        <bgColor/>
      </patternFill>
    </fill>
    <fill>
      <patternFill patternType="solid">
        <fgColor rgb="FFFFC9C7"/>
        <bgColor/>
      </patternFill>
    </fill>
    <fill>
      <patternFill patternType="solid">
        <fgColor rgb="FFFFFFFF"/>
        <bgColor/>
      </patternFill>
    </fill>
    <fill>
      <patternFill patternType="solid">
        <fgColor rgb="FFEDEFF2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EAFAF1"/>
        <bgColor/>
      </patternFill>
    </fill>
    <fill>
      <patternFill patternType="solid">
        <fgColor rgb="FFE5EFFF"/>
        <bgColor/>
      </patternFill>
    </fill>
    <fill>
      <patternFill patternType="solid">
        <fgColor rgb="FFDE3C36"/>
        <bgColor/>
      </patternFill>
    </fill>
    <fill>
      <patternFill patternType="solid">
        <fgColor rgb="FFF5F6F7"/>
        <bgColor/>
      </patternFill>
    </fill>
    <fill>
      <patternFill patternType="solid">
        <fgColor rgb="FFD8D8D8"/>
        <bgColor/>
      </patternFill>
    </fill>
    <fill>
      <patternFill patternType="solid">
        <fgColor rgb="FFFFC9C7"/>
        <bgColor/>
      </patternFill>
    </fill>
    <fill>
      <patternFill patternType="solid">
        <fgColor rgb="FFEDEFF2"/>
        <bgColor/>
      </patternFill>
    </fill>
    <fill>
      <patternFill patternType="solid">
        <fgColor rgb="FFEDEFF2"/>
        <bgColor/>
      </patternFill>
    </fill>
    <fill>
      <patternFill patternType="solid">
        <fgColor rgb="FFEDEFF2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EAFAF1"/>
        <bgColor/>
      </patternFill>
    </fill>
    <fill>
      <patternFill patternType="solid">
        <fgColor rgb="FFDE3C36"/>
        <bgColor/>
      </patternFill>
    </fill>
    <fill>
      <patternFill patternType="solid">
        <fgColor rgb="FFF5F6F7"/>
        <bgColor/>
      </patternFill>
    </fill>
    <fill>
      <patternFill patternType="solid">
        <fgColor rgb="FFD8D8D8"/>
        <bgColor/>
      </patternFill>
    </fill>
    <fill>
      <patternFill patternType="solid">
        <fgColor rgb="FFFFC9C7"/>
        <bgColor/>
      </patternFill>
    </fill>
  </fills>
  <borders count="1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E6E9ED"/>
      </right>
      <top/>
      <bottom style="medium">
        <color rgb="FFE6E9ED"/>
      </bottom>
      <diagonal/>
    </border>
    <border>
      <left/>
      <right/>
      <top/>
      <bottom style="medium">
        <color rgb="FFE6E9ED"/>
      </bottom>
      <diagonal/>
    </border>
    <border>
      <left/>
      <right style="medium">
        <color rgb="FFE6E9ED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E6E9ED"/>
      </right>
      <top/>
      <bottom style="medium">
        <color rgb="FFE6E9ED"/>
      </bottom>
      <diagonal/>
    </border>
    <border>
      <left/>
      <right/>
      <top/>
      <bottom style="medium">
        <color rgb="FFE6E9ED"/>
      </bottom>
      <diagonal/>
    </border>
    <border>
      <left/>
      <right style="medium">
        <color rgb="FFE6E9ED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medium">
        <color rgb="FFE6E9ED"/>
      </right>
      <top/>
      <bottom style="medium">
        <color rgb="FFE6E9ED"/>
      </bottom>
      <diagonal/>
    </border>
    <border>
      <left/>
      <right/>
      <top/>
      <bottom style="medium">
        <color rgb="FFE6E9E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medium">
        <color rgb="FFE6E9ED"/>
      </right>
      <top/>
      <bottom style="medium">
        <color rgb="FFE6E9ED"/>
      </bottom>
      <diagonal/>
    </border>
    <border>
      <left/>
      <right/>
      <top/>
      <bottom style="medium">
        <color rgb="FFE6E9ED"/>
      </bottom>
      <diagonal/>
    </border>
    <border>
      <left/>
      <right style="thin">
        <color rgb="FFE6E9ED"/>
      </right>
      <top/>
      <bottom style="thin">
        <color rgb="FFE6E9ED"/>
      </bottom>
      <diagonal/>
    </border>
    <border>
      <left/>
      <right/>
      <top/>
      <bottom style="thin">
        <color rgb="FFE6E9E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rgb="FFE6E9ED"/>
      </right>
      <top/>
      <bottom style="medium">
        <color rgb="FFE6E9ED"/>
      </bottom>
      <diagonal/>
    </border>
    <border>
      <left/>
      <right/>
      <top/>
      <bottom style="medium">
        <color rgb="FFE6E9E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  <xf applyAlignment="true" applyBorder="false" applyFill="true" applyFont="true" applyNumberFormat="true" applyProtection="false" borderId="2" fillId="3" fontId="1" numFmtId="165" xfId="0">
      <alignment horizontal="center" vertical="center"/>
    </xf>
    <xf applyAlignment="true" applyBorder="false" applyFill="true" applyFont="true" applyNumberFormat="true" applyProtection="false" borderId="2" fillId="3" fontId="1" numFmtId="166" xfId="0">
      <alignment horizontal="center" vertical="center"/>
    </xf>
    <xf applyAlignment="true" applyBorder="false" applyFill="true" applyFont="true" applyNumberFormat="true" applyProtection="false" borderId="4" fillId="3" fontId="1" numFmtId="167" xfId="0">
      <alignment horizontal="center" vertical="center"/>
    </xf>
    <xf applyAlignment="true" applyBorder="false" applyFill="true" applyFont="true" applyNumberFormat="true" applyProtection="false" borderId="4" fillId="3" fontId="1" numFmtId="165" xfId="0">
      <alignment horizontal="center" vertical="center"/>
    </xf>
    <xf applyAlignment="true" applyBorder="false" applyFill="true" applyFont="true" applyNumberFormat="true" applyProtection="false" borderId="4" fillId="3" fontId="1" numFmtId="168" xfId="0">
      <alignment horizontal="center" vertical="center"/>
    </xf>
    <xf applyAlignment="true" applyBorder="false" applyFill="true" applyFont="true" applyNumberFormat="true" applyProtection="false" borderId="4" fillId="3" fontId="1" numFmtId="169" xfId="0">
      <alignment horizontal="center" vertical="center"/>
    </xf>
    <xf applyAlignment="true" applyBorder="false" applyFill="true" applyFont="true" applyNumberFormat="true" applyProtection="false" borderId="5" fillId="3" fontId="1" numFmtId="170" xfId="0">
      <alignment horizontal="center" vertical="center"/>
    </xf>
    <xf applyAlignment="true" applyBorder="false" applyFill="true" applyFont="true" applyNumberFormat="true" applyProtection="false" borderId="5" fillId="3" fontId="1" numFmtId="167" xfId="0">
      <alignment horizontal="center" vertical="center"/>
    </xf>
    <xf applyAlignment="true" applyBorder="false" applyFill="true" applyFont="true" applyNumberFormat="true" applyProtection="false" borderId="5" fillId="4" fontId="1" numFmtId="171" xfId="0">
      <alignment horizontal="center" vertical="center"/>
    </xf>
    <xf applyAlignment="true" applyBorder="false" applyFill="true" applyFont="true" applyNumberFormat="true" applyProtection="false" borderId="5" fillId="4" fontId="1" numFmtId="172" xfId="0">
      <alignment horizontal="center" vertical="center"/>
    </xf>
    <xf applyAlignment="true" applyBorder="false" applyFill="true" applyFont="true" applyNumberFormat="true" applyProtection="false" borderId="5" fillId="4" fontId="1" numFmtId="170" xfId="0">
      <alignment horizontal="center" vertical="center"/>
    </xf>
    <xf applyAlignment="true" applyBorder="false" applyFill="true" applyFont="true" applyNumberFormat="true" applyProtection="false" borderId="5" fillId="4" fontId="1" numFmtId="167" xfId="0">
      <alignment horizontal="center" vertical="center"/>
    </xf>
    <xf applyAlignment="true" applyBorder="false" applyFill="true" applyFont="true" applyNumberFormat="true" applyProtection="false" borderId="5" fillId="5" fontId="1" numFmtId="172" xfId="0">
      <alignment horizontal="center" vertical="center"/>
    </xf>
    <xf applyAlignment="true" applyBorder="false" applyFill="true" applyFont="true" applyNumberFormat="true" applyProtection="false" borderId="6" fillId="6" fontId="1" numFmtId="172" xfId="0">
      <alignment horizontal="center" vertical="center"/>
    </xf>
    <xf applyAlignment="true" applyBorder="false" applyFill="true" applyFont="true" applyNumberFormat="false" applyProtection="false" borderId="6" fillId="6" fontId="1" numFmtId="0" xfId="0">
      <alignment horizontal="center" vertical="center"/>
    </xf>
    <xf applyAlignment="true" applyBorder="false" applyFill="false" applyFont="true" applyNumberFormat="true" applyProtection="false" borderId="5" fillId="0" fontId="1" numFmtId="173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true" applyProtection="false" borderId="5" fillId="7" fontId="1" numFmtId="173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true" applyProtection="false" borderId="5" fillId="0" fontId="1" numFmtId="174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2" fillId="8" fontId="1" numFmtId="164" xfId="0">
      <alignment horizontal="center" vertical="center"/>
    </xf>
    <xf applyAlignment="true" applyBorder="false" applyFill="false" applyFont="true" applyNumberFormat="true" applyProtection="false" borderId="8" fillId="0" fontId="1" numFmtId="175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true" applyProtection="false" borderId="8" fillId="0" fontId="1" numFmtId="165" xfId="0">
      <alignment horizontal="center" vertical="center"/>
    </xf>
    <xf applyAlignment="true" applyBorder="false" applyFill="false" applyFont="true" applyNumberFormat="true" applyProtection="false" borderId="2" fillId="0" fontId="1" numFmtId="174" xfId="0">
      <alignment horizontal="center" vertical="center"/>
    </xf>
    <xf applyAlignment="true" applyBorder="false" applyFill="false" applyFont="true" applyNumberFormat="true" applyProtection="false" borderId="9" fillId="0" fontId="1" numFmtId="170" xfId="0">
      <alignment horizontal="center" vertical="center"/>
    </xf>
    <xf applyAlignment="true" applyBorder="false" applyFill="false" applyFont="true" applyNumberFormat="true" applyProtection="false" borderId="9" fillId="0" fontId="1" numFmtId="174" xfId="0">
      <alignment horizontal="center" vertical="center"/>
    </xf>
    <xf applyAlignment="true" applyBorder="false" applyFill="false" applyFont="true" applyNumberFormat="true" applyProtection="false" borderId="9" fillId="0" fontId="1" numFmtId="168" xfId="0">
      <alignment horizontal="center" vertical="center"/>
    </xf>
    <xf applyAlignment="true" applyBorder="false" applyFill="false" applyFont="true" applyNumberFormat="true" applyProtection="false" borderId="9" fillId="0" fontId="1" numFmtId="169" xfId="0">
      <alignment horizontal="center" vertical="center"/>
    </xf>
    <xf applyAlignment="true" applyBorder="false" applyFill="false" applyFont="true" applyNumberFormat="true" applyProtection="false" borderId="5" fillId="0" fontId="1" numFmtId="170" xfId="0">
      <alignment horizontal="center" vertical="center"/>
    </xf>
    <xf applyAlignment="true" applyBorder="false" applyFill="false" applyFont="true" applyNumberFormat="true" applyProtection="false" borderId="5" fillId="0" fontId="1" numFmtId="167" xfId="0">
      <alignment horizontal="center" vertical="center"/>
    </xf>
    <xf applyAlignment="true" applyBorder="false" applyFill="false" applyFont="true" applyNumberFormat="true" applyProtection="false" borderId="5" fillId="0" fontId="1" numFmtId="171" xfId="0">
      <alignment horizontal="center" vertical="center"/>
    </xf>
    <xf applyAlignment="true" applyBorder="false" applyFill="false" applyFont="true" applyNumberFormat="true" applyProtection="false" borderId="5" fillId="0" fontId="1" numFmtId="172" xfId="0">
      <alignment horizontal="center" vertical="center"/>
    </xf>
    <xf applyAlignment="true" applyBorder="false" applyFill="false" applyFont="true" applyNumberFormat="true" applyProtection="false" borderId="9" fillId="0" fontId="1" numFmtId="175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true" applyFont="true" applyNumberFormat="true" applyProtection="false" borderId="5" fillId="8" fontId="1" numFmtId="173" xfId="0">
      <alignment horizontal="center" vertical="center"/>
    </xf>
    <xf applyAlignment="true" applyBorder="false" applyFill="true" applyFont="true" applyNumberFormat="true" applyProtection="false" borderId="5" fillId="8" fontId="1" numFmtId="173" xfId="0">
      <alignment horizontal="center" vertical="center"/>
    </xf>
    <xf applyAlignment="true" applyBorder="false" applyFill="true" applyFont="true" applyNumberFormat="true" applyProtection="false" borderId="5" fillId="8" fontId="1" numFmtId="174" xfId="0">
      <alignment horizontal="center" vertical="center"/>
    </xf>
    <xf applyAlignment="true" applyBorder="false" applyFill="false" applyFont="true" applyNumberFormat="true" applyProtection="false" borderId="2" fillId="0" fontId="1" numFmtId="169" xfId="0">
      <alignment horizontal="center" vertical="center"/>
    </xf>
    <xf applyAlignment="true" applyBorder="false" applyFill="false" applyFont="true" applyNumberFormat="true" applyProtection="false" borderId="5" fillId="0" fontId="1" numFmtId="165" xfId="0">
      <alignment horizontal="center" vertical="center"/>
    </xf>
    <xf applyAlignment="true" applyBorder="false" applyFill="false" applyFont="true" applyNumberFormat="true" applyProtection="false" borderId="5" fillId="0" fontId="1" numFmtId="174" xfId="0">
      <alignment horizontal="center" vertical="center"/>
    </xf>
    <xf applyAlignment="true" applyBorder="false" applyFill="false" applyFont="true" applyNumberFormat="true" applyProtection="false" borderId="2" fillId="0" fontId="1" numFmtId="175" xfId="0">
      <alignment horizontal="center" vertical="center"/>
    </xf>
    <xf applyAlignment="true" applyBorder="false" applyFill="false" applyFont="true" applyNumberFormat="true" applyProtection="false" borderId="9" fillId="0" fontId="1" numFmtId="170" xfId="0">
      <alignment horizontal="center" vertical="center"/>
    </xf>
    <xf applyAlignment="true" applyBorder="false" applyFill="false" applyFont="true" applyNumberFormat="true" applyProtection="false" borderId="5" fillId="0" fontId="1" numFmtId="174" xfId="0">
      <alignment horizontal="center" vertical="center"/>
    </xf>
    <xf applyAlignment="true" applyBorder="false" applyFill="false" applyFont="true" applyNumberFormat="true" applyProtection="false" borderId="9" fillId="0" fontId="1" numFmtId="168" xfId="0">
      <alignment horizontal="center" vertical="center"/>
    </xf>
    <xf applyAlignment="true" applyBorder="false" applyFill="false" applyFont="true" applyNumberFormat="true" applyProtection="false" borderId="9" fillId="0" fontId="1" numFmtId="169" xfId="0">
      <alignment horizontal="center" vertical="center"/>
    </xf>
    <xf applyAlignment="true" applyBorder="false" applyFill="false" applyFont="true" applyNumberFormat="true" applyProtection="false" borderId="5" fillId="0" fontId="1" numFmtId="170" xfId="0">
      <alignment horizontal="center" vertical="center"/>
    </xf>
    <xf applyAlignment="true" applyBorder="false" applyFill="false" applyFont="true" applyNumberFormat="true" applyProtection="false" borderId="5" fillId="0" fontId="1" numFmtId="167" xfId="0">
      <alignment horizontal="center" vertical="center"/>
    </xf>
    <xf applyAlignment="true" applyBorder="false" applyFill="true" applyFont="true" applyNumberFormat="true" applyProtection="false" borderId="5" fillId="9" fontId="1" numFmtId="171" xfId="0">
      <alignment horizontal="center" vertical="center"/>
    </xf>
    <xf applyAlignment="true" applyBorder="false" applyFill="true" applyFont="true" applyNumberFormat="true" applyProtection="false" borderId="5" fillId="9" fontId="1" numFmtId="170" xfId="0">
      <alignment horizontal="center" vertical="center"/>
    </xf>
    <xf applyAlignment="true" applyBorder="false" applyFill="true" applyFont="true" applyNumberFormat="true" applyProtection="false" borderId="5" fillId="9" fontId="1" numFmtId="172" xfId="0">
      <alignment horizontal="center" vertical="center"/>
    </xf>
    <xf applyAlignment="true" applyBorder="false" applyFill="true" applyFont="true" applyNumberFormat="true" applyProtection="false" borderId="5" fillId="9" fontId="1" numFmtId="167" xfId="0">
      <alignment horizontal="center" vertical="center"/>
    </xf>
    <xf applyAlignment="true" applyBorder="false" applyFill="false" applyFont="true" applyNumberFormat="true" applyProtection="false" borderId="9" fillId="0" fontId="1" numFmtId="165" xfId="0">
      <alignment horizontal="center" vertical="center"/>
    </xf>
    <xf applyAlignment="true" applyBorder="false" applyFill="true" applyFont="true" applyNumberFormat="true" applyProtection="false" borderId="9" fillId="10" fontId="1" numFmtId="176" xfId="0">
      <alignment horizontal="center" vertical="center"/>
    </xf>
    <xf applyAlignment="true" applyBorder="false" applyFill="true" applyFont="true" applyNumberFormat="true" applyProtection="false" borderId="5" fillId="10" fontId="1" numFmtId="169" xfId="0">
      <alignment horizontal="center" vertical="center"/>
    </xf>
    <xf applyAlignment="true" applyBorder="false" applyFill="true" applyFont="true" applyNumberFormat="true" applyProtection="false" borderId="5" fillId="10" fontId="1" numFmtId="168" xfId="0">
      <alignment horizontal="center" vertical="center"/>
    </xf>
    <xf applyAlignment="true" applyBorder="false" applyFill="true" applyFont="true" applyNumberFormat="true" applyProtection="false" borderId="5" fillId="10" fontId="1" numFmtId="167" xfId="0">
      <alignment horizontal="center" vertical="center"/>
    </xf>
    <xf applyAlignment="true" applyBorder="false" applyFill="true" applyFont="true" applyNumberFormat="true" applyProtection="false" borderId="7" fillId="10" fontId="1" numFmtId="169" xfId="0">
      <alignment horizontal="center" vertical="center"/>
    </xf>
    <xf applyAlignment="true" applyBorder="false" applyFill="true" applyFont="true" applyNumberFormat="true" applyProtection="false" borderId="2" fillId="11" fontId="1" numFmtId="168" xfId="0">
      <alignment horizontal="center" vertical="center"/>
    </xf>
    <xf applyAlignment="true" applyBorder="false" applyFill="true" applyFont="true" applyNumberFormat="true" applyProtection="false" borderId="9" fillId="10" fontId="1" numFmtId="169" xfId="0">
      <alignment horizontal="center" vertical="center"/>
    </xf>
    <xf applyAlignment="true" applyBorder="false" applyFill="true" applyFont="true" applyNumberFormat="true" applyProtection="false" borderId="5" fillId="10" fontId="1" numFmtId="170" xfId="0">
      <alignment horizontal="center" vertical="center"/>
    </xf>
    <xf applyAlignment="true" applyBorder="false" applyFill="true" applyFont="true" applyNumberFormat="true" applyProtection="false" borderId="5" fillId="10" fontId="1" numFmtId="171" xfId="0">
      <alignment horizontal="center" vertical="center"/>
    </xf>
    <xf applyAlignment="true" applyBorder="false" applyFill="true" applyFont="true" applyNumberFormat="true" applyProtection="false" borderId="5" fillId="10" fontId="1" numFmtId="172" xfId="0">
      <alignment horizontal="center" vertical="center"/>
    </xf>
    <xf applyAlignment="true" applyBorder="false" applyFill="true" applyFont="true" applyNumberFormat="true" applyProtection="false" borderId="5" fillId="10" fontId="1" numFmtId="172" xfId="0">
      <alignment horizontal="center" vertical="center"/>
    </xf>
    <xf applyAlignment="true" applyBorder="false" applyFill="true" applyFont="true" applyNumberFormat="true" applyProtection="false" borderId="5" fillId="10" fontId="1" numFmtId="170" xfId="0">
      <alignment horizontal="center" vertical="center"/>
    </xf>
    <xf applyAlignment="true" applyBorder="false" applyFill="true" applyFont="true" applyNumberFormat="true" applyProtection="false" borderId="5" fillId="10" fontId="1" numFmtId="167" xfId="0">
      <alignment horizontal="center" vertical="center"/>
    </xf>
    <xf applyAlignment="true" applyBorder="false" applyFill="true" applyFont="true" applyNumberFormat="true" applyProtection="false" borderId="5" fillId="10" fontId="1" numFmtId="175" xfId="0">
      <alignment horizontal="center" vertical="center"/>
    </xf>
    <xf applyAlignment="true" applyBorder="false" applyFill="false" applyFont="true" applyNumberFormat="true" applyProtection="false" borderId="8" fillId="0" fontId="1" numFmtId="175" xfId="0">
      <alignment horizontal="center" vertical="center"/>
    </xf>
    <xf applyAlignment="true" applyBorder="false" applyFill="false" applyFont="true" applyNumberFormat="true" applyProtection="false" borderId="10" fillId="0" fontId="1" numFmtId="175" xfId="0">
      <alignment horizontal="center" vertical="center"/>
    </xf>
    <xf applyAlignment="true" applyBorder="false" applyFill="false" applyFont="true" applyNumberFormat="true" applyProtection="false" borderId="6" fillId="0" fontId="1" numFmtId="165" xfId="0">
      <alignment horizontal="center" vertical="center"/>
    </xf>
    <xf applyAlignment="true" applyBorder="false" applyFill="false" applyFont="true" applyNumberFormat="true" applyProtection="false" borderId="6" fillId="0" fontId="1" numFmtId="174" xfId="0">
      <alignment horizontal="center" vertical="center"/>
    </xf>
    <xf applyAlignment="true" applyBorder="false" applyFill="false" applyFont="true" applyNumberFormat="true" applyProtection="false" borderId="5" fillId="0" fontId="1" numFmtId="171" xfId="0">
      <alignment horizontal="center" vertical="center"/>
    </xf>
    <xf applyAlignment="true" applyBorder="false" applyFill="false" applyFont="true" applyNumberFormat="true" applyProtection="false" borderId="7" fillId="0" fontId="1" numFmtId="175" xfId="0">
      <alignment horizontal="center" vertical="center"/>
    </xf>
    <xf applyAlignment="true" applyBorder="false" applyFill="false" applyFont="true" applyNumberFormat="true" applyProtection="false" borderId="5" fillId="0" fontId="1" numFmtId="175" xfId="0">
      <alignment horizontal="center" vertical="center"/>
    </xf>
    <xf applyAlignment="true" applyBorder="false" applyFill="true" applyFont="true" applyNumberFormat="true" applyProtection="false" borderId="5" fillId="9" fontId="1" numFmtId="171" xfId="0">
      <alignment horizontal="center" vertical="center"/>
    </xf>
    <xf applyAlignment="true" applyBorder="false" applyFill="true" applyFont="true" applyNumberFormat="true" applyProtection="false" borderId="7" fillId="10" fontId="1" numFmtId="169" xfId="0">
      <alignment horizontal="center" vertical="center"/>
    </xf>
    <xf applyAlignment="true" applyBorder="false" applyFill="true" applyFont="true" applyNumberFormat="true" applyProtection="false" borderId="2" fillId="11" fontId="1" numFmtId="168" xfId="0">
      <alignment horizontal="center" vertical="center"/>
    </xf>
    <xf applyAlignment="true" applyBorder="false" applyFill="true" applyFont="true" applyNumberFormat="true" applyProtection="false" borderId="9" fillId="10" fontId="1" numFmtId="169" xfId="0">
      <alignment horizontal="center" vertical="center"/>
    </xf>
    <xf applyAlignment="true" applyBorder="false" applyFill="true" applyFont="true" applyNumberFormat="true" applyProtection="false" borderId="5" fillId="10" fontId="1" numFmtId="171" xfId="0">
      <alignment horizontal="center" vertical="center"/>
    </xf>
    <xf applyAlignment="true" applyBorder="false" applyFill="false" applyFont="true" applyNumberFormat="true" applyProtection="false" borderId="5" fillId="0" fontId="1" numFmtId="165" xfId="0">
      <alignment horizontal="center" vertical="center"/>
    </xf>
    <xf applyAlignment="true" applyBorder="false" applyFill="false" applyFont="true" applyNumberFormat="true" applyProtection="false" borderId="9" fillId="0" fontId="1" numFmtId="165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/>
    </xf>
    <xf applyAlignment="true" applyBorder="false" applyFill="true" applyFont="true" applyNumberFormat="true" applyProtection="false" borderId="11" fillId="8" fontId="1" numFmtId="173" xfId="0">
      <alignment horizontal="center" vertical="center"/>
    </xf>
    <xf applyAlignment="true" applyBorder="false" applyFill="true" applyFont="true" applyNumberFormat="false" applyProtection="false" borderId="12" fillId="12" fontId="2" numFmtId="0" xfId="0">
      <alignment horizontal="center" vertical="center"/>
    </xf>
    <xf applyAlignment="true" applyBorder="false" applyFill="true" applyFont="true" applyNumberFormat="true" applyProtection="false" borderId="13" fillId="12" fontId="2" numFmtId="165" xfId="0">
      <alignment horizontal="center" vertical="center"/>
    </xf>
    <xf applyAlignment="true" applyBorder="false" applyFill="true" applyFont="true" applyNumberFormat="true" applyProtection="false" borderId="13" fillId="12" fontId="2" numFmtId="173" xfId="0">
      <alignment horizontal="center" vertical="center"/>
    </xf>
    <xf applyAlignment="true" applyBorder="false" applyFill="true" applyFont="true" applyNumberFormat="true" applyProtection="false" borderId="14" fillId="12" fontId="2" numFmtId="167" xfId="0">
      <alignment horizontal="center" vertical="center"/>
    </xf>
    <xf applyAlignment="true" applyBorder="false" applyFill="true" applyFont="true" applyNumberFormat="true" applyProtection="false" borderId="15" fillId="12" fontId="2" numFmtId="165" xfId="0">
      <alignment horizontal="center" vertical="center"/>
    </xf>
    <xf applyAlignment="true" applyBorder="false" applyFill="true" applyFont="true" applyNumberFormat="true" applyProtection="false" borderId="0" fillId="13" fontId="3" numFmtId="168" xfId="0">
      <alignment horizontal="center" vertical="center"/>
    </xf>
    <xf applyAlignment="true" applyBorder="false" applyFill="true" applyFont="true" applyNumberFormat="true" applyProtection="false" borderId="12" fillId="12" fontId="2" numFmtId="169" xfId="0">
      <alignment horizontal="center" vertical="center"/>
    </xf>
    <xf applyAlignment="true" applyBorder="false" applyFill="true" applyFont="true" applyNumberFormat="true" applyProtection="false" borderId="13" fillId="12" fontId="2" numFmtId="170" xfId="0">
      <alignment horizontal="center" vertical="center"/>
    </xf>
    <xf applyAlignment="true" applyBorder="false" applyFill="true" applyFont="true" applyNumberFormat="true" applyProtection="false" borderId="14" fillId="12" fontId="1" numFmtId="171" xfId="0">
      <alignment horizontal="center" vertical="center"/>
    </xf>
    <xf applyAlignment="true" applyBorder="false" applyFill="true" applyFont="true" applyNumberFormat="true" applyProtection="false" borderId="14" fillId="12" fontId="1" numFmtId="172" xfId="0">
      <alignment horizontal="center" vertical="center"/>
    </xf>
    <xf applyAlignment="true" applyBorder="false" applyFill="true" applyFont="true" applyNumberFormat="true" applyProtection="false" borderId="14" fillId="12" fontId="1" numFmtId="170" xfId="0">
      <alignment horizontal="center" vertical="center"/>
    </xf>
    <xf applyAlignment="true" applyBorder="false" applyFill="true" applyFont="true" applyNumberFormat="true" applyProtection="false" borderId="14" fillId="12" fontId="1" numFmtId="167" xfId="0">
      <alignment horizontal="center" vertical="center"/>
    </xf>
    <xf applyAlignment="true" applyBorder="false" applyFill="true" applyFont="true" applyNumberFormat="true" applyProtection="false" borderId="14" fillId="12" fontId="2" numFmtId="172" xfId="0">
      <alignment horizontal="center" vertical="center"/>
    </xf>
    <xf applyAlignment="true" applyBorder="false" applyFill="true" applyFont="true" applyNumberFormat="false" applyProtection="false" borderId="14" fillId="12" fontId="1" numFmtId="0" xfId="0">
      <alignment horizontal="center" vertical="center"/>
    </xf>
    <xf applyAlignment="true" applyBorder="false" applyFill="true" applyFont="true" applyNumberFormat="true" applyProtection="false" borderId="13" fillId="12" fontId="2" numFmtId="169" xfId="0">
      <alignment horizontal="center" vertical="center"/>
    </xf>
    <xf applyAlignment="true" applyBorder="false" applyFill="false" applyFont="true" applyNumberFormat="true" applyProtection="false" borderId="8" fillId="0" fontId="1" numFmtId="165" xfId="0">
      <alignment horizontal="center" vertical="center"/>
    </xf>
    <xf applyAlignment="true" applyBorder="false" applyFill="false" applyFont="true" applyNumberFormat="true" applyProtection="false" borderId="6" fillId="0" fontId="1" numFmtId="165" xfId="0">
      <alignment horizontal="center" vertical="center"/>
    </xf>
    <xf applyAlignment="true" applyBorder="false" applyFill="false" applyFont="true" applyNumberFormat="true" applyProtection="false" borderId="7" fillId="0" fontId="1" numFmtId="175" xfId="0">
      <alignment horizontal="center" vertical="center"/>
    </xf>
    <xf applyAlignment="true" applyBorder="false" applyFill="true" applyFont="true" applyNumberFormat="true" applyProtection="false" borderId="2" fillId="8" fontId="1" numFmtId="164" xfId="0">
      <alignment horizontal="center" vertical="center"/>
    </xf>
    <xf applyAlignment="true" applyBorder="false" applyFill="true" applyFont="true" applyNumberFormat="true" applyProtection="false" borderId="5" fillId="9" fontId="1" numFmtId="170" xfId="0">
      <alignment horizontal="center" vertical="center"/>
    </xf>
    <xf applyAlignment="true" applyBorder="false" applyFill="true" applyFont="true" applyNumberFormat="true" applyProtection="false" borderId="5" fillId="9" fontId="1" numFmtId="172" xfId="0">
      <alignment horizontal="center" vertical="center"/>
    </xf>
    <xf applyAlignment="true" applyBorder="false" applyFill="false" applyFont="true" applyNumberFormat="true" applyProtection="false" borderId="5" fillId="0" fontId="1" numFmtId="174" xfId="0">
      <alignment horizontal="center" vertical="center"/>
    </xf>
    <xf applyAlignment="true" applyBorder="false" applyFill="true" applyFont="true" applyNumberFormat="true" applyProtection="false" borderId="5" fillId="8" fontId="1" numFmtId="174" xfId="0">
      <alignment horizontal="center" vertical="center"/>
    </xf>
    <xf applyAlignment="true" applyBorder="false" applyFill="false" applyFont="true" applyNumberFormat="true" applyProtection="false" borderId="0" fillId="0" fontId="1" numFmtId="169" xfId="0">
      <alignment vertical="center"/>
    </xf>
    <xf applyAlignment="true" applyBorder="false" applyFill="true" applyFont="true" applyNumberFormat="true" applyProtection="false" borderId="0" fillId="9" fontId="1" numFmtId="169" xfId="0">
      <alignment vertical="center"/>
    </xf>
    <xf applyAlignment="true" applyBorder="false" applyFill="false" applyFont="true" applyNumberFormat="true" applyProtection="false" borderId="0" fillId="0" fontId="4" numFmtId="169" xfId="0">
      <alignment vertical="center"/>
    </xf>
    <xf applyAlignment="true" applyBorder="false" applyFill="true" applyFont="true" applyNumberFormat="true" applyProtection="false" borderId="0" fillId="9" fontId="1" numFmtId="172" xfId="0">
      <alignment horizontal="center" vertical="center"/>
    </xf>
    <xf applyAlignment="true" applyBorder="false" applyFill="true" applyFont="true" applyNumberFormat="false" applyProtection="false" borderId="16" fillId="14" fontId="5" numFmtId="0" xfId="0">
      <alignment horizontal="right" vertical="center" wrapText="true"/>
    </xf>
    <xf applyAlignment="true" applyBorder="false" applyFill="true" applyFont="true" applyNumberFormat="false" applyProtection="false" borderId="0" fillId="14" fontId="1" numFmtId="0" xfId="0">
      <alignment vertical="center"/>
    </xf>
    <xf applyAlignment="true" applyBorder="false" applyFill="true" applyFont="true" applyNumberFormat="true" applyProtection="false" borderId="16" fillId="15" fontId="5" numFmtId="165" xfId="0">
      <alignment horizontal="right" vertical="center" wrapText="true"/>
    </xf>
    <xf applyAlignment="true" applyBorder="false" applyFill="true" applyFont="true" applyNumberFormat="true" applyProtection="false" borderId="16" fillId="15" fontId="5" numFmtId="173" xfId="0">
      <alignment horizontal="right" vertical="center" wrapText="true"/>
    </xf>
    <xf applyAlignment="true" applyBorder="false" applyFill="true" applyFont="true" applyNumberFormat="true" applyProtection="false" borderId="16" fillId="15" fontId="5" numFmtId="173" xfId="0">
      <alignment horizontal="right" vertical="center" wrapText="true"/>
    </xf>
    <xf applyAlignment="true" applyBorder="false" applyFill="true" applyFont="true" applyNumberFormat="false" applyProtection="false" borderId="16" fillId="15" fontId="5" numFmtId="0" xfId="0">
      <alignment horizontal="right" vertical="center" wrapText="true"/>
    </xf>
    <xf applyAlignment="true" applyBorder="false" applyFill="true" applyFont="true" applyNumberFormat="true" applyProtection="false" borderId="16" fillId="15" fontId="5" numFmtId="172" xfId="0">
      <alignment horizontal="right" vertical="center" wrapText="true"/>
    </xf>
    <xf applyAlignment="true" applyBorder="false" applyFill="true" applyFont="true" applyNumberFormat="true" applyProtection="false" borderId="16" fillId="15" fontId="5" numFmtId="165" xfId="0">
      <alignment horizontal="right" vertical="center" wrapText="true"/>
    </xf>
    <xf applyAlignment="true" applyBorder="false" applyFill="true" applyFont="true" applyNumberFormat="true" applyProtection="false" borderId="17" fillId="15" fontId="5" numFmtId="172" xfId="0">
      <alignment horizontal="right" vertical="center" wrapText="true"/>
    </xf>
    <xf applyAlignment="true" applyBorder="false" applyFill="true" applyFont="true" applyNumberFormat="true" applyProtection="false" borderId="0" fillId="15" fontId="5" numFmtId="172" xfId="0">
      <alignment horizontal="right" vertical="center" wrapText="true"/>
    </xf>
    <xf applyAlignment="true" applyBorder="false" applyFill="true" applyFont="true" applyNumberFormat="true" applyProtection="false" borderId="16" fillId="11" fontId="5" numFmtId="165" xfId="0">
      <alignment horizontal="right" vertical="center" wrapText="true"/>
    </xf>
    <xf applyAlignment="true" applyBorder="false" applyFill="true" applyFont="true" applyNumberFormat="true" applyProtection="false" borderId="16" fillId="11" fontId="5" numFmtId="173" xfId="0">
      <alignment horizontal="right" vertical="center" wrapText="true"/>
    </xf>
    <xf applyAlignment="true" applyBorder="false" applyFill="true" applyFont="true" applyNumberFormat="false" applyProtection="false" borderId="16" fillId="11" fontId="5" numFmtId="0" xfId="0">
      <alignment horizontal="right" vertical="center" wrapText="true"/>
    </xf>
    <xf applyAlignment="true" applyBorder="false" applyFill="true" applyFont="true" applyNumberFormat="false" applyProtection="false" borderId="18" fillId="15" fontId="5" numFmtId="0" xfId="0">
      <alignment horizontal="right" vertical="center" wrapText="true"/>
    </xf>
    <xf applyAlignment="true" applyBorder="false" applyFill="true" applyFont="true" applyNumberFormat="false" applyProtection="false" borderId="0" fillId="16" fontId="1" numFmtId="0" xfId="0">
      <alignment vertical="center"/>
    </xf>
    <xf applyAlignment="true" applyBorder="false" applyFill="true" applyFont="true" applyNumberFormat="false" applyProtection="false" borderId="0" fillId="14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19" fillId="17" fontId="1" numFmtId="0" xfId="0">
      <alignment horizontal="center" vertical="center"/>
    </xf>
    <xf applyAlignment="true" applyBorder="false" applyFill="true" applyFont="true" applyNumberFormat="false" applyProtection="false" borderId="20" fillId="17" fontId="1" numFmtId="0" xfId="0">
      <alignment horizontal="center" vertical="center"/>
    </xf>
    <xf applyAlignment="true" applyBorder="false" applyFill="true" applyFont="true" applyNumberFormat="false" applyProtection="false" borderId="21" fillId="17" fontId="1" numFmtId="0" xfId="0">
      <alignment horizontal="center" vertical="center"/>
    </xf>
    <xf applyAlignment="true" applyBorder="false" applyFill="true" applyFont="true" applyNumberFormat="true" applyProtection="false" borderId="22" fillId="18" fontId="1" numFmtId="177" xfId="0">
      <alignment horizontal="center" vertical="center"/>
    </xf>
    <xf applyAlignment="true" applyBorder="false" applyFill="true" applyFont="true" applyNumberFormat="true" applyProtection="false" borderId="22" fillId="18" fontId="1" numFmtId="178" xfId="0">
      <alignment horizontal="center" vertical="center"/>
    </xf>
    <xf applyAlignment="true" applyBorder="false" applyFill="true" applyFont="true" applyNumberFormat="false" applyProtection="false" borderId="23" fillId="18" fontId="1" numFmtId="0" xfId="0">
      <alignment horizontal="center" vertical="center"/>
    </xf>
    <xf applyAlignment="true" applyBorder="false" applyFill="true" applyFont="true" applyNumberFormat="false" applyProtection="false" borderId="23" fillId="18" fontId="1" numFmtId="0" xfId="0">
      <alignment horizontal="center" vertical="center"/>
    </xf>
    <xf applyAlignment="true" applyBorder="false" applyFill="true" applyFont="true" applyNumberFormat="false" applyProtection="false" borderId="24" fillId="18" fontId="1" numFmtId="0" xfId="0">
      <alignment horizontal="center" vertical="center"/>
    </xf>
    <xf applyAlignment="true" applyBorder="false" applyFill="true" applyFont="true" applyNumberFormat="false" applyProtection="false" borderId="24" fillId="19" fontId="1" numFmtId="0" xfId="0">
      <alignment horizontal="center" vertical="center"/>
    </xf>
    <xf applyAlignment="true" applyBorder="false" applyFill="true" applyFont="true" applyNumberFormat="false" applyProtection="false" borderId="24" fillId="20" fontId="1" numFmtId="0" xfId="0">
      <alignment horizontal="center" vertical="center"/>
    </xf>
    <xf applyAlignment="true" applyBorder="false" applyFill="true" applyFont="true" applyNumberFormat="false" applyProtection="false" borderId="25" fillId="21" fontId="1" numFmtId="0" xfId="0">
      <alignment horizontal="center" vertical="center"/>
    </xf>
    <xf applyAlignment="true" applyBorder="false" applyFill="false" applyFont="true" applyNumberFormat="true" applyProtection="false" borderId="24" fillId="0" fontId="1" numFmtId="179" xfId="0">
      <alignment horizontal="center" vertical="center"/>
    </xf>
    <xf applyAlignment="true" applyBorder="false" applyFill="false" applyFont="true" applyNumberFormat="false" applyProtection="false" borderId="24" fillId="0" fontId="1" numFmtId="0" xfId="0">
      <alignment horizontal="center" vertical="center"/>
    </xf>
    <xf applyAlignment="true" applyBorder="false" applyFill="true" applyFont="true" applyNumberFormat="true" applyProtection="false" borderId="24" fillId="22" fontId="1" numFmtId="179" xfId="0">
      <alignment horizontal="center" vertical="center"/>
    </xf>
    <xf applyAlignment="true" applyBorder="false" applyFill="false" applyFont="true" applyNumberFormat="false" applyProtection="false" borderId="26" fillId="0" fontId="1" numFmtId="0" xfId="0">
      <alignment horizontal="center" vertical="center"/>
    </xf>
    <xf applyAlignment="true" applyBorder="false" applyFill="false" applyFont="true" applyNumberFormat="true" applyProtection="false" borderId="24" fillId="0" fontId="1" numFmtId="180" xfId="0">
      <alignment horizontal="center" vertical="center"/>
    </xf>
    <xf applyAlignment="true" applyBorder="false" applyFill="true" applyFont="true" applyNumberFormat="true" applyProtection="false" borderId="20" fillId="23" fontId="1" numFmtId="181" xfId="0">
      <alignment horizontal="center" vertical="center"/>
    </xf>
    <xf applyAlignment="true" applyBorder="false" applyFill="false" applyFont="true" applyNumberFormat="true" applyProtection="false" borderId="27" fillId="0" fontId="1" numFmtId="182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true" applyProtection="false" borderId="28" fillId="0" fontId="1" numFmtId="177" xfId="0">
      <alignment horizontal="center" vertical="center"/>
    </xf>
    <xf applyAlignment="true" applyBorder="false" applyFill="false" applyFont="true" applyNumberFormat="true" applyProtection="false" borderId="22" fillId="0" fontId="1" numFmtId="180" xfId="0">
      <alignment horizontal="center" vertical="center"/>
    </xf>
    <xf applyAlignment="true" applyBorder="false" applyFill="false" applyFont="true" applyNumberFormat="true" applyProtection="false" borderId="29" fillId="0" fontId="1" numFmtId="183" xfId="0">
      <alignment horizontal="center" vertical="center"/>
    </xf>
    <xf applyAlignment="true" applyBorder="false" applyFill="false" applyFont="true" applyNumberFormat="true" applyProtection="false" borderId="29" fillId="0" fontId="1" numFmtId="180" xfId="0">
      <alignment horizontal="center" vertical="center"/>
    </xf>
    <xf applyAlignment="true" applyBorder="false" applyFill="false" applyFont="true" applyNumberFormat="true" applyProtection="false" borderId="29" fillId="0" fontId="1" numFmtId="184" xfId="0">
      <alignment horizontal="center" vertical="center"/>
    </xf>
    <xf applyAlignment="true" applyBorder="false" applyFill="false" applyFont="true" applyNumberFormat="true" applyProtection="false" borderId="29" fillId="0" fontId="1" numFmtId="185" xfId="0">
      <alignment horizontal="center" vertical="center"/>
    </xf>
    <xf applyAlignment="true" applyBorder="false" applyFill="false" applyFont="true" applyNumberFormat="true" applyProtection="false" borderId="24" fillId="0" fontId="1" numFmtId="183" xfId="0">
      <alignment horizontal="center" vertical="center"/>
    </xf>
    <xf applyAlignment="true" applyBorder="false" applyFill="false" applyFont="true" applyNumberFormat="true" applyProtection="false" borderId="24" fillId="0" fontId="1" numFmtId="186" xfId="0">
      <alignment horizontal="center" vertical="center"/>
    </xf>
    <xf applyAlignment="true" applyBorder="false" applyFill="false" applyFont="true" applyNumberFormat="true" applyProtection="false" borderId="24" fillId="0" fontId="1" numFmtId="187" xfId="0">
      <alignment horizontal="center" vertical="center"/>
    </xf>
    <xf applyAlignment="true" applyBorder="false" applyFill="false" applyFont="true" applyNumberFormat="true" applyProtection="false" borderId="24" fillId="0" fontId="1" numFmtId="188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true" applyFont="true" applyNumberFormat="true" applyProtection="false" borderId="24" fillId="23" fontId="1" numFmtId="179" xfId="0">
      <alignment horizontal="center" vertical="center"/>
    </xf>
    <xf applyAlignment="true" applyBorder="false" applyFill="true" applyFont="true" applyNumberFormat="true" applyProtection="false" borderId="24" fillId="23" fontId="1" numFmtId="179" xfId="0">
      <alignment horizontal="center" vertical="center"/>
    </xf>
    <xf applyAlignment="true" applyBorder="false" applyFill="true" applyFont="true" applyNumberFormat="true" applyProtection="false" borderId="24" fillId="23" fontId="1" numFmtId="179" xfId="0">
      <alignment horizontal="center" vertical="center"/>
    </xf>
    <xf applyAlignment="true" applyBorder="false" applyFill="true" applyFont="true" applyNumberFormat="true" applyProtection="false" borderId="24" fillId="23" fontId="1" numFmtId="180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true" applyProtection="false" borderId="29" fillId="0" fontId="1" numFmtId="182" xfId="0">
      <alignment horizontal="center" vertical="center"/>
    </xf>
    <xf applyAlignment="true" applyBorder="false" applyFill="false" applyFont="true" applyNumberFormat="true" applyProtection="false" borderId="20" fillId="0" fontId="1" numFmtId="185" xfId="0">
      <alignment horizontal="center" vertical="center"/>
    </xf>
    <xf applyAlignment="true" applyBorder="false" applyFill="false" applyFont="true" applyNumberFormat="true" applyProtection="false" borderId="24" fillId="0" fontId="1" numFmtId="177" xfId="0">
      <alignment horizontal="center" vertical="center"/>
    </xf>
    <xf applyAlignment="true" applyBorder="false" applyFill="false" applyFont="true" applyNumberFormat="true" applyProtection="false" borderId="24" fillId="0" fontId="1" numFmtId="180" xfId="0">
      <alignment horizontal="center" vertical="center"/>
    </xf>
    <xf applyAlignment="true" applyBorder="false" applyFill="false" applyFont="true" applyNumberFormat="true" applyProtection="false" borderId="20" fillId="0" fontId="1" numFmtId="182" xfId="0">
      <alignment horizontal="center" vertical="center"/>
    </xf>
    <xf applyAlignment="true" applyBorder="false" applyFill="true" applyFont="true" applyNumberFormat="true" applyProtection="false" borderId="24" fillId="24" fontId="1" numFmtId="187" xfId="0">
      <alignment horizontal="center" vertical="center"/>
    </xf>
    <xf applyAlignment="true" applyBorder="false" applyFill="true" applyFont="true" applyNumberFormat="true" applyProtection="false" borderId="24" fillId="24" fontId="1" numFmtId="183" xfId="0">
      <alignment horizontal="center" vertical="center"/>
    </xf>
    <xf applyAlignment="true" applyBorder="false" applyFill="true" applyFont="true" applyNumberFormat="true" applyProtection="false" borderId="24" fillId="24" fontId="1" numFmtId="188" xfId="0">
      <alignment horizontal="center" vertical="center"/>
    </xf>
    <xf applyAlignment="true" applyBorder="false" applyFill="true" applyFont="true" applyNumberFormat="true" applyProtection="false" borderId="24" fillId="24" fontId="1" numFmtId="186" xfId="0">
      <alignment horizontal="center" vertical="center"/>
    </xf>
    <xf applyAlignment="true" applyBorder="false" applyFill="true" applyFont="true" applyNumberFormat="true" applyProtection="false" borderId="29" fillId="25" fontId="1" numFmtId="189" xfId="0">
      <alignment horizontal="center" vertical="center"/>
    </xf>
    <xf applyAlignment="true" applyBorder="false" applyFill="true" applyFont="true" applyNumberFormat="true" applyProtection="false" borderId="24" fillId="25" fontId="1" numFmtId="185" xfId="0">
      <alignment horizontal="center" vertical="center"/>
    </xf>
    <xf applyAlignment="true" applyBorder="false" applyFill="true" applyFont="true" applyNumberFormat="true" applyProtection="false" borderId="24" fillId="25" fontId="1" numFmtId="184" xfId="0">
      <alignment horizontal="center" vertical="center"/>
    </xf>
    <xf applyAlignment="true" applyBorder="false" applyFill="true" applyFont="true" applyNumberFormat="true" applyProtection="false" borderId="24" fillId="25" fontId="1" numFmtId="186" xfId="0">
      <alignment horizontal="center" vertical="center"/>
    </xf>
    <xf applyAlignment="true" applyBorder="false" applyFill="true" applyFont="true" applyNumberFormat="true" applyProtection="false" borderId="26" fillId="25" fontId="1" numFmtId="185" xfId="0">
      <alignment horizontal="center" vertical="center"/>
    </xf>
    <xf applyAlignment="true" applyBorder="false" applyFill="true" applyFont="true" applyNumberFormat="true" applyProtection="false" borderId="20" fillId="26" fontId="1" numFmtId="184" xfId="0">
      <alignment horizontal="center" vertical="center"/>
    </xf>
    <xf applyAlignment="true" applyBorder="false" applyFill="true" applyFont="true" applyNumberFormat="true" applyProtection="false" borderId="29" fillId="25" fontId="1" numFmtId="185" xfId="0">
      <alignment horizontal="center" vertical="center"/>
    </xf>
    <xf applyAlignment="true" applyBorder="false" applyFill="true" applyFont="true" applyNumberFormat="true" applyProtection="false" borderId="24" fillId="25" fontId="1" numFmtId="183" xfId="0">
      <alignment horizontal="center" vertical="center"/>
    </xf>
    <xf applyAlignment="true" applyBorder="false" applyFill="true" applyFont="true" applyNumberFormat="true" applyProtection="false" borderId="24" fillId="25" fontId="1" numFmtId="187" xfId="0">
      <alignment horizontal="center" vertical="center"/>
    </xf>
    <xf applyAlignment="true" applyBorder="false" applyFill="true" applyFont="true" applyNumberFormat="true" applyProtection="false" borderId="24" fillId="25" fontId="1" numFmtId="188" xfId="0">
      <alignment horizontal="center" vertical="center"/>
    </xf>
    <xf applyAlignment="true" applyBorder="false" applyFill="true" applyFont="true" applyNumberFormat="true" applyProtection="false" borderId="24" fillId="25" fontId="1" numFmtId="182" xfId="0">
      <alignment horizontal="center" vertical="center"/>
    </xf>
    <xf applyAlignment="true" applyBorder="false" applyFill="false" applyFont="true" applyNumberFormat="true" applyProtection="false" borderId="30" fillId="0" fontId="1" numFmtId="182" xfId="0">
      <alignment horizontal="center" vertical="center"/>
    </xf>
    <xf applyAlignment="true" applyBorder="false" applyFill="false" applyFont="true" applyNumberFormat="true" applyProtection="false" borderId="25" fillId="0" fontId="1" numFmtId="177" xfId="0">
      <alignment horizontal="center" vertical="center"/>
    </xf>
    <xf applyAlignment="true" applyBorder="false" applyFill="false" applyFont="true" applyNumberFormat="true" applyProtection="false" borderId="25" fillId="0" fontId="1" numFmtId="180" xfId="0">
      <alignment horizontal="center" vertical="center"/>
    </xf>
    <xf applyAlignment="true" applyBorder="false" applyFill="false" applyFont="true" applyNumberFormat="true" applyProtection="false" borderId="31" fillId="0" fontId="1" numFmtId="182" xfId="0">
      <alignment horizontal="center" vertical="center"/>
    </xf>
    <xf applyAlignment="true" applyBorder="false" applyFill="false" applyFont="true" applyNumberFormat="true" applyProtection="false" borderId="26" fillId="0" fontId="1" numFmtId="182" xfId="0">
      <alignment horizontal="center" vertical="center"/>
    </xf>
    <xf applyAlignment="true" applyBorder="false" applyFill="false" applyFont="true" applyNumberFormat="true" applyProtection="false" borderId="24" fillId="0" fontId="1" numFmtId="182" xfId="0">
      <alignment horizontal="center" vertical="center"/>
    </xf>
    <xf applyAlignment="true" applyBorder="false" applyFill="false" applyFont="true" applyNumberFormat="true" applyProtection="false" borderId="29" fillId="0" fontId="1" numFmtId="177" xfId="0">
      <alignment horizontal="center" vertical="center"/>
    </xf>
    <xf applyAlignment="true" applyBorder="false" applyFill="false" applyFont="true" applyNumberFormat="true" applyProtection="false" borderId="24" fillId="0" fontId="1" numFmtId="182" xfId="0">
      <alignment horizontal="center" vertical="center"/>
    </xf>
    <xf applyAlignment="true" applyBorder="false" applyFill="false" applyFont="true" applyNumberFormat="true" applyProtection="false" borderId="29" fillId="0" fontId="1" numFmtId="182" xfId="0">
      <alignment horizontal="center" vertical="center"/>
    </xf>
    <xf applyAlignment="true" applyBorder="false" applyFill="false" applyFont="true" applyNumberFormat="true" applyProtection="false" borderId="22" fillId="0" fontId="1" numFmtId="177" xfId="0">
      <alignment horizontal="center" vertical="center"/>
    </xf>
    <xf applyAlignment="true" applyBorder="false" applyFill="true" applyFont="true" applyNumberFormat="true" applyProtection="false" borderId="32" fillId="23" fontId="1" numFmtId="179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20" fillId="0" fontId="6" numFmtId="0" xfId="0">
      <alignment horizontal="center" vertical="center"/>
    </xf>
    <xf applyAlignment="true" applyBorder="false" applyFill="true" applyFont="true" applyNumberFormat="false" applyProtection="false" borderId="33" fillId="27" fontId="2" numFmtId="0" xfId="0">
      <alignment horizontal="center" vertical="center"/>
    </xf>
    <xf applyAlignment="true" applyBorder="false" applyFill="true" applyFont="true" applyNumberFormat="true" applyProtection="false" borderId="34" fillId="27" fontId="2" numFmtId="177" xfId="0">
      <alignment horizontal="center" vertical="center"/>
    </xf>
    <xf applyAlignment="true" applyBorder="false" applyFill="true" applyFont="true" applyNumberFormat="true" applyProtection="false" borderId="34" fillId="27" fontId="2" numFmtId="179" xfId="0">
      <alignment horizontal="center" vertical="center"/>
    </xf>
    <xf applyAlignment="true" applyBorder="false" applyFill="true" applyFont="true" applyNumberFormat="true" applyProtection="false" borderId="35" fillId="27" fontId="2" numFmtId="186" xfId="0">
      <alignment horizontal="center" vertical="center"/>
    </xf>
    <xf applyAlignment="true" applyBorder="false" applyFill="true" applyFont="true" applyNumberFormat="true" applyProtection="false" borderId="36" fillId="27" fontId="2" numFmtId="177" xfId="0">
      <alignment horizontal="center" vertical="center"/>
    </xf>
    <xf applyAlignment="true" applyBorder="false" applyFill="true" applyFont="true" applyNumberFormat="true" applyProtection="false" borderId="0" fillId="28" fontId="3" numFmtId="184" xfId="0">
      <alignment horizontal="center" vertical="center"/>
    </xf>
    <xf applyAlignment="true" applyBorder="false" applyFill="true" applyFont="true" applyNumberFormat="true" applyProtection="false" borderId="33" fillId="27" fontId="2" numFmtId="185" xfId="0">
      <alignment horizontal="center" vertical="center"/>
    </xf>
    <xf applyAlignment="true" applyBorder="false" applyFill="true" applyFont="true" applyNumberFormat="true" applyProtection="false" borderId="34" fillId="27" fontId="2" numFmtId="183" xfId="0">
      <alignment horizontal="center" vertical="center"/>
    </xf>
    <xf applyAlignment="true" applyBorder="false" applyFill="true" applyFont="true" applyNumberFormat="true" applyProtection="false" borderId="35" fillId="27" fontId="1" numFmtId="187" xfId="0">
      <alignment horizontal="center" vertical="center"/>
    </xf>
    <xf applyAlignment="true" applyBorder="false" applyFill="true" applyFont="true" applyNumberFormat="true" applyProtection="false" borderId="35" fillId="27" fontId="1" numFmtId="188" xfId="0">
      <alignment horizontal="center" vertical="center"/>
    </xf>
    <xf applyAlignment="true" applyBorder="false" applyFill="true" applyFont="true" applyNumberFormat="true" applyProtection="false" borderId="35" fillId="27" fontId="1" numFmtId="183" xfId="0">
      <alignment horizontal="center" vertical="center"/>
    </xf>
    <xf applyAlignment="true" applyBorder="false" applyFill="true" applyFont="true" applyNumberFormat="true" applyProtection="false" borderId="35" fillId="27" fontId="1" numFmtId="186" xfId="0">
      <alignment horizontal="center" vertical="center"/>
    </xf>
    <xf applyAlignment="true" applyBorder="false" applyFill="true" applyFont="true" applyNumberFormat="true" applyProtection="false" borderId="35" fillId="27" fontId="2" numFmtId="188" xfId="0">
      <alignment horizontal="center" vertical="center"/>
    </xf>
    <xf applyAlignment="true" applyBorder="false" applyFill="true" applyFont="true" applyNumberFormat="false" applyProtection="false" borderId="35" fillId="27" fontId="1" numFmtId="0" xfId="0">
      <alignment horizontal="center" vertical="center"/>
    </xf>
    <xf applyAlignment="true" applyBorder="false" applyFill="true" applyFont="true" applyNumberFormat="true" applyProtection="false" borderId="34" fillId="27" fontId="2" numFmtId="185" xfId="0">
      <alignment horizontal="center" vertical="center"/>
    </xf>
    <xf applyAlignment="true" applyBorder="false" applyFill="false" applyFont="true" applyNumberFormat="true" applyProtection="false" borderId="28" fillId="0" fontId="1" numFmtId="182" xfId="0">
      <alignment horizontal="center" vertical="center"/>
    </xf>
    <xf applyAlignment="true" applyBorder="false" applyFill="false" applyFont="true" applyNumberFormat="true" applyProtection="false" borderId="28" fillId="0" fontId="1" numFmtId="182" xfId="0">
      <alignment horizontal="center" vertical="center"/>
    </xf>
    <xf applyAlignment="true" applyBorder="false" applyFill="false" applyFont="true" applyNumberFormat="true" applyProtection="false" borderId="31" fillId="0" fontId="1" numFmtId="182" xfId="0">
      <alignment horizontal="center" vertical="center"/>
    </xf>
    <xf applyAlignment="true" applyBorder="false" applyFill="true" applyFont="true" applyNumberFormat="true" applyProtection="false" borderId="19" fillId="17" fontId="1" numFmtId="181" xfId="0">
      <alignment horizontal="center" vertical="center"/>
    </xf>
    <xf applyAlignment="true" applyBorder="false" applyFill="true" applyFont="true" applyNumberFormat="false" applyProtection="false" borderId="22" fillId="17" fontId="1" numFmtId="0" xfId="0">
      <alignment horizontal="center" vertical="center"/>
    </xf>
    <xf applyAlignment="true" applyBorder="false" applyFill="true" applyFont="true" applyNumberFormat="true" applyProtection="false" borderId="22" fillId="18" fontId="1" numFmtId="177" xfId="0">
      <alignment horizontal="center" vertical="center"/>
    </xf>
    <xf applyAlignment="true" applyBorder="false" applyFill="true" applyFont="true" applyNumberFormat="true" applyProtection="false" borderId="22" fillId="18" fontId="1" numFmtId="178" xfId="0">
      <alignment horizontal="center" vertical="center"/>
    </xf>
    <xf applyAlignment="true" applyBorder="false" applyFill="true" applyFont="true" applyNumberFormat="true" applyProtection="false" borderId="23" fillId="18" fontId="1" numFmtId="186" xfId="0">
      <alignment horizontal="center" vertical="center"/>
    </xf>
    <xf applyAlignment="true" applyBorder="false" applyFill="true" applyFont="true" applyNumberFormat="true" applyProtection="false" borderId="23" fillId="18" fontId="1" numFmtId="177" xfId="0">
      <alignment horizontal="center" vertical="center"/>
    </xf>
    <xf applyAlignment="true" applyBorder="false" applyFill="true" applyFont="true" applyNumberFormat="true" applyProtection="false" borderId="23" fillId="18" fontId="1" numFmtId="184" xfId="0">
      <alignment horizontal="center" vertical="center"/>
    </xf>
    <xf applyAlignment="true" applyBorder="false" applyFill="true" applyFont="true" applyNumberFormat="true" applyProtection="false" borderId="23" fillId="18" fontId="1" numFmtId="185" xfId="0">
      <alignment horizontal="center" vertical="center"/>
    </xf>
    <xf applyAlignment="true" applyBorder="false" applyFill="true" applyFont="true" applyNumberFormat="true" applyProtection="false" borderId="24" fillId="18" fontId="1" numFmtId="183" xfId="0">
      <alignment horizontal="center" vertical="center"/>
    </xf>
    <xf applyAlignment="true" applyBorder="false" applyFill="true" applyFont="true" applyNumberFormat="true" applyProtection="false" borderId="24" fillId="18" fontId="1" numFmtId="186" xfId="0">
      <alignment horizontal="center" vertical="center"/>
    </xf>
    <xf applyAlignment="true" applyBorder="false" applyFill="true" applyFont="true" applyNumberFormat="true" applyProtection="false" borderId="24" fillId="19" fontId="1" numFmtId="187" xfId="0">
      <alignment horizontal="center" vertical="center"/>
    </xf>
    <xf applyAlignment="true" applyBorder="false" applyFill="true" applyFont="true" applyNumberFormat="true" applyProtection="false" borderId="24" fillId="19" fontId="1" numFmtId="188" xfId="0">
      <alignment horizontal="center" vertical="center"/>
    </xf>
    <xf applyAlignment="true" applyBorder="false" applyFill="true" applyFont="true" applyNumberFormat="true" applyProtection="false" borderId="24" fillId="19" fontId="1" numFmtId="183" xfId="0">
      <alignment horizontal="center" vertical="center"/>
    </xf>
    <xf applyAlignment="true" applyBorder="false" applyFill="true" applyFont="true" applyNumberFormat="true" applyProtection="false" borderId="24" fillId="19" fontId="1" numFmtId="186" xfId="0">
      <alignment horizontal="center" vertical="center"/>
    </xf>
    <xf applyAlignment="true" applyBorder="false" applyFill="true" applyFont="true" applyNumberFormat="true" applyProtection="false" borderId="24" fillId="20" fontId="1" numFmtId="188" xfId="0">
      <alignment horizontal="center" vertical="center"/>
    </xf>
    <xf applyAlignment="true" applyBorder="false" applyFill="true" applyFont="true" applyNumberFormat="true" applyProtection="false" borderId="25" fillId="21" fontId="1" numFmtId="188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22" fillId="23" fontId="1" numFmtId="181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center"/>
    </xf>
    <xf applyAlignment="true" applyBorder="false" applyFill="false" applyFont="true" applyNumberFormat="true" applyProtection="false" borderId="28" fillId="0" fontId="1" numFmtId="177" xfId="0">
      <alignment horizontal="center" vertical="center"/>
    </xf>
    <xf applyAlignment="true" applyBorder="false" applyFill="false" applyFont="true" applyNumberFormat="true" applyProtection="false" borderId="29" fillId="0" fontId="1" numFmtId="180" xfId="0">
      <alignment horizontal="center" vertical="center"/>
    </xf>
    <xf applyAlignment="true" applyBorder="false" applyFill="false" applyFont="true" applyNumberFormat="true" applyProtection="false" borderId="29" fillId="0" fontId="1" numFmtId="188" xfId="0">
      <alignment horizontal="center" vertical="center"/>
    </xf>
    <xf applyAlignment="true" applyBorder="false" applyFill="false" applyFont="true" applyNumberFormat="true" applyProtection="false" borderId="22" fillId="0" fontId="1" numFmtId="185" xfId="0">
      <alignment horizontal="center" vertical="center"/>
    </xf>
    <xf applyAlignment="true" applyBorder="false" applyFill="false" applyFont="true" applyNumberFormat="true" applyProtection="false" borderId="24" fillId="0" fontId="1" numFmtId="177" xfId="0">
      <alignment horizontal="center" vertical="center"/>
    </xf>
    <xf applyAlignment="true" applyBorder="false" applyFill="false" applyFont="true" applyNumberFormat="true" applyProtection="false" borderId="22" fillId="0" fontId="1" numFmtId="182" xfId="0">
      <alignment horizontal="center" vertical="center"/>
    </xf>
    <xf applyAlignment="true" applyBorder="false" applyFill="false" applyFont="true" applyNumberFormat="true" applyProtection="false" borderId="29" fillId="0" fontId="1" numFmtId="183" xfId="0">
      <alignment horizontal="center" vertical="center"/>
    </xf>
    <xf applyAlignment="true" applyBorder="false" applyFill="false" applyFont="true" applyNumberFormat="true" applyProtection="false" borderId="24" fillId="0" fontId="1" numFmtId="180" xfId="0">
      <alignment horizontal="center" vertical="center"/>
    </xf>
    <xf applyAlignment="true" applyBorder="false" applyFill="false" applyFont="true" applyNumberFormat="true" applyProtection="false" borderId="29" fillId="0" fontId="1" numFmtId="184" xfId="0">
      <alignment horizontal="center" vertical="center"/>
    </xf>
    <xf applyAlignment="true" applyBorder="false" applyFill="false" applyFont="true" applyNumberFormat="true" applyProtection="false" borderId="29" fillId="0" fontId="1" numFmtId="185" xfId="0">
      <alignment horizontal="center" vertical="center"/>
    </xf>
    <xf applyAlignment="true" applyBorder="false" applyFill="false" applyFont="true" applyNumberFormat="true" applyProtection="false" borderId="24" fillId="0" fontId="1" numFmtId="183" xfId="0">
      <alignment horizontal="center" vertical="center"/>
    </xf>
    <xf applyAlignment="true" applyBorder="false" applyFill="false" applyFont="true" applyNumberFormat="true" applyProtection="false" borderId="24" fillId="0" fontId="1" numFmtId="186" xfId="0">
      <alignment horizontal="center" vertical="center"/>
    </xf>
    <xf applyAlignment="true" applyBorder="false" applyFill="true" applyFont="true" applyNumberFormat="true" applyProtection="false" borderId="24" fillId="29" fontId="1" numFmtId="187" xfId="0">
      <alignment horizontal="center" vertical="center"/>
    </xf>
    <xf applyAlignment="true" applyBorder="false" applyFill="true" applyFont="true" applyNumberFormat="true" applyProtection="false" borderId="24" fillId="29" fontId="1" numFmtId="183" xfId="0">
      <alignment horizontal="center" vertical="center"/>
    </xf>
    <xf applyAlignment="true" applyBorder="false" applyFill="true" applyFont="true" applyNumberFormat="true" applyProtection="false" borderId="24" fillId="29" fontId="1" numFmtId="188" xfId="0">
      <alignment horizontal="center" vertical="center"/>
    </xf>
    <xf applyAlignment="true" applyBorder="false" applyFill="true" applyFont="true" applyNumberFormat="true" applyProtection="false" borderId="24" fillId="29" fontId="1" numFmtId="186" xfId="0">
      <alignment horizontal="center" vertical="center"/>
    </xf>
    <xf applyAlignment="true" applyBorder="false" applyFill="false" applyFont="true" applyNumberFormat="true" applyProtection="false" borderId="29" fillId="0" fontId="1" numFmtId="177" xfId="0">
      <alignment horizontal="center" vertical="center"/>
    </xf>
    <xf applyAlignment="true" applyBorder="false" applyFill="true" applyFont="true" applyNumberFormat="true" applyProtection="false" borderId="24" fillId="25" fontId="1" numFmtId="186" xfId="0">
      <alignment horizontal="center" vertical="center"/>
    </xf>
    <xf applyAlignment="true" applyBorder="false" applyFill="true" applyFont="true" applyNumberFormat="true" applyProtection="false" borderId="26" fillId="25" fontId="1" numFmtId="185" xfId="0">
      <alignment horizontal="center" vertical="center"/>
    </xf>
    <xf applyAlignment="true" applyBorder="false" applyFill="true" applyFont="true" applyNumberFormat="true" applyProtection="false" borderId="22" fillId="30" fontId="1" numFmtId="184" xfId="0">
      <alignment horizontal="center" vertical="center"/>
    </xf>
    <xf applyAlignment="true" applyBorder="false" applyFill="true" applyFont="true" applyNumberFormat="true" applyProtection="false" borderId="29" fillId="25" fontId="1" numFmtId="185" xfId="0">
      <alignment horizontal="center" vertical="center"/>
    </xf>
    <xf applyAlignment="true" applyBorder="false" applyFill="true" applyFont="true" applyNumberFormat="true" applyProtection="false" borderId="24" fillId="25" fontId="1" numFmtId="183" xfId="0">
      <alignment horizontal="center" vertical="center"/>
    </xf>
    <xf applyAlignment="true" applyBorder="false" applyFill="true" applyFont="true" applyNumberFormat="true" applyProtection="false" borderId="24" fillId="25" fontId="1" numFmtId="187" xfId="0">
      <alignment horizontal="center" vertical="center"/>
    </xf>
    <xf applyAlignment="true" applyBorder="false" applyFill="true" applyFont="true" applyNumberFormat="true" applyProtection="false" borderId="24" fillId="25" fontId="1" numFmtId="188" xfId="0">
      <alignment horizontal="center" vertical="center"/>
    </xf>
    <xf applyAlignment="true" applyBorder="false" applyFill="false" applyFont="true" applyNumberFormat="true" applyProtection="false" borderId="25" fillId="0" fontId="1" numFmtId="177" xfId="0">
      <alignment horizontal="center" vertical="center"/>
    </xf>
    <xf applyAlignment="true" applyBorder="false" applyFill="false" applyFont="true" applyNumberFormat="true" applyProtection="false" borderId="24" fillId="0" fontId="1" numFmtId="187" xfId="0">
      <alignment horizontal="center" vertical="center"/>
    </xf>
    <xf applyAlignment="true" applyBorder="false" applyFill="true" applyFont="true" applyNumberFormat="true" applyProtection="false" borderId="24" fillId="29" fontId="1" numFmtId="187" xfId="0">
      <alignment horizontal="center" vertical="center"/>
    </xf>
    <xf applyAlignment="true" applyBorder="false" applyFill="true" applyFont="true" applyNumberFormat="true" applyProtection="false" borderId="22" fillId="30" fontId="1" numFmtId="184" xfId="0">
      <alignment horizontal="center" vertical="center"/>
    </xf>
    <xf applyAlignment="true" applyBorder="false" applyFill="true" applyFont="true" applyNumberFormat="true" applyProtection="false" borderId="0" fillId="31" fontId="3" numFmtId="184" xfId="0">
      <alignment horizontal="center" vertical="center"/>
    </xf>
    <xf applyAlignment="true" applyBorder="false" applyFill="true" applyFont="true" applyNumberFormat="true" applyProtection="false" borderId="22" fillId="23" fontId="1" numFmtId="181" xfId="0">
      <alignment horizontal="center" vertical="center"/>
    </xf>
    <xf applyAlignment="true" applyBorder="false" applyFill="false" applyFont="true" applyNumberFormat="true" applyProtection="false" borderId="29" fillId="0" fontId="1" numFmtId="177" xfId="0">
      <alignment horizontal="center" vertical="center"/>
    </xf>
    <xf applyAlignment="true" applyBorder="false" applyFill="true" applyFont="true" applyNumberFormat="true" applyProtection="false" borderId="0" fillId="29" fontId="1" numFmtId="181" xfId="0">
      <alignment horizontal="center" vertical="center"/>
    </xf>
    <xf applyAlignment="true" applyBorder="false" applyFill="true" applyFont="true" applyNumberFormat="false" applyProtection="false" borderId="0" fillId="29" fontId="2" numFmtId="0" xfId="0">
      <alignment horizontal="center" vertical="center"/>
    </xf>
    <xf applyAlignment="true" applyBorder="false" applyFill="true" applyFont="true" applyNumberFormat="true" applyProtection="false" borderId="0" fillId="29" fontId="2" numFmtId="177" xfId="0">
      <alignment horizontal="center" vertical="center"/>
    </xf>
    <xf applyAlignment="true" applyBorder="false" applyFill="true" applyFont="true" applyNumberFormat="true" applyProtection="false" borderId="0" fillId="29" fontId="2" numFmtId="179" xfId="0">
      <alignment horizontal="center" vertical="center"/>
    </xf>
    <xf applyAlignment="true" applyBorder="false" applyFill="true" applyFont="true" applyNumberFormat="true" applyProtection="false" borderId="0" fillId="29" fontId="2" numFmtId="186" xfId="0">
      <alignment horizontal="center" vertical="center"/>
    </xf>
    <xf applyAlignment="true" applyBorder="false" applyFill="true" applyFont="true" applyNumberFormat="true" applyProtection="false" borderId="0" fillId="29" fontId="3" numFmtId="184" xfId="0">
      <alignment horizontal="center" vertical="center"/>
    </xf>
    <xf applyAlignment="true" applyBorder="false" applyFill="true" applyFont="true" applyNumberFormat="true" applyProtection="false" borderId="0" fillId="29" fontId="2" numFmtId="185" xfId="0">
      <alignment horizontal="center" vertical="center"/>
    </xf>
    <xf applyAlignment="true" applyBorder="false" applyFill="true" applyFont="true" applyNumberFormat="true" applyProtection="false" borderId="0" fillId="29" fontId="2" numFmtId="183" xfId="0">
      <alignment horizontal="center" vertical="center"/>
    </xf>
    <xf applyAlignment="true" applyBorder="false" applyFill="true" applyFont="true" applyNumberFormat="true" applyProtection="false" borderId="0" fillId="29" fontId="1" numFmtId="187" xfId="0">
      <alignment horizontal="center" vertical="center"/>
    </xf>
    <xf applyAlignment="true" applyBorder="false" applyFill="true" applyFont="true" applyNumberFormat="true" applyProtection="false" borderId="0" fillId="29" fontId="1" numFmtId="188" xfId="0">
      <alignment horizontal="center" vertical="center"/>
    </xf>
    <xf applyAlignment="true" applyBorder="false" applyFill="true" applyFont="true" applyNumberFormat="true" applyProtection="false" borderId="0" fillId="29" fontId="1" numFmtId="183" xfId="0">
      <alignment horizontal="center" vertical="center"/>
    </xf>
    <xf applyAlignment="true" applyBorder="false" applyFill="true" applyFont="true" applyNumberFormat="true" applyProtection="false" borderId="0" fillId="29" fontId="1" numFmtId="186" xfId="0">
      <alignment horizontal="center" vertical="center"/>
    </xf>
    <xf applyAlignment="true" applyBorder="false" applyFill="true" applyFont="true" applyNumberFormat="true" applyProtection="false" borderId="0" fillId="29" fontId="2" numFmtId="188" xfId="0">
      <alignment horizontal="center" vertical="center"/>
    </xf>
    <xf applyAlignment="true" applyBorder="false" applyFill="true" applyFont="true" applyNumberFormat="false" applyProtection="false" borderId="0" fillId="29" fontId="1" numFmtId="0" xfId="0">
      <alignment horizontal="center" vertical="center"/>
    </xf>
    <xf applyAlignment="true" applyBorder="false" applyFill="false" applyFont="true" applyNumberFormat="true" applyProtection="false" borderId="0" fillId="0" fontId="1" numFmtId="185" xfId="0">
      <alignment vertical="center"/>
    </xf>
    <xf applyAlignment="true" applyBorder="false" applyFill="true" applyFont="true" applyNumberFormat="true" applyProtection="false" borderId="0" fillId="29" fontId="7" numFmtId="181" xfId="0">
      <alignment horizontal="center" vertical="center"/>
    </xf>
    <xf applyAlignment="true" applyBorder="false" applyFill="true" applyFont="true" applyNumberFormat="false" applyProtection="false" borderId="0" fillId="29" fontId="7" numFmtId="0" xfId="0">
      <alignment horizontal="center" vertical="center"/>
    </xf>
    <xf applyAlignment="true" applyBorder="false" applyFill="true" applyFont="true" applyNumberFormat="true" applyProtection="false" borderId="0" fillId="29" fontId="1" numFmtId="185" xfId="0">
      <alignment vertical="center"/>
    </xf>
    <xf applyAlignment="true" applyBorder="false" applyFill="false" applyFont="true" applyNumberFormat="true" applyProtection="false" borderId="0" fillId="0" fontId="4" numFmtId="185" xfId="0">
      <alignment vertical="center"/>
    </xf>
    <xf applyAlignment="true" applyBorder="false" applyFill="true" applyFont="true" applyNumberFormat="true" applyProtection="false" borderId="37" fillId="32" fontId="5" numFmtId="185" xfId="0">
      <alignment horizontal="right" vertical="center" wrapText="true"/>
    </xf>
    <xf applyAlignment="true" applyBorder="false" applyFill="true" applyFont="true" applyNumberFormat="true" applyProtection="false" borderId="38" fillId="32" fontId="5" numFmtId="180" xfId="0">
      <alignment horizontal="right" vertical="center" wrapText="true"/>
    </xf>
    <xf applyAlignment="true" applyBorder="false" applyFill="true" applyFont="true" applyNumberFormat="false" applyProtection="false" borderId="37" fillId="33" fontId="5" numFmtId="0" xfId="0">
      <alignment horizontal="right" vertical="center" wrapText="true"/>
    </xf>
    <xf applyAlignment="true" applyBorder="false" applyFill="true" applyFont="true" applyNumberFormat="false" applyProtection="false" borderId="0" fillId="33" fontId="1" numFmtId="0" xfId="0">
      <alignment vertical="center"/>
    </xf>
    <xf applyAlignment="true" applyBorder="false" applyFill="true" applyFont="true" applyNumberFormat="true" applyProtection="false" borderId="37" fillId="32" fontId="5" numFmtId="177" xfId="0">
      <alignment horizontal="right" vertical="center" wrapText="true"/>
    </xf>
    <xf applyAlignment="true" applyBorder="false" applyFill="true" applyFont="true" applyNumberFormat="true" applyProtection="false" borderId="37" fillId="32" fontId="5" numFmtId="179" xfId="0">
      <alignment horizontal="right" vertical="center" wrapText="true"/>
    </xf>
    <xf applyAlignment="true" applyBorder="false" applyFill="true" applyFont="true" applyNumberFormat="false" applyProtection="false" borderId="37" fillId="32" fontId="5" numFmtId="0" xfId="0">
      <alignment horizontal="right" vertical="center" wrapText="true"/>
    </xf>
    <xf applyAlignment="true" applyBorder="false" applyFill="true" applyFont="true" applyNumberFormat="true" applyProtection="false" borderId="37" fillId="32" fontId="5" numFmtId="188" xfId="0">
      <alignment horizontal="right" vertical="center" wrapText="true"/>
    </xf>
    <xf applyAlignment="true" applyBorder="false" applyFill="true" applyFont="true" applyNumberFormat="true" applyProtection="false" borderId="37" fillId="32" fontId="5" numFmtId="185" xfId="0">
      <alignment horizontal="right" vertical="center" wrapText="true"/>
    </xf>
    <xf applyAlignment="true" applyBorder="false" applyFill="true" applyFont="true" applyNumberFormat="true" applyProtection="false" borderId="37" fillId="32" fontId="5" numFmtId="180" xfId="0">
      <alignment horizontal="right" vertical="center" wrapText="true"/>
    </xf>
    <xf applyAlignment="true" applyBorder="false" applyFill="true" applyFont="true" applyNumberFormat="true" applyProtection="false" borderId="0" fillId="32" fontId="5" numFmtId="177" xfId="0">
      <alignment horizontal="right" vertical="center"/>
    </xf>
    <xf applyAlignment="true" applyBorder="false" applyFill="true" applyFont="true" applyNumberFormat="true" applyProtection="false" borderId="38" fillId="32" fontId="5" numFmtId="188" xfId="0">
      <alignment horizontal="right" vertical="center" wrapText="true"/>
    </xf>
    <xf applyAlignment="true" applyBorder="false" applyFill="true" applyFont="true" applyNumberFormat="true" applyProtection="false" borderId="37" fillId="30" fontId="5" numFmtId="177" xfId="0">
      <alignment horizontal="right" vertical="center" wrapText="true"/>
    </xf>
    <xf applyAlignment="true" applyBorder="false" applyFill="true" applyFont="true" applyNumberFormat="true" applyProtection="false" borderId="37" fillId="30" fontId="5" numFmtId="179" xfId="0">
      <alignment horizontal="right" vertical="center" wrapText="true"/>
    </xf>
    <xf applyAlignment="true" applyBorder="false" applyFill="true" applyFont="true" applyNumberFormat="false" applyProtection="false" borderId="37" fillId="30" fontId="5" numFmtId="0" xfId="0">
      <alignment horizontal="right" vertical="center" wrapText="true"/>
    </xf>
    <xf applyAlignment="true" applyBorder="false" applyFill="true" applyFont="true" applyNumberFormat="true" applyProtection="false" borderId="39" fillId="32" fontId="5" numFmtId="177" xfId="0">
      <alignment horizontal="right" vertical="center" wrapText="true"/>
    </xf>
    <xf applyAlignment="true" applyBorder="false" applyFill="true" applyFont="true" applyNumberFormat="false" applyProtection="false" borderId="39" fillId="32" fontId="5" numFmtId="0" xfId="0">
      <alignment horizontal="right" vertical="center" wrapText="true"/>
    </xf>
    <xf applyAlignment="true" applyBorder="false" applyFill="true" applyFont="true" applyNumberFormat="false" applyProtection="false" borderId="0" fillId="34" fontId="1" numFmtId="0" xfId="0">
      <alignment vertical="center"/>
    </xf>
    <xf applyAlignment="true" applyBorder="false" applyFill="true" applyFont="true" applyNumberFormat="true" applyProtection="false" borderId="0" fillId="29" fontId="7" numFmtId="177" xfId="0">
      <alignment horizontal="center" vertical="center"/>
    </xf>
    <xf applyAlignment="true" applyBorder="false" applyFill="true" applyFont="true" applyNumberFormat="false" applyProtection="false" borderId="0" fillId="33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0" fillId="24" fontId="7" numFmtId="181" xfId="0">
      <alignment horizontal="center" vertical="center"/>
    </xf>
    <xf applyAlignment="true" applyBorder="false" applyFill="true" applyFont="true" applyNumberFormat="false" applyProtection="false" borderId="0" fillId="24" fontId="7" numFmtId="0" xfId="0">
      <alignment horizontal="center" vertical="center"/>
    </xf>
    <xf applyAlignment="true" applyBorder="false" applyFill="true" applyFont="true" applyNumberFormat="true" applyProtection="false" borderId="0" fillId="24" fontId="2" numFmtId="177" xfId="0">
      <alignment horizontal="center" vertical="center"/>
    </xf>
    <xf applyAlignment="true" applyBorder="false" applyFill="true" applyFont="true" applyNumberFormat="true" applyProtection="false" borderId="0" fillId="24" fontId="1" numFmtId="188" xfId="0">
      <alignment horizontal="center" vertical="center"/>
    </xf>
    <xf applyAlignment="true" applyBorder="false" applyFill="true" applyFont="true" applyNumberFormat="true" applyProtection="false" borderId="0" fillId="24" fontId="1" numFmtId="183" xfId="0">
      <alignment horizontal="center" vertical="center"/>
    </xf>
    <xf applyAlignment="true" applyBorder="false" applyFill="true" applyFont="true" applyNumberFormat="true" applyProtection="false" borderId="0" fillId="24" fontId="1" numFmtId="186" xfId="0">
      <alignment horizontal="center" vertical="center"/>
    </xf>
    <xf applyAlignment="true" applyBorder="false" applyFill="true" applyFont="true" applyNumberFormat="true" applyProtection="false" borderId="0" fillId="24" fontId="2" numFmtId="188" xfId="0">
      <alignment horizontal="center" vertical="center"/>
    </xf>
    <xf applyAlignment="true" applyBorder="false" applyFill="true" applyFont="true" applyNumberFormat="false" applyProtection="false" borderId="0" fillId="24" fontId="1" numFmtId="0" xfId="0">
      <alignment horizontal="center" vertical="center"/>
    </xf>
    <xf applyAlignment="true" applyBorder="false" applyFill="true" applyFont="true" applyNumberFormat="true" applyProtection="false" borderId="0" fillId="24" fontId="2" numFmtId="185" xfId="0">
      <alignment horizontal="center" vertical="center"/>
    </xf>
    <xf applyAlignment="true" applyBorder="false" applyFill="true" applyFont="true" applyNumberFormat="false" applyProtection="false" borderId="40" fillId="35" fontId="1" numFmtId="0" xfId="0">
      <alignment horizontal="center" vertical="center"/>
    </xf>
    <xf applyAlignment="true" applyBorder="false" applyFill="true" applyFont="true" applyNumberFormat="false" applyProtection="false" borderId="41" fillId="35" fontId="1" numFmtId="0" xfId="0">
      <alignment horizontal="center" vertical="center"/>
    </xf>
    <xf applyAlignment="true" applyBorder="false" applyFill="true" applyFont="true" applyNumberFormat="false" applyProtection="false" borderId="42" fillId="35" fontId="1" numFmtId="0" xfId="0">
      <alignment horizontal="center" vertical="center"/>
    </xf>
    <xf applyAlignment="true" applyBorder="false" applyFill="true" applyFont="true" applyNumberFormat="true" applyProtection="false" borderId="43" fillId="36" fontId="1" numFmtId="190" xfId="0">
      <alignment horizontal="center" vertical="center"/>
    </xf>
    <xf applyAlignment="true" applyBorder="false" applyFill="true" applyFont="true" applyNumberFormat="true" applyProtection="false" borderId="43" fillId="36" fontId="1" numFmtId="191" xfId="0">
      <alignment horizontal="center" vertical="center"/>
    </xf>
    <xf applyAlignment="true" applyBorder="false" applyFill="true" applyFont="true" applyNumberFormat="false" applyProtection="false" borderId="44" fillId="36" fontId="1" numFmtId="0" xfId="0">
      <alignment horizontal="center" vertical="center"/>
    </xf>
    <xf applyAlignment="true" applyBorder="false" applyFill="true" applyFont="true" applyNumberFormat="false" applyProtection="false" borderId="45" fillId="36" fontId="1" numFmtId="0" xfId="0">
      <alignment horizontal="center" vertical="center"/>
    </xf>
    <xf applyAlignment="true" applyBorder="false" applyFill="true" applyFont="true" applyNumberFormat="false" applyProtection="false" borderId="45" fillId="37" fontId="1" numFmtId="0" xfId="0">
      <alignment horizontal="center" vertical="center"/>
    </xf>
    <xf applyAlignment="true" applyBorder="false" applyFill="true" applyFont="true" applyNumberFormat="false" applyProtection="false" borderId="45" fillId="38" fontId="1" numFmtId="0" xfId="0">
      <alignment horizontal="center" vertical="center"/>
    </xf>
    <xf applyAlignment="true" applyBorder="false" applyFill="true" applyFont="true" applyNumberFormat="false" applyProtection="false" borderId="46" fillId="39" fontId="1" numFmtId="0" xfId="0">
      <alignment horizontal="center" vertical="center"/>
    </xf>
    <xf applyAlignment="true" applyBorder="false" applyFill="false" applyFont="true" applyNumberFormat="true" applyProtection="false" borderId="45" fillId="0" fontId="1" numFmtId="192" xfId="0">
      <alignment horizontal="center" vertical="center"/>
    </xf>
    <xf applyAlignment="true" applyBorder="false" applyFill="false" applyFont="true" applyNumberFormat="false" applyProtection="false" borderId="45" fillId="0" fontId="1" numFmtId="0" xfId="0">
      <alignment horizontal="center" vertical="center"/>
    </xf>
    <xf applyAlignment="true" applyBorder="false" applyFill="true" applyFont="true" applyNumberFormat="true" applyProtection="false" borderId="45" fillId="40" fontId="1" numFmtId="192" xfId="0">
      <alignment horizontal="center" vertical="center"/>
    </xf>
    <xf applyAlignment="true" applyBorder="false" applyFill="false" applyFont="true" applyNumberFormat="false" applyProtection="false" borderId="47" fillId="0" fontId="1" numFmtId="0" xfId="0">
      <alignment horizontal="center" vertical="center"/>
    </xf>
    <xf applyAlignment="true" applyBorder="false" applyFill="false" applyFont="true" applyNumberFormat="true" applyProtection="false" borderId="45" fillId="0" fontId="1" numFmtId="193" xfId="0">
      <alignment horizontal="center" vertical="center"/>
    </xf>
    <xf applyAlignment="true" applyBorder="false" applyFill="true" applyFont="true" applyNumberFormat="true" applyProtection="false" borderId="41" fillId="41" fontId="1" numFmtId="194" xfId="0">
      <alignment horizontal="center" vertical="center"/>
    </xf>
    <xf applyAlignment="true" applyBorder="false" applyFill="false" applyFont="true" applyNumberFormat="true" applyProtection="false" borderId="48" fillId="0" fontId="1" numFmtId="195" xfId="0">
      <alignment horizontal="center" vertical="center"/>
    </xf>
    <xf applyAlignment="true" applyBorder="false" applyFill="false" applyFont="true" applyNumberFormat="false" applyProtection="false" borderId="41" fillId="0" fontId="1" numFmtId="0" xfId="0">
      <alignment horizontal="center" vertical="center"/>
    </xf>
    <xf applyAlignment="true" applyBorder="false" applyFill="false" applyFont="true" applyNumberFormat="true" applyProtection="false" borderId="49" fillId="0" fontId="1" numFmtId="190" xfId="0">
      <alignment horizontal="center" vertical="center"/>
    </xf>
    <xf applyAlignment="true" applyBorder="false" applyFill="false" applyFont="true" applyNumberFormat="true" applyProtection="false" borderId="43" fillId="0" fontId="1" numFmtId="191" xfId="0">
      <alignment horizontal="center" vertical="center"/>
    </xf>
    <xf applyAlignment="true" applyBorder="false" applyFill="false" applyFont="true" applyNumberFormat="true" applyProtection="false" borderId="50" fillId="0" fontId="1" numFmtId="193" xfId="0">
      <alignment horizontal="center" vertical="center"/>
    </xf>
    <xf applyAlignment="true" applyBorder="false" applyFill="false" applyFont="true" applyNumberFormat="true" applyProtection="false" borderId="50" fillId="0" fontId="1" numFmtId="196" xfId="0">
      <alignment horizontal="center" vertical="center"/>
    </xf>
    <xf applyAlignment="true" applyBorder="false" applyFill="false" applyFont="true" applyNumberFormat="true" applyProtection="false" borderId="45" fillId="0" fontId="1" numFmtId="197" xfId="0">
      <alignment horizontal="center" vertical="center"/>
    </xf>
    <xf applyAlignment="true" applyBorder="false" applyFill="false" applyFont="true" applyNumberFormat="true" applyProtection="false" borderId="50" fillId="0" fontId="1" numFmtId="197" xfId="0">
      <alignment horizontal="center" vertical="center"/>
    </xf>
    <xf applyAlignment="true" applyBorder="false" applyFill="false" applyFont="true" applyNumberFormat="true" applyProtection="false" borderId="45" fillId="0" fontId="1" numFmtId="198" xfId="0">
      <alignment horizontal="center" vertical="center"/>
    </xf>
    <xf applyAlignment="true" applyBorder="false" applyFill="false" applyFont="true" applyNumberFormat="true" applyProtection="false" borderId="45" fillId="0" fontId="1" numFmtId="199" xfId="0">
      <alignment horizontal="center" vertical="center"/>
    </xf>
    <xf applyAlignment="true" applyBorder="false" applyFill="false" applyFont="true" applyNumberFormat="true" applyProtection="false" borderId="45" fillId="0" fontId="1" numFmtId="200" xfId="0">
      <alignment horizontal="center" vertical="center"/>
    </xf>
    <xf applyAlignment="true" applyBorder="false" applyFill="false" applyFont="true" applyNumberFormat="false" applyProtection="false" borderId="50" fillId="0" fontId="1" numFmtId="0" xfId="0">
      <alignment horizontal="center" vertical="center"/>
    </xf>
    <xf applyAlignment="true" applyBorder="false" applyFill="false" applyFont="true" applyNumberFormat="false" applyProtection="false" borderId="50" fillId="0" fontId="1" numFmtId="0" xfId="0">
      <alignment horizontal="center" vertical="center"/>
    </xf>
    <xf applyAlignment="true" applyBorder="false" applyFill="true" applyFont="true" applyNumberFormat="true" applyProtection="false" borderId="45" fillId="41" fontId="1" numFmtId="192" xfId="0">
      <alignment horizontal="center" vertical="center"/>
    </xf>
    <xf applyAlignment="true" applyBorder="false" applyFill="true" applyFont="true" applyNumberFormat="true" applyProtection="false" borderId="45" fillId="41" fontId="1" numFmtId="192" xfId="0">
      <alignment horizontal="center" vertical="center"/>
    </xf>
    <xf applyAlignment="true" applyBorder="false" applyFill="true" applyFont="true" applyNumberFormat="true" applyProtection="false" borderId="45" fillId="41" fontId="1" numFmtId="192" xfId="0">
      <alignment horizontal="center" vertical="center"/>
    </xf>
    <xf applyAlignment="true" applyBorder="false" applyFill="false" applyFont="true" applyNumberFormat="true" applyProtection="false" borderId="41" fillId="0" fontId="1" numFmtId="196" xfId="0">
      <alignment horizontal="center" vertical="center"/>
    </xf>
    <xf applyAlignment="true" applyBorder="false" applyFill="false" applyFont="true" applyNumberFormat="true" applyProtection="false" borderId="51" fillId="0" fontId="1" numFmtId="190" xfId="0">
      <alignment horizontal="center" vertical="center"/>
    </xf>
    <xf applyAlignment="true" applyBorder="false" applyFill="false" applyFont="true" applyNumberFormat="true" applyProtection="false" borderId="52" fillId="0" fontId="1" numFmtId="195" xfId="0">
      <alignment horizontal="center" vertical="center"/>
    </xf>
    <xf applyAlignment="true" applyBorder="false" applyFill="false" applyFont="true" applyNumberFormat="false" applyProtection="false" borderId="41" fillId="0" fontId="1" numFmtId="0" xfId="0">
      <alignment horizontal="center" vertical="center"/>
    </xf>
    <xf applyAlignment="true" applyBorder="false" applyFill="false" applyFont="true" applyNumberFormat="true" applyProtection="false" borderId="49" fillId="0" fontId="1" numFmtId="191" xfId="0">
      <alignment horizontal="center" vertical="center"/>
    </xf>
    <xf applyAlignment="true" applyBorder="false" applyFill="false" applyFont="true" applyNumberFormat="true" applyProtection="false" borderId="41" fillId="0" fontId="1" numFmtId="195" xfId="0">
      <alignment horizontal="center" vertical="center"/>
    </xf>
    <xf applyAlignment="true" applyBorder="false" applyFill="false" applyFont="true" applyNumberFormat="true" applyProtection="false" borderId="53" fillId="0" fontId="1" numFmtId="190" xfId="0">
      <alignment horizontal="center" vertical="center"/>
    </xf>
    <xf applyAlignment="true" applyBorder="false" applyFill="false" applyFont="true" applyNumberFormat="true" applyProtection="false" borderId="46" fillId="0" fontId="1" numFmtId="191" xfId="0">
      <alignment horizontal="center" vertical="center"/>
    </xf>
    <xf applyAlignment="true" applyBorder="false" applyFill="false" applyFont="true" applyNumberFormat="true" applyProtection="false" borderId="45" fillId="0" fontId="1" numFmtId="193" xfId="0">
      <alignment horizontal="center" vertical="center"/>
    </xf>
    <xf applyAlignment="true" applyBorder="false" applyFill="false" applyFont="true" applyNumberFormat="true" applyProtection="false" borderId="50" fillId="0" fontId="1" numFmtId="195" xfId="0">
      <alignment horizontal="center" vertical="center"/>
    </xf>
    <xf applyAlignment="true" applyBorder="false" applyFill="true" applyFont="true" applyNumberFormat="true" applyProtection="false" borderId="48" fillId="42" fontId="1" numFmtId="201" xfId="0">
      <alignment horizontal="center" vertical="center"/>
    </xf>
    <xf applyAlignment="true" applyBorder="false" applyFill="true" applyFont="true" applyNumberFormat="true" applyProtection="false" borderId="45" fillId="42" fontId="1" numFmtId="196" xfId="0">
      <alignment horizontal="center" vertical="center"/>
    </xf>
    <xf applyAlignment="true" applyBorder="false" applyFill="true" applyFont="true" applyNumberFormat="true" applyProtection="false" borderId="45" fillId="42" fontId="1" numFmtId="191" xfId="0">
      <alignment horizontal="center" vertical="center"/>
    </xf>
    <xf applyAlignment="true" applyBorder="false" applyFill="true" applyFont="true" applyNumberFormat="true" applyProtection="false" borderId="45" fillId="42" fontId="1" numFmtId="197" xfId="0">
      <alignment horizontal="center" vertical="center"/>
    </xf>
    <xf applyAlignment="true" applyBorder="false" applyFill="true" applyFont="true" applyNumberFormat="true" applyProtection="false" borderId="50" fillId="42" fontId="1" numFmtId="197" xfId="0">
      <alignment horizontal="center" vertical="center"/>
    </xf>
    <xf applyAlignment="true" applyBorder="false" applyFill="true" applyFont="true" applyNumberFormat="true" applyProtection="false" borderId="45" fillId="42" fontId="1" numFmtId="198" xfId="0">
      <alignment horizontal="center" vertical="center"/>
    </xf>
    <xf applyAlignment="true" applyBorder="false" applyFill="true" applyFont="true" applyNumberFormat="true" applyProtection="false" borderId="45" fillId="42" fontId="1" numFmtId="199" xfId="0">
      <alignment horizontal="center" vertical="center"/>
    </xf>
    <xf applyAlignment="true" applyBorder="false" applyFill="true" applyFont="true" applyNumberFormat="true" applyProtection="false" borderId="45" fillId="42" fontId="1" numFmtId="200" xfId="0">
      <alignment horizontal="center" vertical="center"/>
    </xf>
    <xf applyAlignment="true" applyBorder="false" applyFill="true" applyFont="true" applyNumberFormat="true" applyProtection="false" borderId="45" fillId="42" fontId="1" numFmtId="195" xfId="0">
      <alignment horizontal="center" vertical="center"/>
    </xf>
    <xf applyAlignment="true" applyBorder="false" applyFill="false" applyFont="true" applyNumberFormat="true" applyProtection="false" borderId="54" fillId="0" fontId="1" numFmtId="195" xfId="0">
      <alignment horizontal="center" vertical="center"/>
    </xf>
    <xf applyAlignment="true" applyBorder="false" applyFill="false" applyFont="true" applyNumberFormat="true" applyProtection="false" borderId="46" fillId="0" fontId="1" numFmtId="190" xfId="0">
      <alignment horizontal="center" vertical="center"/>
    </xf>
    <xf applyAlignment="true" applyBorder="false" applyFill="false" applyFont="true" applyNumberFormat="true" applyProtection="false" borderId="47" fillId="0" fontId="1" numFmtId="195" xfId="0">
      <alignment horizontal="center" vertical="center"/>
    </xf>
    <xf applyAlignment="true" applyBorder="false" applyFill="false" applyFont="true" applyNumberFormat="true" applyProtection="false" borderId="45" fillId="0" fontId="1" numFmtId="195" xfId="0">
      <alignment horizontal="center" vertical="center"/>
    </xf>
    <xf applyAlignment="true" applyBorder="false" applyFill="false" applyFont="true" applyNumberFormat="true" applyProtection="false" borderId="45" fillId="0" fontId="1" numFmtId="195" xfId="0">
      <alignment horizontal="center" vertical="center"/>
    </xf>
    <xf applyAlignment="true" applyBorder="false" applyFill="false" applyFont="true" applyNumberFormat="true" applyProtection="false" borderId="50" fillId="0" fontId="1" numFmtId="195" xfId="0">
      <alignment horizontal="center" vertical="center"/>
    </xf>
    <xf applyAlignment="true" applyBorder="false" applyFill="false" applyFont="true" applyNumberFormat="true" applyProtection="false" borderId="43" fillId="0" fontId="1" numFmtId="195" xfId="0">
      <alignment horizontal="center" vertical="center"/>
    </xf>
    <xf applyAlignment="true" applyBorder="false" applyFill="false" applyFont="true" applyNumberFormat="true" applyProtection="false" borderId="45" fillId="0" fontId="1" numFmtId="190" xfId="0">
      <alignment horizontal="center" vertical="center"/>
    </xf>
    <xf applyAlignment="true" applyBorder="false" applyFill="false" applyFont="true" applyNumberFormat="true" applyProtection="false" borderId="45" fillId="0" fontId="1" numFmtId="191" xfId="0">
      <alignment horizontal="center" vertical="center"/>
    </xf>
    <xf applyAlignment="true" applyBorder="false" applyFill="false" applyFont="true" applyNumberFormat="true" applyProtection="false" borderId="43" fillId="0" fontId="1" numFmtId="190" xfId="0">
      <alignment horizontal="center" vertical="center"/>
    </xf>
    <xf applyAlignment="true" applyBorder="false" applyFill="true" applyFont="true" applyNumberFormat="true" applyProtection="false" borderId="50" fillId="43" fontId="1" numFmtId="197" xfId="0">
      <alignment horizontal="center" vertical="center"/>
    </xf>
    <xf applyAlignment="true" applyBorder="false" applyFill="true" applyFont="true" applyNumberFormat="true" applyProtection="false" borderId="45" fillId="43" fontId="1" numFmtId="198" xfId="0">
      <alignment horizontal="center" vertical="center"/>
    </xf>
    <xf applyAlignment="true" applyBorder="false" applyFill="true" applyFont="true" applyNumberFormat="true" applyProtection="false" borderId="45" fillId="43" fontId="1" numFmtId="199" xfId="0">
      <alignment horizontal="center" vertical="center"/>
    </xf>
    <xf applyAlignment="true" applyBorder="false" applyFill="true" applyFont="true" applyNumberFormat="true" applyProtection="false" borderId="45" fillId="43" fontId="1" numFmtId="197" xfId="0">
      <alignment horizontal="center" vertical="center"/>
    </xf>
    <xf applyAlignment="true" applyBorder="false" applyFill="true" applyFont="true" applyNumberFormat="true" applyProtection="false" borderId="45" fillId="43" fontId="1" numFmtId="200" xfId="0">
      <alignment horizontal="center" vertical="center"/>
    </xf>
    <xf applyAlignment="true" applyBorder="false" applyFill="true" applyFont="true" applyNumberFormat="true" applyProtection="false" borderId="55" fillId="41" fontId="1" numFmtId="192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true" applyProtection="false" borderId="50" fillId="42" fontId="1" numFmtId="201" xfId="0">
      <alignment horizontal="center" vertical="center"/>
    </xf>
    <xf applyAlignment="true" applyBorder="false" applyFill="true" applyFont="true" applyNumberFormat="false" applyProtection="false" borderId="56" fillId="44" fontId="2" numFmtId="0" xfId="0">
      <alignment horizontal="center" vertical="center"/>
    </xf>
    <xf applyAlignment="true" applyBorder="false" applyFill="true" applyFont="true" applyNumberFormat="true" applyProtection="false" borderId="57" fillId="44" fontId="2" numFmtId="190" xfId="0">
      <alignment horizontal="center" vertical="center"/>
    </xf>
    <xf applyAlignment="true" applyBorder="false" applyFill="true" applyFont="true" applyNumberFormat="true" applyProtection="false" borderId="57" fillId="44" fontId="2" numFmtId="196" xfId="0">
      <alignment horizontal="center" vertical="center"/>
    </xf>
    <xf applyAlignment="true" applyBorder="false" applyFill="true" applyFont="true" applyNumberFormat="true" applyProtection="false" borderId="57" fillId="44" fontId="2" numFmtId="197" xfId="0">
      <alignment horizontal="center" vertical="center"/>
    </xf>
    <xf applyAlignment="true" applyBorder="false" applyFill="true" applyFont="true" applyNumberFormat="true" applyProtection="false" borderId="58" fillId="44" fontId="2" numFmtId="197" xfId="0">
      <alignment horizontal="center" vertical="center"/>
    </xf>
    <xf applyAlignment="true" applyBorder="false" applyFill="true" applyFont="true" applyNumberFormat="true" applyProtection="false" borderId="58" fillId="44" fontId="2" numFmtId="198" xfId="0">
      <alignment horizontal="center" vertical="center"/>
    </xf>
    <xf applyAlignment="true" applyBorder="false" applyFill="true" applyFont="true" applyNumberFormat="true" applyProtection="false" borderId="58" fillId="44" fontId="1" numFmtId="199" xfId="0">
      <alignment horizontal="center" vertical="center"/>
    </xf>
    <xf applyAlignment="true" applyBorder="false" applyFill="true" applyFont="true" applyNumberFormat="true" applyProtection="false" borderId="58" fillId="44" fontId="1" numFmtId="200" xfId="0">
      <alignment horizontal="center" vertical="center"/>
    </xf>
    <xf applyAlignment="true" applyBorder="false" applyFill="true" applyFont="true" applyNumberFormat="true" applyProtection="false" borderId="58" fillId="44" fontId="1" numFmtId="197" xfId="0">
      <alignment horizontal="center" vertical="center"/>
    </xf>
    <xf applyAlignment="true" applyBorder="false" applyFill="true" applyFont="true" applyNumberFormat="true" applyProtection="false" borderId="58" fillId="44" fontId="1" numFmtId="198" xfId="0">
      <alignment horizontal="center" vertical="center"/>
    </xf>
    <xf applyAlignment="true" applyBorder="false" applyFill="true" applyFont="true" applyNumberFormat="true" applyProtection="false" borderId="58" fillId="44" fontId="2" numFmtId="200" xfId="0">
      <alignment horizontal="center" vertical="center"/>
    </xf>
    <xf applyAlignment="true" applyBorder="false" applyFill="true" applyFont="true" applyNumberFormat="false" applyProtection="false" borderId="58" fillId="44" fontId="1" numFmtId="0" xfId="0">
      <alignment horizontal="center" vertical="center"/>
    </xf>
    <xf applyAlignment="true" applyBorder="false" applyFill="false" applyFont="true" applyNumberFormat="true" applyProtection="false" borderId="43" fillId="0" fontId="1" numFmtId="195" xfId="0">
      <alignment horizontal="center" vertical="center"/>
    </xf>
    <xf applyAlignment="true" applyBorder="false" applyFill="true" applyFont="true" applyNumberFormat="true" applyProtection="false" borderId="43" fillId="41" fontId="1" numFmtId="194" xfId="0">
      <alignment horizontal="center" vertical="center"/>
    </xf>
    <xf applyAlignment="true" applyBorder="false" applyFill="false" applyFont="true" applyNumberFormat="true" applyProtection="false" borderId="49" fillId="0" fontId="1" numFmtId="195" xfId="0">
      <alignment horizontal="center" vertical="center"/>
    </xf>
    <xf applyAlignment="true" applyBorder="false" applyFill="false" applyFont="true" applyNumberFormat="true" applyProtection="false" borderId="43" fillId="0" fontId="1" numFmtId="196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49" fillId="42" fontId="1" numFmtId="201" xfId="0">
      <alignment horizontal="center" vertical="center"/>
    </xf>
    <xf applyAlignment="true" applyBorder="false" applyFill="false" applyFont="true" applyNumberFormat="true" applyProtection="false" borderId="45" fillId="0" fontId="1" numFmtId="190" xfId="0">
      <alignment horizontal="center" vertical="center"/>
    </xf>
    <xf applyAlignment="true" applyBorder="false" applyFill="false" applyFont="true" applyNumberFormat="true" applyProtection="false" borderId="43" fillId="0" fontId="1" numFmtId="190" xfId="0">
      <alignment horizontal="center" vertical="center"/>
    </xf>
    <xf applyAlignment="true" applyBorder="false" applyFill="false" applyFont="true" applyNumberFormat="true" applyProtection="false" borderId="50" fillId="0" fontId="1" numFmtId="193" xfId="0">
      <alignment horizontal="center" vertical="center"/>
    </xf>
    <xf applyAlignment="true" applyBorder="false" applyFill="true" applyFont="true" applyNumberFormat="true" applyProtection="false" borderId="50" fillId="45" fontId="1" numFmtId="197" xfId="0">
      <alignment horizontal="center" vertical="center"/>
    </xf>
    <xf applyAlignment="true" applyBorder="false" applyFill="true" applyFont="true" applyNumberFormat="true" applyProtection="false" borderId="45" fillId="45" fontId="1" numFmtId="198" xfId="0">
      <alignment horizontal="center" vertical="center"/>
    </xf>
    <xf applyAlignment="true" applyBorder="false" applyFill="true" applyFont="true" applyNumberFormat="true" applyProtection="false" borderId="45" fillId="45" fontId="1" numFmtId="199" xfId="0">
      <alignment horizontal="center" vertical="center"/>
    </xf>
    <xf applyAlignment="true" applyBorder="false" applyFill="true" applyFont="true" applyNumberFormat="true" applyProtection="false" borderId="45" fillId="45" fontId="1" numFmtId="197" xfId="0">
      <alignment horizontal="center" vertical="center"/>
    </xf>
    <xf applyAlignment="true" applyBorder="false" applyFill="true" applyFont="true" applyNumberFormat="true" applyProtection="false" borderId="45" fillId="45" fontId="1" numFmtId="200" xfId="0">
      <alignment horizontal="center" vertical="center"/>
    </xf>
    <xf applyAlignment="true" applyBorder="false" applyFill="false" applyFont="true" applyNumberFormat="true" applyProtection="false" borderId="45" fillId="0" fontId="1" numFmtId="191" xfId="0">
      <alignment horizontal="center" vertical="center"/>
    </xf>
    <xf applyAlignment="true" applyBorder="false" applyFill="false" applyFont="true" applyNumberFormat="true" applyProtection="false" borderId="53" fillId="0" fontId="1" numFmtId="195" xfId="0">
      <alignment horizontal="center" vertical="center"/>
    </xf>
    <xf applyAlignment="true" applyBorder="false" applyFill="false" applyFont="true" applyNumberFormat="true" applyProtection="false" borderId="41" fillId="0" fontId="1" numFmtId="195" xfId="0">
      <alignment horizontal="center" vertical="center"/>
    </xf>
    <xf applyAlignment="true" applyBorder="false" applyFill="false" applyFont="true" applyNumberFormat="true" applyProtection="false" borderId="43" fillId="0" fontId="1" numFmtId="193" xfId="0">
      <alignment horizontal="center" vertical="center"/>
    </xf>
    <xf applyAlignment="true" applyBorder="false" applyFill="true" applyFont="true" applyNumberFormat="true" applyProtection="false" borderId="45" fillId="41" fontId="1" numFmtId="193" xfId="0">
      <alignment horizontal="center" vertical="center"/>
    </xf>
    <xf applyAlignment="true" applyBorder="false" applyFill="false" applyFont="true" applyNumberFormat="true" applyProtection="false" borderId="46" fillId="0" fontId="1" numFmtId="193" xfId="0">
      <alignment horizontal="center" vertical="center"/>
    </xf>
    <xf applyAlignment="true" applyBorder="false" applyFill="true" applyFont="true" applyNumberFormat="true" applyProtection="false" borderId="45" fillId="42" fontId="1" numFmtId="193" xfId="0">
      <alignment horizontal="center" vertical="center"/>
    </xf>
    <xf applyAlignment="true" applyBorder="false" applyFill="true" applyFont="true" applyNumberFormat="true" applyProtection="false" borderId="57" fillId="44" fontId="2" numFmtId="193" xfId="0">
      <alignment horizontal="center" vertical="center"/>
    </xf>
    <xf applyAlignment="true" applyBorder="false" applyFill="false" applyFont="true" applyNumberFormat="true" applyProtection="false" borderId="41" fillId="0" fontId="1" numFmtId="190" xfId="0">
      <alignment horizontal="center" vertical="center"/>
    </xf>
    <xf applyAlignment="true" applyBorder="false" applyFill="false" applyFont="true" applyNumberFormat="true" applyProtection="false" borderId="49" fillId="0" fontId="1" numFmtId="193" xfId="0">
      <alignment horizontal="center" vertical="center"/>
    </xf>
    <xf applyAlignment="true" applyBorder="false" applyFill="false" applyFont="true" applyNumberFormat="true" applyProtection="false" borderId="59" fillId="0" fontId="1" numFmtId="190" xfId="0">
      <alignment horizontal="center" vertical="center"/>
    </xf>
    <xf applyAlignment="true" applyBorder="false" applyFill="false" applyFont="true" applyNumberFormat="true" applyProtection="false" borderId="47" fillId="0" fontId="1" numFmtId="195" xfId="0">
      <alignment horizontal="center" vertical="center"/>
    </xf>
    <xf applyAlignment="true" applyBorder="false" applyFill="true" applyFont="true" applyNumberFormat="true" applyProtection="false" borderId="43" fillId="36" fontId="1" numFmtId="191" xfId="0">
      <alignment horizontal="center" vertical="center"/>
    </xf>
    <xf applyAlignment="true" applyBorder="false" applyFill="true" applyFont="true" applyNumberFormat="false" applyProtection="false" borderId="44" fillId="36" fontId="1" numFmtId="0" xfId="0">
      <alignment horizontal="center" vertical="center"/>
    </xf>
    <xf applyAlignment="true" applyBorder="false" applyFill="false" applyFont="true" applyNumberFormat="true" applyProtection="false" borderId="50" fillId="0" fontId="1" numFmtId="202" xfId="0">
      <alignment horizontal="center" vertical="center"/>
    </xf>
    <xf applyAlignment="true" applyBorder="false" applyFill="true" applyFont="true" applyNumberFormat="true" applyProtection="false" borderId="50" fillId="46" fontId="1" numFmtId="202" xfId="0">
      <alignment horizontal="center" vertical="center"/>
    </xf>
    <xf applyAlignment="true" applyBorder="false" applyFill="false" applyFont="true" applyNumberFormat="true" applyProtection="false" borderId="44" fillId="0" fontId="1" numFmtId="202" xfId="0">
      <alignment horizontal="center" vertical="center"/>
    </xf>
    <xf applyAlignment="true" applyBorder="false" applyFill="true" applyFont="true" applyNumberFormat="true" applyProtection="false" borderId="47" fillId="42" fontId="1" numFmtId="196" xfId="0">
      <alignment horizontal="center" vertical="center"/>
    </xf>
    <xf applyAlignment="true" applyBorder="false" applyFill="true" applyFont="true" applyNumberFormat="true" applyProtection="false" borderId="41" fillId="46" fontId="1" numFmtId="202" xfId="0">
      <alignment horizontal="center" vertical="center"/>
    </xf>
    <xf applyAlignment="true" applyBorder="false" applyFill="true" applyFont="true" applyNumberFormat="true" applyProtection="false" borderId="50" fillId="42" fontId="1" numFmtId="196" xfId="0">
      <alignment horizontal="center" vertical="center"/>
    </xf>
    <xf applyAlignment="true" applyBorder="false" applyFill="true" applyFont="true" applyNumberFormat="true" applyProtection="false" borderId="60" fillId="44" fontId="2" numFmtId="190" xfId="0">
      <alignment horizontal="center" vertical="center"/>
    </xf>
    <xf applyAlignment="true" applyBorder="false" applyFill="true" applyFont="true" applyNumberFormat="true" applyProtection="false" borderId="0" fillId="47" fontId="1" numFmtId="202" xfId="0">
      <alignment horizontal="center" vertical="center"/>
    </xf>
    <xf applyAlignment="true" applyBorder="false" applyFill="true" applyFont="true" applyNumberFormat="true" applyProtection="false" borderId="56" fillId="44" fontId="2" numFmtId="196" xfId="0">
      <alignment horizontal="center" vertical="center"/>
    </xf>
    <xf applyAlignment="true" applyBorder="false" applyFill="true" applyFont="true" applyNumberFormat="true" applyProtection="false" borderId="45" fillId="42" fontId="1" numFmtId="202" xfId="0">
      <alignment horizontal="center" vertical="center"/>
    </xf>
    <xf applyAlignment="true" applyBorder="false" applyFill="false" applyFont="true" applyNumberFormat="true" applyProtection="false" borderId="61" fillId="0" fontId="1" numFmtId="195" xfId="0">
      <alignment horizontal="center" vertical="center"/>
    </xf>
    <xf applyAlignment="true" applyBorder="false" applyFill="false" applyFont="true" applyNumberFormat="false" applyProtection="false" borderId="41" fillId="0" fontId="6" numFmtId="0" xfId="0">
      <alignment horizontal="center" vertical="center"/>
    </xf>
    <xf applyAlignment="true" applyBorder="false" applyFill="false" applyFont="true" applyNumberFormat="true" applyProtection="false" borderId="50" fillId="0" fontId="1" numFmtId="190" xfId="0">
      <alignment horizontal="center" vertical="center"/>
    </xf>
    <xf applyAlignment="true" applyBorder="false" applyFill="true" applyFont="true" applyNumberFormat="true" applyProtection="false" borderId="0" fillId="47" fontId="3" numFmtId="202" xfId="0">
      <alignment horizontal="center" vertical="center"/>
    </xf>
    <xf applyAlignment="true" applyBorder="false" applyFill="true" applyFont="true" applyNumberFormat="true" applyProtection="false" borderId="57" fillId="44" fontId="2" numFmtId="192" xfId="0">
      <alignment horizontal="center" vertical="center"/>
    </xf>
    <xf applyAlignment="true" applyBorder="false" applyFill="true" applyFont="true" applyNumberFormat="false" applyProtection="false" borderId="0" fillId="43" fontId="6" numFmtId="0" xfId="0">
      <alignment vertical="center"/>
    </xf>
    <xf applyAlignment="true" applyBorder="false" applyFill="true" applyFont="true" applyNumberFormat="true" applyProtection="false" borderId="62" fillId="41" fontId="1" numFmtId="194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true" applyProtection="false" borderId="45" fillId="0" fontId="1" numFmtId="193" xfId="0">
      <alignment horizontal="center" vertical="center"/>
    </xf>
    <xf applyAlignment="true" applyBorder="false" applyFill="true" applyFont="true" applyNumberFormat="true" applyProtection="false" borderId="45" fillId="41" fontId="1" numFmtId="193" xfId="0">
      <alignment horizontal="center" vertical="center"/>
    </xf>
    <xf applyAlignment="true" applyBorder="false" applyFill="true" applyFont="true" applyNumberFormat="true" applyProtection="false" borderId="0" fillId="43" fontId="1" numFmtId="194" xfId="0">
      <alignment horizontal="center" vertical="center"/>
    </xf>
    <xf applyAlignment="true" applyBorder="false" applyFill="true" applyFont="true" applyNumberFormat="false" applyProtection="false" borderId="0" fillId="43" fontId="2" numFmtId="0" xfId="0">
      <alignment horizontal="center" vertical="center"/>
    </xf>
    <xf applyAlignment="true" applyBorder="false" applyFill="true" applyFont="true" applyNumberFormat="true" applyProtection="false" borderId="0" fillId="43" fontId="2" numFmtId="190" xfId="0">
      <alignment horizontal="center" vertical="center"/>
    </xf>
    <xf applyAlignment="true" applyBorder="false" applyFill="true" applyFont="true" applyNumberFormat="true" applyProtection="false" borderId="0" fillId="43" fontId="2" numFmtId="192" xfId="0">
      <alignment horizontal="center" vertical="center"/>
    </xf>
    <xf applyAlignment="true" applyBorder="false" applyFill="true" applyFont="true" applyNumberFormat="true" applyProtection="false" borderId="0" fillId="43" fontId="2" numFmtId="198" xfId="0">
      <alignment horizontal="center" vertical="center"/>
    </xf>
    <xf applyAlignment="true" applyBorder="false" applyFill="true" applyFont="true" applyNumberFormat="true" applyProtection="false" borderId="0" fillId="43" fontId="3" numFmtId="202" xfId="0">
      <alignment horizontal="center" vertical="center"/>
    </xf>
    <xf applyAlignment="true" applyBorder="false" applyFill="true" applyFont="true" applyNumberFormat="true" applyProtection="false" borderId="0" fillId="43" fontId="2" numFmtId="196" xfId="0">
      <alignment horizontal="center" vertical="center"/>
    </xf>
    <xf applyAlignment="true" applyBorder="false" applyFill="true" applyFont="true" applyNumberFormat="true" applyProtection="false" borderId="0" fillId="43" fontId="2" numFmtId="197" xfId="0">
      <alignment horizontal="center" vertical="center"/>
    </xf>
    <xf applyAlignment="true" applyBorder="false" applyFill="true" applyFont="true" applyNumberFormat="true" applyProtection="false" borderId="0" fillId="43" fontId="1" numFmtId="199" xfId="0">
      <alignment horizontal="center" vertical="center"/>
    </xf>
    <xf applyAlignment="true" applyBorder="false" applyFill="true" applyFont="true" applyNumberFormat="true" applyProtection="false" borderId="0" fillId="43" fontId="1" numFmtId="200" xfId="0">
      <alignment horizontal="center" vertical="center"/>
    </xf>
    <xf applyAlignment="true" applyBorder="false" applyFill="true" applyFont="true" applyNumberFormat="true" applyProtection="false" borderId="0" fillId="43" fontId="1" numFmtId="197" xfId="0">
      <alignment horizontal="center" vertical="center"/>
    </xf>
    <xf applyAlignment="true" applyBorder="false" applyFill="true" applyFont="true" applyNumberFormat="true" applyProtection="false" borderId="0" fillId="43" fontId="1" numFmtId="198" xfId="0">
      <alignment horizontal="center" vertical="center"/>
    </xf>
    <xf applyAlignment="true" applyBorder="false" applyFill="true" applyFont="true" applyNumberFormat="true" applyProtection="false" borderId="0" fillId="43" fontId="2" numFmtId="200" xfId="0">
      <alignment horizontal="center" vertical="center"/>
    </xf>
    <xf applyAlignment="true" applyBorder="false" applyFill="true" applyFont="true" applyNumberFormat="false" applyProtection="false" borderId="0" fillId="43" fontId="1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true" applyProtection="false" borderId="0" fillId="43" fontId="7" numFmtId="194" xfId="0">
      <alignment horizontal="center" vertical="center"/>
    </xf>
    <xf applyAlignment="true" applyBorder="false" applyFill="true" applyFont="true" applyNumberFormat="false" applyProtection="false" borderId="0" fillId="43" fontId="7" numFmtId="0" xfId="0">
      <alignment horizontal="center" vertical="center"/>
    </xf>
    <xf applyAlignment="true" applyBorder="false" applyFill="false" applyFont="true" applyNumberFormat="true" applyProtection="false" borderId="0" fillId="0" fontId="1" numFmtId="196" xfId="0">
      <alignment vertical="center"/>
    </xf>
    <xf applyAlignment="true" applyBorder="false" applyFill="true" applyFont="true" applyNumberFormat="true" applyProtection="false" borderId="0" fillId="43" fontId="1" numFmtId="196" xfId="0">
      <alignment vertical="center"/>
    </xf>
    <xf applyAlignment="true" applyBorder="false" applyFill="false" applyFont="true" applyNumberFormat="true" applyProtection="false" borderId="0" fillId="0" fontId="4" numFmtId="196" xfId="0">
      <alignment vertical="center"/>
    </xf>
    <xf applyAlignment="true" applyBorder="false" applyFill="true" applyFont="true" applyNumberFormat="true" applyProtection="false" borderId="63" fillId="48" fontId="5" numFmtId="196" xfId="0">
      <alignment horizontal="right" vertical="center" wrapText="true"/>
    </xf>
    <xf applyAlignment="true" applyBorder="false" applyFill="true" applyFont="true" applyNumberFormat="true" applyProtection="false" borderId="64" fillId="48" fontId="5" numFmtId="193" xfId="0">
      <alignment horizontal="right" vertical="center" wrapText="true"/>
    </xf>
    <xf applyAlignment="true" applyBorder="false" applyFill="true" applyFont="true" applyNumberFormat="false" applyProtection="false" borderId="63" fillId="49" fontId="5" numFmtId="0" xfId="0">
      <alignment horizontal="right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49" fontId="1" numFmtId="0" xfId="0">
      <alignment vertical="center"/>
    </xf>
    <xf applyAlignment="true" applyBorder="false" applyFill="true" applyFont="true" applyNumberFormat="false" applyProtection="false" borderId="63" fillId="43" fontId="5" numFmtId="0" xfId="0">
      <alignment horizontal="right" vertical="center" wrapText="true"/>
    </xf>
    <xf applyAlignment="true" applyBorder="false" applyFill="true" applyFont="true" applyNumberFormat="true" applyProtection="false" borderId="63" fillId="48" fontId="5" numFmtId="190" xfId="0">
      <alignment horizontal="right" vertical="center" wrapText="true"/>
    </xf>
    <xf applyAlignment="true" applyBorder="false" applyFill="true" applyFont="true" applyNumberFormat="true" applyProtection="false" borderId="63" fillId="48" fontId="5" numFmtId="192" xfId="0">
      <alignment horizontal="right" vertical="center" wrapText="true"/>
    </xf>
    <xf applyAlignment="true" applyBorder="false" applyFill="true" applyFont="true" applyNumberFormat="true" applyProtection="false" borderId="63" fillId="48" fontId="5" numFmtId="192" xfId="0">
      <alignment horizontal="right" vertical="center" wrapText="true"/>
    </xf>
    <xf applyAlignment="true" applyBorder="false" applyFill="true" applyFont="true" applyNumberFormat="false" applyProtection="false" borderId="63" fillId="48" fontId="5" numFmtId="0" xfId="0">
      <alignment horizontal="right" vertical="center" wrapText="true"/>
    </xf>
    <xf applyAlignment="true" applyBorder="false" applyFill="true" applyFont="true" applyNumberFormat="false" applyProtection="false" borderId="64" fillId="48" fontId="5" numFmtId="0" xfId="0">
      <alignment horizontal="right" vertical="center" wrapText="true"/>
    </xf>
    <xf applyAlignment="true" applyBorder="false" applyFill="true" applyFont="true" applyNumberFormat="true" applyProtection="false" borderId="63" fillId="48" fontId="5" numFmtId="193" xfId="0">
      <alignment horizontal="right" vertical="center" wrapText="true"/>
    </xf>
    <xf applyAlignment="true" applyBorder="false" applyFill="true" applyFont="true" applyNumberFormat="true" applyProtection="false" borderId="63" fillId="48" fontId="5" numFmtId="200" xfId="0">
      <alignment horizontal="right" vertical="center" wrapText="true"/>
    </xf>
    <xf applyAlignment="true" applyBorder="false" applyFill="true" applyFont="true" applyNumberFormat="true" applyProtection="false" borderId="0" fillId="43" fontId="1" numFmtId="197" xfId="0">
      <alignment horizontal="center" vertical="center"/>
    </xf>
    <xf applyAlignment="true" applyBorder="false" applyFill="true" applyFont="true" applyNumberFormat="true" applyProtection="false" borderId="0" fillId="43" fontId="1" numFmtId="198" xfId="0">
      <alignment horizontal="center" vertical="center"/>
    </xf>
    <xf applyAlignment="true" applyBorder="false" applyFill="true" applyFont="true" applyNumberFormat="false" applyProtection="false" borderId="0" fillId="49" fontId="6" numFmtId="0" xfId="0">
      <alignment vertical="center"/>
    </xf>
    <xf applyAlignment="true" applyBorder="false" applyFill="true" applyFont="true" applyNumberFormat="false" applyProtection="false" borderId="0" fillId="49" fontId="6" numFmtId="0" xfId="0">
      <alignment horizontal="center" vertical="center"/>
    </xf>
    <xf applyAlignment="true" applyBorder="false" applyFill="true" applyFont="true" applyNumberFormat="false" applyProtection="false" borderId="65" fillId="50" fontId="1" numFmtId="0" xfId="0">
      <alignment horizontal="center" vertical="center"/>
    </xf>
    <xf applyAlignment="true" applyBorder="false" applyFill="true" applyFont="true" applyNumberFormat="false" applyProtection="false" borderId="66" fillId="50" fontId="1" numFmtId="0" xfId="0">
      <alignment horizontal="center" vertical="center"/>
    </xf>
    <xf applyAlignment="true" applyBorder="false" applyFill="true" applyFont="true" applyNumberFormat="true" applyProtection="false" borderId="67" fillId="51" fontId="1" numFmtId="203" xfId="0">
      <alignment horizontal="center" vertical="center"/>
    </xf>
    <xf applyAlignment="true" applyBorder="false" applyFill="true" applyFont="true" applyNumberFormat="true" applyProtection="false" borderId="67" fillId="51" fontId="1" numFmtId="204" xfId="0">
      <alignment horizontal="center" vertical="center"/>
    </xf>
    <xf applyAlignment="true" applyBorder="false" applyFill="true" applyFont="true" applyNumberFormat="false" applyProtection="false" borderId="68" fillId="51" fontId="1" numFmtId="0" xfId="0">
      <alignment horizontal="center" vertical="center"/>
    </xf>
    <xf applyAlignment="true" applyBorder="false" applyFill="true" applyFont="true" applyNumberFormat="false" applyProtection="false" borderId="69" fillId="51" fontId="1" numFmtId="0" xfId="0">
      <alignment horizontal="center" vertical="center"/>
    </xf>
    <xf applyAlignment="true" applyBorder="false" applyFill="true" applyFont="true" applyNumberFormat="false" applyProtection="false" borderId="69" fillId="52" fontId="1" numFmtId="0" xfId="0">
      <alignment horizontal="center" vertical="center"/>
    </xf>
    <xf applyAlignment="true" applyBorder="false" applyFill="true" applyFont="true" applyNumberFormat="false" applyProtection="false" borderId="69" fillId="53" fontId="1" numFmtId="0" xfId="0">
      <alignment horizontal="center" vertical="center"/>
    </xf>
    <xf applyAlignment="true" applyBorder="false" applyFill="true" applyFont="true" applyNumberFormat="false" applyProtection="false" borderId="70" fillId="54" fontId="1" numFmtId="0" xfId="0">
      <alignment horizontal="center" vertical="center"/>
    </xf>
    <xf applyAlignment="true" applyBorder="false" applyFill="false" applyFont="true" applyNumberFormat="true" applyProtection="false" borderId="69" fillId="0" fontId="1" numFmtId="205" xfId="0">
      <alignment horizontal="center" vertical="center"/>
    </xf>
    <xf applyAlignment="true" applyBorder="false" applyFill="false" applyFont="true" applyNumberFormat="false" applyProtection="false" borderId="69" fillId="0" fontId="1" numFmtId="0" xfId="0">
      <alignment horizontal="center" vertical="center"/>
    </xf>
    <xf applyAlignment="true" applyBorder="false" applyFill="true" applyFont="true" applyNumberFormat="true" applyProtection="false" borderId="69" fillId="55" fontId="1" numFmtId="205" xfId="0">
      <alignment horizontal="center" vertical="center"/>
    </xf>
    <xf applyAlignment="true" applyBorder="false" applyFill="false" applyFont="true" applyNumberFormat="false" applyProtection="false" borderId="71" fillId="0" fontId="1" numFmtId="0" xfId="0">
      <alignment horizontal="center" vertical="center"/>
    </xf>
    <xf applyAlignment="true" applyBorder="false" applyFill="true" applyFont="true" applyNumberFormat="true" applyProtection="false" borderId="72" fillId="56" fontId="1" numFmtId="206" xfId="0">
      <alignment horizontal="center" vertical="center"/>
    </xf>
    <xf applyAlignment="true" applyBorder="false" applyFill="false" applyFont="true" applyNumberFormat="true" applyProtection="false" borderId="73" fillId="0" fontId="1" numFmtId="207" xfId="0">
      <alignment horizontal="center" vertical="center"/>
    </xf>
    <xf applyAlignment="true" applyBorder="false" applyFill="false" applyFont="true" applyNumberFormat="false" applyProtection="false" borderId="72" fillId="0" fontId="1" numFmtId="0" xfId="0">
      <alignment horizontal="center" vertical="center"/>
    </xf>
    <xf applyAlignment="true" applyBorder="false" applyFill="false" applyFont="true" applyNumberFormat="true" applyProtection="false" borderId="74" fillId="0" fontId="1" numFmtId="203" xfId="0">
      <alignment horizontal="center" vertical="center"/>
    </xf>
    <xf applyAlignment="true" applyBorder="false" applyFill="false" applyFont="true" applyNumberFormat="true" applyProtection="false" borderId="67" fillId="0" fontId="1" numFmtId="204" xfId="0">
      <alignment horizontal="center" vertical="center"/>
    </xf>
    <xf applyAlignment="true" applyBorder="false" applyFill="false" applyFont="true" applyNumberFormat="true" applyProtection="false" borderId="75" fillId="0" fontId="1" numFmtId="208" xfId="0">
      <alignment horizontal="center" vertical="center"/>
    </xf>
    <xf applyAlignment="true" applyBorder="false" applyFill="false" applyFont="true" applyNumberFormat="true" applyProtection="false" borderId="75" fillId="0" fontId="1" numFmtId="209" xfId="0">
      <alignment horizontal="center" vertical="center"/>
    </xf>
    <xf applyAlignment="true" applyBorder="false" applyFill="false" applyFont="true" applyNumberFormat="true" applyProtection="false" borderId="69" fillId="0" fontId="1" numFmtId="210" xfId="0">
      <alignment horizontal="center" vertical="center"/>
    </xf>
    <xf applyAlignment="true" applyBorder="false" applyFill="false" applyFont="true" applyNumberFormat="true" applyProtection="false" borderId="75" fillId="0" fontId="1" numFmtId="210" xfId="0">
      <alignment horizontal="center" vertical="center"/>
    </xf>
    <xf applyAlignment="true" applyBorder="false" applyFill="false" applyFont="true" applyNumberFormat="true" applyProtection="false" borderId="69" fillId="0" fontId="1" numFmtId="211" xfId="0">
      <alignment horizontal="center" vertical="center"/>
    </xf>
    <xf applyAlignment="true" applyBorder="false" applyFill="false" applyFont="true" applyNumberFormat="true" applyProtection="false" borderId="69" fillId="0" fontId="1" numFmtId="212" xfId="0">
      <alignment horizontal="center" vertical="center"/>
    </xf>
    <xf applyAlignment="true" applyBorder="false" applyFill="false" applyFont="true" applyNumberFormat="true" applyProtection="false" borderId="69" fillId="0" fontId="1" numFmtId="213" xfId="0">
      <alignment horizontal="center" vertical="center"/>
    </xf>
    <xf applyAlignment="true" applyBorder="false" applyFill="false" applyFont="true" applyNumberFormat="false" applyProtection="false" borderId="75" fillId="0" fontId="1" numFmtId="0" xfId="0">
      <alignment horizontal="center" vertical="center"/>
    </xf>
    <xf applyAlignment="true" applyBorder="false" applyFill="false" applyFont="true" applyNumberFormat="false" applyProtection="false" borderId="75" fillId="0" fontId="1" numFmtId="0" xfId="0">
      <alignment horizontal="center" vertical="center"/>
    </xf>
    <xf applyAlignment="true" applyBorder="false" applyFill="true" applyFont="true" applyNumberFormat="true" applyProtection="false" borderId="69" fillId="56" fontId="1" numFmtId="205" xfId="0">
      <alignment horizontal="center" vertical="center"/>
    </xf>
    <xf applyAlignment="true" applyBorder="false" applyFill="true" applyFont="true" applyNumberFormat="true" applyProtection="false" borderId="69" fillId="56" fontId="1" numFmtId="205" xfId="0">
      <alignment horizontal="center" vertical="center"/>
    </xf>
    <xf applyAlignment="true" applyBorder="false" applyFill="true" applyFont="true" applyNumberFormat="true" applyProtection="false" borderId="69" fillId="56" fontId="1" numFmtId="205" xfId="0">
      <alignment horizontal="center" vertical="center"/>
    </xf>
    <xf applyAlignment="true" applyBorder="false" applyFill="false" applyFont="true" applyNumberFormat="true" applyProtection="false" borderId="72" fillId="0" fontId="1" numFmtId="209" xfId="0">
      <alignment horizontal="center" vertical="center"/>
    </xf>
    <xf applyAlignment="true" applyBorder="false" applyFill="false" applyFont="true" applyNumberFormat="true" applyProtection="false" borderId="72" fillId="0" fontId="1" numFmtId="207" xfId="0">
      <alignment horizontal="center" vertical="center"/>
    </xf>
    <xf applyAlignment="true" applyBorder="false" applyFill="false" applyFont="true" applyNumberFormat="true" applyProtection="false" borderId="76" fillId="0" fontId="1" numFmtId="203" xfId="0">
      <alignment horizontal="center" vertical="center"/>
    </xf>
    <xf applyAlignment="true" applyBorder="false" applyFill="false" applyFont="true" applyNumberFormat="true" applyProtection="false" borderId="70" fillId="0" fontId="1" numFmtId="204" xfId="0">
      <alignment horizontal="center" vertical="center"/>
    </xf>
    <xf applyAlignment="true" applyBorder="false" applyFill="false" applyFont="true" applyNumberFormat="true" applyProtection="false" borderId="69" fillId="0" fontId="1" numFmtId="208" xfId="0">
      <alignment horizontal="center" vertical="center"/>
    </xf>
    <xf applyAlignment="true" applyBorder="false" applyFill="false" applyFont="true" applyNumberFormat="true" applyProtection="false" borderId="75" fillId="0" fontId="1" numFmtId="207" xfId="0">
      <alignment horizontal="center" vertical="center"/>
    </xf>
    <xf applyAlignment="true" applyBorder="false" applyFill="true" applyFont="true" applyNumberFormat="true" applyProtection="false" borderId="73" fillId="57" fontId="1" numFmtId="214" xfId="0">
      <alignment horizontal="center" vertical="center"/>
    </xf>
    <xf applyAlignment="true" applyBorder="false" applyFill="true" applyFont="true" applyNumberFormat="true" applyProtection="false" borderId="69" fillId="57" fontId="1" numFmtId="209" xfId="0">
      <alignment horizontal="center" vertical="center"/>
    </xf>
    <xf applyAlignment="true" applyBorder="false" applyFill="true" applyFont="true" applyNumberFormat="true" applyProtection="false" borderId="69" fillId="57" fontId="1" numFmtId="204" xfId="0">
      <alignment horizontal="center" vertical="center"/>
    </xf>
    <xf applyAlignment="true" applyBorder="false" applyFill="true" applyFont="true" applyNumberFormat="true" applyProtection="false" borderId="69" fillId="57" fontId="1" numFmtId="210" xfId="0">
      <alignment horizontal="center" vertical="center"/>
    </xf>
    <xf applyAlignment="true" applyBorder="false" applyFill="true" applyFont="true" applyNumberFormat="true" applyProtection="false" borderId="75" fillId="57" fontId="1" numFmtId="210" xfId="0">
      <alignment horizontal="center" vertical="center"/>
    </xf>
    <xf applyAlignment="true" applyBorder="false" applyFill="true" applyFont="true" applyNumberFormat="true" applyProtection="false" borderId="69" fillId="57" fontId="1" numFmtId="211" xfId="0">
      <alignment horizontal="center" vertical="center"/>
    </xf>
    <xf applyAlignment="true" applyBorder="false" applyFill="true" applyFont="true" applyNumberFormat="true" applyProtection="false" borderId="69" fillId="57" fontId="1" numFmtId="212" xfId="0">
      <alignment horizontal="center" vertical="center"/>
    </xf>
    <xf applyAlignment="true" applyBorder="false" applyFill="true" applyFont="true" applyNumberFormat="true" applyProtection="false" borderId="69" fillId="57" fontId="1" numFmtId="213" xfId="0">
      <alignment horizontal="center" vertical="center"/>
    </xf>
    <xf applyAlignment="true" applyBorder="false" applyFill="true" applyFont="true" applyNumberFormat="true" applyProtection="false" borderId="69" fillId="57" fontId="1" numFmtId="207" xfId="0">
      <alignment horizontal="center" vertical="center"/>
    </xf>
    <xf applyAlignment="true" applyBorder="false" applyFill="false" applyFont="true" applyNumberFormat="true" applyProtection="false" borderId="76" fillId="0" fontId="1" numFmtId="207" xfId="0">
      <alignment horizontal="center" vertical="center"/>
    </xf>
    <xf applyAlignment="true" applyBorder="false" applyFill="false" applyFont="true" applyNumberFormat="true" applyProtection="false" borderId="77" fillId="0" fontId="1" numFmtId="207" xfId="0">
      <alignment horizontal="center" vertical="center"/>
    </xf>
    <xf applyAlignment="true" applyBorder="false" applyFill="false" applyFont="true" applyNumberFormat="true" applyProtection="false" borderId="70" fillId="0" fontId="1" numFmtId="203" xfId="0">
      <alignment horizontal="center" vertical="center"/>
    </xf>
    <xf applyAlignment="true" applyBorder="false" applyFill="false" applyFont="true" applyNumberFormat="true" applyProtection="false" borderId="71" fillId="0" fontId="1" numFmtId="207" xfId="0">
      <alignment horizontal="center" vertical="center"/>
    </xf>
    <xf applyAlignment="true" applyBorder="false" applyFill="false" applyFont="true" applyNumberFormat="true" applyProtection="false" borderId="69" fillId="0" fontId="1" numFmtId="207" xfId="0">
      <alignment horizontal="center" vertical="center"/>
    </xf>
    <xf applyAlignment="true" applyBorder="false" applyFill="false" applyFont="true" applyNumberFormat="true" applyProtection="false" borderId="67" fillId="0" fontId="1" numFmtId="203" xfId="0">
      <alignment horizontal="center" vertical="center"/>
    </xf>
    <xf applyAlignment="true" applyBorder="false" applyFill="true" applyFont="true" applyNumberFormat="true" applyProtection="false" borderId="78" fillId="56" fontId="1" numFmtId="205" xfId="0">
      <alignment horizontal="center" vertical="center"/>
    </xf>
    <xf applyAlignment="true" applyBorder="false" applyFill="false" applyFont="true" applyNumberFormat="true" applyProtection="false" borderId="69" fillId="0" fontId="1" numFmtId="207" xfId="0">
      <alignment horizontal="center" vertical="center"/>
    </xf>
    <xf applyAlignment="true" applyBorder="false" applyFill="true" applyFont="true" applyNumberFormat="true" applyProtection="false" borderId="75" fillId="57" fontId="1" numFmtId="214" xfId="0">
      <alignment horizontal="center" vertical="center"/>
    </xf>
    <xf applyAlignment="true" applyBorder="false" applyFill="false" applyFont="true" applyNumberFormat="true" applyProtection="false" borderId="0" fillId="0" fontId="1" numFmtId="207" xfId="0">
      <alignment horizontal="center" vertical="center"/>
    </xf>
    <xf applyAlignment="true" applyBorder="false" applyFill="false" applyFont="true" applyNumberFormat="true" applyProtection="false" borderId="75" fillId="0" fontId="1" numFmtId="207" xfId="0">
      <alignment horizontal="center" vertical="center"/>
    </xf>
    <xf applyAlignment="true" applyBorder="false" applyFill="false" applyFont="true" applyNumberFormat="true" applyProtection="false" borderId="69" fillId="0" fontId="1" numFmtId="203" xfId="0">
      <alignment horizontal="center" vertical="center"/>
    </xf>
    <xf applyAlignment="true" applyBorder="false" applyFill="false" applyFont="true" applyNumberFormat="true" applyProtection="false" borderId="69" fillId="0" fontId="1" numFmtId="204" xfId="0">
      <alignment horizontal="center" vertical="center"/>
    </xf>
    <xf applyAlignment="true" applyBorder="false" applyFill="true" applyFont="true" applyNumberFormat="false" applyProtection="false" borderId="79" fillId="58" fontId="2" numFmtId="0" xfId="0">
      <alignment horizontal="center" vertical="center"/>
    </xf>
    <xf applyAlignment="true" applyBorder="false" applyFill="true" applyFont="true" applyNumberFormat="true" applyProtection="false" borderId="80" fillId="58" fontId="2" numFmtId="209" xfId="0">
      <alignment horizontal="center" vertical="center"/>
    </xf>
    <xf applyAlignment="true" applyBorder="false" applyFill="true" applyFont="true" applyNumberFormat="true" applyProtection="false" borderId="80" fillId="58" fontId="2" numFmtId="210" xfId="0">
      <alignment horizontal="center" vertical="center"/>
    </xf>
    <xf applyAlignment="true" applyBorder="false" applyFill="true" applyFont="true" applyNumberFormat="true" applyProtection="false" borderId="65" fillId="58" fontId="2" numFmtId="210" xfId="0">
      <alignment horizontal="center" vertical="center"/>
    </xf>
    <xf applyAlignment="true" applyBorder="false" applyFill="true" applyFont="true" applyNumberFormat="true" applyProtection="false" borderId="65" fillId="58" fontId="2" numFmtId="211" xfId="0">
      <alignment horizontal="center" vertical="center"/>
    </xf>
    <xf applyAlignment="true" applyBorder="false" applyFill="true" applyFont="true" applyNumberFormat="true" applyProtection="false" borderId="65" fillId="58" fontId="1" numFmtId="212" xfId="0">
      <alignment horizontal="center" vertical="center"/>
    </xf>
    <xf applyAlignment="true" applyBorder="false" applyFill="true" applyFont="true" applyNumberFormat="true" applyProtection="false" borderId="65" fillId="58" fontId="1" numFmtId="210" xfId="0">
      <alignment horizontal="center" vertical="center"/>
    </xf>
    <xf applyAlignment="true" applyBorder="false" applyFill="true" applyFont="true" applyNumberFormat="true" applyProtection="false" borderId="65" fillId="58" fontId="1" numFmtId="213" xfId="0">
      <alignment horizontal="center" vertical="center"/>
    </xf>
    <xf applyAlignment="true" applyBorder="false" applyFill="true" applyFont="true" applyNumberFormat="true" applyProtection="false" borderId="65" fillId="58" fontId="1" numFmtId="211" xfId="0">
      <alignment horizontal="center" vertical="center"/>
    </xf>
    <xf applyAlignment="true" applyBorder="false" applyFill="true" applyFont="true" applyNumberFormat="true" applyProtection="false" borderId="65" fillId="58" fontId="2" numFmtId="213" xfId="0">
      <alignment horizontal="center" vertical="center"/>
    </xf>
    <xf applyAlignment="true" applyBorder="false" applyFill="true" applyFont="true" applyNumberFormat="false" applyProtection="false" borderId="65" fillId="58" fontId="1" numFmtId="0" xfId="0">
      <alignment horizontal="center" vertical="center"/>
    </xf>
    <xf applyAlignment="true" applyBorder="false" applyFill="true" applyFont="true" applyNumberFormat="true" applyProtection="false" borderId="80" fillId="58" fontId="2" numFmtId="203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true" applyProtection="false" borderId="69" fillId="59" fontId="1" numFmtId="212" xfId="0">
      <alignment horizontal="center" vertical="center"/>
    </xf>
    <xf applyAlignment="true" applyBorder="false" applyFill="true" applyFont="true" applyNumberFormat="true" applyProtection="false" borderId="69" fillId="59" fontId="1" numFmtId="210" xfId="0">
      <alignment horizontal="center" vertical="center"/>
    </xf>
    <xf applyAlignment="true" applyBorder="false" applyFill="true" applyFont="true" applyNumberFormat="true" applyProtection="false" borderId="69" fillId="59" fontId="1" numFmtId="213" xfId="0">
      <alignment horizontal="center" vertical="center"/>
    </xf>
    <xf applyAlignment="true" applyBorder="false" applyFill="true" applyFont="true" applyNumberFormat="true" applyProtection="false" borderId="69" fillId="59" fontId="1" numFmtId="211" xfId="0">
      <alignment horizontal="center" vertical="center"/>
    </xf>
    <xf applyAlignment="true" applyBorder="false" applyFill="true" applyFont="true" applyNumberFormat="true" applyProtection="false" borderId="75" fillId="59" fontId="1" numFmtId="210" xfId="0">
      <alignment horizontal="center" vertical="center"/>
    </xf>
    <xf applyAlignment="true" applyBorder="false" applyFill="true" applyFont="true" applyNumberFormat="false" applyProtection="false" borderId="72" fillId="50" fontId="1" numFmtId="0" xfId="0">
      <alignment horizontal="center" vertical="center"/>
    </xf>
    <xf applyAlignment="true" applyBorder="false" applyFill="true" applyFont="true" applyNumberFormat="false" applyProtection="false" borderId="81" fillId="50" fontId="1" numFmtId="0" xfId="0">
      <alignment horizontal="center" vertical="center"/>
    </xf>
    <xf applyAlignment="true" applyBorder="false" applyFill="false" applyFont="true" applyNumberFormat="true" applyProtection="false" borderId="0" fillId="0" fontId="6" numFmtId="205" xfId="0">
      <alignment vertical="center"/>
    </xf>
    <xf applyAlignment="true" applyBorder="false" applyFill="false" applyFont="true" applyNumberFormat="true" applyProtection="false" borderId="82" fillId="0" fontId="1" numFmtId="207" xfId="0">
      <alignment horizontal="center" vertical="center"/>
    </xf>
    <xf applyAlignment="true" applyBorder="false" applyFill="false" applyFont="true" applyNumberFormat="true" applyProtection="false" borderId="83" fillId="0" fontId="1" numFmtId="203" xfId="0">
      <alignment horizontal="center" vertical="center"/>
    </xf>
    <xf applyAlignment="true" applyBorder="false" applyFill="false" applyFont="true" applyNumberFormat="true" applyProtection="false" borderId="84" fillId="0" fontId="1" numFmtId="207" xfId="0">
      <alignment horizontal="center" vertical="center"/>
    </xf>
    <xf applyAlignment="true" applyBorder="false" applyFill="false" applyFont="true" applyNumberFormat="true" applyProtection="false" borderId="72" fillId="0" fontId="1" numFmtId="203" xfId="0">
      <alignment horizontal="center" vertical="center"/>
    </xf>
    <xf applyAlignment="true" applyBorder="false" applyFill="false" applyFont="true" applyNumberFormat="true" applyProtection="false" borderId="74" fillId="0" fontId="1" numFmtId="204" xfId="0">
      <alignment horizontal="center" vertical="center"/>
    </xf>
    <xf applyAlignment="true" applyBorder="false" applyFill="false" applyFont="true" applyNumberFormat="true" applyProtection="false" borderId="76" fillId="0" fontId="1" numFmtId="204" xfId="0">
      <alignment horizontal="center" vertical="center"/>
    </xf>
    <xf applyAlignment="true" applyBorder="false" applyFill="true" applyFont="true" applyNumberFormat="true" applyProtection="false" borderId="85" fillId="57" fontId="1" numFmtId="214" xfId="0">
      <alignment horizontal="center" vertical="center"/>
    </xf>
    <xf applyAlignment="true" applyBorder="false" applyFill="true" applyFont="true" applyNumberFormat="true" applyProtection="false" borderId="70" fillId="57" fontId="1" numFmtId="209" xfId="0">
      <alignment horizontal="center" vertical="center"/>
    </xf>
    <xf applyAlignment="true" applyBorder="false" applyFill="false" applyFont="true" applyNumberFormat="true" applyProtection="false" borderId="86" fillId="0" fontId="1" numFmtId="207" xfId="0">
      <alignment horizontal="center" vertical="center"/>
    </xf>
    <xf applyAlignment="true" applyBorder="false" applyFill="false" applyFont="true" applyNumberFormat="false" applyProtection="false" borderId="72" fillId="0" fontId="1" numFmtId="0" xfId="0">
      <alignment horizontal="center" vertical="center"/>
    </xf>
    <xf applyAlignment="true" applyBorder="false" applyFill="false" applyFont="true" applyNumberFormat="true" applyProtection="false" borderId="67" fillId="0" fontId="1" numFmtId="207" xfId="0">
      <alignment horizontal="center" vertical="center"/>
    </xf>
    <xf applyAlignment="true" applyBorder="false" applyFill="false" applyFont="true" applyNumberFormat="true" applyProtection="false" borderId="0" fillId="0" fontId="1" numFmtId="209" xfId="0">
      <alignment vertical="center"/>
    </xf>
    <xf applyAlignment="true" applyBorder="false" applyFill="false" applyFont="true" applyNumberFormat="true" applyProtection="false" borderId="0" fillId="0" fontId="1" numFmtId="209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0" fillId="60" fontId="5" numFmtId="209" xfId="0">
      <alignment horizontal="right" vertical="center"/>
    </xf>
    <xf applyAlignment="true" applyBorder="false" applyFill="true" applyFont="true" applyNumberFormat="false" applyProtection="false" borderId="87" fillId="60" fontId="5" numFmtId="0" xfId="0">
      <alignment horizontal="right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87" fillId="60" fontId="5" numFmtId="209" xfId="0">
      <alignment horizontal="right" vertical="center" wrapText="true"/>
    </xf>
    <xf applyAlignment="true" applyBorder="false" applyFill="true" applyFont="true" applyNumberFormat="true" applyProtection="false" borderId="88" fillId="60" fontId="5" numFmtId="209" xfId="0">
      <alignment horizontal="right" vertical="center" wrapText="true"/>
    </xf>
    <xf applyAlignment="true" applyBorder="false" applyFill="true" applyFont="true" applyNumberFormat="true" applyProtection="false" borderId="88" fillId="59" fontId="5" numFmtId="209" xfId="0">
      <alignment horizontal="right" vertical="center" wrapText="true"/>
    </xf>
    <xf applyAlignment="true" applyBorder="false" applyFill="true" applyFont="true" applyNumberFormat="true" applyProtection="false" borderId="0" fillId="59" fontId="5" numFmtId="209" xfId="0">
      <alignment horizontal="right" vertical="center"/>
    </xf>
    <xf applyAlignment="true" applyBorder="false" applyFill="true" applyFont="true" applyNumberFormat="true" applyProtection="false" borderId="87" fillId="60" fontId="5" numFmtId="204" xfId="0">
      <alignment horizontal="right" vertical="center" wrapText="true"/>
    </xf>
    <xf applyAlignment="true" applyBorder="false" applyFill="false" applyFont="true" applyNumberFormat="true" applyProtection="false" borderId="0" fillId="0" fontId="1" numFmtId="204" xfId="0">
      <alignment vertical="center"/>
    </xf>
    <xf applyAlignment="true" applyBorder="false" applyFill="false" applyFont="true" applyNumberFormat="true" applyProtection="false" borderId="0" fillId="0" fontId="1" numFmtId="212" xfId="0">
      <alignment vertical="center"/>
    </xf>
    <xf applyAlignment="true" applyBorder="false" applyFill="true" applyFont="true" applyNumberFormat="true" applyProtection="false" borderId="0" fillId="59" fontId="1" numFmtId="209" xfId="0">
      <alignment vertical="center"/>
    </xf>
    <xf applyAlignment="true" applyBorder="false" applyFill="true" applyFont="true" applyNumberFormat="true" applyProtection="false" borderId="87" fillId="59" fontId="5" numFmtId="209" xfId="0">
      <alignment horizontal="right" vertical="center" wrapText="true"/>
    </xf>
    <xf applyAlignment="true" applyBorder="false" applyFill="true" applyFont="true" applyNumberFormat="true" applyProtection="false" borderId="0" fillId="60" fontId="5" numFmtId="207" xfId="0">
      <alignment horizontal="right" vertical="center"/>
    </xf>
    <xf applyAlignment="true" applyBorder="false" applyFill="true" applyFont="true" applyNumberFormat="true" applyProtection="false" borderId="0" fillId="59" fontId="1" numFmtId="209" xfId="0">
      <alignment vertical="center"/>
    </xf>
    <xf applyAlignment="true" applyBorder="false" applyFill="true" applyFont="true" applyNumberFormat="true" applyProtection="false" borderId="89" fillId="60" fontId="5" numFmtId="209" xfId="0">
      <alignment horizontal="right" vertical="center" wrapText="true"/>
    </xf>
    <xf applyAlignment="true" applyBorder="false" applyFill="true" applyFont="true" applyNumberFormat="true" applyProtection="false" borderId="90" fillId="60" fontId="5" numFmtId="209" xfId="0">
      <alignment horizontal="right" vertical="center" wrapText="true"/>
    </xf>
    <xf applyAlignment="true" applyBorder="false" applyFill="true" applyFont="true" applyNumberFormat="false" applyProtection="false" borderId="91" fillId="61" fontId="1" numFmtId="0" xfId="0">
      <alignment horizontal="center" vertical="center"/>
    </xf>
    <xf applyAlignment="true" applyBorder="false" applyFill="true" applyFont="true" applyNumberFormat="false" applyProtection="false" borderId="91" fillId="62" fontId="1" numFmtId="0" xfId="0">
      <alignment horizontal="center" vertical="center"/>
    </xf>
    <xf applyAlignment="true" applyBorder="false" applyFill="true" applyFont="true" applyNumberFormat="true" applyProtection="false" borderId="91" fillId="62" fontId="1" numFmtId="215" xfId="0">
      <alignment horizontal="center" vertical="center"/>
    </xf>
    <xf applyAlignment="true" applyBorder="false" applyFill="true" applyFont="true" applyNumberFormat="false" applyProtection="false" borderId="91" fillId="63" fontId="1" numFmtId="0" xfId="0">
      <alignment horizontal="center" vertical="center"/>
    </xf>
    <xf applyAlignment="true" applyBorder="false" applyFill="true" applyFont="true" applyNumberFormat="false" applyProtection="false" borderId="92" fillId="64" fontId="1" numFmtId="0" xfId="0">
      <alignment horizontal="center" vertical="center"/>
    </xf>
    <xf applyAlignment="true" applyBorder="false" applyFill="true" applyFont="true" applyNumberFormat="false" applyProtection="false" borderId="91" fillId="65" fontId="1" numFmtId="0" xfId="0">
      <alignment horizontal="center" vertical="center"/>
    </xf>
    <xf applyAlignment="true" applyBorder="false" applyFill="true" applyFont="true" applyNumberFormat="false" applyProtection="false" borderId="93" fillId="66" fontId="8" numFmtId="0" xfId="0">
      <alignment horizontal="left" vertical="center"/>
    </xf>
    <xf applyAlignment="true" applyBorder="false" applyFill="false" applyFont="true" applyNumberFormat="false" applyProtection="false" borderId="91" fillId="0" fontId="8" numFmtId="0" xfId="0">
      <alignment horizontal="center" vertical="center"/>
    </xf>
    <xf applyAlignment="true" applyBorder="false" applyFill="false" applyFont="true" applyNumberFormat="false" applyProtection="false" borderId="92" fillId="0" fontId="8" numFmtId="0" xfId="0">
      <alignment horizontal="center" vertical="center"/>
    </xf>
    <xf applyAlignment="true" applyBorder="false" applyFill="true" applyFont="true" applyNumberFormat="false" applyProtection="false" borderId="94" fillId="61" fontId="1" numFmtId="0" xfId="0">
      <alignment horizontal="center" vertical="center"/>
    </xf>
    <xf applyAlignment="true" applyBorder="false" applyFill="true" applyFont="true" applyNumberFormat="false" applyProtection="false" borderId="94" fillId="62" fontId="1" numFmtId="0" xfId="0">
      <alignment horizontal="center" vertical="center"/>
    </xf>
    <xf applyAlignment="true" applyBorder="false" applyFill="true" applyFont="true" applyNumberFormat="true" applyProtection="false" borderId="94" fillId="62" fontId="1" numFmtId="215" xfId="0">
      <alignment horizontal="center" vertical="center"/>
    </xf>
    <xf applyAlignment="true" applyBorder="false" applyFill="true" applyFont="true" applyNumberFormat="false" applyProtection="false" borderId="91" fillId="64" fontId="1" numFmtId="0" xfId="0">
      <alignment horizontal="center" vertical="center"/>
    </xf>
    <xf applyAlignment="true" applyBorder="false" applyFill="true" applyFont="true" applyNumberFormat="false" applyProtection="false" borderId="95" fillId="65" fontId="1" numFmtId="0" xfId="0">
      <alignment horizontal="center" vertical="center"/>
    </xf>
    <xf applyAlignment="true" applyBorder="false" applyFill="true" applyFont="true" applyNumberFormat="false" applyProtection="false" borderId="95" fillId="66" fontId="1" numFmtId="0" xfId="0">
      <alignment horizontal="center" vertical="center"/>
    </xf>
    <xf applyAlignment="true" applyBorder="false" applyFill="false" applyFont="true" applyNumberFormat="false" applyProtection="false" borderId="91" fillId="0" fontId="1" numFmtId="0" xfId="0">
      <alignment horizontal="center" vertical="center"/>
    </xf>
    <xf applyAlignment="true" applyBorder="false" applyFill="true" applyFont="true" applyNumberFormat="false" applyProtection="false" borderId="91" fillId="67" fontId="1" numFmtId="0" xfId="0">
      <alignment horizontal="center" vertical="center"/>
    </xf>
    <xf applyAlignment="true" applyBorder="false" applyFill="false" applyFont="true" applyNumberFormat="false" applyProtection="false" borderId="92" fillId="0" fontId="1" numFmtId="0" xfId="0">
      <alignment horizontal="center" vertical="center"/>
    </xf>
    <xf applyAlignment="true" applyBorder="false" applyFill="true" applyFont="true" applyNumberFormat="true" applyProtection="false" borderId="91" fillId="68" fontId="1" numFmtId="216" xfId="0">
      <alignment horizontal="center" vertical="center"/>
    </xf>
    <xf applyAlignment="true" applyBorder="false" applyFill="false" applyFont="true" applyNumberFormat="false" applyProtection="false" borderId="93" fillId="0" fontId="1" numFmtId="0" xfId="0">
      <alignment horizontal="center" vertical="center"/>
    </xf>
    <xf applyAlignment="true" applyBorder="false" applyFill="false" applyFont="true" applyNumberFormat="true" applyProtection="false" borderId="91" fillId="0" fontId="1" numFmtId="217" xfId="0">
      <alignment horizontal="center" vertical="center"/>
    </xf>
    <xf applyAlignment="true" applyBorder="false" applyFill="false" applyFont="true" applyNumberFormat="true" applyProtection="false" borderId="91" fillId="0" fontId="1" numFmtId="215" xfId="0">
      <alignment horizontal="center" vertical="center"/>
    </xf>
    <xf applyAlignment="true" applyBorder="false" applyFill="false" applyFont="true" applyNumberFormat="false" applyProtection="false" borderId="91" fillId="0" fontId="1" numFmtId="0" xfId="0">
      <alignment horizontal="center" vertical="center"/>
    </xf>
    <xf applyAlignment="true" applyBorder="false" applyFill="false" applyFont="true" applyNumberFormat="true" applyProtection="false" borderId="91" fillId="0" fontId="1" numFmtId="218" xfId="0">
      <alignment horizontal="center" vertical="center"/>
    </xf>
    <xf applyAlignment="true" applyBorder="false" applyFill="false" applyFont="true" applyNumberFormat="true" applyProtection="false" borderId="93" fillId="0" fontId="1" numFmtId="218" xfId="0">
      <alignment horizontal="center" vertical="center"/>
    </xf>
    <xf applyAlignment="true" applyBorder="false" applyFill="false" applyFont="true" applyNumberFormat="true" applyProtection="false" borderId="91" fillId="0" fontId="1" numFmtId="219" xfId="0">
      <alignment horizontal="center" vertical="center"/>
    </xf>
    <xf applyAlignment="true" applyBorder="false" applyFill="false" applyFont="true" applyNumberFormat="true" applyProtection="false" borderId="91" fillId="0" fontId="1" numFmtId="220" xfId="0">
      <alignment horizontal="center" vertical="center"/>
    </xf>
    <xf applyAlignment="true" applyBorder="false" applyFill="false" applyFont="true" applyNumberFormat="true" applyProtection="false" borderId="91" fillId="0" fontId="1" numFmtId="221" xfId="0">
      <alignment horizontal="center" vertical="center"/>
    </xf>
    <xf applyAlignment="true" applyBorder="false" applyFill="true" applyFont="true" applyNumberFormat="true" applyProtection="false" borderId="91" fillId="68" fontId="1" numFmtId="222" xfId="0">
      <alignment horizontal="center" vertical="center"/>
    </xf>
    <xf applyAlignment="true" applyBorder="false" applyFill="true" applyFont="true" applyNumberFormat="true" applyProtection="false" borderId="91" fillId="68" fontId="1" numFmtId="222" xfId="0">
      <alignment horizontal="center" vertical="center"/>
    </xf>
    <xf applyAlignment="true" applyBorder="false" applyFill="false" applyFont="true" applyNumberFormat="true" applyProtection="false" borderId="0" fillId="0" fontId="1" numFmtId="215" xfId="0">
      <alignment horizontal="center" vertical="center"/>
    </xf>
    <xf applyAlignment="true" applyBorder="false" applyFill="true" applyFont="true" applyNumberFormat="true" applyProtection="false" borderId="91" fillId="69" fontId="1" numFmtId="223" xfId="0">
      <alignment horizontal="center" vertical="center"/>
    </xf>
    <xf applyAlignment="true" applyBorder="false" applyFill="true" applyFont="true" applyNumberFormat="true" applyProtection="false" borderId="91" fillId="69" fontId="1" numFmtId="224" xfId="0">
      <alignment horizontal="center" vertical="center"/>
    </xf>
    <xf applyAlignment="true" applyBorder="false" applyFill="true" applyFont="true" applyNumberFormat="true" applyProtection="false" borderId="91" fillId="69" fontId="1" numFmtId="215" xfId="0">
      <alignment horizontal="center" vertical="center"/>
    </xf>
    <xf applyAlignment="true" applyBorder="false" applyFill="true" applyFont="true" applyNumberFormat="true" applyProtection="false" borderId="91" fillId="69" fontId="1" numFmtId="218" xfId="0">
      <alignment horizontal="center" vertical="center"/>
    </xf>
    <xf applyAlignment="true" applyBorder="false" applyFill="true" applyFont="true" applyNumberFormat="true" applyProtection="false" borderId="93" fillId="69" fontId="1" numFmtId="218" xfId="0">
      <alignment horizontal="center" vertical="center"/>
    </xf>
    <xf applyAlignment="true" applyBorder="false" applyFill="true" applyFont="true" applyNumberFormat="true" applyProtection="false" borderId="91" fillId="69" fontId="1" numFmtId="219" xfId="0">
      <alignment horizontal="center" vertical="center"/>
    </xf>
    <xf applyAlignment="true" applyBorder="false" applyFill="true" applyFont="true" applyNumberFormat="true" applyProtection="false" borderId="91" fillId="69" fontId="1" numFmtId="220" xfId="0">
      <alignment horizontal="center" vertical="center"/>
    </xf>
    <xf applyAlignment="true" applyBorder="false" applyFill="true" applyFont="true" applyNumberFormat="true" applyProtection="false" borderId="91" fillId="69" fontId="1" numFmtId="221" xfId="0">
      <alignment horizontal="center" vertical="center"/>
    </xf>
    <xf applyAlignment="true" applyBorder="false" applyFill="true" applyFont="true" applyNumberFormat="false" applyProtection="false" borderId="91" fillId="69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96" fillId="70" fontId="2" numFmtId="0" xfId="0">
      <alignment horizontal="center" vertical="center"/>
    </xf>
    <xf applyAlignment="true" applyBorder="false" applyFill="true" applyFont="true" applyNumberFormat="true" applyProtection="false" borderId="95" fillId="70" fontId="2" numFmtId="224" xfId="0">
      <alignment horizontal="center" vertical="center"/>
    </xf>
    <xf applyAlignment="true" applyBorder="false" applyFill="true" applyFont="true" applyNumberFormat="true" applyProtection="false" borderId="95" fillId="70" fontId="2" numFmtId="215" xfId="0">
      <alignment horizontal="center" vertical="center"/>
    </xf>
    <xf applyAlignment="true" applyBorder="false" applyFill="true" applyFont="true" applyNumberFormat="true" applyProtection="false" borderId="95" fillId="70" fontId="2" numFmtId="218" xfId="0">
      <alignment horizontal="center" vertical="center"/>
    </xf>
    <xf applyAlignment="true" applyBorder="false" applyFill="true" applyFont="true" applyNumberFormat="true" applyProtection="false" borderId="91" fillId="70" fontId="2" numFmtId="218" xfId="0">
      <alignment horizontal="center" vertical="center"/>
    </xf>
    <xf applyAlignment="true" applyBorder="false" applyFill="true" applyFont="true" applyNumberFormat="true" applyProtection="false" borderId="91" fillId="70" fontId="2" numFmtId="219" xfId="0">
      <alignment horizontal="center" vertical="center"/>
    </xf>
    <xf applyAlignment="true" applyBorder="false" applyFill="true" applyFont="true" applyNumberFormat="true" applyProtection="false" borderId="91" fillId="70" fontId="1" numFmtId="220" xfId="0">
      <alignment horizontal="center" vertical="center"/>
    </xf>
    <xf applyAlignment="true" applyBorder="false" applyFill="true" applyFont="true" applyNumberFormat="true" applyProtection="false" borderId="91" fillId="70" fontId="1" numFmtId="218" xfId="0">
      <alignment horizontal="center" vertical="center"/>
    </xf>
    <xf applyAlignment="true" applyBorder="false" applyFill="true" applyFont="true" applyNumberFormat="true" applyProtection="false" borderId="91" fillId="70" fontId="1" numFmtId="221" xfId="0">
      <alignment horizontal="center" vertical="center"/>
    </xf>
    <xf applyAlignment="true" applyBorder="false" applyFill="true" applyFont="true" applyNumberFormat="true" applyProtection="false" borderId="91" fillId="70" fontId="1" numFmtId="219" xfId="0">
      <alignment horizontal="center" vertical="center"/>
    </xf>
    <xf applyAlignment="true" applyBorder="false" applyFill="true" applyFont="true" applyNumberFormat="true" applyProtection="false" borderId="91" fillId="70" fontId="2" numFmtId="221" xfId="0">
      <alignment horizontal="center" vertical="center"/>
    </xf>
    <xf applyAlignment="true" applyBorder="false" applyFill="true" applyFont="true" applyNumberFormat="false" applyProtection="false" borderId="91" fillId="70" fontId="1" numFmtId="0" xfId="0">
      <alignment horizontal="center" vertical="center"/>
    </xf>
    <xf applyAlignment="true" applyBorder="false" applyFill="false" applyFont="true" applyNumberFormat="true" applyProtection="false" borderId="91" fillId="0" fontId="1" numFmtId="225" xfId="0">
      <alignment horizontal="center" vertical="center"/>
    </xf>
    <xf applyAlignment="true" applyBorder="false" applyFill="true" applyFont="true" applyNumberFormat="true" applyProtection="false" borderId="91" fillId="69" fontId="1" numFmtId="225" xfId="0">
      <alignment horizontal="center" vertical="center"/>
    </xf>
    <xf applyAlignment="true" applyBorder="false" applyFill="true" applyFont="true" applyNumberFormat="true" applyProtection="false" borderId="95" fillId="70" fontId="2" numFmtId="225" xfId="0">
      <alignment horizontal="center" vertical="center"/>
    </xf>
    <xf applyAlignment="true" applyBorder="false" applyFill="true" applyFont="true" applyNumberFormat="true" applyProtection="false" borderId="94" fillId="62" fontId="1" numFmtId="217" xfId="0">
      <alignment horizontal="center" vertical="center"/>
    </xf>
    <xf applyAlignment="true" applyBorder="false" applyFill="false" applyFont="true" applyNumberFormat="true" applyProtection="false" borderId="91" fillId="0" fontId="1" numFmtId="222" xfId="0">
      <alignment horizontal="center" vertical="center"/>
    </xf>
    <xf applyAlignment="true" applyBorder="false" applyFill="true" applyFont="true" applyNumberFormat="true" applyProtection="false" borderId="91" fillId="67" fontId="1" numFmtId="222" xfId="0">
      <alignment horizontal="center" vertical="center"/>
    </xf>
    <xf applyAlignment="true" applyBorder="false" applyFill="false" applyFont="true" applyNumberFormat="false" applyProtection="false" borderId="93" fillId="0" fontId="1" numFmtId="0" xfId="0">
      <alignment horizontal="center" vertical="center"/>
    </xf>
    <xf applyAlignment="true" applyBorder="false" applyFill="false" applyFont="true" applyNumberFormat="true" applyProtection="false" borderId="91" fillId="0" fontId="1" numFmtId="217" xfId="0">
      <alignment horizontal="center" vertical="center"/>
    </xf>
    <xf applyAlignment="true" applyBorder="false" applyFill="true" applyFont="true" applyNumberFormat="true" applyProtection="false" borderId="91" fillId="68" fontId="1" numFmtId="222" xfId="0">
      <alignment horizontal="center" vertical="center"/>
    </xf>
    <xf applyAlignment="true" applyBorder="false" applyFill="true" applyFont="true" applyNumberFormat="true" applyProtection="false" borderId="91" fillId="68" fontId="1" numFmtId="216" xfId="0">
      <alignment horizontal="center" vertical="center"/>
    </xf>
    <xf applyAlignment="true" applyBorder="false" applyFill="false" applyFont="true" applyNumberFormat="true" applyProtection="false" borderId="91" fillId="0" fontId="1" numFmtId="225" xfId="0">
      <alignment horizontal="center" vertical="center"/>
    </xf>
    <xf applyAlignment="true" applyBorder="false" applyFill="true" applyFont="true" applyNumberFormat="false" applyProtection="false" borderId="94" fillId="70" fontId="1" numFmtId="0" xfId="0">
      <alignment horizontal="center" vertical="center"/>
    </xf>
    <xf applyAlignment="true" applyBorder="false" applyFill="true" applyFont="true" applyNumberFormat="false" applyProtection="false" borderId="92" fillId="61" fontId="1" numFmtId="0" xfId="0">
      <alignment horizontal="center" vertical="center"/>
    </xf>
    <xf applyAlignment="true" applyBorder="false" applyFill="true" applyFont="true" applyNumberFormat="true" applyProtection="false" borderId="97" fillId="62" fontId="1" numFmtId="217" xfId="0">
      <alignment horizontal="center" vertical="center"/>
    </xf>
    <xf applyAlignment="true" applyBorder="false" applyFill="true" applyFont="true" applyNumberFormat="true" applyProtection="false" borderId="97" fillId="62" fontId="1" numFmtId="215" xfId="0">
      <alignment horizontal="center" vertical="center"/>
    </xf>
    <xf applyAlignment="true" applyBorder="false" applyFill="true" applyFont="true" applyNumberFormat="false" applyProtection="false" borderId="98" fillId="62" fontId="1" numFmtId="0" xfId="0">
      <alignment horizontal="center" vertical="center"/>
    </xf>
    <xf applyAlignment="true" applyBorder="false" applyFill="false" applyFont="true" applyNumberFormat="true" applyProtection="false" borderId="97" fillId="0" fontId="1" numFmtId="217" xfId="0">
      <alignment horizontal="center" vertical="center"/>
    </xf>
    <xf applyAlignment="true" applyBorder="false" applyFill="false" applyFont="true" applyNumberFormat="true" applyProtection="false" borderId="97" fillId="0" fontId="1" numFmtId="215" xfId="0">
      <alignment horizontal="center" vertical="center"/>
    </xf>
    <xf applyAlignment="true" applyBorder="false" applyFill="false" applyFont="true" applyNumberFormat="true" applyProtection="false" borderId="93" fillId="0" fontId="1" numFmtId="225" xfId="0">
      <alignment horizontal="center" vertical="center"/>
    </xf>
    <xf applyAlignment="true" applyBorder="false" applyFill="false" applyFont="true" applyNumberFormat="true" applyProtection="false" borderId="95" fillId="0" fontId="1" numFmtId="217" xfId="0">
      <alignment horizontal="center" vertical="center"/>
    </xf>
    <xf applyAlignment="true" applyBorder="false" applyFill="false" applyFont="true" applyNumberFormat="true" applyProtection="false" borderId="95" fillId="0" fontId="1" numFmtId="215" xfId="0">
      <alignment horizontal="center" vertical="center"/>
    </xf>
    <xf applyAlignment="true" applyBorder="false" applyFill="false" applyFont="true" applyNumberFormat="true" applyProtection="false" borderId="97" fillId="0" fontId="1" numFmtId="217" xfId="0">
      <alignment horizontal="center" vertical="center"/>
    </xf>
    <xf applyAlignment="true" applyBorder="false" applyFill="false" applyFont="true" applyNumberFormat="true" applyProtection="false" borderId="95" fillId="0" fontId="1" numFmtId="217" xfId="0">
      <alignment horizontal="center" vertical="center"/>
    </xf>
    <xf applyAlignment="true" applyBorder="false" applyFill="true" applyFont="true" applyNumberFormat="false" applyProtection="false" borderId="98" fillId="62" fontId="1" numFmtId="0" xfId="0">
      <alignment horizontal="center" vertical="center"/>
    </xf>
    <xf applyAlignment="true" applyBorder="false" applyFill="false" applyFont="true" applyNumberFormat="true" applyProtection="false" borderId="93" fillId="0" fontId="1" numFmtId="224" xfId="0">
      <alignment horizontal="center" vertical="center"/>
    </xf>
    <xf applyAlignment="true" applyBorder="false" applyFill="false" applyFont="true" applyNumberFormat="false" applyProtection="false" borderId="92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true" applyProtection="false" borderId="99" fillId="68" fontId="1" numFmtId="222" xfId="0">
      <alignment horizontal="center" vertical="center"/>
    </xf>
    <xf applyAlignment="true" applyBorder="false" applyFill="true" applyFont="true" applyNumberFormat="true" applyProtection="false" borderId="99" fillId="68" fontId="1" numFmtId="222" xfId="0">
      <alignment horizontal="center" vertical="center"/>
    </xf>
    <xf applyAlignment="true" applyBorder="false" applyFill="true" applyFont="true" applyNumberFormat="true" applyProtection="false" borderId="95" fillId="68" fontId="1" numFmtId="222" xfId="0">
      <alignment horizontal="center" vertical="center"/>
    </xf>
    <xf applyAlignment="true" applyBorder="false" applyFill="true" applyFont="true" applyNumberFormat="true" applyProtection="false" borderId="94" fillId="68" fontId="1" numFmtId="216" xfId="0">
      <alignment horizontal="center" vertical="center"/>
    </xf>
    <xf applyAlignment="true" applyBorder="false" applyFill="true" applyFont="true" applyNumberFormat="false" applyProtection="false" borderId="100" fillId="70" fontId="2" numFmtId="0" xfId="0">
      <alignment horizontal="center" vertical="center"/>
    </xf>
    <xf applyAlignment="true" applyBorder="false" applyFill="true" applyFont="true" applyNumberFormat="true" applyProtection="false" borderId="101" fillId="70" fontId="2" numFmtId="224" xfId="0">
      <alignment horizontal="center" vertical="center"/>
    </xf>
    <xf applyAlignment="true" applyBorder="false" applyFill="true" applyFont="true" applyNumberFormat="true" applyProtection="false" borderId="101" fillId="70" fontId="2" numFmtId="218" xfId="0">
      <alignment horizontal="center" vertical="center"/>
    </xf>
    <xf applyAlignment="true" applyBorder="false" applyFill="true" applyFont="true" applyNumberFormat="true" applyProtection="false" borderId="94" fillId="70" fontId="2" numFmtId="218" xfId="0">
      <alignment horizontal="center" vertical="center"/>
    </xf>
    <xf applyAlignment="true" applyBorder="false" applyFill="true" applyFont="true" applyNumberFormat="true" applyProtection="false" borderId="94" fillId="70" fontId="2" numFmtId="219" xfId="0">
      <alignment horizontal="center" vertical="center"/>
    </xf>
    <xf applyAlignment="true" applyBorder="false" applyFill="true" applyFont="true" applyNumberFormat="true" applyProtection="false" borderId="94" fillId="70" fontId="1" numFmtId="220" xfId="0">
      <alignment horizontal="center" vertical="center"/>
    </xf>
    <xf applyAlignment="true" applyBorder="false" applyFill="true" applyFont="true" applyNumberFormat="true" applyProtection="false" borderId="94" fillId="70" fontId="1" numFmtId="218" xfId="0">
      <alignment horizontal="center" vertical="center"/>
    </xf>
    <xf applyAlignment="true" applyBorder="false" applyFill="true" applyFont="true" applyNumberFormat="true" applyProtection="false" borderId="94" fillId="70" fontId="1" numFmtId="221" xfId="0">
      <alignment horizontal="center" vertical="center"/>
    </xf>
    <xf applyAlignment="true" applyBorder="false" applyFill="true" applyFont="true" applyNumberFormat="true" applyProtection="false" borderId="94" fillId="70" fontId="1" numFmtId="219" xfId="0">
      <alignment horizontal="center" vertical="center"/>
    </xf>
    <xf applyAlignment="true" applyBorder="false" applyFill="true" applyFont="true" applyNumberFormat="true" applyProtection="false" borderId="94" fillId="70" fontId="2" numFmtId="221" xfId="0">
      <alignment horizontal="center" vertical="center"/>
    </xf>
    <xf applyAlignment="true" applyBorder="false" applyFill="true" applyFont="true" applyNumberFormat="true" applyProtection="false" borderId="101" fillId="70" fontId="2" numFmtId="215" xfId="0">
      <alignment horizontal="center" vertical="center"/>
    </xf>
    <xf applyAlignment="true" applyBorder="false" applyFill="true" applyFont="true" applyNumberFormat="true" applyProtection="false" borderId="102" fillId="62" fontId="1" numFmtId="217" xfId="0">
      <alignment horizontal="center" vertical="center"/>
    </xf>
    <xf applyAlignment="true" applyBorder="false" applyFill="true" applyFont="true" applyNumberFormat="true" applyProtection="false" borderId="102" fillId="62" fontId="1" numFmtId="215" xfId="0">
      <alignment horizontal="center" vertical="center"/>
    </xf>
    <xf applyAlignment="true" applyBorder="false" applyFill="false" applyFont="true" applyNumberFormat="true" applyProtection="false" borderId="102" fillId="0" fontId="1" numFmtId="217" xfId="0">
      <alignment horizontal="center" vertical="center"/>
    </xf>
    <xf applyAlignment="true" applyBorder="false" applyFill="false" applyFont="true" applyNumberFormat="true" applyProtection="false" borderId="102" fillId="0" fontId="1" numFmtId="215" xfId="0">
      <alignment horizontal="center" vertical="center"/>
    </xf>
    <xf applyAlignment="true" applyBorder="false" applyFill="false" applyFont="true" applyNumberFormat="true" applyProtection="false" borderId="93" fillId="0" fontId="1" numFmtId="224" xfId="0">
      <alignment horizontal="center" vertical="center"/>
    </xf>
    <xf applyAlignment="true" applyBorder="false" applyFill="false" applyFont="true" applyNumberFormat="true" applyProtection="false" borderId="93" fillId="0" fontId="1" numFmtId="217" xfId="0">
      <alignment horizontal="center" vertical="center"/>
    </xf>
    <xf applyAlignment="true" applyBorder="false" applyFill="false" applyFont="true" applyNumberFormat="true" applyProtection="false" borderId="92" fillId="0" fontId="1" numFmtId="224" xfId="0">
      <alignment horizontal="center" vertical="center"/>
    </xf>
    <xf applyAlignment="true" applyBorder="false" applyFill="false" applyFont="true" applyNumberFormat="true" applyProtection="false" borderId="93" fillId="0" fontId="1" numFmtId="226" xfId="0">
      <alignment horizontal="center" vertical="center"/>
    </xf>
    <xf applyAlignment="true" applyBorder="false" applyFill="false" applyFont="true" applyNumberFormat="true" applyProtection="false" borderId="91" fillId="0" fontId="1" numFmtId="226" xfId="0">
      <alignment horizontal="center" vertical="center"/>
    </xf>
    <xf applyAlignment="true" applyBorder="false" applyFill="true" applyFont="true" applyNumberFormat="true" applyProtection="false" borderId="91" fillId="69" fontId="1" numFmtId="226" xfId="0">
      <alignment horizontal="center" vertical="center"/>
    </xf>
    <xf applyAlignment="true" applyBorder="false" applyFill="false" applyFont="true" applyNumberFormat="true" applyProtection="false" borderId="92" fillId="0" fontId="1" numFmtId="226" xfId="0">
      <alignment horizontal="center" vertical="center"/>
    </xf>
    <xf applyAlignment="true" applyBorder="false" applyFill="false" applyFont="true" applyNumberFormat="true" applyProtection="false" borderId="0" fillId="0" fontId="1" numFmtId="226" xfId="0">
      <alignment horizontal="center" vertical="center"/>
    </xf>
    <xf applyAlignment="true" applyBorder="false" applyFill="true" applyFont="true" applyNumberFormat="true" applyProtection="false" borderId="103" fillId="68" fontId="1" numFmtId="222" xfId="0">
      <alignment horizontal="center" vertical="center"/>
    </xf>
    <xf applyAlignment="true" applyBorder="false" applyFill="false" applyFont="true" applyNumberFormat="true" applyProtection="false" borderId="102" fillId="0" fontId="1" numFmtId="217" xfId="0">
      <alignment horizontal="center" vertical="center"/>
    </xf>
    <xf applyAlignment="true" applyBorder="false" applyFill="false" applyFont="true" applyNumberFormat="true" applyProtection="false" borderId="102" fillId="0" fontId="1" numFmtId="215" xfId="0">
      <alignment horizontal="center" vertical="center"/>
    </xf>
    <xf applyAlignment="true" applyBorder="false" applyFill="false" applyFont="true" applyNumberFormat="true" applyProtection="false" borderId="93" fillId="0" fontId="1" numFmtId="225" xfId="0">
      <alignment horizontal="center" vertical="center"/>
    </xf>
    <xf applyAlignment="true" applyBorder="false" applyFill="false" applyFont="true" applyNumberFormat="true" applyProtection="false" borderId="95" fillId="0" fontId="1" numFmtId="215" xfId="0">
      <alignment horizontal="center" vertical="center"/>
    </xf>
    <xf applyAlignment="true" applyBorder="false" applyFill="false" applyFont="true" applyNumberFormat="true" applyProtection="false" borderId="93" fillId="0" fontId="1" numFmtId="226" xfId="0">
      <alignment horizontal="center" vertical="center"/>
    </xf>
    <xf applyAlignment="true" applyBorder="false" applyFill="true" applyFont="true" applyNumberFormat="false" applyProtection="false" borderId="104" fillId="61" fontId="1" numFmtId="0" xfId="0">
      <alignment horizontal="center" vertical="center"/>
    </xf>
    <xf applyAlignment="true" applyBorder="false" applyFill="true" applyFont="true" applyNumberFormat="true" applyProtection="false" borderId="92" fillId="68" fontId="1" numFmtId="216" xfId="0">
      <alignment horizontal="center" vertical="center"/>
    </xf>
    <xf applyAlignment="true" applyBorder="false" applyFill="false" applyFont="true" applyNumberFormat="true" applyProtection="false" borderId="97" fillId="0" fontId="1" numFmtId="226" xfId="0">
      <alignment horizontal="center" vertical="center"/>
    </xf>
    <xf applyAlignment="true" applyBorder="false" applyFill="false" applyFont="true" applyNumberFormat="false" applyProtection="false" borderId="97" fillId="0" fontId="1" numFmtId="0" xfId="0">
      <alignment horizontal="center" vertical="center"/>
    </xf>
    <xf applyAlignment="true" applyBorder="false" applyFill="false" applyFont="true" applyNumberFormat="true" applyProtection="false" borderId="105" fillId="0" fontId="1" numFmtId="217" xfId="0">
      <alignment horizontal="center" vertical="center"/>
    </xf>
    <xf applyAlignment="true" applyBorder="false" applyFill="false" applyFont="true" applyNumberFormat="true" applyProtection="false" borderId="97" fillId="0" fontId="1" numFmtId="224" xfId="0">
      <alignment horizontal="center" vertical="center"/>
    </xf>
    <xf applyAlignment="true" applyBorder="false" applyFill="false" applyFont="true" applyNumberFormat="true" applyProtection="false" borderId="97" fillId="0" fontId="1" numFmtId="226" xfId="0">
      <alignment horizontal="center" vertical="center"/>
    </xf>
    <xf applyAlignment="true" applyBorder="false" applyFill="false" applyFont="true" applyNumberFormat="true" applyProtection="false" borderId="96" fillId="0" fontId="1" numFmtId="217" xfId="0">
      <alignment horizontal="center" vertical="center"/>
    </xf>
    <xf applyAlignment="true" applyBorder="false" applyFill="true" applyFont="true" applyNumberFormat="true" applyProtection="false" borderId="97" fillId="69" fontId="1" numFmtId="223" xfId="0">
      <alignment horizontal="center" vertical="center"/>
    </xf>
    <xf applyAlignment="true" applyBorder="false" applyFill="true" applyFont="true" applyNumberFormat="true" applyProtection="false" borderId="93" fillId="69" fontId="1" numFmtId="224" xfId="0">
      <alignment horizontal="center" vertical="center"/>
    </xf>
    <xf applyAlignment="true" applyBorder="false" applyFill="false" applyFont="true" applyNumberFormat="true" applyProtection="false" borderId="96" fillId="0" fontId="1" numFmtId="226" xfId="0">
      <alignment horizontal="center" vertical="center"/>
    </xf>
    <xf applyAlignment="true" applyBorder="false" applyFill="false" applyFont="true" applyNumberFormat="true" applyProtection="false" borderId="106" fillId="0" fontId="1" numFmtId="226" xfId="0">
      <alignment horizontal="center" vertical="center"/>
    </xf>
    <xf applyAlignment="true" applyBorder="false" applyFill="true" applyFont="true" applyNumberFormat="true" applyProtection="false" borderId="97" fillId="68" fontId="1" numFmtId="216" xfId="0">
      <alignment horizontal="center" vertical="center"/>
    </xf>
    <xf applyAlignment="true" applyBorder="false" applyFill="false" applyFont="true" applyNumberFormat="true" applyProtection="false" borderId="107" fillId="0" fontId="1" numFmtId="226" xfId="0">
      <alignment horizontal="center" vertical="center"/>
    </xf>
    <xf applyAlignment="true" applyBorder="false" applyFill="true" applyFont="true" applyNumberFormat="true" applyProtection="false" borderId="107" fillId="69" fontId="1" numFmtId="223" xfId="0">
      <alignment horizontal="center" vertical="center"/>
    </xf>
    <xf applyAlignment="true" applyBorder="false" applyFill="true" applyFont="true" applyNumberFormat="true" applyProtection="false" borderId="93" fillId="69" fontId="1" numFmtId="223" xfId="0">
      <alignment horizontal="center" vertical="center"/>
    </xf>
    <xf applyAlignment="true" applyBorder="false" applyFill="false" applyFont="true" applyNumberFormat="true" applyProtection="false" borderId="96" fillId="0" fontId="1" numFmtId="226" xfId="0">
      <alignment horizontal="center" vertical="center"/>
    </xf>
    <xf applyAlignment="true" applyBorder="false" applyFill="false" applyFont="true" applyNumberFormat="true" applyProtection="false" borderId="102" fillId="0" fontId="1" numFmtId="226" xfId="0">
      <alignment horizontal="center" vertical="center"/>
    </xf>
    <xf applyAlignment="true" applyBorder="false" applyFill="false" applyFont="true" applyNumberFormat="true" applyProtection="false" borderId="91" fillId="0" fontId="1" numFmtId="226" xfId="0">
      <alignment horizontal="center" vertical="center"/>
    </xf>
    <xf applyAlignment="true" applyBorder="false" applyFill="false" applyFont="true" applyNumberFormat="true" applyProtection="false" borderId="0" fillId="0" fontId="1" numFmtId="224" xfId="0">
      <alignment vertical="center"/>
    </xf>
    <xf applyAlignment="true" applyBorder="false" applyFill="false" applyFont="true" applyNumberFormat="true" applyProtection="false" borderId="0" fillId="0" fontId="1" numFmtId="224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0" fillId="71" fontId="5" numFmtId="224" xfId="0">
      <alignment horizontal="right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108" fillId="0" fontId="5" numFmtId="224" xfId="0">
      <alignment horizontal="right" vertical="center" wrapText="true"/>
    </xf>
    <xf applyAlignment="true" applyBorder="false" applyFill="false" applyFont="true" applyNumberFormat="true" applyProtection="false" borderId="109" fillId="0" fontId="5" numFmtId="224" xfId="0">
      <alignment horizontal="right" vertical="center" wrapText="true"/>
    </xf>
    <xf applyAlignment="true" applyBorder="false" applyFill="true" applyFont="true" applyNumberFormat="true" applyProtection="false" borderId="0" fillId="72" fontId="5" numFmtId="224" xfId="0">
      <alignment horizontal="right" vertical="center"/>
    </xf>
    <xf applyAlignment="true" applyBorder="false" applyFill="false" applyFont="true" applyNumberFormat="true" applyProtection="false" borderId="0" fillId="0" fontId="1" numFmtId="215" xfId="0">
      <alignment vertical="center"/>
    </xf>
    <xf applyAlignment="true" applyBorder="false" applyFill="false" applyFont="true" applyNumberFormat="true" applyProtection="false" borderId="0" fillId="0" fontId="1" numFmtId="215" xfId="0">
      <alignment vertical="center"/>
    </xf>
    <xf applyAlignment="true" applyBorder="false" applyFill="true" applyFont="true" applyNumberFormat="true" applyProtection="false" borderId="0" fillId="73" fontId="5" numFmtId="224" xfId="0">
      <alignment horizontal="right" vertical="center"/>
    </xf>
    <xf applyAlignment="true" applyBorder="false" applyFill="false" applyFont="true" applyNumberFormat="true" applyProtection="false" borderId="0" fillId="0" fontId="6" numFmtId="224" xfId="0">
      <alignment vertical="center"/>
    </xf>
    <xf applyAlignment="true" applyBorder="false" applyFill="false" applyFont="true" applyNumberFormat="true" applyProtection="false" borderId="0" fillId="0" fontId="6" numFmtId="224" xfId="0">
      <alignment vertical="center"/>
    </xf>
    <xf applyAlignment="true" applyBorder="false" applyFill="true" applyFont="true" applyNumberFormat="true" applyProtection="false" borderId="108" fillId="72" fontId="5" numFmtId="224" xfId="0">
      <alignment horizontal="right" vertical="center" wrapText="true"/>
    </xf>
    <xf applyAlignment="true" applyBorder="false" applyFill="true" applyFont="true" applyNumberFormat="true" applyProtection="false" borderId="109" fillId="72" fontId="5" numFmtId="224" xfId="0">
      <alignment horizontal="right" vertical="center" wrapText="true"/>
    </xf>
    <xf applyAlignment="true" applyBorder="false" applyFill="false" applyFont="true" applyNumberFormat="true" applyProtection="false" borderId="0" fillId="0" fontId="1" numFmtId="224" xfId="0">
      <alignment vertical="center"/>
    </xf>
    <xf applyAlignment="true" applyBorder="false" applyFill="true" applyFont="true" applyNumberFormat="false" applyProtection="false" borderId="110" fillId="74" fontId="1" numFmtId="0" xfId="0">
      <alignment horizontal="center" vertical="center"/>
    </xf>
    <xf applyAlignment="true" applyBorder="false" applyFill="true" applyFont="true" applyNumberFormat="false" applyProtection="false" borderId="111" fillId="75" fontId="1" numFmtId="0" xfId="0">
      <alignment horizontal="center" vertical="center"/>
    </xf>
    <xf applyAlignment="true" applyBorder="false" applyFill="true" applyFont="true" applyNumberFormat="false" applyProtection="false" borderId="110" fillId="76" fontId="1" numFmtId="0" xfId="0">
      <alignment horizontal="center" vertical="center"/>
    </xf>
    <xf applyAlignment="true" applyBorder="false" applyFill="true" applyFont="true" applyNumberFormat="false" applyProtection="false" borderId="112" fillId="77" fontId="1" numFmtId="0" xfId="0">
      <alignment horizontal="center" vertical="center"/>
    </xf>
    <xf applyAlignment="true" applyBorder="false" applyFill="true" applyFont="true" applyNumberFormat="false" applyProtection="false" borderId="110" fillId="78" fontId="1" numFmtId="0" xfId="0">
      <alignment horizontal="center" vertical="center"/>
    </xf>
    <xf applyAlignment="true" applyBorder="false" applyFill="false" applyFont="true" applyNumberFormat="false" applyProtection="false" borderId="110" fillId="0" fontId="8" numFmtId="0" xfId="0">
      <alignment horizontal="center" vertical="center"/>
    </xf>
    <xf applyAlignment="true" applyBorder="false" applyFill="false" applyFont="true" applyNumberFormat="false" applyProtection="false" borderId="112" fillId="0" fontId="8" numFmtId="0" xfId="0">
      <alignment horizontal="center" vertical="center"/>
    </xf>
    <xf applyAlignment="true" applyBorder="false" applyFill="true" applyFont="true" applyNumberFormat="false" applyProtection="false" borderId="111" fillId="74" fontId="1" numFmtId="0" xfId="0">
      <alignment horizontal="center" vertical="center"/>
    </xf>
    <xf applyAlignment="true" applyBorder="false" applyFill="true" applyFont="true" applyNumberFormat="false" applyProtection="false" borderId="112" fillId="74" fontId="1" numFmtId="0" xfId="0">
      <alignment horizontal="center" vertical="center"/>
    </xf>
    <xf applyAlignment="true" applyBorder="false" applyFill="true" applyFont="true" applyNumberFormat="true" applyProtection="false" borderId="113" fillId="75" fontId="1" numFmtId="227" xfId="0">
      <alignment horizontal="center" vertical="center"/>
    </xf>
    <xf applyAlignment="true" applyBorder="false" applyFill="true" applyFont="true" applyNumberFormat="true" applyProtection="false" borderId="113" fillId="75" fontId="1" numFmtId="228" xfId="0">
      <alignment horizontal="center" vertical="center"/>
    </xf>
    <xf applyAlignment="true" applyBorder="false" applyFill="true" applyFont="true" applyNumberFormat="false" applyProtection="false" borderId="114" fillId="75" fontId="1" numFmtId="0" xfId="0">
      <alignment horizontal="center" vertical="center"/>
    </xf>
    <xf applyAlignment="true" applyBorder="false" applyFill="true" applyFont="true" applyNumberFormat="false" applyProtection="false" borderId="114" fillId="75" fontId="1" numFmtId="0" xfId="0">
      <alignment horizontal="center" vertical="center"/>
    </xf>
    <xf applyAlignment="true" applyBorder="false" applyFill="true" applyFont="true" applyNumberFormat="false" applyProtection="false" borderId="110" fillId="75" fontId="1" numFmtId="0" xfId="0">
      <alignment horizontal="center" vertical="center"/>
    </xf>
    <xf applyAlignment="true" applyBorder="false" applyFill="true" applyFont="true" applyNumberFormat="false" applyProtection="false" borderId="110" fillId="77" fontId="1" numFmtId="0" xfId="0">
      <alignment horizontal="center" vertical="center"/>
    </xf>
    <xf applyAlignment="true" applyBorder="false" applyFill="true" applyFont="true" applyNumberFormat="false" applyProtection="false" borderId="115" fillId="78" fontId="1" numFmtId="0" xfId="0">
      <alignment horizontal="center" vertical="center"/>
    </xf>
    <xf applyAlignment="true" applyBorder="false" applyFill="false" applyFont="true" applyNumberFormat="true" applyProtection="false" borderId="110" fillId="0" fontId="1" numFmtId="229" xfId="0">
      <alignment horizontal="center" vertical="center"/>
    </xf>
    <xf applyAlignment="true" applyBorder="false" applyFill="false" applyFont="true" applyNumberFormat="false" applyProtection="false" borderId="110" fillId="0" fontId="1" numFmtId="0" xfId="0">
      <alignment horizontal="center" vertical="center"/>
    </xf>
    <xf applyAlignment="true" applyBorder="false" applyFill="true" applyFont="true" applyNumberFormat="true" applyProtection="false" borderId="110" fillId="79" fontId="1" numFmtId="229" xfId="0">
      <alignment horizontal="center" vertical="center"/>
    </xf>
    <xf applyAlignment="true" applyBorder="false" applyFill="false" applyFont="true" applyNumberFormat="false" applyProtection="false" borderId="112" fillId="0" fontId="1" numFmtId="0" xfId="0">
      <alignment horizontal="center" vertical="center"/>
    </xf>
    <xf applyAlignment="true" applyBorder="false" applyFill="true" applyFont="true" applyNumberFormat="true" applyProtection="false" borderId="110" fillId="80" fontId="1" numFmtId="230" xfId="0">
      <alignment horizontal="center" vertical="center"/>
    </xf>
    <xf applyAlignment="true" applyBorder="false" applyFill="false" applyFont="true" applyNumberFormat="false" applyProtection="false" borderId="116" fillId="0" fontId="1" numFmtId="0" xfId="0">
      <alignment horizontal="center" vertical="center"/>
    </xf>
    <xf applyAlignment="true" applyBorder="false" applyFill="false" applyFont="true" applyNumberFormat="true" applyProtection="false" borderId="113" fillId="0" fontId="1" numFmtId="227" xfId="0">
      <alignment horizontal="center" vertical="center"/>
    </xf>
    <xf applyAlignment="true" applyBorder="false" applyFill="false" applyFont="true" applyNumberFormat="true" applyProtection="false" borderId="113" fillId="0" fontId="1" numFmtId="228" xfId="0">
      <alignment horizontal="center" vertical="center"/>
    </xf>
    <xf applyAlignment="true" applyBorder="false" applyFill="false" applyFont="true" applyNumberFormat="true" applyProtection="false" borderId="116" fillId="0" fontId="1" numFmtId="231" xfId="0">
      <alignment horizontal="center" vertical="center"/>
    </xf>
    <xf applyAlignment="true" applyBorder="false" applyFill="false" applyFont="true" applyNumberFormat="true" applyProtection="false" borderId="116" fillId="0" fontId="1" numFmtId="232" xfId="0">
      <alignment horizontal="center" vertical="center"/>
    </xf>
    <xf applyAlignment="true" applyBorder="false" applyFill="false" applyFont="true" applyNumberFormat="true" applyProtection="false" borderId="110" fillId="0" fontId="1" numFmtId="233" xfId="0">
      <alignment horizontal="center" vertical="center"/>
    </xf>
    <xf applyAlignment="true" applyBorder="false" applyFill="false" applyFont="true" applyNumberFormat="true" applyProtection="false" borderId="116" fillId="0" fontId="1" numFmtId="233" xfId="0">
      <alignment horizontal="center" vertical="center"/>
    </xf>
    <xf applyAlignment="true" applyBorder="false" applyFill="false" applyFont="true" applyNumberFormat="true" applyProtection="false" borderId="110" fillId="0" fontId="1" numFmtId="234" xfId="0">
      <alignment horizontal="center" vertical="center"/>
    </xf>
    <xf applyAlignment="true" applyBorder="false" applyFill="false" applyFont="true" applyNumberFormat="true" applyProtection="false" borderId="110" fillId="0" fontId="1" numFmtId="235" xfId="0">
      <alignment horizontal="center" vertical="center"/>
    </xf>
    <xf applyAlignment="true" applyBorder="false" applyFill="false" applyFont="true" applyNumberFormat="true" applyProtection="false" borderId="110" fillId="0" fontId="1" numFmtId="236" xfId="0">
      <alignment horizontal="center" vertical="center"/>
    </xf>
    <xf applyAlignment="true" applyBorder="false" applyFill="false" applyFont="true" applyNumberFormat="false" applyProtection="false" borderId="116" fillId="0" fontId="1" numFmtId="0" xfId="0">
      <alignment horizontal="center" vertical="center"/>
    </xf>
    <xf applyAlignment="true" applyBorder="false" applyFill="true" applyFont="true" applyNumberFormat="true" applyProtection="false" borderId="110" fillId="80" fontId="1" numFmtId="229" xfId="0">
      <alignment horizontal="center" vertical="center"/>
    </xf>
    <xf applyAlignment="true" applyBorder="false" applyFill="true" applyFont="true" applyNumberFormat="true" applyProtection="false" borderId="110" fillId="80" fontId="1" numFmtId="229" xfId="0">
      <alignment horizontal="center" vertical="center"/>
    </xf>
    <xf applyAlignment="true" applyBorder="false" applyFill="true" applyFont="true" applyNumberFormat="true" applyProtection="false" borderId="110" fillId="80" fontId="1" numFmtId="229" xfId="0">
      <alignment horizontal="center" vertical="center"/>
    </xf>
    <xf applyAlignment="true" applyBorder="false" applyFill="false" applyFont="true" applyNumberFormat="true" applyProtection="false" borderId="115" fillId="0" fontId="1" numFmtId="227" xfId="0">
      <alignment horizontal="center" vertical="center"/>
    </xf>
    <xf applyAlignment="true" applyBorder="false" applyFill="false" applyFont="true" applyNumberFormat="true" applyProtection="false" borderId="115" fillId="0" fontId="1" numFmtId="228" xfId="0">
      <alignment horizontal="center" vertical="center"/>
    </xf>
    <xf applyAlignment="true" applyBorder="false" applyFill="false" applyFont="true" applyNumberFormat="true" applyProtection="false" borderId="110" fillId="0" fontId="1" numFmtId="231" xfId="0">
      <alignment horizontal="center" vertical="center"/>
    </xf>
    <xf applyAlignment="true" applyBorder="false" applyFill="false" applyFont="true" applyNumberFormat="false" applyProtection="false" borderId="110" fillId="0" fontId="1" numFmtId="0" xfId="0">
      <alignment horizontal="center" vertical="center"/>
    </xf>
    <xf applyAlignment="true" applyBorder="false" applyFill="true" applyFont="true" applyNumberFormat="true" applyProtection="false" borderId="110" fillId="81" fontId="1" numFmtId="237" xfId="0">
      <alignment horizontal="center" vertical="center"/>
    </xf>
    <xf applyAlignment="true" applyBorder="false" applyFill="true" applyFont="true" applyNumberFormat="true" applyProtection="false" borderId="110" fillId="81" fontId="1" numFmtId="232" xfId="0">
      <alignment horizontal="center" vertical="center"/>
    </xf>
    <xf applyAlignment="true" applyBorder="false" applyFill="true" applyFont="true" applyNumberFormat="true" applyProtection="false" borderId="110" fillId="81" fontId="1" numFmtId="233" xfId="0">
      <alignment horizontal="center" vertical="center"/>
    </xf>
    <xf applyAlignment="true" applyBorder="false" applyFill="true" applyFont="true" applyNumberFormat="true" applyProtection="false" borderId="116" fillId="81" fontId="1" numFmtId="233" xfId="0">
      <alignment horizontal="center" vertical="center"/>
    </xf>
    <xf applyAlignment="true" applyBorder="false" applyFill="true" applyFont="true" applyNumberFormat="true" applyProtection="false" borderId="110" fillId="81" fontId="1" numFmtId="234" xfId="0">
      <alignment horizontal="center" vertical="center"/>
    </xf>
    <xf applyAlignment="true" applyBorder="false" applyFill="true" applyFont="true" applyNumberFormat="true" applyProtection="false" borderId="110" fillId="81" fontId="1" numFmtId="235" xfId="0">
      <alignment horizontal="center" vertical="center"/>
    </xf>
    <xf applyAlignment="true" applyBorder="false" applyFill="true" applyFont="true" applyNumberFormat="true" applyProtection="false" borderId="110" fillId="81" fontId="1" numFmtId="236" xfId="0">
      <alignment horizontal="center" vertical="center"/>
    </xf>
    <xf applyAlignment="true" applyBorder="false" applyFill="true" applyFont="true" applyNumberFormat="false" applyProtection="false" borderId="110" fillId="81" fontId="1" numFmtId="0" xfId="0">
      <alignment horizontal="center" vertical="center"/>
    </xf>
    <xf applyAlignment="true" applyBorder="false" applyFill="false" applyFont="true" applyNumberFormat="false" applyProtection="false" borderId="112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true" applyFont="true" applyNumberFormat="true" applyProtection="false" borderId="117" fillId="80" fontId="1" numFmtId="229" xfId="0">
      <alignment horizontal="center" vertical="center"/>
    </xf>
    <xf applyAlignment="true" applyBorder="false" applyFill="true" applyFont="true" applyNumberFormat="true" applyProtection="false" borderId="117" fillId="80" fontId="1" numFmtId="229" xfId="0">
      <alignment horizontal="center" vertical="center"/>
    </xf>
    <xf applyAlignment="true" applyBorder="false" applyFill="true" applyFont="true" applyNumberFormat="true" applyProtection="false" borderId="115" fillId="80" fontId="1" numFmtId="229" xfId="0">
      <alignment horizontal="center" vertical="center"/>
    </xf>
    <xf applyAlignment="true" applyBorder="false" applyFill="false" applyFont="true" applyNumberFormat="true" applyProtection="false" borderId="110" fillId="0" fontId="1" numFmtId="227" xfId="0">
      <alignment horizontal="center" vertical="center"/>
    </xf>
    <xf applyAlignment="true" applyBorder="false" applyFill="false" applyFont="true" applyNumberFormat="true" applyProtection="false" borderId="110" fillId="0" fontId="1" numFmtId="228" xfId="0">
      <alignment horizontal="center" vertical="center"/>
    </xf>
    <xf applyAlignment="true" applyBorder="false" applyFill="true" applyFont="true" applyNumberFormat="false" applyProtection="false" borderId="118" fillId="82" fontId="2" numFmtId="0" xfId="0">
      <alignment horizontal="center" vertical="center"/>
    </xf>
    <xf applyAlignment="true" applyBorder="false" applyFill="true" applyFont="true" applyNumberFormat="true" applyProtection="false" borderId="119" fillId="82" fontId="2" numFmtId="232" xfId="0">
      <alignment horizontal="center" vertical="center"/>
    </xf>
    <xf applyAlignment="true" applyBorder="false" applyFill="true" applyFont="true" applyNumberFormat="true" applyProtection="false" borderId="119" fillId="82" fontId="2" numFmtId="233" xfId="0">
      <alignment horizontal="center" vertical="center"/>
    </xf>
    <xf applyAlignment="true" applyBorder="false" applyFill="true" applyFont="true" applyNumberFormat="true" applyProtection="false" borderId="111" fillId="82" fontId="2" numFmtId="233" xfId="0">
      <alignment horizontal="center" vertical="center"/>
    </xf>
    <xf applyAlignment="true" applyBorder="false" applyFill="true" applyFont="true" applyNumberFormat="true" applyProtection="false" borderId="111" fillId="82" fontId="2" numFmtId="234" xfId="0">
      <alignment horizontal="center" vertical="center"/>
    </xf>
    <xf applyAlignment="true" applyBorder="false" applyFill="true" applyFont="true" applyNumberFormat="true" applyProtection="false" borderId="111" fillId="82" fontId="1" numFmtId="235" xfId="0">
      <alignment horizontal="center" vertical="center"/>
    </xf>
    <xf applyAlignment="true" applyBorder="false" applyFill="true" applyFont="true" applyNumberFormat="true" applyProtection="false" borderId="111" fillId="82" fontId="1" numFmtId="233" xfId="0">
      <alignment horizontal="center" vertical="center"/>
    </xf>
    <xf applyAlignment="true" applyBorder="false" applyFill="true" applyFont="true" applyNumberFormat="true" applyProtection="false" borderId="111" fillId="82" fontId="1" numFmtId="236" xfId="0">
      <alignment horizontal="center" vertical="center"/>
    </xf>
    <xf applyAlignment="true" applyBorder="false" applyFill="true" applyFont="true" applyNumberFormat="true" applyProtection="false" borderId="111" fillId="82" fontId="1" numFmtId="234" xfId="0">
      <alignment horizontal="center" vertical="center"/>
    </xf>
    <xf applyAlignment="true" applyBorder="false" applyFill="true" applyFont="true" applyNumberFormat="true" applyProtection="false" borderId="111" fillId="82" fontId="2" numFmtId="236" xfId="0">
      <alignment horizontal="center" vertical="center"/>
    </xf>
    <xf applyAlignment="true" applyBorder="false" applyFill="true" applyFont="true" applyNumberFormat="false" applyProtection="false" borderId="111" fillId="82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120" fillId="0" fontId="4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113" fillId="0" fontId="1" numFmtId="227" xfId="0">
      <alignment vertical="center"/>
    </xf>
    <xf applyAlignment="true" applyBorder="false" applyFill="false" applyFont="true" applyNumberFormat="true" applyProtection="false" borderId="120" fillId="0" fontId="9" numFmtId="229" xfId="0">
      <alignment horizontal="right" vertical="center" wrapText="true"/>
    </xf>
    <xf applyAlignment="true" applyBorder="false" applyFill="false" applyFont="true" applyNumberFormat="false" applyProtection="false" borderId="120" fillId="0" fontId="9" numFmtId="0" xfId="0">
      <alignment horizontal="right" vertical="center" wrapText="true"/>
    </xf>
    <xf applyAlignment="true" applyBorder="false" applyFill="false" applyFont="true" applyNumberFormat="false" applyProtection="false" borderId="120" fillId="0" fontId="9" numFmtId="0" xfId="0">
      <alignment horizontal="right" vertical="center" wrapText="true"/>
    </xf>
    <xf applyAlignment="true" applyBorder="false" applyFill="false" applyFont="true" applyNumberFormat="true" applyProtection="false" borderId="0" fillId="0" fontId="1" numFmtId="227" xfId="0">
      <alignment vertical="center"/>
    </xf>
    <xf applyAlignment="true" applyBorder="false" applyFill="false" applyFont="true" applyNumberFormat="false" applyProtection="false" borderId="121" fillId="0" fontId="1" numFmtId="0" xfId="0">
      <alignment vertical="center"/>
    </xf>
    <xf applyAlignment="true" applyBorder="false" applyFill="false" applyFont="true" applyNumberFormat="true" applyProtection="false" borderId="0" fillId="0" fontId="1" numFmtId="228" xfId="0">
      <alignment vertical="center"/>
    </xf>
    <xf applyAlignment="true" applyBorder="false" applyFill="false" applyFont="true" applyNumberFormat="true" applyProtection="false" borderId="121" fillId="0" fontId="9" numFmtId="229" xfId="0">
      <alignment horizontal="right" vertical="center" wrapText="true"/>
    </xf>
    <xf applyAlignment="true" applyBorder="false" applyFill="false" applyFont="true" applyNumberFormat="false" applyProtection="false" borderId="121" fillId="0" fontId="9" numFmtId="0" xfId="0">
      <alignment horizontal="right" vertical="center" wrapText="true"/>
    </xf>
    <xf applyAlignment="true" applyBorder="false" applyFill="false" applyFont="true" applyNumberFormat="false" applyProtection="false" borderId="121" fillId="0" fontId="9" numFmtId="0" xfId="0">
      <alignment horizontal="right" vertical="center" wrapText="true"/>
    </xf>
    <xf applyAlignment="true" applyBorder="false" applyFill="false" applyFont="true" applyNumberFormat="true" applyProtection="false" borderId="0" fillId="0" fontId="6" numFmtId="232" xfId="0">
      <alignment vertical="center"/>
    </xf>
    <xf applyAlignment="true" applyBorder="false" applyFill="false" applyFont="true" applyNumberFormat="true" applyProtection="false" borderId="0" fillId="0" fontId="6" numFmtId="232" xfId="0">
      <alignment vertical="center"/>
    </xf>
    <xf applyAlignment="true" applyBorder="false" applyFill="false" applyFont="true" applyNumberFormat="true" applyProtection="false" borderId="113" fillId="0" fontId="6" numFmtId="232" xfId="0">
      <alignment vertical="center"/>
    </xf>
    <xf applyAlignment="true" applyBorder="false" applyFill="false" applyFont="true" applyNumberFormat="true" applyProtection="false" borderId="113" fillId="0" fontId="6" numFmtId="231" xfId="0">
      <alignment vertical="center"/>
    </xf>
    <xf applyAlignment="true" applyBorder="false" applyFill="false" applyFont="true" applyNumberFormat="true" applyProtection="false" borderId="113" fillId="0" fontId="6" numFmtId="231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calcChain.xml" Type="http://schemas.openxmlformats.org/officeDocument/2006/relationships/calcChain"></Relationship><Relationship Id="rId12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7</v>
      </c>
      <c r="H1" s="8" t="s">
        <v>8</v>
      </c>
      <c r="I1" s="9" t="s">
        <v>9</v>
      </c>
      <c r="J1" s="10" t="s">
        <v>10</v>
      </c>
      <c r="K1" s="11" t="s">
        <v>11</v>
      </c>
      <c r="L1" s="12" t="s">
        <v>12</v>
      </c>
      <c r="M1" s="12" t="s">
        <v>13</v>
      </c>
      <c r="N1" s="13" t="s">
        <v>14</v>
      </c>
      <c r="O1" s="13" t="s">
        <v>15</v>
      </c>
      <c r="P1" s="13" t="s">
        <v>16</v>
      </c>
      <c r="Q1" s="13" t="s">
        <v>17</v>
      </c>
      <c r="R1" s="14" t="s">
        <v>18</v>
      </c>
      <c r="S1" s="15" t="s">
        <v>19</v>
      </c>
      <c r="T1" s="16" t="s">
        <v>20</v>
      </c>
      <c r="U1" s="16" t="s">
        <v>21</v>
      </c>
      <c r="V1" s="16" t="s">
        <v>22</v>
      </c>
      <c r="W1" s="16" t="s">
        <v>23</v>
      </c>
      <c r="X1" s="17" t="s">
        <v>24</v>
      </c>
      <c r="Y1" s="18" t="s">
        <v>25</v>
      </c>
      <c r="Z1" s="19" t="s">
        <v>26</v>
      </c>
      <c r="AA1" s="19" t="s">
        <v>27</v>
      </c>
      <c r="AB1" s="19" t="s">
        <v>28</v>
      </c>
      <c r="AC1" s="20" t="s">
        <v>29</v>
      </c>
      <c r="AD1" s="20" t="s">
        <v>30</v>
      </c>
      <c r="AE1" s="21" t="s">
        <v>31</v>
      </c>
      <c r="AF1" s="20" t="s">
        <v>32</v>
      </c>
      <c r="AG1" s="20" t="s">
        <v>33</v>
      </c>
      <c r="AH1" s="22" t="s">
        <v>34</v>
      </c>
      <c r="AI1" s="23" t="s">
        <v>35</v>
      </c>
      <c r="AJ1" s="24"/>
      <c r="AK1" s="24"/>
      <c r="AL1" s="24"/>
      <c r="AM1" s="24"/>
      <c r="AN1" s="24"/>
    </row>
    <row r="2">
      <c r="A2" s="25">
        <v>46296</v>
      </c>
      <c r="B2" s="26" t="s">
        <v>36</v>
      </c>
      <c r="C2" s="27" t="s">
        <v>37</v>
      </c>
      <c r="D2" s="28">
        <v>1719.6429999999998</v>
      </c>
      <c r="E2" s="29">
        <v>2</v>
      </c>
      <c r="F2" s="30">
        <f t="shared" ref="F2:F24" si="285">D2/E2</f>
      </c>
      <c r="G2" s="31">
        <v>1552.2</v>
      </c>
      <c r="H2" s="32">
        <f t="shared" ref="H2:H24" si="247">AD2</f>
      </c>
      <c r="I2" s="33">
        <f t="shared" ref="I2:I24" si="38">D2/AD2</f>
      </c>
      <c r="J2" s="34">
        <f t="shared" ref="J2:J24" si="0">G2/E2</f>
      </c>
      <c r="K2" s="35">
        <f t="shared" ref="K2:K24" si="114">G2/D2</f>
      </c>
      <c r="L2" s="36">
        <f t="shared" ref="L2:L24" si="76">D2/AB2</f>
      </c>
      <c r="M2" s="34">
        <f t="shared" ref="M2:M24" si="209">D2/AC2</f>
      </c>
      <c r="N2" s="37">
        <f t="shared" ref="N2:N24" si="152">AC2/AB2</f>
      </c>
      <c r="O2" s="37">
        <f t="shared" ref="O2:O24" si="171">AD2/AC2</f>
      </c>
      <c r="P2" s="37">
        <f t="shared" ref="P2:P24" si="304">AA2/Z2</f>
      </c>
      <c r="Q2" s="37">
        <f t="shared" ref="Q2:Q24" si="266">AD2/AA2</f>
      </c>
      <c r="R2" s="34">
        <f t="shared" ref="R2:R24" si="57">D2/Z2*1000</f>
      </c>
      <c r="S2" s="35">
        <f t="shared" ref="S2:S24" si="19">D2/AA2</f>
      </c>
      <c r="T2" s="37">
        <f t="shared" ref="T2:T24" si="133">AE2/AB2</f>
      </c>
      <c r="U2" s="37">
        <f t="shared" ref="U2:U24" si="95">AF2/AB2</f>
      </c>
      <c r="V2" s="37">
        <f t="shared" ref="V2:V24" si="228">AG2/AB2</f>
      </c>
      <c r="W2" s="37">
        <f t="shared" ref="W2:W24" si="190">AH2/AB2</f>
      </c>
      <c r="X2" s="38" t="s">
        <v>38</v>
      </c>
      <c r="Y2" s="39" t="s">
        <v>39</v>
      </c>
      <c r="Z2" s="40">
        <v>59625</v>
      </c>
      <c r="AA2" s="40">
        <v>6587</v>
      </c>
      <c r="AB2" s="40">
        <v>41130</v>
      </c>
      <c r="AC2" s="40">
        <v>159</v>
      </c>
      <c r="AD2" s="41">
        <v>2</v>
      </c>
      <c r="AE2" s="40">
        <v>4484</v>
      </c>
      <c r="AF2" s="41">
        <v>89</v>
      </c>
      <c r="AG2" s="41">
        <v>13</v>
      </c>
      <c r="AH2" s="41">
        <v>3</v>
      </c>
      <c r="AI2" s="42">
        <v>1</v>
      </c>
      <c r="AJ2" s="24"/>
      <c r="AK2" s="24"/>
      <c r="AL2" s="24"/>
      <c r="AM2" s="24"/>
      <c r="AN2" s="24"/>
    </row>
    <row r="3">
      <c r="A3" s="25"/>
      <c r="B3" s="26" t="s">
        <v>36</v>
      </c>
      <c r="C3" s="27" t="s">
        <v>40</v>
      </c>
      <c r="D3" s="28">
        <v>3727.854</v>
      </c>
      <c r="E3" s="29">
        <v>8</v>
      </c>
      <c r="F3" s="30">
        <f t="shared" si="285"/>
      </c>
      <c r="G3" s="31">
        <v>1915.1999999999996</v>
      </c>
      <c r="H3" s="32">
        <f t="shared" si="247"/>
      </c>
      <c r="I3" s="33">
        <f t="shared" si="38"/>
      </c>
      <c r="J3" s="34">
        <f t="shared" si="0"/>
      </c>
      <c r="K3" s="35">
        <f t="shared" si="114"/>
      </c>
      <c r="L3" s="36">
        <f t="shared" si="76"/>
      </c>
      <c r="M3" s="34">
        <f t="shared" si="209"/>
      </c>
      <c r="N3" s="37">
        <f t="shared" si="152"/>
      </c>
      <c r="O3" s="37">
        <f t="shared" si="171"/>
      </c>
      <c r="P3" s="37">
        <f t="shared" si="304"/>
      </c>
      <c r="Q3" s="37">
        <f t="shared" si="266"/>
      </c>
      <c r="R3" s="34">
        <f t="shared" si="57"/>
      </c>
      <c r="S3" s="35">
        <f t="shared" si="19"/>
      </c>
      <c r="T3" s="37">
        <f t="shared" si="133"/>
      </c>
      <c r="U3" s="37">
        <f t="shared" si="95"/>
      </c>
      <c r="V3" s="37">
        <f t="shared" si="228"/>
      </c>
      <c r="W3" s="37">
        <f t="shared" si="190"/>
      </c>
      <c r="X3" s="38" t="s">
        <v>38</v>
      </c>
      <c r="Y3" s="39" t="s">
        <v>39</v>
      </c>
      <c r="Z3" s="41">
        <v>140793</v>
      </c>
      <c r="AA3" s="40">
        <v>17229</v>
      </c>
      <c r="AB3" s="40">
        <v>142917</v>
      </c>
      <c r="AC3" s="40">
        <v>625</v>
      </c>
      <c r="AD3" s="41">
        <v>5</v>
      </c>
      <c r="AE3" s="40">
        <v>14673</v>
      </c>
      <c r="AF3" s="41">
        <v>243</v>
      </c>
      <c r="AG3" s="41">
        <v>48</v>
      </c>
      <c r="AH3" s="41">
        <v>15</v>
      </c>
      <c r="AI3" s="42">
        <v>0</v>
      </c>
      <c r="AJ3" s="24"/>
      <c r="AK3" s="24"/>
      <c r="AL3" s="24"/>
      <c r="AM3" s="24"/>
      <c r="AN3" s="24"/>
    </row>
    <row r="4">
      <c r="A4" s="25"/>
      <c r="B4" s="26" t="s">
        <v>36</v>
      </c>
      <c r="C4" s="43" t="s">
        <v>41</v>
      </c>
      <c r="D4" s="44">
        <v>2717.631</v>
      </c>
      <c r="E4" s="45">
        <v>7</v>
      </c>
      <c r="F4" s="30">
        <f t="shared" si="285"/>
      </c>
      <c r="G4" s="23">
        <v>1522.3000000000002</v>
      </c>
      <c r="H4" s="32">
        <f t="shared" si="247"/>
      </c>
      <c r="I4" s="33">
        <f t="shared" si="38"/>
      </c>
      <c r="J4" s="34">
        <f t="shared" si="0"/>
      </c>
      <c r="K4" s="35">
        <f t="shared" si="114"/>
      </c>
      <c r="L4" s="36">
        <f t="shared" si="76"/>
      </c>
      <c r="M4" s="34">
        <f t="shared" si="209"/>
      </c>
      <c r="N4" s="37">
        <f t="shared" si="152"/>
      </c>
      <c r="O4" s="37">
        <f t="shared" si="171"/>
      </c>
      <c r="P4" s="37">
        <f t="shared" si="304"/>
      </c>
      <c r="Q4" s="37">
        <f t="shared" si="266"/>
      </c>
      <c r="R4" s="34">
        <f t="shared" si="57"/>
      </c>
      <c r="S4" s="35">
        <f t="shared" si="19"/>
      </c>
      <c r="T4" s="37">
        <f t="shared" si="133"/>
      </c>
      <c r="U4" s="37">
        <f t="shared" si="95"/>
      </c>
      <c r="V4" s="37">
        <f t="shared" si="228"/>
      </c>
      <c r="W4" s="37">
        <f t="shared" si="190"/>
      </c>
      <c r="X4" s="38" t="s">
        <v>38</v>
      </c>
      <c r="Y4" s="39" t="s">
        <v>39</v>
      </c>
      <c r="Z4" s="41">
        <v>130954</v>
      </c>
      <c r="AA4" s="41">
        <v>6934</v>
      </c>
      <c r="AB4" s="41">
        <v>106349</v>
      </c>
      <c r="AC4" s="41">
        <v>456</v>
      </c>
      <c r="AD4" s="41">
        <v>7</v>
      </c>
      <c r="AE4" s="41">
        <v>9215</v>
      </c>
      <c r="AF4" s="41">
        <v>165</v>
      </c>
      <c r="AG4" s="41">
        <v>35</v>
      </c>
      <c r="AH4" s="41">
        <v>7</v>
      </c>
      <c r="AI4" s="42">
        <v>1</v>
      </c>
      <c r="AJ4" s="24"/>
      <c r="AK4" s="24"/>
      <c r="AL4" s="24"/>
      <c r="AM4" s="24"/>
      <c r="AN4" s="24"/>
    </row>
    <row r="5">
      <c r="A5" s="25"/>
      <c r="B5" s="26" t="s">
        <v>36</v>
      </c>
      <c r="C5" s="46" t="s">
        <v>42</v>
      </c>
      <c r="D5" s="44">
        <v>3130.5690000000004</v>
      </c>
      <c r="E5" s="45">
        <v>14</v>
      </c>
      <c r="F5" s="47">
        <f t="shared" si="285"/>
      </c>
      <c r="G5" s="48">
        <v>5770.3</v>
      </c>
      <c r="H5" s="49">
        <f t="shared" si="247"/>
      </c>
      <c r="I5" s="50">
        <f t="shared" si="38"/>
      </c>
      <c r="J5" s="51">
        <f t="shared" si="0"/>
      </c>
      <c r="K5" s="52">
        <f t="shared" si="114"/>
      </c>
      <c r="L5" s="53">
        <f t="shared" si="76"/>
      </c>
      <c r="M5" s="54">
        <f t="shared" si="209"/>
      </c>
      <c r="N5" s="55">
        <f t="shared" si="152"/>
      </c>
      <c r="O5" s="55">
        <f t="shared" si="171"/>
      </c>
      <c r="P5" s="55">
        <f t="shared" si="304"/>
      </c>
      <c r="Q5" s="55">
        <f t="shared" si="266"/>
      </c>
      <c r="R5" s="54">
        <f t="shared" si="57"/>
      </c>
      <c r="S5" s="56">
        <f t="shared" si="19"/>
      </c>
      <c r="T5" s="55">
        <f t="shared" si="133"/>
      </c>
      <c r="U5" s="55">
        <f t="shared" si="95"/>
      </c>
      <c r="V5" s="55">
        <f t="shared" si="228"/>
      </c>
      <c r="W5" s="55">
        <f t="shared" si="190"/>
      </c>
      <c r="X5" s="38" t="s">
        <v>38</v>
      </c>
      <c r="Y5" s="39" t="s">
        <v>39</v>
      </c>
      <c r="Z5" s="40">
        <v>107620</v>
      </c>
      <c r="AA5" s="40">
        <v>9002</v>
      </c>
      <c r="AB5" s="40">
        <v>110792</v>
      </c>
      <c r="AC5" s="40">
        <v>419</v>
      </c>
      <c r="AD5" s="40">
        <v>12</v>
      </c>
      <c r="AE5" s="40">
        <v>9856</v>
      </c>
      <c r="AF5" s="41">
        <v>226</v>
      </c>
      <c r="AG5" s="41">
        <v>23</v>
      </c>
      <c r="AH5" s="41">
        <v>5</v>
      </c>
      <c r="AI5" s="42">
        <v>5</v>
      </c>
      <c r="AJ5" s="24"/>
      <c r="AK5" s="24"/>
      <c r="AL5" s="24"/>
      <c r="AM5" s="24"/>
      <c r="AN5" s="24"/>
    </row>
    <row r="6">
      <c r="A6" s="25"/>
      <c r="B6" s="26" t="s">
        <v>36</v>
      </c>
      <c r="C6" s="46" t="s">
        <v>43</v>
      </c>
      <c r="D6" s="57">
        <v>3484.2889999999998</v>
      </c>
      <c r="E6" s="45">
        <v>7</v>
      </c>
      <c r="F6" s="47">
        <f t="shared" si="285"/>
      </c>
      <c r="G6" s="48">
        <v>1412</v>
      </c>
      <c r="H6" s="49">
        <f t="shared" si="247"/>
      </c>
      <c r="I6" s="50">
        <f t="shared" si="38"/>
      </c>
      <c r="J6" s="51">
        <f t="shared" si="0"/>
      </c>
      <c r="K6" s="52">
        <f t="shared" si="114"/>
      </c>
      <c r="L6" s="53">
        <f t="shared" si="76"/>
      </c>
      <c r="M6" s="54">
        <f t="shared" si="209"/>
      </c>
      <c r="N6" s="55">
        <f t="shared" si="152"/>
      </c>
      <c r="O6" s="55">
        <f t="shared" si="171"/>
      </c>
      <c r="P6" s="55">
        <f t="shared" si="304"/>
      </c>
      <c r="Q6" s="55">
        <f t="shared" si="266"/>
      </c>
      <c r="R6" s="54">
        <f t="shared" si="57"/>
      </c>
      <c r="S6" s="56">
        <f t="shared" si="19"/>
      </c>
      <c r="T6" s="55">
        <f t="shared" si="133"/>
      </c>
      <c r="U6" s="55">
        <f t="shared" si="95"/>
      </c>
      <c r="V6" s="55">
        <f t="shared" si="228"/>
      </c>
      <c r="W6" s="55">
        <f t="shared" si="190"/>
      </c>
      <c r="X6" s="38" t="s">
        <v>38</v>
      </c>
      <c r="Y6" s="39" t="s">
        <v>39</v>
      </c>
      <c r="Z6" s="40">
        <v>99768</v>
      </c>
      <c r="AA6" s="40">
        <v>9799</v>
      </c>
      <c r="AB6" s="40">
        <v>137226</v>
      </c>
      <c r="AC6" s="40">
        <v>337</v>
      </c>
      <c r="AD6" s="40">
        <v>5</v>
      </c>
      <c r="AE6" s="40">
        <v>12043</v>
      </c>
      <c r="AF6" s="41">
        <v>170</v>
      </c>
      <c r="AG6" s="41">
        <v>24</v>
      </c>
      <c r="AH6" s="41">
        <v>9</v>
      </c>
      <c r="AI6" s="42">
        <v>0</v>
      </c>
      <c r="AJ6" s="24"/>
      <c r="AK6" s="24"/>
      <c r="AL6" s="24"/>
      <c r="AM6" s="24"/>
      <c r="AN6" s="24"/>
    </row>
    <row r="7">
      <c r="A7" s="25"/>
      <c r="B7" s="58" t="s">
        <v>44</v>
      </c>
      <c r="C7" s="58"/>
      <c r="D7" s="59">
        <f>SUM(D2:D6)</f>
      </c>
      <c r="E7" s="60">
        <f>SUM(E2:E6)</f>
      </c>
      <c r="F7" s="61">
        <f t="shared" si="285"/>
      </c>
      <c r="G7" s="62">
        <f>SUM(G2:G6)</f>
      </c>
      <c r="H7" s="63">
        <f t="shared" si="247"/>
      </c>
      <c r="I7" s="64">
        <f t="shared" si="38"/>
      </c>
      <c r="J7" s="65">
        <f t="shared" si="0"/>
      </c>
      <c r="K7" s="61">
        <f t="shared" si="114"/>
      </c>
      <c r="L7" s="66">
        <f t="shared" si="76"/>
      </c>
      <c r="M7" s="65">
        <f t="shared" si="209"/>
      </c>
      <c r="N7" s="67">
        <f t="shared" si="152"/>
      </c>
      <c r="O7" s="67">
        <f t="shared" si="171"/>
      </c>
      <c r="P7" s="68">
        <f t="shared" si="304"/>
      </c>
      <c r="Q7" s="68">
        <f t="shared" si="266"/>
      </c>
      <c r="R7" s="69">
        <f t="shared" si="57"/>
      </c>
      <c r="S7" s="70">
        <f t="shared" si="19"/>
      </c>
      <c r="T7" s="68">
        <f t="shared" si="133"/>
      </c>
      <c r="U7" s="68">
        <f t="shared" si="95"/>
      </c>
      <c r="V7" s="68">
        <f t="shared" si="228"/>
      </c>
      <c r="W7" s="68">
        <f t="shared" si="190"/>
      </c>
      <c r="X7" s="68"/>
      <c r="Y7" s="71"/>
      <c r="Z7" s="59">
        <f>SUM(Z2:Z6)</f>
      </c>
      <c r="AA7" s="59">
        <f>SUM(AA2:AA6)</f>
      </c>
      <c r="AB7" s="59">
        <f>SUM(AB2:AB6)</f>
      </c>
      <c r="AC7" s="59">
        <f>SUM(AC2:AC6)</f>
      </c>
      <c r="AD7" s="59">
        <f>SUM(AD2:AD6)</f>
      </c>
      <c r="AE7" s="59">
        <f>SUM(AE2:AE6)</f>
      </c>
      <c r="AF7" s="59">
        <f>SUM(AF2:AF6)</f>
      </c>
      <c r="AG7" s="59">
        <f>SUM(AG2:AG6)</f>
      </c>
      <c r="AH7" s="59">
        <f>SUM(AH2:AH6)</f>
      </c>
      <c r="AI7" s="59">
        <f>SUM(AI2:AI6)</f>
      </c>
      <c r="AJ7" s="24"/>
      <c r="AK7" s="24"/>
      <c r="AL7" s="24"/>
      <c r="AM7" s="24"/>
      <c r="AN7" s="24"/>
    </row>
    <row r="8">
      <c r="A8" s="25"/>
      <c r="B8" s="72" t="s">
        <v>45</v>
      </c>
      <c r="C8" s="73" t="s">
        <v>46</v>
      </c>
      <c r="D8" s="74">
        <v>990.4079999999999</v>
      </c>
      <c r="E8" s="75">
        <v>4</v>
      </c>
      <c r="F8" s="47">
        <f t="shared" si="285"/>
      </c>
      <c r="G8" s="48">
        <v>1438.2999999999993</v>
      </c>
      <c r="H8" s="49">
        <f t="shared" si="247"/>
      </c>
      <c r="I8" s="50">
        <f t="shared" si="38"/>
      </c>
      <c r="J8" s="51">
        <f t="shared" si="0"/>
      </c>
      <c r="K8" s="52">
        <f t="shared" si="114"/>
      </c>
      <c r="L8" s="76">
        <f t="shared" si="76"/>
      </c>
      <c r="M8" s="34">
        <f t="shared" si="209"/>
      </c>
      <c r="N8" s="37">
        <f t="shared" si="152"/>
      </c>
      <c r="O8" s="37">
        <f t="shared" si="171"/>
      </c>
      <c r="P8" s="37">
        <f t="shared" si="304"/>
      </c>
      <c r="Q8" s="37">
        <f t="shared" si="266"/>
      </c>
      <c r="R8" s="34">
        <f t="shared" si="57"/>
      </c>
      <c r="S8" s="35">
        <f t="shared" si="19"/>
      </c>
      <c r="T8" s="37">
        <f t="shared" si="133"/>
      </c>
      <c r="U8" s="37">
        <f t="shared" si="95"/>
      </c>
      <c r="V8" s="37">
        <f t="shared" si="228"/>
      </c>
      <c r="W8" s="37">
        <f t="shared" si="190"/>
      </c>
      <c r="X8" s="38" t="s">
        <v>38</v>
      </c>
      <c r="Y8" s="39" t="s">
        <v>39</v>
      </c>
      <c r="Z8" s="41">
        <v>15193</v>
      </c>
      <c r="AA8" s="41">
        <v>3037</v>
      </c>
      <c r="AB8" s="41">
        <v>31470</v>
      </c>
      <c r="AC8" s="41">
        <v>69</v>
      </c>
      <c r="AD8" s="41">
        <v>2</v>
      </c>
      <c r="AE8" s="41">
        <v>3081</v>
      </c>
      <c r="AF8" s="41">
        <v>61</v>
      </c>
      <c r="AG8" s="41">
        <v>3</v>
      </c>
      <c r="AH8" s="41">
        <v>5</v>
      </c>
      <c r="AI8" s="42">
        <v>1</v>
      </c>
      <c r="AJ8" s="24"/>
      <c r="AK8" s="24"/>
      <c r="AL8" s="24"/>
      <c r="AM8" s="24"/>
      <c r="AN8" s="24"/>
    </row>
    <row r="9">
      <c r="A9" s="25"/>
      <c r="B9" s="72" t="s">
        <v>45</v>
      </c>
      <c r="C9" s="77" t="s">
        <v>47</v>
      </c>
      <c r="D9" s="44">
        <v>4832.911</v>
      </c>
      <c r="E9" s="45">
        <v>12</v>
      </c>
      <c r="F9" s="47">
        <f t="shared" si="285"/>
      </c>
      <c r="G9" s="48">
        <v>3229.2000000000007</v>
      </c>
      <c r="H9" s="49">
        <f t="shared" si="247"/>
      </c>
      <c r="I9" s="50">
        <f t="shared" si="38"/>
      </c>
      <c r="J9" s="51">
        <f t="shared" si="0"/>
      </c>
      <c r="K9" s="52">
        <f t="shared" si="114"/>
      </c>
      <c r="L9" s="76">
        <f t="shared" si="76"/>
      </c>
      <c r="M9" s="34">
        <f t="shared" si="209"/>
      </c>
      <c r="N9" s="37">
        <f t="shared" si="152"/>
      </c>
      <c r="O9" s="37">
        <f t="shared" si="171"/>
      </c>
      <c r="P9" s="37">
        <f t="shared" si="304"/>
      </c>
      <c r="Q9" s="37">
        <f t="shared" si="266"/>
      </c>
      <c r="R9" s="34">
        <f t="shared" si="57"/>
      </c>
      <c r="S9" s="35">
        <f t="shared" si="19"/>
      </c>
      <c r="T9" s="37">
        <f t="shared" si="133"/>
      </c>
      <c r="U9" s="37">
        <f t="shared" si="95"/>
      </c>
      <c r="V9" s="37">
        <f t="shared" si="228"/>
      </c>
      <c r="W9" s="37">
        <f t="shared" si="190"/>
      </c>
      <c r="X9" s="38" t="s">
        <v>38</v>
      </c>
      <c r="Y9" s="39" t="s">
        <v>39</v>
      </c>
      <c r="Z9" s="41">
        <v>90963</v>
      </c>
      <c r="AA9" s="41">
        <v>11948</v>
      </c>
      <c r="AB9" s="41">
        <v>231494</v>
      </c>
      <c r="AC9" s="41">
        <v>492</v>
      </c>
      <c r="AD9" s="41">
        <v>13</v>
      </c>
      <c r="AE9" s="41">
        <v>15841</v>
      </c>
      <c r="AF9" s="41">
        <v>162</v>
      </c>
      <c r="AG9" s="41">
        <v>29</v>
      </c>
      <c r="AH9" s="41">
        <v>9</v>
      </c>
      <c r="AI9" s="42">
        <v>1</v>
      </c>
      <c r="AJ9" s="24"/>
      <c r="AK9" s="24"/>
      <c r="AL9" s="24"/>
      <c r="AM9" s="24"/>
      <c r="AN9" s="24"/>
    </row>
    <row r="10">
      <c r="A10" s="25"/>
      <c r="B10" s="72" t="s">
        <v>45</v>
      </c>
      <c r="C10" s="78" t="s">
        <v>48</v>
      </c>
      <c r="D10" s="44">
        <v>4701.9349999999995</v>
      </c>
      <c r="E10" s="45">
        <v>13</v>
      </c>
      <c r="F10" s="30">
        <f t="shared" si="285"/>
      </c>
      <c r="G10" s="23">
        <v>3374.7000000000007</v>
      </c>
      <c r="H10" s="32">
        <f t="shared" si="247"/>
      </c>
      <c r="I10" s="33">
        <f t="shared" si="38"/>
      </c>
      <c r="J10" s="34">
        <f t="shared" si="0"/>
      </c>
      <c r="K10" s="35">
        <f t="shared" si="114"/>
      </c>
      <c r="L10" s="79">
        <f t="shared" si="76"/>
      </c>
      <c r="M10" s="54">
        <f t="shared" si="209"/>
      </c>
      <c r="N10" s="55">
        <f t="shared" si="152"/>
      </c>
      <c r="O10" s="55">
        <f t="shared" si="171"/>
      </c>
      <c r="P10" s="55">
        <f t="shared" si="304"/>
      </c>
      <c r="Q10" s="55">
        <f t="shared" si="266"/>
      </c>
      <c r="R10" s="54">
        <f t="shared" si="57"/>
      </c>
      <c r="S10" s="56">
        <f t="shared" si="19"/>
      </c>
      <c r="T10" s="55">
        <f t="shared" si="133"/>
      </c>
      <c r="U10" s="55">
        <f t="shared" si="95"/>
      </c>
      <c r="V10" s="55">
        <f t="shared" si="228"/>
      </c>
      <c r="W10" s="55">
        <f t="shared" si="190"/>
      </c>
      <c r="X10" s="38" t="s">
        <v>38</v>
      </c>
      <c r="Y10" s="39" t="s">
        <v>39</v>
      </c>
      <c r="Z10" s="41">
        <v>98622</v>
      </c>
      <c r="AA10" s="41">
        <v>11438</v>
      </c>
      <c r="AB10" s="41">
        <v>229099</v>
      </c>
      <c r="AC10" s="41">
        <v>471</v>
      </c>
      <c r="AD10" s="41">
        <v>10</v>
      </c>
      <c r="AE10" s="41">
        <v>15209</v>
      </c>
      <c r="AF10" s="41">
        <v>132</v>
      </c>
      <c r="AG10" s="41">
        <v>41</v>
      </c>
      <c r="AH10" s="41">
        <v>13</v>
      </c>
      <c r="AI10" s="42">
        <v>2</v>
      </c>
      <c r="AJ10" s="24"/>
      <c r="AK10" s="24"/>
      <c r="AL10" s="24"/>
      <c r="AM10" s="24"/>
      <c r="AN10" s="24"/>
    </row>
    <row r="11">
      <c r="A11" s="25"/>
      <c r="B11" s="72" t="s">
        <v>45</v>
      </c>
      <c r="C11" s="78" t="s">
        <v>49</v>
      </c>
      <c r="D11" s="57">
        <v>1834.435</v>
      </c>
      <c r="E11" s="45">
        <v>7</v>
      </c>
      <c r="F11" s="30">
        <f t="shared" si="285"/>
      </c>
      <c r="G11" s="23">
        <v>3818.5</v>
      </c>
      <c r="H11" s="32">
        <f t="shared" si="247"/>
      </c>
      <c r="I11" s="33">
        <f t="shared" si="38"/>
      </c>
      <c r="J11" s="34">
        <f t="shared" si="0"/>
      </c>
      <c r="K11" s="35">
        <f t="shared" si="114"/>
      </c>
      <c r="L11" s="79">
        <f t="shared" si="76"/>
      </c>
      <c r="M11" s="54">
        <f t="shared" si="209"/>
      </c>
      <c r="N11" s="55">
        <f t="shared" si="152"/>
      </c>
      <c r="O11" s="55">
        <f t="shared" si="171"/>
      </c>
      <c r="P11" s="55">
        <f t="shared" si="304"/>
      </c>
      <c r="Q11" s="55">
        <f t="shared" si="266"/>
      </c>
      <c r="R11" s="54">
        <f t="shared" si="57"/>
      </c>
      <c r="S11" s="56">
        <f t="shared" si="19"/>
      </c>
      <c r="T11" s="55">
        <f t="shared" si="133"/>
      </c>
      <c r="U11" s="55">
        <f t="shared" si="95"/>
      </c>
      <c r="V11" s="55">
        <f t="shared" si="228"/>
      </c>
      <c r="W11" s="55">
        <f t="shared" si="190"/>
      </c>
      <c r="X11" s="38" t="s">
        <v>38</v>
      </c>
      <c r="Y11" s="39" t="s">
        <v>39</v>
      </c>
      <c r="Z11" s="41">
        <v>33428</v>
      </c>
      <c r="AA11" s="41">
        <v>5978</v>
      </c>
      <c r="AB11" s="41">
        <v>72771</v>
      </c>
      <c r="AC11" s="41">
        <v>79</v>
      </c>
      <c r="AD11" s="41">
        <v>4</v>
      </c>
      <c r="AE11" s="41">
        <v>4990</v>
      </c>
      <c r="AF11" s="41">
        <v>113</v>
      </c>
      <c r="AG11" s="41">
        <v>7</v>
      </c>
      <c r="AH11" s="41">
        <v>5</v>
      </c>
      <c r="AI11" s="42">
        <v>2</v>
      </c>
      <c r="AJ11" s="24"/>
      <c r="AK11" s="24"/>
      <c r="AL11" s="24"/>
      <c r="AM11" s="24"/>
      <c r="AN11" s="24"/>
    </row>
    <row r="12">
      <c r="A12" s="25"/>
      <c r="B12" s="58" t="s">
        <v>44</v>
      </c>
      <c r="C12" s="58"/>
      <c r="D12" s="59">
        <f>SUM(D8:D11)</f>
      </c>
      <c r="E12" s="60">
        <f>SUM(E8:E11)</f>
      </c>
      <c r="F12" s="70">
        <f t="shared" si="285"/>
      </c>
      <c r="G12" s="80">
        <f>SUM(G8:G11)</f>
      </c>
      <c r="H12" s="81">
        <f t="shared" si="247"/>
      </c>
      <c r="I12" s="82">
        <f t="shared" si="38"/>
      </c>
      <c r="J12" s="69">
        <f t="shared" si="0"/>
      </c>
      <c r="K12" s="70">
        <f t="shared" si="114"/>
      </c>
      <c r="L12" s="83">
        <f t="shared" si="76"/>
      </c>
      <c r="M12" s="69">
        <f t="shared" si="209"/>
      </c>
      <c r="N12" s="68">
        <f t="shared" si="152"/>
      </c>
      <c r="O12" s="68">
        <f t="shared" si="171"/>
      </c>
      <c r="P12" s="68">
        <f t="shared" si="304"/>
      </c>
      <c r="Q12" s="68">
        <f t="shared" si="266"/>
      </c>
      <c r="R12" s="69">
        <f t="shared" si="57"/>
      </c>
      <c r="S12" s="70">
        <f t="shared" si="19"/>
      </c>
      <c r="T12" s="68">
        <f t="shared" si="133"/>
      </c>
      <c r="U12" s="68">
        <f t="shared" si="95"/>
      </c>
      <c r="V12" s="68">
        <f t="shared" si="228"/>
      </c>
      <c r="W12" s="68">
        <f t="shared" si="190"/>
      </c>
      <c r="X12" s="68"/>
      <c r="Y12" s="71"/>
      <c r="Z12" s="59">
        <f>SUM(Z8:Z11)</f>
      </c>
      <c r="AA12" s="59">
        <f>SUM(AA8:AA11)</f>
      </c>
      <c r="AB12" s="59">
        <f>SUM(AB8:AB11)</f>
      </c>
      <c r="AC12" s="59">
        <f>SUM(AC8:AC11)</f>
      </c>
      <c r="AD12" s="59">
        <f>SUM(AD8:AD11)</f>
      </c>
      <c r="AE12" s="59">
        <f>SUM(AE8:AE11)</f>
      </c>
      <c r="AF12" s="59">
        <f>SUM(AF8:AF11)</f>
      </c>
      <c r="AG12" s="59">
        <f>SUM(AG8:AG11)</f>
      </c>
      <c r="AH12" s="59">
        <f>SUM(AH8:AH11)</f>
      </c>
      <c r="AI12" s="59">
        <f>SUM(AI8:AI11)</f>
      </c>
      <c r="AJ12" s="24"/>
      <c r="AK12" s="24"/>
      <c r="AL12" s="24"/>
      <c r="AM12" s="24"/>
      <c r="AN12" s="24"/>
    </row>
    <row r="13">
      <c r="A13" s="25"/>
      <c r="B13" s="72" t="s">
        <v>50</v>
      </c>
      <c r="C13" s="38" t="s">
        <v>51</v>
      </c>
      <c r="D13" s="84">
        <v>4204.87</v>
      </c>
      <c r="E13" s="45">
        <v>4</v>
      </c>
      <c r="F13" s="30">
        <f t="shared" si="285"/>
      </c>
      <c r="G13" s="45">
        <v>901.2</v>
      </c>
      <c r="H13" s="32">
        <f t="shared" si="247"/>
      </c>
      <c r="I13" s="33">
        <f t="shared" si="38"/>
      </c>
      <c r="J13" s="34">
        <f t="shared" si="0"/>
      </c>
      <c r="K13" s="35">
        <f t="shared" si="114"/>
      </c>
      <c r="L13" s="79">
        <f t="shared" si="76"/>
      </c>
      <c r="M13" s="54">
        <f t="shared" si="209"/>
      </c>
      <c r="N13" s="55">
        <f t="shared" si="152"/>
      </c>
      <c r="O13" s="55">
        <f t="shared" si="171"/>
      </c>
      <c r="P13" s="55">
        <f t="shared" si="304"/>
      </c>
      <c r="Q13" s="55">
        <f t="shared" si="266"/>
      </c>
      <c r="R13" s="54">
        <f t="shared" si="57"/>
      </c>
      <c r="S13" s="56">
        <f t="shared" si="19"/>
      </c>
      <c r="T13" s="55">
        <f t="shared" si="133"/>
      </c>
      <c r="U13" s="55">
        <f t="shared" si="95"/>
      </c>
      <c r="V13" s="55">
        <f t="shared" si="228"/>
      </c>
      <c r="W13" s="55">
        <f t="shared" si="190"/>
      </c>
      <c r="X13" s="38" t="s">
        <v>52</v>
      </c>
      <c r="Y13" s="39" t="s">
        <v>39</v>
      </c>
      <c r="Z13" s="41">
        <v>105273</v>
      </c>
      <c r="AA13" s="41">
        <v>10624</v>
      </c>
      <c r="AB13" s="41">
        <v>224093</v>
      </c>
      <c r="AC13" s="41">
        <v>368</v>
      </c>
      <c r="AD13" s="41">
        <v>8</v>
      </c>
      <c r="AE13" s="41">
        <v>15631</v>
      </c>
      <c r="AF13" s="41">
        <v>182</v>
      </c>
      <c r="AG13" s="41">
        <v>38</v>
      </c>
      <c r="AH13" s="41">
        <v>8</v>
      </c>
      <c r="AI13" s="42">
        <v>0</v>
      </c>
      <c r="AJ13" s="24"/>
      <c r="AK13" s="24"/>
      <c r="AL13" s="24"/>
    </row>
    <row r="14">
      <c r="A14" s="25"/>
      <c r="B14" s="72" t="s">
        <v>50</v>
      </c>
      <c r="C14" s="78" t="s">
        <v>53</v>
      </c>
      <c r="D14" s="85">
        <v>3556.865</v>
      </c>
      <c r="E14" s="45">
        <v>6</v>
      </c>
      <c r="F14" s="30">
        <f t="shared" si="285"/>
      </c>
      <c r="G14" s="45">
        <v>1936</v>
      </c>
      <c r="H14" s="32">
        <f t="shared" si="247"/>
      </c>
      <c r="I14" s="33">
        <f t="shared" si="38"/>
      </c>
      <c r="J14" s="34">
        <f t="shared" si="0"/>
      </c>
      <c r="K14" s="35">
        <f t="shared" si="114"/>
      </c>
      <c r="L14" s="79">
        <f t="shared" si="76"/>
      </c>
      <c r="M14" s="54">
        <f t="shared" si="209"/>
      </c>
      <c r="N14" s="55">
        <f t="shared" si="152"/>
      </c>
      <c r="O14" s="55">
        <f t="shared" si="171"/>
      </c>
      <c r="P14" s="55">
        <f t="shared" si="304"/>
      </c>
      <c r="Q14" s="55">
        <f t="shared" si="266"/>
      </c>
      <c r="R14" s="54">
        <f t="shared" si="57"/>
      </c>
      <c r="S14" s="56">
        <f t="shared" si="19"/>
      </c>
      <c r="T14" s="55">
        <f t="shared" si="133"/>
      </c>
      <c r="U14" s="55">
        <f t="shared" si="95"/>
      </c>
      <c r="V14" s="55">
        <f t="shared" si="228"/>
      </c>
      <c r="W14" s="55">
        <f t="shared" si="190"/>
      </c>
      <c r="X14" s="38" t="s">
        <v>52</v>
      </c>
      <c r="Y14" s="86" t="s">
        <v>54</v>
      </c>
      <c r="Z14" s="41">
        <v>81020</v>
      </c>
      <c r="AA14" s="41">
        <v>10455</v>
      </c>
      <c r="AB14" s="41">
        <v>192949</v>
      </c>
      <c r="AC14" s="41">
        <v>306</v>
      </c>
      <c r="AD14" s="41">
        <v>6</v>
      </c>
      <c r="AE14" s="41">
        <v>15221</v>
      </c>
      <c r="AF14" s="41">
        <v>189</v>
      </c>
      <c r="AG14" s="41">
        <v>37</v>
      </c>
      <c r="AH14" s="41">
        <v>9</v>
      </c>
      <c r="AI14" s="42">
        <v>0</v>
      </c>
      <c r="AJ14" s="24"/>
      <c r="AK14" s="24"/>
      <c r="AL14" s="24"/>
    </row>
    <row r="15">
      <c r="A15" s="25"/>
      <c r="B15" s="72" t="s">
        <v>50</v>
      </c>
      <c r="C15" s="78" t="s">
        <v>55</v>
      </c>
      <c r="D15" s="85">
        <v>2765.474</v>
      </c>
      <c r="E15" s="45">
        <v>5</v>
      </c>
      <c r="F15" s="30">
        <f t="shared" si="285"/>
      </c>
      <c r="G15" s="45">
        <v>2280</v>
      </c>
      <c r="H15" s="32">
        <f t="shared" si="247"/>
      </c>
      <c r="I15" s="33">
        <f t="shared" si="38"/>
      </c>
      <c r="J15" s="34">
        <f t="shared" si="0"/>
      </c>
      <c r="K15" s="35">
        <f t="shared" si="114"/>
      </c>
      <c r="L15" s="79">
        <f t="shared" si="76"/>
      </c>
      <c r="M15" s="54">
        <f t="shared" si="209"/>
      </c>
      <c r="N15" s="55">
        <f t="shared" si="152"/>
      </c>
      <c r="O15" s="55">
        <f t="shared" si="171"/>
      </c>
      <c r="P15" s="55">
        <f t="shared" si="304"/>
      </c>
      <c r="Q15" s="55">
        <f t="shared" si="266"/>
      </c>
      <c r="R15" s="54">
        <f t="shared" si="57"/>
      </c>
      <c r="S15" s="56">
        <f t="shared" si="19"/>
      </c>
      <c r="T15" s="55">
        <f t="shared" si="133"/>
      </c>
      <c r="U15" s="55">
        <f t="shared" si="95"/>
      </c>
      <c r="V15" s="55">
        <f t="shared" si="228"/>
      </c>
      <c r="W15" s="55">
        <f t="shared" si="190"/>
      </c>
      <c r="X15" s="38" t="s">
        <v>52</v>
      </c>
      <c r="Y15" s="86" t="s">
        <v>54</v>
      </c>
      <c r="Z15" s="41">
        <v>61130</v>
      </c>
      <c r="AA15" s="41">
        <v>10747</v>
      </c>
      <c r="AB15" s="41">
        <v>158249</v>
      </c>
      <c r="AC15" s="41">
        <v>127</v>
      </c>
      <c r="AD15" s="41">
        <v>5</v>
      </c>
      <c r="AE15" s="41">
        <v>12916</v>
      </c>
      <c r="AF15" s="41">
        <v>174</v>
      </c>
      <c r="AG15" s="41">
        <v>27</v>
      </c>
      <c r="AH15" s="41">
        <v>6</v>
      </c>
      <c r="AI15" s="42">
        <v>0</v>
      </c>
      <c r="AJ15" s="24"/>
      <c r="AK15" s="24"/>
      <c r="AL15" s="24"/>
    </row>
    <row r="16">
      <c r="A16" s="25"/>
      <c r="B16" s="72" t="s">
        <v>50</v>
      </c>
      <c r="C16" s="78" t="s">
        <v>56</v>
      </c>
      <c r="D16" s="85">
        <v>3552.546</v>
      </c>
      <c r="E16" s="45">
        <v>13</v>
      </c>
      <c r="F16" s="30">
        <f t="shared" si="285"/>
      </c>
      <c r="G16" s="45">
        <v>4658.3</v>
      </c>
      <c r="H16" s="32">
        <f t="shared" si="247"/>
      </c>
      <c r="I16" s="33">
        <f t="shared" si="38"/>
      </c>
      <c r="J16" s="34">
        <f t="shared" si="0"/>
      </c>
      <c r="K16" s="35">
        <f t="shared" si="114"/>
      </c>
      <c r="L16" s="79">
        <f t="shared" si="76"/>
      </c>
      <c r="M16" s="54">
        <f t="shared" si="209"/>
      </c>
      <c r="N16" s="55">
        <f t="shared" si="152"/>
      </c>
      <c r="O16" s="55">
        <f t="shared" si="171"/>
      </c>
      <c r="P16" s="55">
        <f t="shared" si="304"/>
      </c>
      <c r="Q16" s="55">
        <f t="shared" si="266"/>
      </c>
      <c r="R16" s="54">
        <f t="shared" si="57"/>
      </c>
      <c r="S16" s="56">
        <f t="shared" si="19"/>
      </c>
      <c r="T16" s="55">
        <f t="shared" si="133"/>
      </c>
      <c r="U16" s="55">
        <f t="shared" si="95"/>
      </c>
      <c r="V16" s="55">
        <f t="shared" si="228"/>
      </c>
      <c r="W16" s="55">
        <f t="shared" si="190"/>
      </c>
      <c r="X16" s="38" t="s">
        <v>52</v>
      </c>
      <c r="Y16" s="86" t="s">
        <v>54</v>
      </c>
      <c r="Z16" s="41">
        <v>64672</v>
      </c>
      <c r="AA16" s="41">
        <v>10395</v>
      </c>
      <c r="AB16" s="41">
        <v>182288</v>
      </c>
      <c r="AC16" s="41">
        <v>307</v>
      </c>
      <c r="AD16" s="41">
        <v>11</v>
      </c>
      <c r="AE16" s="41">
        <v>13476</v>
      </c>
      <c r="AF16" s="41">
        <v>183</v>
      </c>
      <c r="AG16" s="41">
        <v>15</v>
      </c>
      <c r="AH16" s="41">
        <v>7</v>
      </c>
      <c r="AI16" s="42">
        <v>1</v>
      </c>
      <c r="AJ16" s="24"/>
      <c r="AK16" s="24"/>
      <c r="AL16" s="24"/>
    </row>
    <row r="17">
      <c r="A17" s="25"/>
      <c r="B17" s="58" t="s">
        <v>44</v>
      </c>
      <c r="C17" s="58"/>
      <c r="D17" s="59">
        <f>SUM(D13:D16)</f>
      </c>
      <c r="E17" s="60">
        <f>SUM(E13:E16)</f>
      </c>
      <c r="F17" s="70">
        <f t="shared" si="285"/>
      </c>
      <c r="G17" s="80">
        <f>SUM(G13:G16)</f>
      </c>
      <c r="H17" s="81">
        <f t="shared" si="247"/>
      </c>
      <c r="I17" s="82">
        <f t="shared" si="38"/>
      </c>
      <c r="J17" s="69">
        <f t="shared" si="0"/>
      </c>
      <c r="K17" s="70">
        <f t="shared" si="114"/>
      </c>
      <c r="L17" s="83">
        <f t="shared" si="76"/>
      </c>
      <c r="M17" s="69">
        <f t="shared" si="209"/>
      </c>
      <c r="N17" s="68">
        <f t="shared" si="152"/>
      </c>
      <c r="O17" s="68">
        <f t="shared" si="171"/>
      </c>
      <c r="P17" s="68">
        <f t="shared" si="304"/>
      </c>
      <c r="Q17" s="68">
        <f t="shared" si="266"/>
      </c>
      <c r="R17" s="69">
        <f t="shared" si="57"/>
      </c>
      <c r="S17" s="70">
        <f t="shared" si="19"/>
      </c>
      <c r="T17" s="68">
        <f t="shared" si="133"/>
      </c>
      <c r="U17" s="68">
        <f t="shared" si="95"/>
      </c>
      <c r="V17" s="68">
        <f t="shared" si="228"/>
      </c>
      <c r="W17" s="68">
        <f t="shared" si="190"/>
      </c>
      <c r="X17" s="68"/>
      <c r="Y17" s="71"/>
      <c r="Z17" s="59">
        <f>SUM(Z13:Z16)</f>
      </c>
      <c r="AA17" s="59">
        <f>SUM(AA13:AA16)</f>
      </c>
      <c r="AB17" s="59">
        <f>SUM(AB13:AB16)</f>
      </c>
      <c r="AC17" s="59">
        <f>SUM(AC13:AC16)</f>
      </c>
      <c r="AD17" s="59">
        <f>SUM(AD13:AD16)</f>
      </c>
      <c r="AE17" s="59">
        <f>SUM(AE13:AE16)</f>
      </c>
      <c r="AF17" s="59">
        <f>SUM(AF13:AF16)</f>
      </c>
      <c r="AG17" s="59">
        <f>SUM(AG13:AG16)</f>
      </c>
      <c r="AH17" s="59">
        <f>SUM(AH13:AH16)</f>
      </c>
      <c r="AI17" s="59">
        <f>SUM(AI13:AI16)</f>
      </c>
      <c r="AJ17" s="24"/>
      <c r="AK17" s="24"/>
      <c r="AL17" s="24"/>
    </row>
    <row r="18">
      <c r="A18" s="25"/>
      <c r="B18" s="72" t="s">
        <v>57</v>
      </c>
      <c r="C18" s="38" t="s">
        <v>58</v>
      </c>
      <c r="D18" s="87">
        <v>3699.3089999999997</v>
      </c>
      <c r="E18" s="29">
        <v>11</v>
      </c>
      <c r="F18" s="30">
        <f t="shared" si="285"/>
      </c>
      <c r="G18" s="31">
        <v>2444</v>
      </c>
      <c r="H18" s="32">
        <f t="shared" si="247"/>
      </c>
      <c r="I18" s="33">
        <f t="shared" si="38"/>
      </c>
      <c r="J18" s="34">
        <f t="shared" si="0"/>
      </c>
      <c r="K18" s="35">
        <f t="shared" si="114"/>
      </c>
      <c r="L18" s="79">
        <f t="shared" si="76"/>
      </c>
      <c r="M18" s="54">
        <f t="shared" si="209"/>
      </c>
      <c r="N18" s="55">
        <f t="shared" si="152"/>
      </c>
      <c r="O18" s="55">
        <f t="shared" si="171"/>
      </c>
      <c r="P18" s="55">
        <f t="shared" si="304"/>
      </c>
      <c r="Q18" s="55">
        <f t="shared" si="266"/>
      </c>
      <c r="R18" s="54">
        <f t="shared" si="57"/>
      </c>
      <c r="S18" s="56">
        <f t="shared" si="19"/>
      </c>
      <c r="T18" s="55">
        <f t="shared" si="133"/>
      </c>
      <c r="U18" s="55">
        <f t="shared" si="95"/>
      </c>
      <c r="V18" s="55">
        <f t="shared" si="228"/>
      </c>
      <c r="W18" s="55">
        <f t="shared" si="190"/>
      </c>
      <c r="X18" s="38" t="s">
        <v>52</v>
      </c>
      <c r="Y18" s="86" t="s">
        <v>54</v>
      </c>
      <c r="Z18" s="41">
        <v>67215</v>
      </c>
      <c r="AA18" s="41">
        <v>9661</v>
      </c>
      <c r="AB18" s="41">
        <v>189070</v>
      </c>
      <c r="AC18" s="88">
        <v>378</v>
      </c>
      <c r="AD18" s="88">
        <v>12</v>
      </c>
      <c r="AE18" s="88">
        <v>11265</v>
      </c>
      <c r="AF18" s="88">
        <v>156</v>
      </c>
      <c r="AG18" s="88">
        <v>26</v>
      </c>
      <c r="AH18" s="88">
        <v>8</v>
      </c>
      <c r="AI18" s="42">
        <v>0</v>
      </c>
      <c r="AJ18" s="24"/>
      <c r="AK18" s="24"/>
      <c r="AL18" s="24"/>
    </row>
    <row r="19">
      <c r="A19" s="25"/>
      <c r="B19" s="72" t="s">
        <v>57</v>
      </c>
      <c r="C19" s="78" t="s">
        <v>59</v>
      </c>
      <c r="D19" s="87">
        <v>6010.591</v>
      </c>
      <c r="E19" s="29">
        <v>15</v>
      </c>
      <c r="F19" s="30">
        <f t="shared" si="285"/>
      </c>
      <c r="G19" s="31">
        <v>5198.4</v>
      </c>
      <c r="H19" s="32">
        <f t="shared" si="247"/>
      </c>
      <c r="I19" s="33">
        <f t="shared" si="38"/>
      </c>
      <c r="J19" s="34">
        <f t="shared" si="0"/>
      </c>
      <c r="K19" s="35">
        <f t="shared" si="114"/>
      </c>
      <c r="L19" s="79">
        <f t="shared" si="76"/>
      </c>
      <c r="M19" s="54">
        <f t="shared" si="209"/>
      </c>
      <c r="N19" s="55">
        <f t="shared" si="152"/>
      </c>
      <c r="O19" s="55">
        <f t="shared" si="171"/>
      </c>
      <c r="P19" s="55">
        <f t="shared" si="304"/>
      </c>
      <c r="Q19" s="55">
        <f t="shared" si="266"/>
      </c>
      <c r="R19" s="54">
        <f t="shared" si="57"/>
      </c>
      <c r="S19" s="56">
        <f t="shared" si="19"/>
      </c>
      <c r="T19" s="55">
        <f t="shared" si="133"/>
      </c>
      <c r="U19" s="55">
        <f t="shared" si="95"/>
      </c>
      <c r="V19" s="55">
        <f t="shared" si="228"/>
      </c>
      <c r="W19" s="55">
        <f t="shared" si="190"/>
      </c>
      <c r="X19" s="38" t="s">
        <v>52</v>
      </c>
      <c r="Y19" s="86" t="s">
        <v>54</v>
      </c>
      <c r="Z19" s="41">
        <v>106369</v>
      </c>
      <c r="AA19" s="41">
        <v>14322</v>
      </c>
      <c r="AB19" s="41">
        <v>313224</v>
      </c>
      <c r="AC19" s="88">
        <v>461</v>
      </c>
      <c r="AD19" s="88">
        <v>13</v>
      </c>
      <c r="AE19" s="88">
        <v>17120</v>
      </c>
      <c r="AF19" s="88">
        <v>202</v>
      </c>
      <c r="AG19" s="88">
        <v>48</v>
      </c>
      <c r="AH19" s="88">
        <v>18</v>
      </c>
      <c r="AI19" s="42">
        <v>1</v>
      </c>
      <c r="AJ19" s="24"/>
      <c r="AK19" s="24"/>
      <c r="AL19" s="24"/>
    </row>
    <row r="20">
      <c r="A20" s="25"/>
      <c r="B20" s="72" t="s">
        <v>57</v>
      </c>
      <c r="C20" s="78" t="s">
        <v>60</v>
      </c>
      <c r="D20" s="84">
        <v>2115.817</v>
      </c>
      <c r="E20" s="45">
        <v>17</v>
      </c>
      <c r="F20" s="30">
        <f t="shared" si="285"/>
      </c>
      <c r="G20" s="45">
        <v>5935.3</v>
      </c>
      <c r="H20" s="32">
        <f t="shared" si="247"/>
      </c>
      <c r="I20" s="33">
        <f t="shared" si="38"/>
      </c>
      <c r="J20" s="34">
        <f t="shared" si="0"/>
      </c>
      <c r="K20" s="35">
        <f t="shared" si="114"/>
      </c>
      <c r="L20" s="79">
        <f t="shared" si="76"/>
      </c>
      <c r="M20" s="54">
        <f t="shared" si="209"/>
      </c>
      <c r="N20" s="55">
        <f t="shared" si="152"/>
      </c>
      <c r="O20" s="55">
        <f t="shared" si="171"/>
      </c>
      <c r="P20" s="55">
        <f t="shared" si="304"/>
      </c>
      <c r="Q20" s="55">
        <f t="shared" si="266"/>
      </c>
      <c r="R20" s="54">
        <f t="shared" si="57"/>
      </c>
      <c r="S20" s="56">
        <f t="shared" si="19"/>
      </c>
      <c r="T20" s="55">
        <f t="shared" si="133"/>
      </c>
      <c r="U20" s="55">
        <f t="shared" si="95"/>
      </c>
      <c r="V20" s="55">
        <f t="shared" si="228"/>
      </c>
      <c r="W20" s="55">
        <f t="shared" si="190"/>
      </c>
      <c r="X20" s="38" t="s">
        <v>52</v>
      </c>
      <c r="Y20" s="86" t="s">
        <v>54</v>
      </c>
      <c r="Z20" s="41">
        <v>40509</v>
      </c>
      <c r="AA20" s="41">
        <v>7268</v>
      </c>
      <c r="AB20" s="41">
        <v>91167</v>
      </c>
      <c r="AC20" s="41">
        <v>161</v>
      </c>
      <c r="AD20" s="41">
        <v>13</v>
      </c>
      <c r="AE20" s="41">
        <v>5738</v>
      </c>
      <c r="AF20" s="41">
        <v>152</v>
      </c>
      <c r="AG20" s="41">
        <v>20</v>
      </c>
      <c r="AH20" s="41">
        <v>8</v>
      </c>
      <c r="AI20" s="42">
        <v>4</v>
      </c>
      <c r="AJ20" s="24"/>
      <c r="AK20" s="24"/>
      <c r="AL20" s="24"/>
    </row>
    <row r="21">
      <c r="A21" s="25"/>
      <c r="B21" s="72" t="s">
        <v>57</v>
      </c>
      <c r="C21" s="78" t="s">
        <v>61</v>
      </c>
      <c r="D21" s="85">
        <v>5888.648</v>
      </c>
      <c r="E21" s="45">
        <v>6</v>
      </c>
      <c r="F21" s="30">
        <f t="shared" si="285"/>
      </c>
      <c r="G21" s="45">
        <v>1897.6</v>
      </c>
      <c r="H21" s="32">
        <f t="shared" si="247"/>
      </c>
      <c r="I21" s="33">
        <f t="shared" si="38"/>
      </c>
      <c r="J21" s="34">
        <f t="shared" si="0"/>
      </c>
      <c r="K21" s="35">
        <f t="shared" si="114"/>
      </c>
      <c r="L21" s="79">
        <f t="shared" si="76"/>
      </c>
      <c r="M21" s="54">
        <f t="shared" si="209"/>
      </c>
      <c r="N21" s="55">
        <f t="shared" si="152"/>
      </c>
      <c r="O21" s="55">
        <f t="shared" si="171"/>
      </c>
      <c r="P21" s="55">
        <f t="shared" si="304"/>
      </c>
      <c r="Q21" s="55">
        <f t="shared" si="266"/>
      </c>
      <c r="R21" s="54">
        <f t="shared" si="57"/>
      </c>
      <c r="S21" s="56">
        <f t="shared" si="19"/>
      </c>
      <c r="T21" s="55">
        <f t="shared" si="133"/>
      </c>
      <c r="U21" s="55">
        <f t="shared" si="95"/>
      </c>
      <c r="V21" s="55">
        <f t="shared" si="228"/>
      </c>
      <c r="W21" s="55">
        <f t="shared" si="190"/>
      </c>
      <c r="X21" s="38" t="s">
        <v>52</v>
      </c>
      <c r="Y21" s="86" t="s">
        <v>54</v>
      </c>
      <c r="Z21" s="41">
        <v>98096</v>
      </c>
      <c r="AA21" s="41">
        <v>14481</v>
      </c>
      <c r="AB21" s="41">
        <v>290882</v>
      </c>
      <c r="AC21" s="41">
        <v>221</v>
      </c>
      <c r="AD21" s="41">
        <v>4</v>
      </c>
      <c r="AE21" s="41">
        <v>15746</v>
      </c>
      <c r="AF21" s="41">
        <v>116</v>
      </c>
      <c r="AG21" s="41">
        <v>38</v>
      </c>
      <c r="AH21" s="41">
        <v>8</v>
      </c>
      <c r="AI21" s="42">
        <v>1</v>
      </c>
      <c r="AJ21" s="24"/>
      <c r="AK21" s="24"/>
      <c r="AL21" s="24"/>
    </row>
    <row r="22">
      <c r="A22" s="25"/>
      <c r="B22" s="72" t="s">
        <v>57</v>
      </c>
      <c r="C22" s="78" t="s">
        <v>62</v>
      </c>
      <c r="D22" s="85">
        <f>3644.895+0.866</f>
      </c>
      <c r="E22" s="45">
        <v>14</v>
      </c>
      <c r="F22" s="30">
        <f t="shared" si="285"/>
      </c>
      <c r="G22" s="45">
        <v>7848</v>
      </c>
      <c r="H22" s="32">
        <f t="shared" si="247"/>
      </c>
      <c r="I22" s="33">
        <f t="shared" si="38"/>
      </c>
      <c r="J22" s="34">
        <f t="shared" si="0"/>
      </c>
      <c r="K22" s="35">
        <f t="shared" si="114"/>
      </c>
      <c r="L22" s="79">
        <f t="shared" si="76"/>
      </c>
      <c r="M22" s="54">
        <f t="shared" si="209"/>
      </c>
      <c r="N22" s="55">
        <f t="shared" si="152"/>
      </c>
      <c r="O22" s="55">
        <f t="shared" si="171"/>
      </c>
      <c r="P22" s="55">
        <f t="shared" si="304"/>
      </c>
      <c r="Q22" s="55">
        <f t="shared" si="266"/>
      </c>
      <c r="R22" s="54">
        <f t="shared" si="57"/>
      </c>
      <c r="S22" s="56">
        <f t="shared" si="19"/>
      </c>
      <c r="T22" s="55">
        <f t="shared" si="133"/>
      </c>
      <c r="U22" s="55">
        <f t="shared" si="95"/>
      </c>
      <c r="V22" s="55">
        <f t="shared" si="228"/>
      </c>
      <c r="W22" s="55">
        <f t="shared" si="190"/>
      </c>
      <c r="X22" s="38" t="s">
        <v>52</v>
      </c>
      <c r="Y22" s="86" t="s">
        <v>54</v>
      </c>
      <c r="Z22" s="41">
        <v>99246</v>
      </c>
      <c r="AA22" s="41">
        <v>11173</v>
      </c>
      <c r="AB22" s="41">
        <v>249340</v>
      </c>
      <c r="AC22" s="41">
        <v>463</v>
      </c>
      <c r="AD22" s="41">
        <v>11</v>
      </c>
      <c r="AE22" s="41">
        <v>14300</v>
      </c>
      <c r="AF22" s="41">
        <v>96</v>
      </c>
      <c r="AG22" s="41">
        <v>35</v>
      </c>
      <c r="AH22" s="41">
        <v>14</v>
      </c>
      <c r="AI22" s="42">
        <v>3</v>
      </c>
      <c r="AJ22" s="24"/>
      <c r="AK22" s="24"/>
      <c r="AL22" s="24"/>
    </row>
    <row r="23">
      <c r="A23" s="25"/>
      <c r="B23" s="58" t="s">
        <v>44</v>
      </c>
      <c r="C23" s="58"/>
      <c r="D23" s="59">
        <f>SUM(D18:D22)</f>
      </c>
      <c r="E23" s="60">
        <f>SUM(E18:E22)</f>
      </c>
      <c r="F23" s="70">
        <f t="shared" si="285"/>
      </c>
      <c r="G23" s="80">
        <f>SUM(G18:G22)</f>
      </c>
      <c r="H23" s="81">
        <f t="shared" si="247"/>
      </c>
      <c r="I23" s="82">
        <f t="shared" si="38"/>
      </c>
      <c r="J23" s="69">
        <f t="shared" si="0"/>
      </c>
      <c r="K23" s="70">
        <f t="shared" si="114"/>
      </c>
      <c r="L23" s="83">
        <f t="shared" si="76"/>
      </c>
      <c r="M23" s="69">
        <f t="shared" si="209"/>
      </c>
      <c r="N23" s="68">
        <f t="shared" si="152"/>
      </c>
      <c r="O23" s="68">
        <f t="shared" si="171"/>
      </c>
      <c r="P23" s="68">
        <f t="shared" si="304"/>
      </c>
      <c r="Q23" s="68">
        <f t="shared" si="266"/>
      </c>
      <c r="R23" s="69">
        <f t="shared" si="57"/>
      </c>
      <c r="S23" s="70">
        <f t="shared" si="19"/>
      </c>
      <c r="T23" s="68">
        <f t="shared" si="133"/>
      </c>
      <c r="U23" s="68">
        <f t="shared" si="95"/>
      </c>
      <c r="V23" s="68">
        <f t="shared" si="228"/>
      </c>
      <c r="W23" s="68">
        <f t="shared" si="190"/>
      </c>
      <c r="X23" s="68"/>
      <c r="Y23" s="71"/>
      <c r="Z23" s="59">
        <f>SUM(Z18:Z22)</f>
      </c>
      <c r="AA23" s="59">
        <f>SUM(AA18:AA22)</f>
      </c>
      <c r="AB23" s="59">
        <f>SUM(AB18:AB22)</f>
      </c>
      <c r="AC23" s="59">
        <f>SUM(AC18:AC22)</f>
      </c>
      <c r="AD23" s="59">
        <f>SUM(AD18:AD22)</f>
      </c>
      <c r="AE23" s="59">
        <f>SUM(AE18:AE22)</f>
      </c>
      <c r="AF23" s="59">
        <f>SUM(AF18:AF22)</f>
      </c>
      <c r="AG23" s="59">
        <f>SUM(AG18:AG22)</f>
      </c>
      <c r="AH23" s="59">
        <f>SUM(AH18:AH22)</f>
      </c>
      <c r="AI23" s="59">
        <f>SUM(AI18:AI22)</f>
      </c>
      <c r="AJ23" s="24"/>
      <c r="AK23" s="24"/>
      <c r="AL23" s="24"/>
    </row>
    <row r="24">
      <c r="A24" s="25"/>
      <c r="B24" s="89" t="s">
        <v>63</v>
      </c>
      <c r="C24" s="89"/>
      <c r="D24" s="90">
        <f>SUM(D23+D7+D12+D17)</f>
      </c>
      <c r="E24" s="91">
        <f>SUM(E23+E7+E12+E17)</f>
      </c>
      <c r="F24" s="92">
        <f t="shared" si="285"/>
      </c>
      <c r="G24" s="93">
        <f>SUM(G23+G7+G12+G17)</f>
      </c>
      <c r="H24" s="94">
        <f t="shared" si="247"/>
      </c>
      <c r="I24" s="95">
        <f t="shared" si="38"/>
      </c>
      <c r="J24" s="96">
        <f t="shared" si="0"/>
      </c>
      <c r="K24" s="92">
        <f t="shared" si="114"/>
      </c>
      <c r="L24" s="97">
        <f t="shared" si="76"/>
      </c>
      <c r="M24" s="97">
        <f t="shared" si="209"/>
      </c>
      <c r="N24" s="98">
        <f t="shared" si="152"/>
      </c>
      <c r="O24" s="98">
        <f t="shared" si="171"/>
      </c>
      <c r="P24" s="98">
        <f t="shared" si="304"/>
      </c>
      <c r="Q24" s="98">
        <f t="shared" si="266"/>
      </c>
      <c r="R24" s="99">
        <f t="shared" si="57"/>
      </c>
      <c r="S24" s="100">
        <f t="shared" si="19"/>
      </c>
      <c r="T24" s="101">
        <f t="shared" si="133"/>
      </c>
      <c r="U24" s="101">
        <f t="shared" si="95"/>
      </c>
      <c r="V24" s="101">
        <f t="shared" si="228"/>
      </c>
      <c r="W24" s="101">
        <f t="shared" si="190"/>
      </c>
      <c r="X24" s="101"/>
      <c r="Y24" s="102"/>
      <c r="Z24" s="103">
        <f>SUM(Z7+Z23+Z12+Z17)</f>
      </c>
      <c r="AA24" s="103">
        <f>SUM(AA7+AA23+AA12+AA17)</f>
      </c>
      <c r="AB24" s="103">
        <f>SUM(AB7+AB23+AB12+AB17)</f>
      </c>
      <c r="AC24" s="103">
        <f>SUM(AC7+AC23+AC12+AC17)</f>
      </c>
      <c r="AD24" s="103">
        <f>SUM(AD7+AD23+AD12+AD17)</f>
      </c>
      <c r="AE24" s="103">
        <f>SUM(AE7+AE23+AE12+AE17)</f>
      </c>
      <c r="AF24" s="103">
        <f>SUM(AF7+AF23+AF12+AF17)</f>
      </c>
      <c r="AG24" s="103">
        <f>SUM(AG7+AG23+AG12+AG17)</f>
      </c>
      <c r="AH24" s="103">
        <f>SUM(AH7+AH23+AH12+AH17)</f>
      </c>
      <c r="AI24" s="103">
        <f>SUM(AI7+AI23+AI12+AI17)</f>
      </c>
      <c r="AJ24" s="24"/>
      <c r="AK24" s="24"/>
      <c r="AL24" s="24"/>
    </row>
    <row r="25">
      <c r="A25" s="1" t="s">
        <v>1</v>
      </c>
      <c r="B25" s="2" t="s">
        <v>2</v>
      </c>
      <c r="C25" s="3" t="s">
        <v>3</v>
      </c>
      <c r="D25" s="4" t="s">
        <v>4</v>
      </c>
      <c r="E25" s="5" t="s">
        <v>5</v>
      </c>
      <c r="F25" s="6" t="s">
        <v>6</v>
      </c>
      <c r="G25" s="7" t="s">
        <v>7</v>
      </c>
      <c r="H25" s="8" t="s">
        <v>8</v>
      </c>
      <c r="I25" s="9" t="s">
        <v>9</v>
      </c>
      <c r="J25" s="10" t="s">
        <v>10</v>
      </c>
      <c r="K25" s="11" t="s">
        <v>11</v>
      </c>
      <c r="L25" s="12" t="s">
        <v>12</v>
      </c>
      <c r="M25" s="12" t="s">
        <v>13</v>
      </c>
      <c r="N25" s="13" t="s">
        <v>14</v>
      </c>
      <c r="O25" s="13" t="s">
        <v>15</v>
      </c>
      <c r="P25" s="13" t="s">
        <v>16</v>
      </c>
      <c r="Q25" s="13" t="s">
        <v>17</v>
      </c>
      <c r="R25" s="14" t="s">
        <v>18</v>
      </c>
      <c r="S25" s="15" t="s">
        <v>19</v>
      </c>
      <c r="T25" s="16" t="s">
        <v>20</v>
      </c>
      <c r="U25" s="16" t="s">
        <v>21</v>
      </c>
      <c r="V25" s="16" t="s">
        <v>22</v>
      </c>
      <c r="W25" s="16" t="s">
        <v>23</v>
      </c>
      <c r="X25" s="17" t="s">
        <v>24</v>
      </c>
      <c r="Y25" s="18" t="s">
        <v>25</v>
      </c>
      <c r="Z25" s="19" t="s">
        <v>26</v>
      </c>
      <c r="AA25" s="19" t="s">
        <v>27</v>
      </c>
      <c r="AB25" s="19" t="s">
        <v>28</v>
      </c>
      <c r="AC25" s="20" t="s">
        <v>29</v>
      </c>
      <c r="AD25" s="20" t="s">
        <v>30</v>
      </c>
      <c r="AE25" s="21" t="s">
        <v>31</v>
      </c>
      <c r="AF25" s="20" t="s">
        <v>32</v>
      </c>
      <c r="AG25" s="20" t="s">
        <v>33</v>
      </c>
      <c r="AH25" s="22" t="s">
        <v>34</v>
      </c>
      <c r="AI25" s="23" t="s">
        <v>35</v>
      </c>
      <c r="AJ25" s="24"/>
      <c r="AK25" s="24"/>
      <c r="AL25" s="24"/>
      <c r="AM25" s="24"/>
      <c r="AN25" s="24"/>
    </row>
    <row r="26">
      <c r="A26" s="25">
        <v>46297</v>
      </c>
      <c r="B26" s="26" t="s">
        <v>36</v>
      </c>
      <c r="C26" s="27" t="s">
        <v>37</v>
      </c>
      <c r="D26" s="28">
        <v>1098.7559999999999</v>
      </c>
      <c r="E26" s="29">
        <v>3</v>
      </c>
      <c r="F26" s="30">
        <f t="shared" ref="F26:F48" si="286">D26/E26</f>
      </c>
      <c r="G26" s="31">
        <v>1284</v>
      </c>
      <c r="H26" s="32">
        <f t="shared" ref="H26:H48" si="248">AD26</f>
      </c>
      <c r="I26" s="33">
        <f t="shared" ref="I26:I48" si="39">D26/AD26</f>
      </c>
      <c r="J26" s="34">
        <f t="shared" ref="J26:J48" si="1">G26/E26</f>
      </c>
      <c r="K26" s="35">
        <f t="shared" ref="K26:K48" si="115">G26/D26</f>
      </c>
      <c r="L26" s="36">
        <f t="shared" ref="L26:L48" si="77">D26/AB26</f>
      </c>
      <c r="M26" s="34">
        <f t="shared" ref="M26:M48" si="210">D26/AC26</f>
      </c>
      <c r="N26" s="37">
        <f t="shared" ref="N26:N48" si="153">AC26/AB26</f>
      </c>
      <c r="O26" s="37">
        <f t="shared" ref="O26:O48" si="172">AD26/AC26</f>
      </c>
      <c r="P26" s="37">
        <f t="shared" ref="P26:P48" si="305">AA26/Z26</f>
      </c>
      <c r="Q26" s="37">
        <f t="shared" ref="Q26:Q48" si="267">AD26/AA26</f>
      </c>
      <c r="R26" s="34">
        <f t="shared" ref="R26:R48" si="58">D26/Z26*1000</f>
      </c>
      <c r="S26" s="35">
        <f t="shared" ref="S26:S48" si="20">D26/AA26</f>
      </c>
      <c r="T26" s="37">
        <f t="shared" ref="T26:T48" si="134">AE26/AB26</f>
      </c>
      <c r="U26" s="37">
        <f t="shared" ref="U26:U48" si="96">AF26/AB26</f>
      </c>
      <c r="V26" s="37">
        <f t="shared" ref="V26:V48" si="229">AG26/AB26</f>
      </c>
      <c r="W26" s="37">
        <f t="shared" ref="W26:W48" si="191">AH26/AB26</f>
      </c>
      <c r="X26" s="38" t="s">
        <v>38</v>
      </c>
      <c r="Y26" s="39" t="s">
        <v>39</v>
      </c>
      <c r="Z26" s="40">
        <v>18836</v>
      </c>
      <c r="AA26" s="40">
        <v>5955</v>
      </c>
      <c r="AB26" s="40">
        <v>35138</v>
      </c>
      <c r="AC26" s="40">
        <v>184</v>
      </c>
      <c r="AD26" s="41">
        <v>3</v>
      </c>
      <c r="AE26" s="40">
        <v>4348</v>
      </c>
      <c r="AF26" s="41">
        <v>80</v>
      </c>
      <c r="AG26" s="41">
        <v>15</v>
      </c>
      <c r="AH26" s="41">
        <v>3</v>
      </c>
      <c r="AI26" s="42">
        <v>0</v>
      </c>
      <c r="AJ26" s="24"/>
      <c r="AK26" s="24"/>
      <c r="AL26" s="24"/>
      <c r="AM26" s="24"/>
      <c r="AN26" s="24"/>
    </row>
    <row r="27">
      <c r="A27" s="25"/>
      <c r="B27" s="26" t="s">
        <v>36</v>
      </c>
      <c r="C27" s="27" t="s">
        <v>40</v>
      </c>
      <c r="D27" s="28">
        <v>2056.318</v>
      </c>
      <c r="E27" s="29">
        <v>5</v>
      </c>
      <c r="F27" s="30">
        <f t="shared" si="286"/>
      </c>
      <c r="G27" s="31">
        <v>1108</v>
      </c>
      <c r="H27" s="32">
        <f t="shared" si="248"/>
      </c>
      <c r="I27" s="33">
        <f t="shared" si="39"/>
      </c>
      <c r="J27" s="34">
        <f t="shared" si="1"/>
      </c>
      <c r="K27" s="35">
        <f t="shared" si="115"/>
      </c>
      <c r="L27" s="36">
        <f t="shared" si="77"/>
      </c>
      <c r="M27" s="34">
        <f t="shared" si="210"/>
      </c>
      <c r="N27" s="37">
        <f t="shared" si="153"/>
      </c>
      <c r="O27" s="37">
        <f t="shared" si="172"/>
      </c>
      <c r="P27" s="37">
        <f t="shared" si="305"/>
      </c>
      <c r="Q27" s="37">
        <f t="shared" si="267"/>
      </c>
      <c r="R27" s="34">
        <f t="shared" si="58"/>
      </c>
      <c r="S27" s="35">
        <f t="shared" si="20"/>
      </c>
      <c r="T27" s="37">
        <f t="shared" si="134"/>
      </c>
      <c r="U27" s="37">
        <f t="shared" si="96"/>
      </c>
      <c r="V27" s="37">
        <f t="shared" si="229"/>
      </c>
      <c r="W27" s="37">
        <f t="shared" si="191"/>
      </c>
      <c r="X27" s="38" t="s">
        <v>38</v>
      </c>
      <c r="Y27" s="39" t="s">
        <v>39</v>
      </c>
      <c r="Z27" s="41">
        <v>38479</v>
      </c>
      <c r="AA27" s="40">
        <v>10793</v>
      </c>
      <c r="AB27" s="40">
        <v>80891</v>
      </c>
      <c r="AC27" s="40">
        <v>319</v>
      </c>
      <c r="AD27" s="41">
        <v>4</v>
      </c>
      <c r="AE27" s="40">
        <v>9440</v>
      </c>
      <c r="AF27" s="41">
        <v>161</v>
      </c>
      <c r="AG27" s="41">
        <v>18</v>
      </c>
      <c r="AH27" s="41">
        <v>13</v>
      </c>
      <c r="AI27" s="42">
        <v>0</v>
      </c>
      <c r="AJ27" s="24"/>
      <c r="AK27" s="24"/>
      <c r="AL27" s="24"/>
      <c r="AM27" s="24"/>
      <c r="AN27" s="24"/>
    </row>
    <row r="28">
      <c r="A28" s="25"/>
      <c r="B28" s="26" t="s">
        <v>36</v>
      </c>
      <c r="C28" s="43" t="s">
        <v>41</v>
      </c>
      <c r="D28" s="44">
        <v>2254.952</v>
      </c>
      <c r="E28" s="45">
        <v>7</v>
      </c>
      <c r="F28" s="30">
        <f t="shared" si="286"/>
      </c>
      <c r="G28" s="23">
        <v>3278.8</v>
      </c>
      <c r="H28" s="32">
        <f t="shared" si="248"/>
      </c>
      <c r="I28" s="33">
        <f t="shared" si="39"/>
      </c>
      <c r="J28" s="34">
        <f t="shared" si="1"/>
      </c>
      <c r="K28" s="35">
        <f t="shared" si="115"/>
      </c>
      <c r="L28" s="36">
        <f t="shared" si="77"/>
      </c>
      <c r="M28" s="34">
        <f t="shared" si="210"/>
      </c>
      <c r="N28" s="37">
        <f t="shared" si="153"/>
      </c>
      <c r="O28" s="37">
        <f t="shared" si="172"/>
      </c>
      <c r="P28" s="37">
        <f t="shared" si="305"/>
      </c>
      <c r="Q28" s="37">
        <f t="shared" si="267"/>
      </c>
      <c r="R28" s="34">
        <f t="shared" si="58"/>
      </c>
      <c r="S28" s="35">
        <f t="shared" si="20"/>
      </c>
      <c r="T28" s="37">
        <f t="shared" si="134"/>
      </c>
      <c r="U28" s="37">
        <f t="shared" si="96"/>
      </c>
      <c r="V28" s="37">
        <f t="shared" si="229"/>
      </c>
      <c r="W28" s="37">
        <f t="shared" si="191"/>
      </c>
      <c r="X28" s="38" t="s">
        <v>38</v>
      </c>
      <c r="Y28" s="39" t="s">
        <v>39</v>
      </c>
      <c r="Z28" s="41">
        <v>45489</v>
      </c>
      <c r="AA28" s="41">
        <v>10179</v>
      </c>
      <c r="AB28" s="41">
        <v>88891</v>
      </c>
      <c r="AC28" s="41">
        <v>312</v>
      </c>
      <c r="AD28" s="41">
        <v>6</v>
      </c>
      <c r="AE28" s="41">
        <v>9520</v>
      </c>
      <c r="AF28" s="41">
        <v>136</v>
      </c>
      <c r="AG28" s="41">
        <v>24</v>
      </c>
      <c r="AH28" s="41">
        <v>12</v>
      </c>
      <c r="AI28" s="42">
        <v>1</v>
      </c>
      <c r="AJ28" s="24"/>
      <c r="AK28" s="24"/>
      <c r="AL28" s="24"/>
      <c r="AM28" s="24"/>
      <c r="AN28" s="24"/>
    </row>
    <row r="29">
      <c r="A29" s="25"/>
      <c r="B29" s="26" t="s">
        <v>36</v>
      </c>
      <c r="C29" s="46" t="s">
        <v>42</v>
      </c>
      <c r="D29" s="44">
        <v>2414.039</v>
      </c>
      <c r="E29" s="45">
        <v>6</v>
      </c>
      <c r="F29" s="47">
        <f t="shared" si="286"/>
      </c>
      <c r="G29" s="48">
        <v>2518.7999999999993</v>
      </c>
      <c r="H29" s="49">
        <f t="shared" si="248"/>
      </c>
      <c r="I29" s="50">
        <f t="shared" si="39"/>
      </c>
      <c r="J29" s="51">
        <f t="shared" si="1"/>
      </c>
      <c r="K29" s="52">
        <f t="shared" si="115"/>
      </c>
      <c r="L29" s="53">
        <f t="shared" si="77"/>
      </c>
      <c r="M29" s="54">
        <f t="shared" si="210"/>
      </c>
      <c r="N29" s="55">
        <f t="shared" si="153"/>
      </c>
      <c r="O29" s="55">
        <f t="shared" si="172"/>
      </c>
      <c r="P29" s="55">
        <f t="shared" si="305"/>
      </c>
      <c r="Q29" s="55">
        <f t="shared" si="267"/>
      </c>
      <c r="R29" s="54">
        <f t="shared" si="58"/>
      </c>
      <c r="S29" s="56">
        <f t="shared" si="20"/>
      </c>
      <c r="T29" s="55">
        <f t="shared" si="134"/>
      </c>
      <c r="U29" s="55">
        <f t="shared" si="96"/>
      </c>
      <c r="V29" s="55">
        <f t="shared" si="229"/>
      </c>
      <c r="W29" s="55">
        <f t="shared" si="191"/>
      </c>
      <c r="X29" s="38" t="s">
        <v>38</v>
      </c>
      <c r="Y29" s="39" t="s">
        <v>39</v>
      </c>
      <c r="Z29" s="40">
        <v>79677</v>
      </c>
      <c r="AA29" s="40">
        <v>8657</v>
      </c>
      <c r="AB29" s="40">
        <v>82130</v>
      </c>
      <c r="AC29" s="40">
        <v>367</v>
      </c>
      <c r="AD29" s="40">
        <v>5</v>
      </c>
      <c r="AE29" s="40">
        <v>8462</v>
      </c>
      <c r="AF29" s="41">
        <v>203</v>
      </c>
      <c r="AG29" s="41">
        <v>18</v>
      </c>
      <c r="AH29" s="41">
        <v>6</v>
      </c>
      <c r="AI29" s="42">
        <v>2</v>
      </c>
      <c r="AJ29" s="24"/>
      <c r="AK29" s="24"/>
      <c r="AL29" s="24"/>
      <c r="AM29" s="24"/>
      <c r="AN29" s="24"/>
    </row>
    <row r="30">
      <c r="A30" s="25"/>
      <c r="B30" s="26" t="s">
        <v>36</v>
      </c>
      <c r="C30" s="46" t="s">
        <v>43</v>
      </c>
      <c r="D30" s="57">
        <v>2745.3419999999996</v>
      </c>
      <c r="E30" s="45">
        <v>5</v>
      </c>
      <c r="F30" s="47">
        <f t="shared" si="286"/>
      </c>
      <c r="G30" s="48">
        <v>1739.999999999999</v>
      </c>
      <c r="H30" s="49">
        <f t="shared" si="248"/>
      </c>
      <c r="I30" s="50">
        <f t="shared" si="39"/>
      </c>
      <c r="J30" s="51">
        <f t="shared" si="1"/>
      </c>
      <c r="K30" s="52">
        <f t="shared" si="115"/>
      </c>
      <c r="L30" s="53">
        <f t="shared" si="77"/>
      </c>
      <c r="M30" s="54">
        <f t="shared" si="210"/>
      </c>
      <c r="N30" s="55">
        <f t="shared" si="153"/>
      </c>
      <c r="O30" s="55">
        <f t="shared" si="172"/>
      </c>
      <c r="P30" s="55">
        <f t="shared" si="305"/>
      </c>
      <c r="Q30" s="55">
        <f t="shared" si="267"/>
      </c>
      <c r="R30" s="54">
        <f t="shared" si="58"/>
      </c>
      <c r="S30" s="56">
        <f t="shared" si="20"/>
      </c>
      <c r="T30" s="55">
        <f t="shared" si="134"/>
      </c>
      <c r="U30" s="55">
        <f t="shared" si="96"/>
      </c>
      <c r="V30" s="55">
        <f t="shared" si="229"/>
      </c>
      <c r="W30" s="55">
        <f t="shared" si="191"/>
      </c>
      <c r="X30" s="38" t="s">
        <v>38</v>
      </c>
      <c r="Y30" s="39" t="s">
        <v>39</v>
      </c>
      <c r="Z30" s="40">
        <v>101413</v>
      </c>
      <c r="AA30" s="40">
        <v>8732</v>
      </c>
      <c r="AB30" s="40">
        <v>110144</v>
      </c>
      <c r="AC30" s="40">
        <v>294</v>
      </c>
      <c r="AD30" s="40">
        <v>6</v>
      </c>
      <c r="AE30" s="40">
        <v>9536</v>
      </c>
      <c r="AF30" s="41">
        <v>174</v>
      </c>
      <c r="AG30" s="41">
        <v>14</v>
      </c>
      <c r="AH30" s="41">
        <v>8</v>
      </c>
      <c r="AI30" s="42">
        <v>0</v>
      </c>
      <c r="AJ30" s="24"/>
      <c r="AK30" s="24"/>
      <c r="AL30" s="24"/>
      <c r="AM30" s="24"/>
      <c r="AN30" s="24"/>
    </row>
    <row r="31">
      <c r="A31" s="25"/>
      <c r="B31" s="58" t="s">
        <v>44</v>
      </c>
      <c r="C31" s="58"/>
      <c r="D31" s="59">
        <f>SUM(D26:D30)</f>
      </c>
      <c r="E31" s="60">
        <f>SUM(E26:E30)</f>
      </c>
      <c r="F31" s="61">
        <f t="shared" si="286"/>
      </c>
      <c r="G31" s="62">
        <f>SUM(G26:G30)</f>
      </c>
      <c r="H31" s="63">
        <f t="shared" si="248"/>
      </c>
      <c r="I31" s="64">
        <f t="shared" si="39"/>
      </c>
      <c r="J31" s="65">
        <f t="shared" si="1"/>
      </c>
      <c r="K31" s="61">
        <f t="shared" si="115"/>
      </c>
      <c r="L31" s="66">
        <f t="shared" si="77"/>
      </c>
      <c r="M31" s="65">
        <f t="shared" si="210"/>
      </c>
      <c r="N31" s="67">
        <f t="shared" si="153"/>
      </c>
      <c r="O31" s="67">
        <f t="shared" si="172"/>
      </c>
      <c r="P31" s="68">
        <f t="shared" si="305"/>
      </c>
      <c r="Q31" s="68">
        <f t="shared" si="267"/>
      </c>
      <c r="R31" s="69">
        <f t="shared" si="58"/>
      </c>
      <c r="S31" s="70">
        <f t="shared" si="20"/>
      </c>
      <c r="T31" s="68">
        <f t="shared" si="134"/>
      </c>
      <c r="U31" s="68">
        <f t="shared" si="96"/>
      </c>
      <c r="V31" s="68">
        <f t="shared" si="229"/>
      </c>
      <c r="W31" s="68">
        <f t="shared" si="191"/>
      </c>
      <c r="X31" s="68"/>
      <c r="Y31" s="71"/>
      <c r="Z31" s="59">
        <f>SUM(Z26:Z30)</f>
      </c>
      <c r="AA31" s="59">
        <f>SUM(AA26:AA30)</f>
      </c>
      <c r="AB31" s="59">
        <f>SUM(AB26:AB30)</f>
      </c>
      <c r="AC31" s="59">
        <f>SUM(AC26:AC30)</f>
      </c>
      <c r="AD31" s="59">
        <f>SUM(AD26:AD30)</f>
      </c>
      <c r="AE31" s="59">
        <f>SUM(AE26:AE30)</f>
      </c>
      <c r="AF31" s="59">
        <f>SUM(AF26:AF30)</f>
      </c>
      <c r="AG31" s="59">
        <f>SUM(AG26:AG30)</f>
      </c>
      <c r="AH31" s="59">
        <f>SUM(AH26:AH30)</f>
      </c>
      <c r="AI31" s="59">
        <f>SUM(AI26:AI30)</f>
      </c>
      <c r="AJ31" s="24"/>
      <c r="AK31" s="24"/>
      <c r="AL31" s="24"/>
      <c r="AM31" s="24"/>
      <c r="AN31" s="24"/>
    </row>
    <row r="32">
      <c r="A32" s="25"/>
      <c r="B32" s="72" t="s">
        <v>50</v>
      </c>
      <c r="C32" s="73" t="s">
        <v>46</v>
      </c>
      <c r="D32" s="74">
        <v>2567.319</v>
      </c>
      <c r="E32" s="75">
        <v>0</v>
      </c>
      <c r="F32" s="47">
        <f t="shared" si="286"/>
      </c>
      <c r="G32" s="45">
        <v>0</v>
      </c>
      <c r="H32" s="49">
        <f t="shared" si="248"/>
      </c>
      <c r="I32" s="50">
        <f t="shared" si="39"/>
      </c>
      <c r="J32" s="51">
        <f t="shared" si="1"/>
      </c>
      <c r="K32" s="52">
        <f t="shared" si="115"/>
      </c>
      <c r="L32" s="76">
        <f t="shared" si="77"/>
      </c>
      <c r="M32" s="34">
        <f t="shared" si="210"/>
      </c>
      <c r="N32" s="37">
        <f t="shared" si="153"/>
      </c>
      <c r="O32" s="37">
        <f t="shared" si="172"/>
      </c>
      <c r="P32" s="37">
        <f t="shared" si="305"/>
      </c>
      <c r="Q32" s="37">
        <f t="shared" si="267"/>
      </c>
      <c r="R32" s="34">
        <f t="shared" si="58"/>
      </c>
      <c r="S32" s="35">
        <f t="shared" si="20"/>
      </c>
      <c r="T32" s="37">
        <f t="shared" si="134"/>
      </c>
      <c r="U32" s="37">
        <f t="shared" si="96"/>
      </c>
      <c r="V32" s="37">
        <f t="shared" si="229"/>
      </c>
      <c r="W32" s="37">
        <f t="shared" si="191"/>
      </c>
      <c r="X32" s="38" t="s">
        <v>38</v>
      </c>
      <c r="Y32" s="39" t="s">
        <v>39</v>
      </c>
      <c r="Z32" s="41">
        <v>92850</v>
      </c>
      <c r="AA32" s="41">
        <v>9062</v>
      </c>
      <c r="AB32" s="41">
        <v>122121</v>
      </c>
      <c r="AC32" s="41">
        <v>310</v>
      </c>
      <c r="AD32" s="41">
        <v>0</v>
      </c>
      <c r="AE32" s="41">
        <v>10763</v>
      </c>
      <c r="AF32" s="41">
        <v>160</v>
      </c>
      <c r="AG32" s="41">
        <v>20</v>
      </c>
      <c r="AH32" s="41">
        <v>2</v>
      </c>
      <c r="AI32" s="42">
        <v>0</v>
      </c>
      <c r="AJ32" s="24"/>
      <c r="AK32" s="24"/>
      <c r="AL32" s="24"/>
      <c r="AM32" s="24"/>
      <c r="AN32" s="24"/>
    </row>
    <row r="33">
      <c r="A33" s="25"/>
      <c r="B33" s="72" t="s">
        <v>50</v>
      </c>
      <c r="C33" s="77" t="s">
        <v>47</v>
      </c>
      <c r="D33" s="44">
        <v>3248.272</v>
      </c>
      <c r="E33" s="45">
        <v>5</v>
      </c>
      <c r="F33" s="47">
        <f t="shared" si="286"/>
      </c>
      <c r="G33" s="48">
        <v>1740</v>
      </c>
      <c r="H33" s="49">
        <f t="shared" si="248"/>
      </c>
      <c r="I33" s="50">
        <f t="shared" si="39"/>
      </c>
      <c r="J33" s="51">
        <f t="shared" si="1"/>
      </c>
      <c r="K33" s="52">
        <f t="shared" si="115"/>
      </c>
      <c r="L33" s="76">
        <f t="shared" si="77"/>
      </c>
      <c r="M33" s="34">
        <f t="shared" si="210"/>
      </c>
      <c r="N33" s="37">
        <f t="shared" si="153"/>
      </c>
      <c r="O33" s="37">
        <f t="shared" si="172"/>
      </c>
      <c r="P33" s="37">
        <f t="shared" si="305"/>
      </c>
      <c r="Q33" s="37">
        <f t="shared" si="267"/>
      </c>
      <c r="R33" s="34">
        <f t="shared" si="58"/>
      </c>
      <c r="S33" s="35">
        <f t="shared" si="20"/>
      </c>
      <c r="T33" s="37">
        <f t="shared" si="134"/>
      </c>
      <c r="U33" s="37">
        <f t="shared" si="96"/>
      </c>
      <c r="V33" s="37">
        <f t="shared" si="229"/>
      </c>
      <c r="W33" s="37">
        <f t="shared" si="191"/>
      </c>
      <c r="X33" s="38" t="s">
        <v>38</v>
      </c>
      <c r="Y33" s="39" t="s">
        <v>39</v>
      </c>
      <c r="Z33" s="41">
        <v>126663</v>
      </c>
      <c r="AA33" s="41">
        <v>9291</v>
      </c>
      <c r="AB33" s="41">
        <v>149236</v>
      </c>
      <c r="AC33" s="41">
        <v>524</v>
      </c>
      <c r="AD33" s="41">
        <v>5</v>
      </c>
      <c r="AE33" s="41">
        <v>11129</v>
      </c>
      <c r="AF33" s="41">
        <v>140</v>
      </c>
      <c r="AG33" s="41">
        <v>19</v>
      </c>
      <c r="AH33" s="41">
        <v>7</v>
      </c>
      <c r="AI33" s="42">
        <v>0</v>
      </c>
      <c r="AJ33" s="24"/>
      <c r="AK33" s="24"/>
      <c r="AL33" s="24"/>
      <c r="AM33" s="24"/>
      <c r="AN33" s="24"/>
    </row>
    <row r="34">
      <c r="A34" s="25"/>
      <c r="B34" s="72" t="s">
        <v>50</v>
      </c>
      <c r="C34" s="78" t="s">
        <v>48</v>
      </c>
      <c r="D34" s="44">
        <v>2496.4990000000003</v>
      </c>
      <c r="E34" s="45">
        <v>4</v>
      </c>
      <c r="F34" s="30">
        <f t="shared" si="286"/>
      </c>
      <c r="G34" s="23">
        <v>1512</v>
      </c>
      <c r="H34" s="32">
        <f t="shared" si="248"/>
      </c>
      <c r="I34" s="33">
        <f t="shared" si="39"/>
      </c>
      <c r="J34" s="34">
        <f t="shared" si="1"/>
      </c>
      <c r="K34" s="35">
        <f t="shared" si="115"/>
      </c>
      <c r="L34" s="79">
        <f t="shared" si="77"/>
      </c>
      <c r="M34" s="54">
        <f t="shared" si="210"/>
      </c>
      <c r="N34" s="55">
        <f t="shared" si="153"/>
      </c>
      <c r="O34" s="55">
        <f t="shared" si="172"/>
      </c>
      <c r="P34" s="55">
        <f t="shared" si="305"/>
      </c>
      <c r="Q34" s="55">
        <f t="shared" si="267"/>
      </c>
      <c r="R34" s="54">
        <f t="shared" si="58"/>
      </c>
      <c r="S34" s="56">
        <f t="shared" si="20"/>
      </c>
      <c r="T34" s="55">
        <f t="shared" si="134"/>
      </c>
      <c r="U34" s="55">
        <f t="shared" si="96"/>
      </c>
      <c r="V34" s="55">
        <f t="shared" si="229"/>
      </c>
      <c r="W34" s="55">
        <f t="shared" si="191"/>
      </c>
      <c r="X34" s="38" t="s">
        <v>38</v>
      </c>
      <c r="Y34" s="39" t="s">
        <v>39</v>
      </c>
      <c r="Z34" s="41">
        <v>98795</v>
      </c>
      <c r="AA34" s="41">
        <v>9303</v>
      </c>
      <c r="AB34" s="41">
        <v>120467</v>
      </c>
      <c r="AC34" s="41">
        <v>423</v>
      </c>
      <c r="AD34" s="41">
        <v>4</v>
      </c>
      <c r="AE34" s="41">
        <v>8441</v>
      </c>
      <c r="AF34" s="41">
        <v>183</v>
      </c>
      <c r="AG34" s="41">
        <v>26</v>
      </c>
      <c r="AH34" s="41">
        <v>7</v>
      </c>
      <c r="AI34" s="42">
        <v>0</v>
      </c>
      <c r="AJ34" s="24"/>
      <c r="AK34" s="24"/>
      <c r="AL34" s="24"/>
      <c r="AM34" s="24"/>
      <c r="AN34" s="24"/>
    </row>
    <row r="35">
      <c r="A35" s="25"/>
      <c r="B35" s="72" t="s">
        <v>50</v>
      </c>
      <c r="C35" s="78" t="s">
        <v>49</v>
      </c>
      <c r="D35" s="57">
        <v>2725.735</v>
      </c>
      <c r="E35" s="45">
        <v>4</v>
      </c>
      <c r="F35" s="30">
        <f t="shared" si="286"/>
      </c>
      <c r="G35" s="23">
        <v>828.3999999999996</v>
      </c>
      <c r="H35" s="32">
        <f t="shared" si="248"/>
      </c>
      <c r="I35" s="33">
        <f t="shared" si="39"/>
      </c>
      <c r="J35" s="34">
        <f t="shared" si="1"/>
      </c>
      <c r="K35" s="35">
        <f t="shared" si="115"/>
      </c>
      <c r="L35" s="79">
        <f t="shared" si="77"/>
      </c>
      <c r="M35" s="54">
        <f t="shared" si="210"/>
      </c>
      <c r="N35" s="55">
        <f t="shared" si="153"/>
      </c>
      <c r="O35" s="55">
        <f t="shared" si="172"/>
      </c>
      <c r="P35" s="55">
        <f t="shared" si="305"/>
      </c>
      <c r="Q35" s="55">
        <f t="shared" si="267"/>
      </c>
      <c r="R35" s="54">
        <f t="shared" si="58"/>
      </c>
      <c r="S35" s="56">
        <f t="shared" si="20"/>
      </c>
      <c r="T35" s="55">
        <f t="shared" si="134"/>
      </c>
      <c r="U35" s="55">
        <f t="shared" si="96"/>
      </c>
      <c r="V35" s="55">
        <f t="shared" si="229"/>
      </c>
      <c r="W35" s="55">
        <f t="shared" si="191"/>
      </c>
      <c r="X35" s="38" t="s">
        <v>38</v>
      </c>
      <c r="Y35" s="39" t="s">
        <v>39</v>
      </c>
      <c r="Z35" s="41">
        <v>122365</v>
      </c>
      <c r="AA35" s="41">
        <v>10240</v>
      </c>
      <c r="AB35" s="41">
        <v>119168</v>
      </c>
      <c r="AC35" s="41">
        <v>244</v>
      </c>
      <c r="AD35" s="41">
        <v>3</v>
      </c>
      <c r="AE35" s="41">
        <v>8456</v>
      </c>
      <c r="AF35" s="41">
        <v>172</v>
      </c>
      <c r="AG35" s="41">
        <v>35</v>
      </c>
      <c r="AH35" s="41">
        <v>6</v>
      </c>
      <c r="AI35" s="42">
        <v>1</v>
      </c>
      <c r="AJ35" s="24"/>
      <c r="AK35" s="24"/>
      <c r="AL35" s="24"/>
      <c r="AM35" s="24"/>
      <c r="AN35" s="24"/>
    </row>
    <row customHeight="true" ht="16.071428571428573" r="36">
      <c r="A36" s="25"/>
      <c r="B36" s="72" t="s">
        <v>50</v>
      </c>
      <c r="C36" s="38" t="s">
        <v>51</v>
      </c>
      <c r="D36" s="85">
        <v>2330.6440000000002</v>
      </c>
      <c r="E36" s="45">
        <v>7</v>
      </c>
      <c r="F36" s="47">
        <f t="shared" si="286"/>
      </c>
      <c r="G36" s="45">
        <v>3357.6</v>
      </c>
      <c r="H36" s="49">
        <f t="shared" si="248"/>
      </c>
      <c r="I36" s="50">
        <f t="shared" si="39"/>
      </c>
      <c r="J36" s="51">
        <f t="shared" si="1"/>
      </c>
      <c r="K36" s="52">
        <f t="shared" si="115"/>
      </c>
      <c r="L36" s="53">
        <f t="shared" si="77"/>
      </c>
      <c r="M36" s="54">
        <f t="shared" si="210"/>
      </c>
      <c r="N36" s="55">
        <f t="shared" si="153"/>
      </c>
      <c r="O36" s="55">
        <f t="shared" si="172"/>
      </c>
      <c r="P36" s="55">
        <f t="shared" si="305"/>
      </c>
      <c r="Q36" s="55">
        <f t="shared" si="267"/>
      </c>
      <c r="R36" s="54">
        <f t="shared" si="58"/>
      </c>
      <c r="S36" s="56">
        <f t="shared" si="20"/>
      </c>
      <c r="T36" s="55">
        <f t="shared" si="134"/>
      </c>
      <c r="U36" s="55">
        <f t="shared" si="96"/>
      </c>
      <c r="V36" s="55">
        <f t="shared" si="229"/>
      </c>
      <c r="W36" s="55">
        <f t="shared" si="191"/>
      </c>
      <c r="X36" s="38" t="s">
        <v>52</v>
      </c>
      <c r="Y36" s="39" t="s">
        <v>39</v>
      </c>
      <c r="Z36" s="40">
        <v>113469</v>
      </c>
      <c r="AA36" s="40">
        <v>7915</v>
      </c>
      <c r="AB36" s="40">
        <v>92694</v>
      </c>
      <c r="AC36" s="40">
        <v>239</v>
      </c>
      <c r="AD36" s="40">
        <v>4</v>
      </c>
      <c r="AE36" s="40">
        <v>5992</v>
      </c>
      <c r="AF36" s="41">
        <v>113</v>
      </c>
      <c r="AG36" s="41">
        <v>24</v>
      </c>
      <c r="AH36" s="41">
        <v>6</v>
      </c>
      <c r="AI36" s="42">
        <v>1</v>
      </c>
      <c r="AJ36" s="24"/>
      <c r="AK36" s="24"/>
      <c r="AL36" s="24"/>
      <c r="AM36" s="24"/>
      <c r="AN36" s="24"/>
    </row>
    <row r="37">
      <c r="A37" s="25"/>
      <c r="B37" s="58" t="s">
        <v>44</v>
      </c>
      <c r="C37" s="58"/>
      <c r="D37" s="59">
        <f>SUM(D32:D36)</f>
      </c>
      <c r="E37" s="60">
        <f>SUM(E32:E36)</f>
      </c>
      <c r="F37" s="61">
        <f t="shared" si="286"/>
      </c>
      <c r="G37" s="62">
        <f>SUM(G32:G36)</f>
      </c>
      <c r="H37" s="63">
        <f t="shared" si="248"/>
      </c>
      <c r="I37" s="64">
        <f t="shared" si="39"/>
      </c>
      <c r="J37" s="65">
        <f t="shared" si="1"/>
      </c>
      <c r="K37" s="61">
        <f t="shared" si="115"/>
      </c>
      <c r="L37" s="66">
        <f t="shared" si="77"/>
      </c>
      <c r="M37" s="65">
        <f t="shared" si="210"/>
      </c>
      <c r="N37" s="67">
        <f t="shared" si="153"/>
      </c>
      <c r="O37" s="67">
        <f t="shared" si="172"/>
      </c>
      <c r="P37" s="68">
        <f t="shared" si="305"/>
      </c>
      <c r="Q37" s="68">
        <f t="shared" si="267"/>
      </c>
      <c r="R37" s="69">
        <f t="shared" si="58"/>
      </c>
      <c r="S37" s="70">
        <f t="shared" si="20"/>
      </c>
      <c r="T37" s="68">
        <f t="shared" si="134"/>
      </c>
      <c r="U37" s="68">
        <f t="shared" si="96"/>
      </c>
      <c r="V37" s="68">
        <f t="shared" si="229"/>
      </c>
      <c r="W37" s="68">
        <f t="shared" si="191"/>
      </c>
      <c r="X37" s="68"/>
      <c r="Y37" s="71"/>
      <c r="Z37" s="59">
        <f>SUM(Z32:Z36)</f>
      </c>
      <c r="AA37" s="59">
        <f>SUM(AA32:AA36)</f>
      </c>
      <c r="AB37" s="59">
        <f>SUM(AB32:AB36)</f>
      </c>
      <c r="AC37" s="59">
        <f>SUM(AC32:AC36)</f>
      </c>
      <c r="AD37" s="59">
        <f>SUM(AD32:AD36)</f>
      </c>
      <c r="AE37" s="59">
        <f>SUM(AE32:AE36)</f>
      </c>
      <c r="AF37" s="59">
        <f>SUM(AF32:AF36)</f>
      </c>
      <c r="AG37" s="59">
        <f>SUM(AG32:AG36)</f>
      </c>
      <c r="AH37" s="59">
        <f>SUM(AH32:AH36)</f>
      </c>
      <c r="AI37" s="59">
        <f>SUM(AI32:AI36)</f>
      </c>
      <c r="AJ37" s="24"/>
      <c r="AK37" s="24"/>
      <c r="AL37" s="24"/>
      <c r="AM37" s="24"/>
      <c r="AN37" s="24"/>
    </row>
    <row r="38">
      <c r="A38" s="25"/>
      <c r="B38" s="72" t="s">
        <v>64</v>
      </c>
      <c r="C38" s="78" t="s">
        <v>53</v>
      </c>
      <c r="D38" s="84">
        <v>2217.848</v>
      </c>
      <c r="E38" s="45">
        <v>2</v>
      </c>
      <c r="F38" s="30">
        <f t="shared" si="286"/>
      </c>
      <c r="G38" s="45">
        <v>1656</v>
      </c>
      <c r="H38" s="32">
        <f t="shared" si="248"/>
      </c>
      <c r="I38" s="33">
        <f t="shared" si="39"/>
      </c>
      <c r="J38" s="34">
        <f t="shared" si="1"/>
      </c>
      <c r="K38" s="35">
        <f t="shared" si="115"/>
      </c>
      <c r="L38" s="79">
        <f t="shared" si="77"/>
      </c>
      <c r="M38" s="54">
        <f t="shared" si="210"/>
      </c>
      <c r="N38" s="55">
        <f t="shared" si="153"/>
      </c>
      <c r="O38" s="55">
        <f t="shared" si="172"/>
      </c>
      <c r="P38" s="55">
        <f t="shared" si="305"/>
      </c>
      <c r="Q38" s="55">
        <f t="shared" si="267"/>
      </c>
      <c r="R38" s="54">
        <f t="shared" si="58"/>
      </c>
      <c r="S38" s="56">
        <f t="shared" si="20"/>
      </c>
      <c r="T38" s="55">
        <f t="shared" si="134"/>
      </c>
      <c r="U38" s="55">
        <f t="shared" si="96"/>
      </c>
      <c r="V38" s="55">
        <f t="shared" si="229"/>
      </c>
      <c r="W38" s="55">
        <f t="shared" si="191"/>
      </c>
      <c r="X38" s="38" t="s">
        <v>52</v>
      </c>
      <c r="Y38" s="39" t="s">
        <v>54</v>
      </c>
      <c r="Z38" s="41">
        <v>104100</v>
      </c>
      <c r="AA38" s="41">
        <v>6773</v>
      </c>
      <c r="AB38" s="41">
        <v>66487</v>
      </c>
      <c r="AC38" s="41">
        <v>204</v>
      </c>
      <c r="AD38" s="41">
        <v>5</v>
      </c>
      <c r="AE38" s="41">
        <v>4852</v>
      </c>
      <c r="AF38" s="41">
        <v>127</v>
      </c>
      <c r="AG38" s="41">
        <v>14</v>
      </c>
      <c r="AH38" s="41">
        <v>6</v>
      </c>
      <c r="AI38" s="42">
        <v>0</v>
      </c>
      <c r="AJ38" s="24"/>
      <c r="AK38" s="24"/>
      <c r="AL38" s="24"/>
    </row>
    <row r="39">
      <c r="A39" s="25"/>
      <c r="B39" s="72" t="s">
        <v>64</v>
      </c>
      <c r="C39" s="78" t="s">
        <v>55</v>
      </c>
      <c r="D39" s="85">
        <v>2155.762</v>
      </c>
      <c r="E39" s="45">
        <v>4</v>
      </c>
      <c r="F39" s="30">
        <f t="shared" si="286"/>
      </c>
      <c r="G39" s="45">
        <v>1501.2</v>
      </c>
      <c r="H39" s="32">
        <f t="shared" si="248"/>
      </c>
      <c r="I39" s="33">
        <f t="shared" si="39"/>
      </c>
      <c r="J39" s="34">
        <f t="shared" si="1"/>
      </c>
      <c r="K39" s="35">
        <f t="shared" si="115"/>
      </c>
      <c r="L39" s="79">
        <f t="shared" si="77"/>
      </c>
      <c r="M39" s="54">
        <f t="shared" si="210"/>
      </c>
      <c r="N39" s="55">
        <f t="shared" si="153"/>
      </c>
      <c r="O39" s="55">
        <f t="shared" si="172"/>
      </c>
      <c r="P39" s="55">
        <f t="shared" si="305"/>
      </c>
      <c r="Q39" s="55">
        <f t="shared" si="267"/>
      </c>
      <c r="R39" s="54">
        <f t="shared" si="58"/>
      </c>
      <c r="S39" s="56">
        <f t="shared" si="20"/>
      </c>
      <c r="T39" s="55">
        <f t="shared" si="134"/>
      </c>
      <c r="U39" s="55">
        <f t="shared" si="96"/>
      </c>
      <c r="V39" s="55">
        <f t="shared" si="229"/>
      </c>
      <c r="W39" s="55">
        <f t="shared" si="191"/>
      </c>
      <c r="X39" s="38" t="s">
        <v>52</v>
      </c>
      <c r="Y39" s="86" t="s">
        <v>54</v>
      </c>
      <c r="Z39" s="41">
        <v>112861</v>
      </c>
      <c r="AA39" s="41">
        <v>8745</v>
      </c>
      <c r="AB39" s="41">
        <v>68951</v>
      </c>
      <c r="AC39" s="41">
        <v>198</v>
      </c>
      <c r="AD39" s="41">
        <v>4</v>
      </c>
      <c r="AE39" s="41">
        <v>5652</v>
      </c>
      <c r="AF39" s="41">
        <v>139</v>
      </c>
      <c r="AG39" s="41">
        <v>10</v>
      </c>
      <c r="AH39" s="41">
        <v>4</v>
      </c>
      <c r="AI39" s="42">
        <v>0</v>
      </c>
      <c r="AJ39" s="24"/>
      <c r="AK39" s="24"/>
      <c r="AL39" s="24"/>
    </row>
    <row r="40">
      <c r="A40" s="25"/>
      <c r="B40" s="72" t="s">
        <v>64</v>
      </c>
      <c r="C40" s="78" t="s">
        <v>56</v>
      </c>
      <c r="D40" s="85">
        <v>2116.933</v>
      </c>
      <c r="E40" s="45">
        <v>2</v>
      </c>
      <c r="F40" s="30">
        <f t="shared" si="286"/>
      </c>
      <c r="G40" s="45">
        <v>424</v>
      </c>
      <c r="H40" s="32">
        <f t="shared" si="248"/>
      </c>
      <c r="I40" s="33">
        <f t="shared" si="39"/>
      </c>
      <c r="J40" s="34">
        <f t="shared" si="1"/>
      </c>
      <c r="K40" s="35">
        <f t="shared" si="115"/>
      </c>
      <c r="L40" s="79">
        <f t="shared" si="77"/>
      </c>
      <c r="M40" s="54">
        <f t="shared" si="210"/>
      </c>
      <c r="N40" s="55">
        <f t="shared" si="153"/>
      </c>
      <c r="O40" s="55">
        <f t="shared" si="172"/>
      </c>
      <c r="P40" s="55">
        <f t="shared" si="305"/>
      </c>
      <c r="Q40" s="55">
        <f t="shared" si="267"/>
      </c>
      <c r="R40" s="54">
        <f t="shared" si="58"/>
      </c>
      <c r="S40" s="56">
        <f t="shared" si="20"/>
      </c>
      <c r="T40" s="55">
        <f t="shared" si="134"/>
      </c>
      <c r="U40" s="55">
        <f t="shared" si="96"/>
      </c>
      <c r="V40" s="55">
        <f t="shared" si="229"/>
      </c>
      <c r="W40" s="55">
        <f t="shared" si="191"/>
      </c>
      <c r="X40" s="38" t="s">
        <v>52</v>
      </c>
      <c r="Y40" s="86" t="s">
        <v>54</v>
      </c>
      <c r="Z40" s="41">
        <v>144813</v>
      </c>
      <c r="AA40" s="41">
        <v>8919</v>
      </c>
      <c r="AB40" s="41">
        <v>81238</v>
      </c>
      <c r="AC40" s="41">
        <v>242</v>
      </c>
      <c r="AD40" s="41">
        <v>2</v>
      </c>
      <c r="AE40" s="41">
        <v>6074</v>
      </c>
      <c r="AF40" s="41">
        <v>161</v>
      </c>
      <c r="AG40" s="41">
        <v>16</v>
      </c>
      <c r="AH40" s="41">
        <v>5</v>
      </c>
      <c r="AI40" s="42">
        <v>0</v>
      </c>
      <c r="AJ40" s="24"/>
      <c r="AK40" s="24"/>
      <c r="AL40" s="24"/>
    </row>
    <row r="41">
      <c r="A41" s="25"/>
      <c r="B41" s="72" t="s">
        <v>64</v>
      </c>
      <c r="C41" s="38" t="s">
        <v>58</v>
      </c>
      <c r="D41" s="85">
        <v>2264.723</v>
      </c>
      <c r="E41" s="45">
        <v>3</v>
      </c>
      <c r="F41" s="30">
        <f t="shared" si="286"/>
      </c>
      <c r="G41" s="45">
        <v>1284</v>
      </c>
      <c r="H41" s="32">
        <f t="shared" si="248"/>
      </c>
      <c r="I41" s="33">
        <f t="shared" si="39"/>
      </c>
      <c r="J41" s="34">
        <f t="shared" si="1"/>
      </c>
      <c r="K41" s="35">
        <f t="shared" si="115"/>
      </c>
      <c r="L41" s="79">
        <f t="shared" si="77"/>
      </c>
      <c r="M41" s="54">
        <f t="shared" si="210"/>
      </c>
      <c r="N41" s="55">
        <f t="shared" si="153"/>
      </c>
      <c r="O41" s="55">
        <f t="shared" si="172"/>
      </c>
      <c r="P41" s="55">
        <f t="shared" si="305"/>
      </c>
      <c r="Q41" s="55">
        <f t="shared" si="267"/>
      </c>
      <c r="R41" s="54">
        <f t="shared" si="58"/>
      </c>
      <c r="S41" s="56">
        <f t="shared" si="20"/>
      </c>
      <c r="T41" s="55">
        <f t="shared" si="134"/>
      </c>
      <c r="U41" s="55">
        <f t="shared" si="96"/>
      </c>
      <c r="V41" s="55">
        <f t="shared" si="229"/>
      </c>
      <c r="W41" s="55">
        <f t="shared" si="191"/>
      </c>
      <c r="X41" s="38" t="s">
        <v>52</v>
      </c>
      <c r="Y41" s="86" t="s">
        <v>54</v>
      </c>
      <c r="Z41" s="41">
        <v>159338</v>
      </c>
      <c r="AA41" s="41">
        <v>10179</v>
      </c>
      <c r="AB41" s="41">
        <v>83080</v>
      </c>
      <c r="AC41" s="41">
        <v>315</v>
      </c>
      <c r="AD41" s="41">
        <v>3</v>
      </c>
      <c r="AE41" s="41">
        <v>5715</v>
      </c>
      <c r="AF41" s="41">
        <v>157</v>
      </c>
      <c r="AG41" s="41">
        <v>17</v>
      </c>
      <c r="AH41" s="41">
        <v>11</v>
      </c>
      <c r="AI41" s="42">
        <v>0</v>
      </c>
      <c r="AJ41" s="24"/>
      <c r="AK41" s="24"/>
      <c r="AL41" s="24"/>
    </row>
    <row r="42">
      <c r="A42" s="25"/>
      <c r="B42" s="58" t="s">
        <v>44</v>
      </c>
      <c r="C42" s="58"/>
      <c r="D42" s="59">
        <f>SUM(D38:D41)</f>
      </c>
      <c r="E42" s="60">
        <f>SUM(E38:E41)</f>
      </c>
      <c r="F42" s="70">
        <f t="shared" si="286"/>
      </c>
      <c r="G42" s="80">
        <f>SUM(G38:G41)</f>
      </c>
      <c r="H42" s="81">
        <f t="shared" si="248"/>
      </c>
      <c r="I42" s="82">
        <f t="shared" si="39"/>
      </c>
      <c r="J42" s="69">
        <f t="shared" si="1"/>
      </c>
      <c r="K42" s="70">
        <f t="shared" si="115"/>
      </c>
      <c r="L42" s="83">
        <f t="shared" si="77"/>
      </c>
      <c r="M42" s="69">
        <f t="shared" si="210"/>
      </c>
      <c r="N42" s="68">
        <f t="shared" si="153"/>
      </c>
      <c r="O42" s="68">
        <f t="shared" si="172"/>
      </c>
      <c r="P42" s="68">
        <f t="shared" si="305"/>
      </c>
      <c r="Q42" s="68">
        <f t="shared" si="267"/>
      </c>
      <c r="R42" s="69">
        <f t="shared" si="58"/>
      </c>
      <c r="S42" s="70">
        <f t="shared" si="20"/>
      </c>
      <c r="T42" s="68">
        <f t="shared" si="134"/>
      </c>
      <c r="U42" s="68">
        <f t="shared" si="96"/>
      </c>
      <c r="V42" s="68">
        <f t="shared" si="229"/>
      </c>
      <c r="W42" s="68">
        <f t="shared" si="191"/>
      </c>
      <c r="X42" s="68"/>
      <c r="Y42" s="71"/>
      <c r="Z42" s="59">
        <f>SUM(Z38:Z41)</f>
      </c>
      <c r="AA42" s="59">
        <f>SUM(AA38:AA41)</f>
      </c>
      <c r="AB42" s="59">
        <f>SUM(AB38:AB41)</f>
      </c>
      <c r="AC42" s="59">
        <f>SUM(AC38:AC41)</f>
      </c>
      <c r="AD42" s="59">
        <f>SUM(AD38:AD41)</f>
      </c>
      <c r="AE42" s="59">
        <f>SUM(AE38:AE41)</f>
      </c>
      <c r="AF42" s="59">
        <f>SUM(AF38:AF41)</f>
      </c>
      <c r="AG42" s="59">
        <f>SUM(AG38:AG41)</f>
      </c>
      <c r="AH42" s="59">
        <f>SUM(AH38:AH41)</f>
      </c>
      <c r="AI42" s="59">
        <f>SUM(AI38:AI41)</f>
      </c>
      <c r="AJ42" s="24"/>
      <c r="AK42" s="24"/>
      <c r="AL42" s="24"/>
    </row>
    <row r="43">
      <c r="A43" s="25"/>
      <c r="B43" s="72" t="s">
        <v>45</v>
      </c>
      <c r="C43" s="78" t="s">
        <v>59</v>
      </c>
      <c r="D43" s="87">
        <v>2689.18</v>
      </c>
      <c r="E43" s="29">
        <v>4</v>
      </c>
      <c r="F43" s="30">
        <f t="shared" si="286"/>
      </c>
      <c r="G43" s="31">
        <v>2005.44</v>
      </c>
      <c r="H43" s="32">
        <f t="shared" si="248"/>
      </c>
      <c r="I43" s="33">
        <f t="shared" si="39"/>
      </c>
      <c r="J43" s="34">
        <f t="shared" si="1"/>
      </c>
      <c r="K43" s="35">
        <f t="shared" si="115"/>
      </c>
      <c r="L43" s="79">
        <f t="shared" si="77"/>
      </c>
      <c r="M43" s="54">
        <f t="shared" si="210"/>
      </c>
      <c r="N43" s="55">
        <f t="shared" si="153"/>
      </c>
      <c r="O43" s="55">
        <f t="shared" si="172"/>
      </c>
      <c r="P43" s="55">
        <f t="shared" si="305"/>
      </c>
      <c r="Q43" s="55">
        <f t="shared" si="267"/>
      </c>
      <c r="R43" s="54">
        <f t="shared" si="58"/>
      </c>
      <c r="S43" s="56">
        <f t="shared" si="20"/>
      </c>
      <c r="T43" s="55">
        <f t="shared" si="134"/>
      </c>
      <c r="U43" s="55">
        <f t="shared" si="96"/>
      </c>
      <c r="V43" s="55">
        <f t="shared" si="229"/>
      </c>
      <c r="W43" s="55">
        <f t="shared" si="191"/>
      </c>
      <c r="X43" s="38" t="s">
        <v>52</v>
      </c>
      <c r="Y43" s="86" t="s">
        <v>54</v>
      </c>
      <c r="Z43" s="41">
        <v>139839</v>
      </c>
      <c r="AA43" s="41">
        <v>11972</v>
      </c>
      <c r="AB43" s="41">
        <v>129456</v>
      </c>
      <c r="AC43" s="88">
        <v>405</v>
      </c>
      <c r="AD43" s="88">
        <v>4</v>
      </c>
      <c r="AE43" s="88">
        <v>8365</v>
      </c>
      <c r="AF43" s="88">
        <v>174</v>
      </c>
      <c r="AG43" s="88">
        <v>20</v>
      </c>
      <c r="AH43" s="88">
        <v>9</v>
      </c>
      <c r="AI43" s="42">
        <v>0</v>
      </c>
      <c r="AJ43" s="24"/>
      <c r="AK43" s="24"/>
      <c r="AL43" s="24"/>
    </row>
    <row r="44">
      <c r="A44" s="25"/>
      <c r="B44" s="72" t="s">
        <v>45</v>
      </c>
      <c r="C44" s="78" t="s">
        <v>60</v>
      </c>
      <c r="D44" s="84">
        <v>2268.549</v>
      </c>
      <c r="E44" s="45">
        <v>0</v>
      </c>
      <c r="F44" s="30">
        <f t="shared" si="286"/>
      </c>
      <c r="G44" s="45">
        <v>0</v>
      </c>
      <c r="H44" s="32">
        <f t="shared" si="248"/>
      </c>
      <c r="I44" s="33">
        <f t="shared" si="39"/>
      </c>
      <c r="J44" s="34">
        <f t="shared" si="1"/>
      </c>
      <c r="K44" s="35">
        <f t="shared" si="115"/>
      </c>
      <c r="L44" s="79">
        <f t="shared" si="77"/>
      </c>
      <c r="M44" s="54">
        <f t="shared" si="210"/>
      </c>
      <c r="N44" s="55">
        <f t="shared" si="153"/>
      </c>
      <c r="O44" s="55">
        <f t="shared" si="172"/>
      </c>
      <c r="P44" s="55">
        <f t="shared" si="305"/>
      </c>
      <c r="Q44" s="55">
        <f t="shared" si="267"/>
      </c>
      <c r="R44" s="54">
        <f t="shared" si="58"/>
      </c>
      <c r="S44" s="56">
        <f t="shared" si="20"/>
      </c>
      <c r="T44" s="55">
        <f t="shared" si="134"/>
      </c>
      <c r="U44" s="55">
        <f t="shared" si="96"/>
      </c>
      <c r="V44" s="55">
        <f t="shared" si="229"/>
      </c>
      <c r="W44" s="55">
        <f t="shared" si="191"/>
      </c>
      <c r="X44" s="38" t="s">
        <v>52</v>
      </c>
      <c r="Y44" s="86" t="s">
        <v>54</v>
      </c>
      <c r="Z44" s="41">
        <v>99067</v>
      </c>
      <c r="AA44" s="41">
        <v>12266</v>
      </c>
      <c r="AB44" s="41">
        <v>126947</v>
      </c>
      <c r="AC44" s="41">
        <v>440</v>
      </c>
      <c r="AD44" s="41">
        <v>0</v>
      </c>
      <c r="AE44" s="41">
        <v>8175</v>
      </c>
      <c r="AF44" s="41">
        <v>193</v>
      </c>
      <c r="AG44" s="41">
        <v>25</v>
      </c>
      <c r="AH44" s="41">
        <v>7</v>
      </c>
      <c r="AI44" s="42">
        <v>0</v>
      </c>
      <c r="AJ44" s="24"/>
      <c r="AK44" s="24"/>
      <c r="AL44" s="24"/>
    </row>
    <row r="45">
      <c r="A45" s="25"/>
      <c r="B45" s="72" t="s">
        <v>45</v>
      </c>
      <c r="C45" s="78" t="s">
        <v>61</v>
      </c>
      <c r="D45" s="85">
        <v>965.929</v>
      </c>
      <c r="E45" s="45">
        <v>4</v>
      </c>
      <c r="F45" s="30">
        <f t="shared" si="286"/>
      </c>
      <c r="G45" s="45">
        <v>2080</v>
      </c>
      <c r="H45" s="32">
        <f t="shared" si="248"/>
      </c>
      <c r="I45" s="33">
        <f t="shared" si="39"/>
      </c>
      <c r="J45" s="34">
        <f t="shared" si="1"/>
      </c>
      <c r="K45" s="35">
        <f t="shared" si="115"/>
      </c>
      <c r="L45" s="79">
        <f t="shared" si="77"/>
      </c>
      <c r="M45" s="54">
        <f t="shared" si="210"/>
      </c>
      <c r="N45" s="55">
        <f t="shared" si="153"/>
      </c>
      <c r="O45" s="55">
        <f t="shared" si="172"/>
      </c>
      <c r="P45" s="55">
        <f t="shared" si="305"/>
      </c>
      <c r="Q45" s="55">
        <f t="shared" si="267"/>
      </c>
      <c r="R45" s="54">
        <f t="shared" si="58"/>
      </c>
      <c r="S45" s="56">
        <f t="shared" si="20"/>
      </c>
      <c r="T45" s="55">
        <f t="shared" si="134"/>
      </c>
      <c r="U45" s="55">
        <f t="shared" si="96"/>
      </c>
      <c r="V45" s="55">
        <f t="shared" si="229"/>
      </c>
      <c r="W45" s="55">
        <f t="shared" si="191"/>
      </c>
      <c r="X45" s="38" t="s">
        <v>52</v>
      </c>
      <c r="Y45" s="86" t="s">
        <v>54</v>
      </c>
      <c r="Z45" s="41">
        <v>23769</v>
      </c>
      <c r="AA45" s="41">
        <v>5400</v>
      </c>
      <c r="AB45" s="41">
        <v>52154</v>
      </c>
      <c r="AC45" s="41">
        <v>19</v>
      </c>
      <c r="AD45" s="41">
        <v>4</v>
      </c>
      <c r="AE45" s="41">
        <v>3605</v>
      </c>
      <c r="AF45" s="41">
        <v>141</v>
      </c>
      <c r="AG45" s="41">
        <v>15</v>
      </c>
      <c r="AH45" s="41">
        <v>2</v>
      </c>
      <c r="AI45" s="42">
        <v>1</v>
      </c>
      <c r="AJ45" s="24"/>
      <c r="AK45" s="24"/>
      <c r="AL45" s="24"/>
    </row>
    <row r="46">
      <c r="A46" s="25"/>
      <c r="B46" s="72" t="s">
        <v>45</v>
      </c>
      <c r="C46" s="78" t="s">
        <v>62</v>
      </c>
      <c r="D46" s="85">
        <f>764.24+0.105</f>
      </c>
      <c r="E46" s="45">
        <v>1</v>
      </c>
      <c r="F46" s="30">
        <f t="shared" si="286"/>
      </c>
      <c r="G46" s="45">
        <v>217.2</v>
      </c>
      <c r="H46" s="32">
        <f t="shared" si="248"/>
      </c>
      <c r="I46" s="33">
        <f t="shared" si="39"/>
      </c>
      <c r="J46" s="34">
        <f t="shared" si="1"/>
      </c>
      <c r="K46" s="35">
        <f t="shared" si="115"/>
      </c>
      <c r="L46" s="79">
        <f t="shared" si="77"/>
      </c>
      <c r="M46" s="54">
        <f t="shared" si="210"/>
      </c>
      <c r="N46" s="55">
        <f t="shared" si="153"/>
      </c>
      <c r="O46" s="55">
        <f t="shared" si="172"/>
      </c>
      <c r="P46" s="55">
        <f t="shared" si="305"/>
      </c>
      <c r="Q46" s="55">
        <f t="shared" si="267"/>
      </c>
      <c r="R46" s="54">
        <f t="shared" si="58"/>
      </c>
      <c r="S46" s="56">
        <f t="shared" si="20"/>
      </c>
      <c r="T46" s="55">
        <f t="shared" si="134"/>
      </c>
      <c r="U46" s="55">
        <f t="shared" si="96"/>
      </c>
      <c r="V46" s="55">
        <f t="shared" si="229"/>
      </c>
      <c r="W46" s="55">
        <f t="shared" si="191"/>
      </c>
      <c r="X46" s="38" t="s">
        <v>52</v>
      </c>
      <c r="Y46" s="86" t="s">
        <v>54</v>
      </c>
      <c r="Z46" s="41">
        <v>19163</v>
      </c>
      <c r="AA46" s="41">
        <v>3439</v>
      </c>
      <c r="AB46" s="41">
        <v>46177</v>
      </c>
      <c r="AC46" s="41">
        <v>5</v>
      </c>
      <c r="AD46" s="41">
        <v>0</v>
      </c>
      <c r="AE46" s="41">
        <v>2802</v>
      </c>
      <c r="AF46" s="41">
        <v>71</v>
      </c>
      <c r="AG46" s="41">
        <v>10</v>
      </c>
      <c r="AH46" s="41">
        <v>4</v>
      </c>
      <c r="AI46" s="42">
        <v>0</v>
      </c>
      <c r="AJ46" s="24"/>
      <c r="AK46" s="24"/>
      <c r="AL46" s="24"/>
    </row>
    <row r="47">
      <c r="A47" s="25"/>
      <c r="B47" s="58" t="s">
        <v>44</v>
      </c>
      <c r="C47" s="58"/>
      <c r="D47" s="59">
        <f>SUM(D43:D46)</f>
      </c>
      <c r="E47" s="60">
        <f>SUM(E43:E46)</f>
      </c>
      <c r="F47" s="70">
        <f t="shared" si="286"/>
      </c>
      <c r="G47" s="80">
        <f>SUM(G43:G46)</f>
      </c>
      <c r="H47" s="81">
        <f t="shared" si="248"/>
      </c>
      <c r="I47" s="82">
        <f t="shared" si="39"/>
      </c>
      <c r="J47" s="69">
        <f t="shared" si="1"/>
      </c>
      <c r="K47" s="70">
        <f t="shared" si="115"/>
      </c>
      <c r="L47" s="83">
        <f t="shared" si="77"/>
      </c>
      <c r="M47" s="69">
        <f t="shared" si="210"/>
      </c>
      <c r="N47" s="68">
        <f t="shared" si="153"/>
      </c>
      <c r="O47" s="68">
        <f t="shared" si="172"/>
      </c>
      <c r="P47" s="68">
        <f t="shared" si="305"/>
      </c>
      <c r="Q47" s="68">
        <f t="shared" si="267"/>
      </c>
      <c r="R47" s="69">
        <f t="shared" si="58"/>
      </c>
      <c r="S47" s="70">
        <f t="shared" si="20"/>
      </c>
      <c r="T47" s="68">
        <f t="shared" si="134"/>
      </c>
      <c r="U47" s="68">
        <f t="shared" si="96"/>
      </c>
      <c r="V47" s="68">
        <f t="shared" si="229"/>
      </c>
      <c r="W47" s="68">
        <f t="shared" si="191"/>
      </c>
      <c r="X47" s="68"/>
      <c r="Y47" s="71"/>
      <c r="Z47" s="59">
        <f>SUM(Z43:Z46)</f>
      </c>
      <c r="AA47" s="59">
        <f>SUM(AA43:AA46)</f>
      </c>
      <c r="AB47" s="59">
        <f>SUM(AB43:AB46)</f>
      </c>
      <c r="AC47" s="59">
        <f>SUM(AC43:AC46)</f>
      </c>
      <c r="AD47" s="59">
        <f>SUM(AD43:AD46)</f>
      </c>
      <c r="AE47" s="59">
        <f>SUM(AE43:AE46)</f>
      </c>
      <c r="AF47" s="59">
        <f>SUM(AF43:AF46)</f>
      </c>
      <c r="AG47" s="59">
        <f>SUM(AG43:AG46)</f>
      </c>
      <c r="AH47" s="59">
        <f>SUM(AH43:AH46)</f>
      </c>
      <c r="AI47" s="59">
        <f>SUM(AI43:AI46)</f>
      </c>
      <c r="AJ47" s="24"/>
      <c r="AK47" s="24"/>
      <c r="AL47" s="24"/>
    </row>
    <row r="48">
      <c r="A48" s="25"/>
      <c r="B48" s="89" t="s">
        <v>63</v>
      </c>
      <c r="C48" s="89"/>
      <c r="D48" s="90">
        <f>SUM(D47+D31+D37+D42)</f>
      </c>
      <c r="E48" s="91">
        <f>SUM(E47+E31+E37+E42)</f>
      </c>
      <c r="F48" s="92">
        <f t="shared" si="286"/>
      </c>
      <c r="G48" s="93">
        <f>SUM(G47+G31+G37+G42)</f>
      </c>
      <c r="H48" s="94">
        <f t="shared" si="248"/>
      </c>
      <c r="I48" s="95">
        <f t="shared" si="39"/>
      </c>
      <c r="J48" s="96">
        <f t="shared" si="1"/>
      </c>
      <c r="K48" s="92">
        <f t="shared" si="115"/>
      </c>
      <c r="L48" s="97">
        <f t="shared" si="77"/>
      </c>
      <c r="M48" s="97">
        <f t="shared" si="210"/>
      </c>
      <c r="N48" s="98">
        <f t="shared" si="153"/>
      </c>
      <c r="O48" s="98">
        <f t="shared" si="172"/>
      </c>
      <c r="P48" s="98">
        <f t="shared" si="305"/>
      </c>
      <c r="Q48" s="98">
        <f t="shared" si="267"/>
      </c>
      <c r="R48" s="99">
        <f t="shared" si="58"/>
      </c>
      <c r="S48" s="100">
        <f t="shared" si="20"/>
      </c>
      <c r="T48" s="101">
        <f t="shared" si="134"/>
      </c>
      <c r="U48" s="101">
        <f t="shared" si="96"/>
      </c>
      <c r="V48" s="101">
        <f t="shared" si="229"/>
      </c>
      <c r="W48" s="101">
        <f t="shared" si="191"/>
      </c>
      <c r="X48" s="101"/>
      <c r="Y48" s="102"/>
      <c r="Z48" s="103">
        <f>SUM(Z31+Z47+Z37+Z42)</f>
      </c>
      <c r="AA48" s="103">
        <f>SUM(AA31+AA47+AA37+AA42)</f>
      </c>
      <c r="AB48" s="103">
        <f>SUM(AB31+AB47+AB37+AB42)</f>
      </c>
      <c r="AC48" s="103">
        <f>SUM(AC31+AC47+AC37+AC42)</f>
      </c>
      <c r="AD48" s="103">
        <f>SUM(AD31+AD47+AD37+AD42)</f>
      </c>
      <c r="AE48" s="103">
        <f>SUM(AE31+AE47+AE37+AE42)</f>
      </c>
      <c r="AF48" s="103">
        <f>SUM(AF31+AF47+AF37+AF42)</f>
      </c>
      <c r="AG48" s="103">
        <f>SUM(AG31+AG47+AG37+AG42)</f>
      </c>
      <c r="AH48" s="103">
        <f>SUM(AH31+AH47+AH37+AH42)</f>
      </c>
      <c r="AI48" s="103">
        <f>SUM(AI31+AI47+AI37+AI42)</f>
      </c>
      <c r="AJ48" s="24"/>
      <c r="AK48" s="24"/>
      <c r="AL48" s="24"/>
    </row>
    <row r="49">
      <c r="A49" s="1" t="s">
        <v>1</v>
      </c>
      <c r="B49" s="2" t="s">
        <v>2</v>
      </c>
      <c r="C49" s="3" t="s">
        <v>3</v>
      </c>
      <c r="D49" s="4" t="s">
        <v>4</v>
      </c>
      <c r="E49" s="5" t="s">
        <v>5</v>
      </c>
      <c r="F49" s="6" t="s">
        <v>6</v>
      </c>
      <c r="G49" s="7" t="s">
        <v>7</v>
      </c>
      <c r="H49" s="8" t="s">
        <v>8</v>
      </c>
      <c r="I49" s="9" t="s">
        <v>9</v>
      </c>
      <c r="J49" s="10" t="s">
        <v>10</v>
      </c>
      <c r="K49" s="11" t="s">
        <v>11</v>
      </c>
      <c r="L49" s="12" t="s">
        <v>12</v>
      </c>
      <c r="M49" s="12" t="s">
        <v>13</v>
      </c>
      <c r="N49" s="13" t="s">
        <v>14</v>
      </c>
      <c r="O49" s="13" t="s">
        <v>15</v>
      </c>
      <c r="P49" s="13" t="s">
        <v>16</v>
      </c>
      <c r="Q49" s="13" t="s">
        <v>17</v>
      </c>
      <c r="R49" s="14" t="s">
        <v>18</v>
      </c>
      <c r="S49" s="15" t="s">
        <v>19</v>
      </c>
      <c r="T49" s="16" t="s">
        <v>20</v>
      </c>
      <c r="U49" s="16" t="s">
        <v>21</v>
      </c>
      <c r="V49" s="16" t="s">
        <v>22</v>
      </c>
      <c r="W49" s="16" t="s">
        <v>23</v>
      </c>
      <c r="X49" s="17" t="s">
        <v>24</v>
      </c>
      <c r="Y49" s="18" t="s">
        <v>25</v>
      </c>
      <c r="Z49" s="19" t="s">
        <v>26</v>
      </c>
      <c r="AA49" s="19" t="s">
        <v>27</v>
      </c>
      <c r="AB49" s="19" t="s">
        <v>28</v>
      </c>
      <c r="AC49" s="20" t="s">
        <v>29</v>
      </c>
      <c r="AD49" s="20" t="s">
        <v>30</v>
      </c>
      <c r="AE49" s="21" t="s">
        <v>31</v>
      </c>
      <c r="AF49" s="20" t="s">
        <v>32</v>
      </c>
      <c r="AG49" s="20" t="s">
        <v>33</v>
      </c>
      <c r="AH49" s="22" t="s">
        <v>34</v>
      </c>
      <c r="AI49" s="23" t="s">
        <v>35</v>
      </c>
      <c r="AJ49" s="24"/>
      <c r="AK49" s="24"/>
      <c r="AL49" s="24"/>
      <c r="AM49" s="24"/>
      <c r="AN49" s="24"/>
    </row>
    <row r="50">
      <c r="A50" s="25">
        <v>46298</v>
      </c>
      <c r="B50" s="72" t="s">
        <v>50</v>
      </c>
      <c r="C50" s="27" t="s">
        <v>37</v>
      </c>
      <c r="D50" s="28">
        <v>354.08199999999994</v>
      </c>
      <c r="E50" s="29">
        <v>2</v>
      </c>
      <c r="F50" s="30">
        <f t="shared" ref="F50:F72" si="287">D50/E50</f>
      </c>
      <c r="G50" s="31">
        <v>1056</v>
      </c>
      <c r="H50" s="32">
        <f t="shared" ref="H50:H72" si="249">AD50</f>
      </c>
      <c r="I50" s="33">
        <f t="shared" ref="I50:I72" si="40">D50/AD50</f>
      </c>
      <c r="J50" s="34">
        <f t="shared" ref="J50:J72" si="2">G50/E50</f>
      </c>
      <c r="K50" s="35">
        <f t="shared" ref="K50:K72" si="116">G50/D50</f>
      </c>
      <c r="L50" s="36">
        <f t="shared" ref="L50:L72" si="78">D50/AB50</f>
      </c>
      <c r="M50" s="34">
        <f t="shared" ref="M50:M72" si="211">D50/AC50</f>
      </c>
      <c r="N50" s="37">
        <f t="shared" ref="N50:N72" si="154">AC50/AB50</f>
      </c>
      <c r="O50" s="37">
        <f t="shared" ref="O50:O72" si="173">AD50/AC50</f>
      </c>
      <c r="P50" s="37">
        <f t="shared" ref="P50:P72" si="306">AA50/Z50</f>
      </c>
      <c r="Q50" s="37">
        <f t="shared" ref="Q50:Q72" si="268">AD50/AA50</f>
      </c>
      <c r="R50" s="34">
        <f t="shared" ref="R50:R72" si="59">D50/Z50*1000</f>
      </c>
      <c r="S50" s="35">
        <f t="shared" ref="S50:S72" si="21">D50/AA50</f>
      </c>
      <c r="T50" s="37">
        <f t="shared" ref="T50:T72" si="135">AE50/AB50</f>
      </c>
      <c r="U50" s="37">
        <f t="shared" ref="U50:U72" si="97">AF50/AB50</f>
      </c>
      <c r="V50" s="37">
        <f t="shared" ref="V50:V72" si="230">AG50/AB50</f>
      </c>
      <c r="W50" s="37">
        <f t="shared" ref="W50:W72" si="192">AH50/AB50</f>
      </c>
      <c r="X50" s="38" t="s">
        <v>38</v>
      </c>
      <c r="Y50" s="39" t="s">
        <v>39</v>
      </c>
      <c r="Z50" s="40">
        <v>7781</v>
      </c>
      <c r="AA50" s="40">
        <v>2840</v>
      </c>
      <c r="AB50" s="40">
        <v>12122</v>
      </c>
      <c r="AC50" s="40">
        <v>83</v>
      </c>
      <c r="AD50" s="41">
        <v>2</v>
      </c>
      <c r="AE50" s="40">
        <v>1478</v>
      </c>
      <c r="AF50" s="41">
        <v>32</v>
      </c>
      <c r="AG50" s="41">
        <v>6</v>
      </c>
      <c r="AH50" s="41">
        <v>5</v>
      </c>
      <c r="AI50" s="42">
        <v>0</v>
      </c>
      <c r="AJ50" s="24"/>
      <c r="AK50" s="24"/>
      <c r="AL50" s="24"/>
      <c r="AM50" s="24"/>
      <c r="AN50" s="24"/>
    </row>
    <row r="51">
      <c r="A51" s="25"/>
      <c r="B51" s="72" t="s">
        <v>50</v>
      </c>
      <c r="C51" s="27" t="s">
        <v>40</v>
      </c>
      <c r="D51" s="28">
        <v>1018.4310000000002</v>
      </c>
      <c r="E51" s="29">
        <v>4</v>
      </c>
      <c r="F51" s="30">
        <f t="shared" si="287"/>
      </c>
      <c r="G51" s="31">
        <v>1437.1999999999998</v>
      </c>
      <c r="H51" s="32">
        <f t="shared" si="249"/>
      </c>
      <c r="I51" s="33">
        <f t="shared" si="40"/>
      </c>
      <c r="J51" s="34">
        <f t="shared" si="2"/>
      </c>
      <c r="K51" s="35">
        <f t="shared" si="116"/>
      </c>
      <c r="L51" s="36">
        <f t="shared" si="78"/>
      </c>
      <c r="M51" s="34">
        <f t="shared" si="211"/>
      </c>
      <c r="N51" s="37">
        <f t="shared" si="154"/>
      </c>
      <c r="O51" s="37">
        <f t="shared" si="173"/>
      </c>
      <c r="P51" s="37">
        <f t="shared" si="306"/>
      </c>
      <c r="Q51" s="37">
        <f t="shared" si="268"/>
      </c>
      <c r="R51" s="34">
        <f t="shared" si="59"/>
      </c>
      <c r="S51" s="35">
        <f t="shared" si="21"/>
      </c>
      <c r="T51" s="37">
        <f t="shared" si="135"/>
      </c>
      <c r="U51" s="37">
        <f t="shared" si="97"/>
      </c>
      <c r="V51" s="37">
        <f t="shared" si="230"/>
      </c>
      <c r="W51" s="37">
        <f t="shared" si="192"/>
      </c>
      <c r="X51" s="38" t="s">
        <v>38</v>
      </c>
      <c r="Y51" s="39" t="s">
        <v>39</v>
      </c>
      <c r="Z51" s="41">
        <v>24040</v>
      </c>
      <c r="AA51" s="40">
        <v>8233</v>
      </c>
      <c r="AB51" s="40">
        <v>42839</v>
      </c>
      <c r="AC51" s="40">
        <v>168</v>
      </c>
      <c r="AD51" s="41">
        <v>3</v>
      </c>
      <c r="AE51" s="40">
        <v>5287</v>
      </c>
      <c r="AF51" s="41">
        <v>103</v>
      </c>
      <c r="AG51" s="41">
        <v>26</v>
      </c>
      <c r="AH51" s="41">
        <v>3</v>
      </c>
      <c r="AI51" s="42">
        <v>1</v>
      </c>
      <c r="AJ51" s="24"/>
      <c r="AK51" s="24"/>
      <c r="AL51" s="24"/>
      <c r="AM51" s="24"/>
      <c r="AN51" s="24"/>
    </row>
    <row r="52">
      <c r="A52" s="25"/>
      <c r="B52" s="72" t="s">
        <v>50</v>
      </c>
      <c r="C52" s="43" t="s">
        <v>41</v>
      </c>
      <c r="D52" s="44">
        <v>2235.729</v>
      </c>
      <c r="E52" s="45">
        <v>5</v>
      </c>
      <c r="F52" s="30">
        <f t="shared" si="287"/>
      </c>
      <c r="G52" s="23">
        <v>2340.000000000001</v>
      </c>
      <c r="H52" s="32">
        <f t="shared" si="249"/>
      </c>
      <c r="I52" s="33">
        <f t="shared" si="40"/>
      </c>
      <c r="J52" s="34">
        <f t="shared" si="2"/>
      </c>
      <c r="K52" s="35">
        <f t="shared" si="116"/>
      </c>
      <c r="L52" s="36">
        <f t="shared" si="78"/>
      </c>
      <c r="M52" s="34">
        <f t="shared" si="211"/>
      </c>
      <c r="N52" s="37">
        <f t="shared" si="154"/>
      </c>
      <c r="O52" s="37">
        <f t="shared" si="173"/>
      </c>
      <c r="P52" s="37">
        <f t="shared" si="306"/>
      </c>
      <c r="Q52" s="37">
        <f t="shared" si="268"/>
      </c>
      <c r="R52" s="34">
        <f t="shared" si="59"/>
      </c>
      <c r="S52" s="35">
        <f t="shared" si="21"/>
      </c>
      <c r="T52" s="37">
        <f t="shared" si="135"/>
      </c>
      <c r="U52" s="37">
        <f t="shared" si="97"/>
      </c>
      <c r="V52" s="37">
        <f t="shared" si="230"/>
      </c>
      <c r="W52" s="37">
        <f t="shared" si="192"/>
      </c>
      <c r="X52" s="38" t="s">
        <v>38</v>
      </c>
      <c r="Y52" s="39" t="s">
        <v>39</v>
      </c>
      <c r="Z52" s="41">
        <v>82620</v>
      </c>
      <c r="AA52" s="41">
        <v>10324</v>
      </c>
      <c r="AB52" s="41">
        <v>93493</v>
      </c>
      <c r="AC52" s="41">
        <v>393</v>
      </c>
      <c r="AD52" s="41">
        <v>3</v>
      </c>
      <c r="AE52" s="41">
        <v>8709</v>
      </c>
      <c r="AF52" s="41">
        <v>188</v>
      </c>
      <c r="AG52" s="41">
        <v>18</v>
      </c>
      <c r="AH52" s="41">
        <v>4</v>
      </c>
      <c r="AI52" s="42">
        <v>0</v>
      </c>
      <c r="AJ52" s="24"/>
      <c r="AK52" s="24"/>
      <c r="AL52" s="24"/>
      <c r="AM52" s="24"/>
      <c r="AN52" s="24"/>
    </row>
    <row r="53">
      <c r="A53" s="25"/>
      <c r="B53" s="72" t="s">
        <v>50</v>
      </c>
      <c r="C53" s="46" t="s">
        <v>42</v>
      </c>
      <c r="D53" s="44">
        <v>3220.3790000000004</v>
      </c>
      <c r="E53" s="45">
        <v>4</v>
      </c>
      <c r="F53" s="47">
        <f t="shared" si="287"/>
      </c>
      <c r="G53" s="48">
        <v>880</v>
      </c>
      <c r="H53" s="49">
        <f t="shared" si="249"/>
      </c>
      <c r="I53" s="50">
        <f t="shared" si="40"/>
      </c>
      <c r="J53" s="51">
        <f t="shared" si="2"/>
      </c>
      <c r="K53" s="52">
        <f t="shared" si="116"/>
      </c>
      <c r="L53" s="53">
        <f t="shared" si="78"/>
      </c>
      <c r="M53" s="54">
        <f t="shared" si="211"/>
      </c>
      <c r="N53" s="55">
        <f t="shared" si="154"/>
      </c>
      <c r="O53" s="55">
        <f t="shared" si="173"/>
      </c>
      <c r="P53" s="55">
        <f t="shared" si="306"/>
      </c>
      <c r="Q53" s="55">
        <f t="shared" si="268"/>
      </c>
      <c r="R53" s="54">
        <f t="shared" si="59"/>
      </c>
      <c r="S53" s="56">
        <f t="shared" si="21"/>
      </c>
      <c r="T53" s="55">
        <f t="shared" si="135"/>
      </c>
      <c r="U53" s="55">
        <f t="shared" si="97"/>
      </c>
      <c r="V53" s="55">
        <f t="shared" si="230"/>
      </c>
      <c r="W53" s="55">
        <f t="shared" si="192"/>
      </c>
      <c r="X53" s="38" t="s">
        <v>38</v>
      </c>
      <c r="Y53" s="39" t="s">
        <v>39</v>
      </c>
      <c r="Z53" s="40">
        <v>195064</v>
      </c>
      <c r="AA53" s="40">
        <v>10704</v>
      </c>
      <c r="AB53" s="40">
        <v>113091</v>
      </c>
      <c r="AC53" s="40">
        <v>534</v>
      </c>
      <c r="AD53" s="40">
        <v>4</v>
      </c>
      <c r="AE53" s="40">
        <v>9159</v>
      </c>
      <c r="AF53" s="41">
        <v>220</v>
      </c>
      <c r="AG53" s="41">
        <v>19</v>
      </c>
      <c r="AH53" s="41">
        <v>6</v>
      </c>
      <c r="AI53" s="42">
        <v>0</v>
      </c>
      <c r="AJ53" s="24"/>
      <c r="AK53" s="24"/>
      <c r="AL53" s="24"/>
      <c r="AM53" s="24"/>
      <c r="AN53" s="24"/>
    </row>
    <row r="54">
      <c r="A54" s="25"/>
      <c r="B54" s="72" t="s">
        <v>50</v>
      </c>
      <c r="C54" s="46" t="s">
        <v>43</v>
      </c>
      <c r="D54" s="57">
        <v>1689.775</v>
      </c>
      <c r="E54" s="45">
        <v>5</v>
      </c>
      <c r="F54" s="47">
        <f t="shared" si="287"/>
      </c>
      <c r="G54" s="48">
        <v>2269.2</v>
      </c>
      <c r="H54" s="49">
        <f t="shared" si="249"/>
      </c>
      <c r="I54" s="50">
        <f t="shared" si="40"/>
      </c>
      <c r="J54" s="51">
        <f t="shared" si="2"/>
      </c>
      <c r="K54" s="52">
        <f t="shared" si="116"/>
      </c>
      <c r="L54" s="53">
        <f t="shared" si="78"/>
      </c>
      <c r="M54" s="54">
        <f t="shared" si="211"/>
      </c>
      <c r="N54" s="55">
        <f t="shared" si="154"/>
      </c>
      <c r="O54" s="55">
        <f t="shared" si="173"/>
      </c>
      <c r="P54" s="55">
        <f t="shared" si="306"/>
      </c>
      <c r="Q54" s="55">
        <f t="shared" si="268"/>
      </c>
      <c r="R54" s="54">
        <f t="shared" si="59"/>
      </c>
      <c r="S54" s="56">
        <f t="shared" si="21"/>
      </c>
      <c r="T54" s="55">
        <f t="shared" si="135"/>
      </c>
      <c r="U54" s="55">
        <f t="shared" si="97"/>
      </c>
      <c r="V54" s="55">
        <f t="shared" si="230"/>
      </c>
      <c r="W54" s="55">
        <f t="shared" si="192"/>
      </c>
      <c r="X54" s="38" t="s">
        <v>38</v>
      </c>
      <c r="Y54" s="39" t="s">
        <v>39</v>
      </c>
      <c r="Z54" s="40">
        <v>94147</v>
      </c>
      <c r="AA54" s="40">
        <v>6535</v>
      </c>
      <c r="AB54" s="40">
        <v>55148</v>
      </c>
      <c r="AC54" s="40">
        <v>273</v>
      </c>
      <c r="AD54" s="40">
        <v>3</v>
      </c>
      <c r="AE54" s="40">
        <v>4924</v>
      </c>
      <c r="AF54" s="41">
        <v>189</v>
      </c>
      <c r="AG54" s="41">
        <v>12</v>
      </c>
      <c r="AH54" s="41">
        <v>3</v>
      </c>
      <c r="AI54" s="42">
        <v>3</v>
      </c>
      <c r="AJ54" s="24"/>
      <c r="AK54" s="24"/>
      <c r="AL54" s="24"/>
      <c r="AM54" s="24"/>
      <c r="AN54" s="24"/>
    </row>
    <row r="55">
      <c r="A55" s="25"/>
      <c r="B55" s="58" t="s">
        <v>44</v>
      </c>
      <c r="C55" s="58"/>
      <c r="D55" s="59">
        <f>SUM(D50:D54)</f>
      </c>
      <c r="E55" s="60">
        <f>SUM(E50:E54)</f>
      </c>
      <c r="F55" s="61">
        <f t="shared" si="287"/>
      </c>
      <c r="G55" s="62">
        <f>SUM(G50:G54)</f>
      </c>
      <c r="H55" s="63">
        <f t="shared" si="249"/>
      </c>
      <c r="I55" s="64">
        <f t="shared" si="40"/>
      </c>
      <c r="J55" s="65">
        <f t="shared" si="2"/>
      </c>
      <c r="K55" s="61">
        <f t="shared" si="116"/>
      </c>
      <c r="L55" s="66">
        <f t="shared" si="78"/>
      </c>
      <c r="M55" s="65">
        <f t="shared" si="211"/>
      </c>
      <c r="N55" s="67">
        <f t="shared" si="154"/>
      </c>
      <c r="O55" s="67">
        <f t="shared" si="173"/>
      </c>
      <c r="P55" s="68">
        <f t="shared" si="306"/>
      </c>
      <c r="Q55" s="68">
        <f t="shared" si="268"/>
      </c>
      <c r="R55" s="69">
        <f t="shared" si="59"/>
      </c>
      <c r="S55" s="70">
        <f t="shared" si="21"/>
      </c>
      <c r="T55" s="68">
        <f t="shared" si="135"/>
      </c>
      <c r="U55" s="68">
        <f t="shared" si="97"/>
      </c>
      <c r="V55" s="68">
        <f t="shared" si="230"/>
      </c>
      <c r="W55" s="68">
        <f t="shared" si="192"/>
      </c>
      <c r="X55" s="68"/>
      <c r="Y55" s="71"/>
      <c r="Z55" s="59">
        <f>SUM(Z50:Z54)</f>
      </c>
      <c r="AA55" s="59">
        <f>SUM(AA50:AA54)</f>
      </c>
      <c r="AB55" s="59">
        <f>SUM(AB50:AB54)</f>
      </c>
      <c r="AC55" s="59">
        <f>SUM(AC50:AC54)</f>
      </c>
      <c r="AD55" s="59">
        <f>SUM(AD50:AD54)</f>
      </c>
      <c r="AE55" s="59">
        <f>SUM(AE50:AE54)</f>
      </c>
      <c r="AF55" s="59">
        <f>SUM(AF50:AF54)</f>
      </c>
      <c r="AG55" s="59">
        <f>SUM(AG50:AG54)</f>
      </c>
      <c r="AH55" s="59">
        <f>SUM(AH50:AH54)</f>
      </c>
      <c r="AI55" s="59">
        <f>SUM(AI50:AI54)</f>
      </c>
      <c r="AJ55" s="24"/>
      <c r="AK55" s="24"/>
      <c r="AL55" s="24"/>
      <c r="AM55" s="24"/>
      <c r="AN55" s="24"/>
    </row>
    <row r="56">
      <c r="A56" s="25"/>
      <c r="B56" s="72" t="s">
        <v>45</v>
      </c>
      <c r="C56" s="73" t="s">
        <v>46</v>
      </c>
      <c r="D56" s="74">
        <v>1669.342</v>
      </c>
      <c r="E56" s="75">
        <v>3</v>
      </c>
      <c r="F56" s="47">
        <f t="shared" si="287"/>
      </c>
      <c r="G56" s="45">
        <v>684.0000000000009</v>
      </c>
      <c r="H56" s="49">
        <f t="shared" si="249"/>
      </c>
      <c r="I56" s="50">
        <f t="shared" si="40"/>
      </c>
      <c r="J56" s="51">
        <f t="shared" si="2"/>
      </c>
      <c r="K56" s="52">
        <f t="shared" si="116"/>
      </c>
      <c r="L56" s="76">
        <f t="shared" si="78"/>
      </c>
      <c r="M56" s="34">
        <f t="shared" si="211"/>
      </c>
      <c r="N56" s="37">
        <f t="shared" si="154"/>
      </c>
      <c r="O56" s="37">
        <f t="shared" si="173"/>
      </c>
      <c r="P56" s="37">
        <f t="shared" si="306"/>
      </c>
      <c r="Q56" s="37">
        <f t="shared" si="268"/>
      </c>
      <c r="R56" s="34">
        <f t="shared" si="59"/>
      </c>
      <c r="S56" s="35">
        <f t="shared" si="21"/>
      </c>
      <c r="T56" s="37">
        <f t="shared" si="135"/>
      </c>
      <c r="U56" s="37">
        <f t="shared" si="97"/>
      </c>
      <c r="V56" s="37">
        <f t="shared" si="230"/>
      </c>
      <c r="W56" s="37">
        <f t="shared" si="192"/>
      </c>
      <c r="X56" s="38" t="s">
        <v>38</v>
      </c>
      <c r="Y56" s="39" t="s">
        <v>39</v>
      </c>
      <c r="Z56" s="41">
        <v>102401</v>
      </c>
      <c r="AA56" s="41">
        <v>6691</v>
      </c>
      <c r="AB56" s="41">
        <v>57552</v>
      </c>
      <c r="AC56" s="41">
        <v>170</v>
      </c>
      <c r="AD56" s="41">
        <v>2</v>
      </c>
      <c r="AE56" s="41">
        <v>4978</v>
      </c>
      <c r="AF56" s="41">
        <v>105</v>
      </c>
      <c r="AG56" s="41">
        <v>18</v>
      </c>
      <c r="AH56" s="41">
        <v>3</v>
      </c>
      <c r="AI56" s="42">
        <v>0</v>
      </c>
      <c r="AJ56" s="24"/>
      <c r="AK56" s="24"/>
      <c r="AL56" s="24"/>
      <c r="AM56" s="24"/>
      <c r="AN56" s="24"/>
    </row>
    <row r="57">
      <c r="A57" s="25"/>
      <c r="B57" s="72" t="s">
        <v>45</v>
      </c>
      <c r="C57" s="77" t="s">
        <v>47</v>
      </c>
      <c r="D57" s="44">
        <v>1775.6200000000001</v>
      </c>
      <c r="E57" s="45">
        <v>5</v>
      </c>
      <c r="F57" s="47">
        <f t="shared" si="287"/>
      </c>
      <c r="G57" s="48">
        <v>1646.3999999999978</v>
      </c>
      <c r="H57" s="49">
        <f t="shared" si="249"/>
      </c>
      <c r="I57" s="50">
        <f t="shared" si="40"/>
      </c>
      <c r="J57" s="51">
        <f t="shared" si="2"/>
      </c>
      <c r="K57" s="52">
        <f t="shared" si="116"/>
      </c>
      <c r="L57" s="76">
        <f t="shared" si="78"/>
      </c>
      <c r="M57" s="34">
        <f t="shared" si="211"/>
      </c>
      <c r="N57" s="37">
        <f t="shared" si="154"/>
      </c>
      <c r="O57" s="37">
        <f t="shared" si="173"/>
      </c>
      <c r="P57" s="37">
        <f t="shared" si="306"/>
      </c>
      <c r="Q57" s="37">
        <f t="shared" si="268"/>
      </c>
      <c r="R57" s="34">
        <f t="shared" si="59"/>
      </c>
      <c r="S57" s="35">
        <f t="shared" si="21"/>
      </c>
      <c r="T57" s="37">
        <f t="shared" si="135"/>
      </c>
      <c r="U57" s="37">
        <f t="shared" si="97"/>
      </c>
      <c r="V57" s="37">
        <f t="shared" si="230"/>
      </c>
      <c r="W57" s="37">
        <f t="shared" si="192"/>
      </c>
      <c r="X57" s="38" t="s">
        <v>38</v>
      </c>
      <c r="Y57" s="39" t="s">
        <v>39</v>
      </c>
      <c r="Z57" s="41">
        <v>74927</v>
      </c>
      <c r="AA57" s="41">
        <v>6307</v>
      </c>
      <c r="AB57" s="41">
        <v>86721</v>
      </c>
      <c r="AC57" s="41">
        <v>244</v>
      </c>
      <c r="AD57" s="41">
        <v>4</v>
      </c>
      <c r="AE57" s="41">
        <v>5773</v>
      </c>
      <c r="AF57" s="41">
        <v>119</v>
      </c>
      <c r="AG57" s="41">
        <v>18</v>
      </c>
      <c r="AH57" s="41">
        <v>6</v>
      </c>
      <c r="AI57" s="42">
        <v>2</v>
      </c>
      <c r="AJ57" s="24"/>
      <c r="AK57" s="24"/>
      <c r="AL57" s="24"/>
      <c r="AM57" s="24"/>
      <c r="AN57" s="24"/>
    </row>
    <row r="58">
      <c r="A58" s="25"/>
      <c r="B58" s="72" t="s">
        <v>45</v>
      </c>
      <c r="C58" s="78" t="s">
        <v>48</v>
      </c>
      <c r="D58" s="44">
        <v>2148.841</v>
      </c>
      <c r="E58" s="45">
        <v>5</v>
      </c>
      <c r="F58" s="30">
        <f t="shared" si="287"/>
      </c>
      <c r="G58" s="23">
        <v>2308</v>
      </c>
      <c r="H58" s="32">
        <f t="shared" si="249"/>
      </c>
      <c r="I58" s="33">
        <f t="shared" si="40"/>
      </c>
      <c r="J58" s="34">
        <f t="shared" si="2"/>
      </c>
      <c r="K58" s="35">
        <f t="shared" si="116"/>
      </c>
      <c r="L58" s="79">
        <f t="shared" si="78"/>
      </c>
      <c r="M58" s="54">
        <f t="shared" si="211"/>
      </c>
      <c r="N58" s="55">
        <f t="shared" si="154"/>
      </c>
      <c r="O58" s="55">
        <f t="shared" si="173"/>
      </c>
      <c r="P58" s="55">
        <f t="shared" si="306"/>
      </c>
      <c r="Q58" s="55">
        <f t="shared" si="268"/>
      </c>
      <c r="R58" s="54">
        <f t="shared" si="59"/>
      </c>
      <c r="S58" s="56">
        <f t="shared" si="21"/>
      </c>
      <c r="T58" s="55">
        <f t="shared" si="135"/>
      </c>
      <c r="U58" s="55">
        <f t="shared" si="97"/>
      </c>
      <c r="V58" s="55">
        <f t="shared" si="230"/>
      </c>
      <c r="W58" s="55">
        <f t="shared" si="192"/>
      </c>
      <c r="X58" s="38" t="s">
        <v>38</v>
      </c>
      <c r="Y58" s="39" t="s">
        <v>39</v>
      </c>
      <c r="Z58" s="41">
        <v>93881</v>
      </c>
      <c r="AA58" s="41">
        <v>7712</v>
      </c>
      <c r="AB58" s="41">
        <v>104753</v>
      </c>
      <c r="AC58" s="41">
        <v>403</v>
      </c>
      <c r="AD58" s="41">
        <v>6</v>
      </c>
      <c r="AE58" s="41">
        <v>6792</v>
      </c>
      <c r="AF58" s="41">
        <v>150</v>
      </c>
      <c r="AG58" s="41">
        <v>17</v>
      </c>
      <c r="AH58" s="41">
        <v>9</v>
      </c>
      <c r="AI58" s="42">
        <v>0</v>
      </c>
      <c r="AJ58" s="24"/>
      <c r="AK58" s="24"/>
      <c r="AL58" s="24"/>
      <c r="AM58" s="24"/>
      <c r="AN58" s="24"/>
    </row>
    <row r="59">
      <c r="A59" s="25"/>
      <c r="B59" s="72" t="s">
        <v>45</v>
      </c>
      <c r="C59" s="78" t="s">
        <v>49</v>
      </c>
      <c r="D59" s="57">
        <v>2442.0550000000003</v>
      </c>
      <c r="E59" s="45">
        <v>6</v>
      </c>
      <c r="F59" s="30">
        <f t="shared" si="287"/>
      </c>
      <c r="G59" s="23">
        <v>1886.800000000003</v>
      </c>
      <c r="H59" s="32">
        <f t="shared" si="249"/>
      </c>
      <c r="I59" s="33">
        <f t="shared" si="40"/>
      </c>
      <c r="J59" s="34">
        <f t="shared" si="2"/>
      </c>
      <c r="K59" s="35">
        <f t="shared" si="116"/>
      </c>
      <c r="L59" s="79">
        <f t="shared" si="78"/>
      </c>
      <c r="M59" s="54">
        <f t="shared" si="211"/>
      </c>
      <c r="N59" s="55">
        <f t="shared" si="154"/>
      </c>
      <c r="O59" s="55">
        <f t="shared" si="173"/>
      </c>
      <c r="P59" s="55">
        <f t="shared" si="306"/>
      </c>
      <c r="Q59" s="55">
        <f t="shared" si="268"/>
      </c>
      <c r="R59" s="54">
        <f t="shared" si="59"/>
      </c>
      <c r="S59" s="56">
        <f t="shared" si="21"/>
      </c>
      <c r="T59" s="55">
        <f t="shared" si="135"/>
      </c>
      <c r="U59" s="55">
        <f t="shared" si="97"/>
      </c>
      <c r="V59" s="55">
        <f t="shared" si="230"/>
      </c>
      <c r="W59" s="55">
        <f t="shared" si="192"/>
      </c>
      <c r="X59" s="38" t="s">
        <v>38</v>
      </c>
      <c r="Y59" s="39" t="s">
        <v>39</v>
      </c>
      <c r="Z59" s="41">
        <v>79953</v>
      </c>
      <c r="AA59" s="41">
        <v>10457</v>
      </c>
      <c r="AB59" s="41">
        <v>139340</v>
      </c>
      <c r="AC59" s="41">
        <v>431</v>
      </c>
      <c r="AD59" s="41">
        <v>5</v>
      </c>
      <c r="AE59" s="41">
        <v>8729</v>
      </c>
      <c r="AF59" s="41">
        <v>185</v>
      </c>
      <c r="AG59" s="41">
        <v>25</v>
      </c>
      <c r="AH59" s="41">
        <v>8</v>
      </c>
      <c r="AI59" s="42">
        <v>2</v>
      </c>
      <c r="AJ59" s="24"/>
      <c r="AK59" s="24"/>
      <c r="AL59" s="24"/>
      <c r="AM59" s="24"/>
      <c r="AN59" s="24"/>
    </row>
    <row r="60">
      <c r="A60" s="25"/>
      <c r="B60" s="58" t="s">
        <v>44</v>
      </c>
      <c r="C60" s="58"/>
      <c r="D60" s="59">
        <f>SUM(D56:D59)</f>
      </c>
      <c r="E60" s="60">
        <f>SUM(E56:E59)</f>
      </c>
      <c r="F60" s="61">
        <f t="shared" si="287"/>
      </c>
      <c r="G60" s="62">
        <f>SUM(G56:G59)</f>
      </c>
      <c r="H60" s="63">
        <f t="shared" si="249"/>
      </c>
      <c r="I60" s="64">
        <f t="shared" si="40"/>
      </c>
      <c r="J60" s="65">
        <f t="shared" si="2"/>
      </c>
      <c r="K60" s="61">
        <f t="shared" si="116"/>
      </c>
      <c r="L60" s="66">
        <f t="shared" si="78"/>
      </c>
      <c r="M60" s="65">
        <f t="shared" si="211"/>
      </c>
      <c r="N60" s="67">
        <f t="shared" si="154"/>
      </c>
      <c r="O60" s="67">
        <f t="shared" si="173"/>
      </c>
      <c r="P60" s="68">
        <f t="shared" si="306"/>
      </c>
      <c r="Q60" s="68">
        <f t="shared" si="268"/>
      </c>
      <c r="R60" s="69">
        <f t="shared" si="59"/>
      </c>
      <c r="S60" s="70">
        <f t="shared" si="21"/>
      </c>
      <c r="T60" s="68">
        <f t="shared" si="135"/>
      </c>
      <c r="U60" s="68">
        <f t="shared" si="97"/>
      </c>
      <c r="V60" s="68">
        <f t="shared" si="230"/>
      </c>
      <c r="W60" s="68">
        <f t="shared" si="192"/>
      </c>
      <c r="X60" s="68"/>
      <c r="Y60" s="71"/>
      <c r="Z60" s="59">
        <f>SUM(Z56:Z59)</f>
      </c>
      <c r="AA60" s="59">
        <f>SUM(AA56:AA59)</f>
      </c>
      <c r="AB60" s="59">
        <f>SUM(AB56:AB59)</f>
      </c>
      <c r="AC60" s="59">
        <f>SUM(AC56:AC59)</f>
      </c>
      <c r="AD60" s="59">
        <f>SUM(AD56:AD59)</f>
      </c>
      <c r="AE60" s="59">
        <f>SUM(AE56:AE59)</f>
      </c>
      <c r="AF60" s="59">
        <f>SUM(AF56:AF59)</f>
      </c>
      <c r="AG60" s="59">
        <f>SUM(AG56:AG59)</f>
      </c>
      <c r="AH60" s="59">
        <f>SUM(AH56:AH59)</f>
      </c>
      <c r="AI60" s="59">
        <f>SUM(AI56:AI59)</f>
      </c>
      <c r="AJ60" s="24"/>
      <c r="AK60" s="24"/>
      <c r="AL60" s="24"/>
      <c r="AM60" s="24"/>
      <c r="AN60" s="24"/>
    </row>
    <row r="61">
      <c r="A61" s="25"/>
      <c r="B61" s="72" t="s">
        <v>64</v>
      </c>
      <c r="C61" s="38" t="s">
        <v>51</v>
      </c>
      <c r="D61" s="84">
        <v>1984.032</v>
      </c>
      <c r="E61" s="45">
        <v>2</v>
      </c>
      <c r="F61" s="30">
        <f t="shared" si="287"/>
      </c>
      <c r="G61" s="45">
        <v>1884</v>
      </c>
      <c r="H61" s="32">
        <f t="shared" si="249"/>
      </c>
      <c r="I61" s="33">
        <f t="shared" si="40"/>
      </c>
      <c r="J61" s="34">
        <f t="shared" si="2"/>
      </c>
      <c r="K61" s="35">
        <f t="shared" si="116"/>
      </c>
      <c r="L61" s="79">
        <f t="shared" si="78"/>
      </c>
      <c r="M61" s="54">
        <f t="shared" si="211"/>
      </c>
      <c r="N61" s="55">
        <f t="shared" si="154"/>
      </c>
      <c r="O61" s="55">
        <f t="shared" si="173"/>
      </c>
      <c r="P61" s="55">
        <f t="shared" si="306"/>
      </c>
      <c r="Q61" s="55">
        <f t="shared" si="268"/>
      </c>
      <c r="R61" s="54">
        <f t="shared" si="59"/>
      </c>
      <c r="S61" s="56">
        <f t="shared" si="21"/>
      </c>
      <c r="T61" s="55">
        <f t="shared" si="135"/>
      </c>
      <c r="U61" s="55">
        <f t="shared" si="97"/>
      </c>
      <c r="V61" s="55">
        <f t="shared" si="230"/>
      </c>
      <c r="W61" s="55">
        <f t="shared" si="192"/>
      </c>
      <c r="X61" s="38" t="s">
        <v>52</v>
      </c>
      <c r="Y61" s="39" t="s">
        <v>39</v>
      </c>
      <c r="Z61" s="41">
        <v>73777</v>
      </c>
      <c r="AA61" s="41">
        <v>9773</v>
      </c>
      <c r="AB61" s="41">
        <v>109870</v>
      </c>
      <c r="AC61" s="41">
        <v>511</v>
      </c>
      <c r="AD61" s="41">
        <v>3</v>
      </c>
      <c r="AE61" s="41">
        <v>8029</v>
      </c>
      <c r="AF61" s="41">
        <v>238</v>
      </c>
      <c r="AG61" s="41">
        <v>28</v>
      </c>
      <c r="AH61" s="41">
        <v>10</v>
      </c>
      <c r="AI61" s="42">
        <v>0</v>
      </c>
      <c r="AJ61" s="24"/>
      <c r="AK61" s="24"/>
      <c r="AL61" s="24"/>
    </row>
    <row r="62">
      <c r="A62" s="25"/>
      <c r="B62" s="72" t="s">
        <v>64</v>
      </c>
      <c r="C62" s="78" t="s">
        <v>53</v>
      </c>
      <c r="D62" s="85">
        <v>2072.525</v>
      </c>
      <c r="E62" s="45">
        <v>5</v>
      </c>
      <c r="F62" s="30">
        <f t="shared" si="287"/>
      </c>
      <c r="G62" s="45">
        <v>1438.3</v>
      </c>
      <c r="H62" s="32">
        <f t="shared" si="249"/>
      </c>
      <c r="I62" s="33">
        <f t="shared" si="40"/>
      </c>
      <c r="J62" s="34">
        <f t="shared" si="2"/>
      </c>
      <c r="K62" s="35">
        <f t="shared" si="116"/>
      </c>
      <c r="L62" s="79">
        <f t="shared" si="78"/>
      </c>
      <c r="M62" s="54">
        <f t="shared" si="211"/>
      </c>
      <c r="N62" s="55">
        <f t="shared" si="154"/>
      </c>
      <c r="O62" s="55">
        <f t="shared" si="173"/>
      </c>
      <c r="P62" s="55">
        <f t="shared" si="306"/>
      </c>
      <c r="Q62" s="55">
        <f t="shared" si="268"/>
      </c>
      <c r="R62" s="54">
        <f t="shared" si="59"/>
      </c>
      <c r="S62" s="56">
        <f t="shared" si="21"/>
      </c>
      <c r="T62" s="55">
        <f t="shared" si="135"/>
      </c>
      <c r="U62" s="55">
        <f t="shared" si="97"/>
      </c>
      <c r="V62" s="55">
        <f t="shared" si="230"/>
      </c>
      <c r="W62" s="55">
        <f t="shared" si="192"/>
      </c>
      <c r="X62" s="38" t="s">
        <v>52</v>
      </c>
      <c r="Y62" s="86" t="s">
        <v>54</v>
      </c>
      <c r="Z62" s="41">
        <v>71042</v>
      </c>
      <c r="AA62" s="41">
        <v>9492</v>
      </c>
      <c r="AB62" s="41">
        <v>121440</v>
      </c>
      <c r="AC62" s="41">
        <v>463</v>
      </c>
      <c r="AD62" s="41">
        <v>4</v>
      </c>
      <c r="AE62" s="41">
        <v>8475</v>
      </c>
      <c r="AF62" s="41">
        <v>176</v>
      </c>
      <c r="AG62" s="41">
        <v>26</v>
      </c>
      <c r="AH62" s="41">
        <v>3</v>
      </c>
      <c r="AI62" s="42">
        <v>0</v>
      </c>
      <c r="AJ62" s="24"/>
      <c r="AK62" s="24"/>
      <c r="AL62" s="24"/>
    </row>
    <row r="63">
      <c r="A63" s="25"/>
      <c r="B63" s="72" t="s">
        <v>64</v>
      </c>
      <c r="C63" s="78" t="s">
        <v>55</v>
      </c>
      <c r="D63" s="85">
        <v>1941.472</v>
      </c>
      <c r="E63" s="45">
        <v>2</v>
      </c>
      <c r="F63" s="30">
        <f t="shared" si="287"/>
      </c>
      <c r="G63" s="45">
        <v>424</v>
      </c>
      <c r="H63" s="32">
        <f t="shared" si="249"/>
      </c>
      <c r="I63" s="33">
        <f t="shared" si="40"/>
      </c>
      <c r="J63" s="34">
        <f t="shared" si="2"/>
      </c>
      <c r="K63" s="35">
        <f t="shared" si="116"/>
      </c>
      <c r="L63" s="79">
        <f t="shared" si="78"/>
      </c>
      <c r="M63" s="54">
        <f t="shared" si="211"/>
      </c>
      <c r="N63" s="55">
        <f t="shared" si="154"/>
      </c>
      <c r="O63" s="55">
        <f t="shared" si="173"/>
      </c>
      <c r="P63" s="55">
        <f t="shared" si="306"/>
      </c>
      <c r="Q63" s="55">
        <f t="shared" si="268"/>
      </c>
      <c r="R63" s="54">
        <f t="shared" si="59"/>
      </c>
      <c r="S63" s="56">
        <f t="shared" si="21"/>
      </c>
      <c r="T63" s="55">
        <f t="shared" si="135"/>
      </c>
      <c r="U63" s="55">
        <f t="shared" si="97"/>
      </c>
      <c r="V63" s="55">
        <f t="shared" si="230"/>
      </c>
      <c r="W63" s="55">
        <f t="shared" si="192"/>
      </c>
      <c r="X63" s="38" t="s">
        <v>52</v>
      </c>
      <c r="Y63" s="86" t="s">
        <v>54</v>
      </c>
      <c r="Z63" s="41">
        <v>59706</v>
      </c>
      <c r="AA63" s="41">
        <v>9846</v>
      </c>
      <c r="AB63" s="41">
        <v>111844</v>
      </c>
      <c r="AC63" s="41">
        <v>405</v>
      </c>
      <c r="AD63" s="41">
        <v>2</v>
      </c>
      <c r="AE63" s="41">
        <v>8542</v>
      </c>
      <c r="AF63" s="41">
        <v>173</v>
      </c>
      <c r="AG63" s="41">
        <v>20</v>
      </c>
      <c r="AH63" s="41">
        <v>5</v>
      </c>
      <c r="AI63" s="42">
        <v>0</v>
      </c>
      <c r="AJ63" s="24"/>
      <c r="AK63" s="24"/>
      <c r="AL63" s="24"/>
    </row>
    <row r="64">
      <c r="A64" s="25"/>
      <c r="B64" s="72" t="s">
        <v>64</v>
      </c>
      <c r="C64" s="78" t="s">
        <v>56</v>
      </c>
      <c r="D64" s="85">
        <v>2320.747</v>
      </c>
      <c r="E64" s="45">
        <v>3</v>
      </c>
      <c r="F64" s="30">
        <f t="shared" si="287"/>
      </c>
      <c r="G64" s="45">
        <v>1212.2</v>
      </c>
      <c r="H64" s="32">
        <f t="shared" si="249"/>
      </c>
      <c r="I64" s="33">
        <f t="shared" si="40"/>
      </c>
      <c r="J64" s="34">
        <f t="shared" si="2"/>
      </c>
      <c r="K64" s="35">
        <f t="shared" si="116"/>
      </c>
      <c r="L64" s="79">
        <f t="shared" si="78"/>
      </c>
      <c r="M64" s="54">
        <f t="shared" si="211"/>
      </c>
      <c r="N64" s="55">
        <f t="shared" si="154"/>
      </c>
      <c r="O64" s="55">
        <f t="shared" si="173"/>
      </c>
      <c r="P64" s="55">
        <f t="shared" si="306"/>
      </c>
      <c r="Q64" s="55">
        <f t="shared" si="268"/>
      </c>
      <c r="R64" s="54">
        <f t="shared" si="59"/>
      </c>
      <c r="S64" s="56">
        <f t="shared" si="21"/>
      </c>
      <c r="T64" s="55">
        <f t="shared" si="135"/>
      </c>
      <c r="U64" s="55">
        <f t="shared" si="97"/>
      </c>
      <c r="V64" s="55">
        <f t="shared" si="230"/>
      </c>
      <c r="W64" s="55">
        <f t="shared" si="192"/>
      </c>
      <c r="X64" s="38" t="s">
        <v>52</v>
      </c>
      <c r="Y64" s="86" t="s">
        <v>54</v>
      </c>
      <c r="Z64" s="41">
        <v>67583</v>
      </c>
      <c r="AA64" s="41">
        <v>9093</v>
      </c>
      <c r="AB64" s="41">
        <v>121874</v>
      </c>
      <c r="AC64" s="41">
        <v>442</v>
      </c>
      <c r="AD64" s="41">
        <v>3</v>
      </c>
      <c r="AE64" s="41">
        <v>8739</v>
      </c>
      <c r="AF64" s="41">
        <v>133</v>
      </c>
      <c r="AG64" s="41">
        <v>23</v>
      </c>
      <c r="AH64" s="41">
        <v>6</v>
      </c>
      <c r="AI64" s="42">
        <v>0</v>
      </c>
      <c r="AJ64" s="24"/>
      <c r="AK64" s="24"/>
      <c r="AL64" s="24"/>
    </row>
    <row r="65">
      <c r="A65" s="25"/>
      <c r="B65" s="58" t="s">
        <v>44</v>
      </c>
      <c r="C65" s="58"/>
      <c r="D65" s="59">
        <f>SUM(D61:D64)</f>
      </c>
      <c r="E65" s="60">
        <f>SUM(E61:E64)</f>
      </c>
      <c r="F65" s="70">
        <f t="shared" si="287"/>
      </c>
      <c r="G65" s="80">
        <f>SUM(G61:G64)</f>
      </c>
      <c r="H65" s="81">
        <f t="shared" si="249"/>
      </c>
      <c r="I65" s="82">
        <f t="shared" si="40"/>
      </c>
      <c r="J65" s="69">
        <f t="shared" si="2"/>
      </c>
      <c r="K65" s="70">
        <f t="shared" si="116"/>
      </c>
      <c r="L65" s="83">
        <f t="shared" si="78"/>
      </c>
      <c r="M65" s="69">
        <f t="shared" si="211"/>
      </c>
      <c r="N65" s="68">
        <f t="shared" si="154"/>
      </c>
      <c r="O65" s="68">
        <f t="shared" si="173"/>
      </c>
      <c r="P65" s="68">
        <f t="shared" si="306"/>
      </c>
      <c r="Q65" s="68">
        <f t="shared" si="268"/>
      </c>
      <c r="R65" s="69">
        <f t="shared" si="59"/>
      </c>
      <c r="S65" s="70">
        <f t="shared" si="21"/>
      </c>
      <c r="T65" s="68">
        <f t="shared" si="135"/>
      </c>
      <c r="U65" s="68">
        <f t="shared" si="97"/>
      </c>
      <c r="V65" s="68">
        <f t="shared" si="230"/>
      </c>
      <c r="W65" s="68">
        <f t="shared" si="192"/>
      </c>
      <c r="X65" s="68"/>
      <c r="Y65" s="71"/>
      <c r="Z65" s="59">
        <f>SUM(Z61:Z64)</f>
      </c>
      <c r="AA65" s="59">
        <f>SUM(AA61:AA64)</f>
      </c>
      <c r="AB65" s="59">
        <f>SUM(AB61:AB64)</f>
      </c>
      <c r="AC65" s="59">
        <f>SUM(AC61:AC64)</f>
      </c>
      <c r="AD65" s="59">
        <f>SUM(AD61:AD64)</f>
      </c>
      <c r="AE65" s="59">
        <f>SUM(AE61:AE64)</f>
      </c>
      <c r="AF65" s="59">
        <f>SUM(AF61:AF64)</f>
      </c>
      <c r="AG65" s="59">
        <f>SUM(AG61:AG64)</f>
      </c>
      <c r="AH65" s="59">
        <f>SUM(AH61:AH64)</f>
      </c>
      <c r="AI65" s="59">
        <f>SUM(AI61:AI64)</f>
      </c>
      <c r="AJ65" s="24"/>
      <c r="AK65" s="24"/>
      <c r="AL65" s="24"/>
    </row>
    <row r="66">
      <c r="A66" s="25"/>
      <c r="B66" s="72" t="s">
        <v>57</v>
      </c>
      <c r="C66" s="38" t="s">
        <v>58</v>
      </c>
      <c r="D66" s="87">
        <v>2301.409</v>
      </c>
      <c r="E66" s="29">
        <v>7</v>
      </c>
      <c r="F66" s="30">
        <f t="shared" si="287"/>
      </c>
      <c r="G66" s="31">
        <v>2100</v>
      </c>
      <c r="H66" s="32">
        <f t="shared" si="249"/>
      </c>
      <c r="I66" s="33">
        <f t="shared" si="40"/>
      </c>
      <c r="J66" s="34">
        <f t="shared" si="2"/>
      </c>
      <c r="K66" s="35">
        <f t="shared" si="116"/>
      </c>
      <c r="L66" s="79">
        <f t="shared" si="78"/>
      </c>
      <c r="M66" s="54">
        <f t="shared" si="211"/>
      </c>
      <c r="N66" s="55">
        <f t="shared" si="154"/>
      </c>
      <c r="O66" s="55">
        <f t="shared" si="173"/>
      </c>
      <c r="P66" s="55">
        <f t="shared" si="306"/>
      </c>
      <c r="Q66" s="55">
        <f t="shared" si="268"/>
      </c>
      <c r="R66" s="54">
        <f t="shared" si="59"/>
      </c>
      <c r="S66" s="56">
        <f t="shared" si="21"/>
      </c>
      <c r="T66" s="55">
        <f t="shared" si="135"/>
      </c>
      <c r="U66" s="55">
        <f t="shared" si="97"/>
      </c>
      <c r="V66" s="55">
        <f t="shared" si="230"/>
      </c>
      <c r="W66" s="55">
        <f t="shared" si="192"/>
      </c>
      <c r="X66" s="38" t="s">
        <v>52</v>
      </c>
      <c r="Y66" s="86" t="s">
        <v>54</v>
      </c>
      <c r="Z66" s="41">
        <v>72819</v>
      </c>
      <c r="AA66" s="41">
        <v>9645</v>
      </c>
      <c r="AB66" s="41">
        <v>117716</v>
      </c>
      <c r="AC66" s="88">
        <v>390</v>
      </c>
      <c r="AD66" s="88">
        <v>6</v>
      </c>
      <c r="AE66" s="88">
        <v>7256</v>
      </c>
      <c r="AF66" s="88">
        <v>184</v>
      </c>
      <c r="AG66" s="88">
        <v>10</v>
      </c>
      <c r="AH66" s="88">
        <v>9</v>
      </c>
      <c r="AI66" s="42">
        <v>0</v>
      </c>
      <c r="AJ66" s="24"/>
      <c r="AK66" s="24"/>
      <c r="AL66" s="24"/>
    </row>
    <row r="67">
      <c r="A67" s="25"/>
      <c r="B67" s="72" t="s">
        <v>57</v>
      </c>
      <c r="C67" s="78" t="s">
        <v>59</v>
      </c>
      <c r="D67" s="84">
        <v>2654.689</v>
      </c>
      <c r="E67" s="45">
        <v>2</v>
      </c>
      <c r="F67" s="30">
        <f t="shared" si="287"/>
      </c>
      <c r="G67" s="45">
        <v>456</v>
      </c>
      <c r="H67" s="32">
        <f t="shared" si="249"/>
      </c>
      <c r="I67" s="33">
        <f t="shared" si="40"/>
      </c>
      <c r="J67" s="34">
        <f t="shared" si="2"/>
      </c>
      <c r="K67" s="35">
        <f t="shared" si="116"/>
      </c>
      <c r="L67" s="79">
        <f t="shared" si="78"/>
      </c>
      <c r="M67" s="54">
        <f t="shared" si="211"/>
      </c>
      <c r="N67" s="55">
        <f t="shared" si="154"/>
      </c>
      <c r="O67" s="55">
        <f t="shared" si="173"/>
      </c>
      <c r="P67" s="55">
        <f t="shared" si="306"/>
      </c>
      <c r="Q67" s="55">
        <f t="shared" si="268"/>
      </c>
      <c r="R67" s="54">
        <f t="shared" si="59"/>
      </c>
      <c r="S67" s="56">
        <f t="shared" si="21"/>
      </c>
      <c r="T67" s="55">
        <f t="shared" si="135"/>
      </c>
      <c r="U67" s="55">
        <f t="shared" si="97"/>
      </c>
      <c r="V67" s="55">
        <f t="shared" si="230"/>
      </c>
      <c r="W67" s="55">
        <f t="shared" si="192"/>
      </c>
      <c r="X67" s="38" t="s">
        <v>52</v>
      </c>
      <c r="Y67" s="86" t="s">
        <v>54</v>
      </c>
      <c r="Z67" s="41">
        <v>83528</v>
      </c>
      <c r="AA67" s="41">
        <v>13406</v>
      </c>
      <c r="AB67" s="41">
        <v>145081</v>
      </c>
      <c r="AC67" s="41">
        <v>583</v>
      </c>
      <c r="AD67" s="41">
        <v>2</v>
      </c>
      <c r="AE67" s="41">
        <v>9257</v>
      </c>
      <c r="AF67" s="41">
        <v>237</v>
      </c>
      <c r="AG67" s="41">
        <v>27</v>
      </c>
      <c r="AH67" s="41">
        <v>13</v>
      </c>
      <c r="AI67" s="42">
        <v>0</v>
      </c>
      <c r="AJ67" s="24"/>
      <c r="AK67" s="24"/>
      <c r="AL67" s="24"/>
    </row>
    <row r="68">
      <c r="A68" s="25"/>
      <c r="B68" s="72" t="s">
        <v>57</v>
      </c>
      <c r="C68" s="78" t="s">
        <v>60</v>
      </c>
      <c r="D68" s="85">
        <v>3298.49</v>
      </c>
      <c r="E68" s="45">
        <v>0</v>
      </c>
      <c r="F68" s="30">
        <f t="shared" si="287"/>
      </c>
      <c r="G68" s="45">
        <v>0</v>
      </c>
      <c r="H68" s="32">
        <f t="shared" si="249"/>
      </c>
      <c r="I68" s="33">
        <f t="shared" si="40"/>
      </c>
      <c r="J68" s="34">
        <f t="shared" si="2"/>
      </c>
      <c r="K68" s="35">
        <f t="shared" si="116"/>
      </c>
      <c r="L68" s="79">
        <f t="shared" si="78"/>
      </c>
      <c r="M68" s="54">
        <f t="shared" si="211"/>
      </c>
      <c r="N68" s="55">
        <f t="shared" si="154"/>
      </c>
      <c r="O68" s="55">
        <f t="shared" si="173"/>
      </c>
      <c r="P68" s="55">
        <f t="shared" si="306"/>
      </c>
      <c r="Q68" s="55">
        <f t="shared" si="268"/>
      </c>
      <c r="R68" s="54">
        <f t="shared" si="59"/>
      </c>
      <c r="S68" s="56">
        <f t="shared" si="21"/>
      </c>
      <c r="T68" s="55">
        <f t="shared" si="135"/>
      </c>
      <c r="U68" s="55">
        <f t="shared" si="97"/>
      </c>
      <c r="V68" s="55">
        <f t="shared" si="230"/>
      </c>
      <c r="W68" s="55">
        <f t="shared" si="192"/>
      </c>
      <c r="X68" s="38" t="s">
        <v>52</v>
      </c>
      <c r="Y68" s="86" t="s">
        <v>54</v>
      </c>
      <c r="Z68" s="41">
        <v>141942</v>
      </c>
      <c r="AA68" s="41">
        <v>18182</v>
      </c>
      <c r="AB68" s="41">
        <v>202873</v>
      </c>
      <c r="AC68" s="41">
        <v>804</v>
      </c>
      <c r="AD68" s="41">
        <v>0</v>
      </c>
      <c r="AE68" s="41">
        <v>12494</v>
      </c>
      <c r="AF68" s="41">
        <v>260</v>
      </c>
      <c r="AG68" s="41">
        <v>41</v>
      </c>
      <c r="AH68" s="41">
        <v>12</v>
      </c>
      <c r="AI68" s="42">
        <v>0</v>
      </c>
      <c r="AJ68" s="24"/>
      <c r="AK68" s="24"/>
      <c r="AL68" s="24"/>
    </row>
    <row r="69">
      <c r="A69" s="25"/>
      <c r="B69" s="72" t="s">
        <v>57</v>
      </c>
      <c r="C69" s="78" t="s">
        <v>61</v>
      </c>
      <c r="D69" s="85">
        <v>1449.749</v>
      </c>
      <c r="E69" s="45">
        <v>4</v>
      </c>
      <c r="F69" s="30">
        <f t="shared" si="287"/>
      </c>
      <c r="G69" s="45">
        <v>1399.6</v>
      </c>
      <c r="H69" s="32">
        <f t="shared" si="249"/>
      </c>
      <c r="I69" s="33">
        <f t="shared" si="40"/>
      </c>
      <c r="J69" s="34">
        <f t="shared" si="2"/>
      </c>
      <c r="K69" s="35">
        <f t="shared" si="116"/>
      </c>
      <c r="L69" s="79">
        <f t="shared" si="78"/>
      </c>
      <c r="M69" s="54">
        <f t="shared" si="211"/>
      </c>
      <c r="N69" s="55">
        <f t="shared" si="154"/>
      </c>
      <c r="O69" s="55">
        <f t="shared" si="173"/>
      </c>
      <c r="P69" s="55">
        <f t="shared" si="306"/>
      </c>
      <c r="Q69" s="55">
        <f t="shared" si="268"/>
      </c>
      <c r="R69" s="54">
        <f t="shared" si="59"/>
      </c>
      <c r="S69" s="56">
        <f t="shared" si="21"/>
      </c>
      <c r="T69" s="55">
        <f t="shared" si="135"/>
      </c>
      <c r="U69" s="55">
        <f t="shared" si="97"/>
      </c>
      <c r="V69" s="55">
        <f t="shared" si="230"/>
      </c>
      <c r="W69" s="55">
        <f t="shared" si="192"/>
      </c>
      <c r="X69" s="38" t="s">
        <v>52</v>
      </c>
      <c r="Y69" s="86" t="s">
        <v>54</v>
      </c>
      <c r="Z69" s="41">
        <v>55160</v>
      </c>
      <c r="AA69" s="41">
        <v>6844</v>
      </c>
      <c r="AB69" s="41">
        <v>86106</v>
      </c>
      <c r="AC69" s="41">
        <v>326</v>
      </c>
      <c r="AD69" s="41">
        <v>3</v>
      </c>
      <c r="AE69" s="41">
        <v>5572</v>
      </c>
      <c r="AF69" s="41">
        <v>116</v>
      </c>
      <c r="AG69" s="41">
        <v>24</v>
      </c>
      <c r="AH69" s="41">
        <v>5</v>
      </c>
      <c r="AI69" s="42">
        <v>2</v>
      </c>
      <c r="AJ69" s="24"/>
      <c r="AK69" s="24"/>
      <c r="AL69" s="24"/>
    </row>
    <row customHeight="true" ht="16.071428571428573" r="70">
      <c r="A70" s="25"/>
      <c r="B70" s="72" t="s">
        <v>57</v>
      </c>
      <c r="C70" s="78" t="s">
        <v>62</v>
      </c>
      <c r="D70" s="85">
        <f>160.122+0.149</f>
      </c>
      <c r="E70" s="45">
        <v>2</v>
      </c>
      <c r="F70" s="47">
        <f t="shared" si="287"/>
      </c>
      <c r="G70" s="45">
        <v>1017.6</v>
      </c>
      <c r="H70" s="49">
        <f t="shared" si="249"/>
      </c>
      <c r="I70" s="50">
        <f t="shared" si="40"/>
      </c>
      <c r="J70" s="51">
        <f t="shared" si="2"/>
      </c>
      <c r="K70" s="52">
        <f t="shared" si="116"/>
      </c>
      <c r="L70" s="53">
        <f t="shared" si="78"/>
      </c>
      <c r="M70" s="54">
        <f t="shared" si="211"/>
      </c>
      <c r="N70" s="55">
        <f t="shared" si="154"/>
      </c>
      <c r="O70" s="55">
        <f t="shared" si="173"/>
      </c>
      <c r="P70" s="55">
        <f t="shared" si="306"/>
      </c>
      <c r="Q70" s="55">
        <f t="shared" si="268"/>
      </c>
      <c r="R70" s="54">
        <f t="shared" si="59"/>
      </c>
      <c r="S70" s="56">
        <f t="shared" si="21"/>
      </c>
      <c r="T70" s="55">
        <f t="shared" si="135"/>
      </c>
      <c r="U70" s="55">
        <f t="shared" si="97"/>
      </c>
      <c r="V70" s="55">
        <f t="shared" si="230"/>
      </c>
      <c r="W70" s="55">
        <f t="shared" si="192"/>
      </c>
      <c r="X70" s="38" t="s">
        <v>52</v>
      </c>
      <c r="Y70" s="86" t="s">
        <v>54</v>
      </c>
      <c r="Z70" s="40">
        <v>3676</v>
      </c>
      <c r="AA70" s="40">
        <v>821</v>
      </c>
      <c r="AB70" s="40">
        <v>5698</v>
      </c>
      <c r="AC70" s="40">
        <v>26</v>
      </c>
      <c r="AD70" s="40">
        <v>1</v>
      </c>
      <c r="AE70" s="40">
        <v>387</v>
      </c>
      <c r="AF70" s="41">
        <v>16</v>
      </c>
      <c r="AG70" s="41">
        <v>3</v>
      </c>
      <c r="AH70" s="41">
        <v>1</v>
      </c>
      <c r="AI70" s="42">
        <v>0</v>
      </c>
      <c r="AJ70" s="24"/>
      <c r="AK70" s="24"/>
      <c r="AL70" s="24"/>
      <c r="AM70" s="24"/>
      <c r="AN70" s="24"/>
    </row>
    <row r="71">
      <c r="A71" s="25"/>
      <c r="B71" s="58" t="s">
        <v>44</v>
      </c>
      <c r="C71" s="58"/>
      <c r="D71" s="59">
        <f>SUM(D66:D70)</f>
      </c>
      <c r="E71" s="60">
        <f>SUM(E66:E70)</f>
      </c>
      <c r="F71" s="61">
        <f t="shared" si="287"/>
      </c>
      <c r="G71" s="62">
        <f>SUM(G66:G70)</f>
      </c>
      <c r="H71" s="63">
        <f t="shared" si="249"/>
      </c>
      <c r="I71" s="64">
        <f t="shared" si="40"/>
      </c>
      <c r="J71" s="65">
        <f t="shared" si="2"/>
      </c>
      <c r="K71" s="61">
        <f t="shared" si="116"/>
      </c>
      <c r="L71" s="66">
        <f t="shared" si="78"/>
      </c>
      <c r="M71" s="65">
        <f t="shared" si="211"/>
      </c>
      <c r="N71" s="67">
        <f t="shared" si="154"/>
      </c>
      <c r="O71" s="67">
        <f t="shared" si="173"/>
      </c>
      <c r="P71" s="68">
        <f t="shared" si="306"/>
      </c>
      <c r="Q71" s="68">
        <f t="shared" si="268"/>
      </c>
      <c r="R71" s="69">
        <f t="shared" si="59"/>
      </c>
      <c r="S71" s="70">
        <f t="shared" si="21"/>
      </c>
      <c r="T71" s="68">
        <f t="shared" si="135"/>
      </c>
      <c r="U71" s="68">
        <f t="shared" si="97"/>
      </c>
      <c r="V71" s="68">
        <f t="shared" si="230"/>
      </c>
      <c r="W71" s="68">
        <f t="shared" si="192"/>
      </c>
      <c r="X71" s="68"/>
      <c r="Y71" s="71"/>
      <c r="Z71" s="59">
        <f>SUM(Z66:Z70)</f>
      </c>
      <c r="AA71" s="59">
        <f>SUM(AA66:AA70)</f>
      </c>
      <c r="AB71" s="59">
        <f>SUM(AB66:AB70)</f>
      </c>
      <c r="AC71" s="59">
        <f>SUM(AC66:AC70)</f>
      </c>
      <c r="AD71" s="59">
        <f>SUM(AD66:AD70)</f>
      </c>
      <c r="AE71" s="59">
        <f>SUM(AE66:AE70)</f>
      </c>
      <c r="AF71" s="59">
        <f>SUM(AF66:AF70)</f>
      </c>
      <c r="AG71" s="59">
        <f>SUM(AG66:AG70)</f>
      </c>
      <c r="AH71" s="59">
        <f>SUM(AH66:AH70)</f>
      </c>
      <c r="AI71" s="59">
        <f>SUM(AI66:AI70)</f>
      </c>
      <c r="AJ71" s="24"/>
      <c r="AK71" s="24"/>
      <c r="AL71" s="24"/>
      <c r="AM71" s="24"/>
      <c r="AN71" s="24"/>
    </row>
    <row r="72">
      <c r="A72" s="25"/>
      <c r="B72" s="89" t="s">
        <v>63</v>
      </c>
      <c r="C72" s="89"/>
      <c r="D72" s="90">
        <f>SUM(D71+D55+D60+D65)</f>
      </c>
      <c r="E72" s="91">
        <f>SUM(E71+E55+E60+E65)</f>
      </c>
      <c r="F72" s="92">
        <f t="shared" si="287"/>
      </c>
      <c r="G72" s="93">
        <f>SUM(G71+G55+G60+G65)</f>
      </c>
      <c r="H72" s="94">
        <f t="shared" si="249"/>
      </c>
      <c r="I72" s="95">
        <f t="shared" si="40"/>
      </c>
      <c r="J72" s="96">
        <f t="shared" si="2"/>
      </c>
      <c r="K72" s="92">
        <f t="shared" si="116"/>
      </c>
      <c r="L72" s="97">
        <f t="shared" si="78"/>
      </c>
      <c r="M72" s="97">
        <f t="shared" si="211"/>
      </c>
      <c r="N72" s="98">
        <f t="shared" si="154"/>
      </c>
      <c r="O72" s="98">
        <f t="shared" si="173"/>
      </c>
      <c r="P72" s="98">
        <f t="shared" si="306"/>
      </c>
      <c r="Q72" s="98">
        <f t="shared" si="268"/>
      </c>
      <c r="R72" s="99">
        <f t="shared" si="59"/>
      </c>
      <c r="S72" s="100">
        <f t="shared" si="21"/>
      </c>
      <c r="T72" s="101">
        <f t="shared" si="135"/>
      </c>
      <c r="U72" s="101">
        <f t="shared" si="97"/>
      </c>
      <c r="V72" s="101">
        <f t="shared" si="230"/>
      </c>
      <c r="W72" s="101">
        <f t="shared" si="192"/>
      </c>
      <c r="X72" s="101"/>
      <c r="Y72" s="102"/>
      <c r="Z72" s="103">
        <f>SUM(Z55+Z71+Z60+Z65)</f>
      </c>
      <c r="AA72" s="103">
        <f>SUM(AA55+AA71+AA60+AA65)</f>
      </c>
      <c r="AB72" s="103">
        <f>SUM(AB55+AB71+AB60+AB65)</f>
      </c>
      <c r="AC72" s="103">
        <f>SUM(AC55+AC71+AC60+AC65)</f>
      </c>
      <c r="AD72" s="103">
        <f>SUM(AD55+AD71+AD60+AD65)</f>
      </c>
      <c r="AE72" s="103">
        <f>SUM(AE55+AE71+AE60+AE65)</f>
      </c>
      <c r="AF72" s="103">
        <f>SUM(AF55+AF71+AF60+AF65)</f>
      </c>
      <c r="AG72" s="103">
        <f>SUM(AG55+AG71+AG60+AG65)</f>
      </c>
      <c r="AH72" s="103">
        <f>SUM(AH55+AH71+AH60+AH65)</f>
      </c>
      <c r="AI72" s="103">
        <f>SUM(AI55+AI71+AI60+AI65)</f>
      </c>
      <c r="AJ72" s="24"/>
      <c r="AK72" s="24"/>
      <c r="AL72" s="24"/>
    </row>
    <row r="73">
      <c r="A73" s="1" t="s">
        <v>1</v>
      </c>
      <c r="B73" s="2" t="s">
        <v>2</v>
      </c>
      <c r="C73" s="3" t="s">
        <v>3</v>
      </c>
      <c r="D73" s="4" t="s">
        <v>4</v>
      </c>
      <c r="E73" s="5" t="s">
        <v>5</v>
      </c>
      <c r="F73" s="6" t="s">
        <v>6</v>
      </c>
      <c r="G73" s="7" t="s">
        <v>7</v>
      </c>
      <c r="H73" s="8" t="s">
        <v>8</v>
      </c>
      <c r="I73" s="9" t="s">
        <v>9</v>
      </c>
      <c r="J73" s="10" t="s">
        <v>10</v>
      </c>
      <c r="K73" s="11" t="s">
        <v>11</v>
      </c>
      <c r="L73" s="12" t="s">
        <v>12</v>
      </c>
      <c r="M73" s="12" t="s">
        <v>13</v>
      </c>
      <c r="N73" s="13" t="s">
        <v>14</v>
      </c>
      <c r="O73" s="13" t="s">
        <v>15</v>
      </c>
      <c r="P73" s="13" t="s">
        <v>16</v>
      </c>
      <c r="Q73" s="13" t="s">
        <v>17</v>
      </c>
      <c r="R73" s="14" t="s">
        <v>18</v>
      </c>
      <c r="S73" s="15" t="s">
        <v>19</v>
      </c>
      <c r="T73" s="16" t="s">
        <v>20</v>
      </c>
      <c r="U73" s="16" t="s">
        <v>21</v>
      </c>
      <c r="V73" s="16" t="s">
        <v>22</v>
      </c>
      <c r="W73" s="16" t="s">
        <v>23</v>
      </c>
      <c r="X73" s="17" t="s">
        <v>24</v>
      </c>
      <c r="Y73" s="18" t="s">
        <v>25</v>
      </c>
      <c r="Z73" s="19" t="s">
        <v>26</v>
      </c>
      <c r="AA73" s="19" t="s">
        <v>27</v>
      </c>
      <c r="AB73" s="19" t="s">
        <v>28</v>
      </c>
      <c r="AC73" s="20" t="s">
        <v>29</v>
      </c>
      <c r="AD73" s="20" t="s">
        <v>30</v>
      </c>
      <c r="AE73" s="21" t="s">
        <v>31</v>
      </c>
      <c r="AF73" s="20" t="s">
        <v>32</v>
      </c>
      <c r="AG73" s="20" t="s">
        <v>33</v>
      </c>
      <c r="AH73" s="22" t="s">
        <v>34</v>
      </c>
      <c r="AI73" s="23" t="s">
        <v>35</v>
      </c>
      <c r="AJ73" s="24"/>
      <c r="AK73" s="24"/>
      <c r="AL73" s="24"/>
    </row>
    <row r="74">
      <c r="A74" s="25">
        <v>46299</v>
      </c>
      <c r="B74" s="72" t="s">
        <v>36</v>
      </c>
      <c r="C74" s="27" t="s">
        <v>37</v>
      </c>
      <c r="D74" s="28">
        <v>533.078</v>
      </c>
      <c r="E74" s="29">
        <v>2</v>
      </c>
      <c r="F74" s="30">
        <f t="shared" ref="F74:F96" si="288">D74/E74</f>
      </c>
      <c r="G74" s="31">
        <v>392</v>
      </c>
      <c r="H74" s="32">
        <f t="shared" ref="H74:H96" si="250">AD74</f>
      </c>
      <c r="I74" s="33">
        <f t="shared" ref="I74:I96" si="41">D74/AD74</f>
      </c>
      <c r="J74" s="34">
        <f t="shared" ref="J74:J96" si="3">G74/E74</f>
      </c>
      <c r="K74" s="35">
        <f t="shared" ref="K74:K96" si="117">G74/D74</f>
      </c>
      <c r="L74" s="36">
        <f t="shared" ref="L74:L96" si="79">D74/AB74</f>
      </c>
      <c r="M74" s="34">
        <f t="shared" ref="M74:M96" si="212">D74/AC74</f>
      </c>
      <c r="N74" s="37">
        <f t="shared" ref="N74:N96" si="155">AC74/AB74</f>
      </c>
      <c r="O74" s="37">
        <f t="shared" ref="O74:O96" si="174">AD74/AC74</f>
      </c>
      <c r="P74" s="37">
        <f t="shared" ref="P74:P96" si="307">AA74/Z74</f>
      </c>
      <c r="Q74" s="37">
        <f t="shared" ref="Q74:Q96" si="269">AD74/AA74</f>
      </c>
      <c r="R74" s="34">
        <f t="shared" ref="R74:R96" si="60">D74/Z74*1000</f>
      </c>
      <c r="S74" s="35">
        <f t="shared" ref="S74:S96" si="22">D74/AA74</f>
      </c>
      <c r="T74" s="37">
        <f t="shared" ref="T74:T96" si="136">AE74/AB74</f>
      </c>
      <c r="U74" s="37">
        <f t="shared" ref="U74:U96" si="98">AF74/AB74</f>
      </c>
      <c r="V74" s="37">
        <f t="shared" ref="V74:V96" si="231">AG74/AB74</f>
      </c>
      <c r="W74" s="37">
        <f t="shared" ref="W74:W96" si="193">AH74/AB74</f>
      </c>
      <c r="X74" s="38" t="s">
        <v>38</v>
      </c>
      <c r="Y74" s="39" t="s">
        <v>39</v>
      </c>
      <c r="Z74" s="40">
        <v>8890</v>
      </c>
      <c r="AA74" s="40">
        <v>2957</v>
      </c>
      <c r="AB74" s="40">
        <v>16005</v>
      </c>
      <c r="AC74" s="40">
        <v>76</v>
      </c>
      <c r="AD74" s="41">
        <v>2</v>
      </c>
      <c r="AE74" s="40">
        <v>1784</v>
      </c>
      <c r="AF74" s="41">
        <v>43</v>
      </c>
      <c r="AG74" s="41">
        <v>4</v>
      </c>
      <c r="AH74" s="41">
        <v>5</v>
      </c>
      <c r="AI74" s="42">
        <v>0</v>
      </c>
      <c r="AJ74" s="24"/>
      <c r="AK74" s="24"/>
      <c r="AL74" s="24"/>
    </row>
    <row r="75">
      <c r="A75" s="25"/>
      <c r="B75" s="72" t="s">
        <v>36</v>
      </c>
      <c r="C75" s="27" t="s">
        <v>40</v>
      </c>
      <c r="D75" s="28">
        <v>1809.3919999999998</v>
      </c>
      <c r="E75" s="29">
        <v>2</v>
      </c>
      <c r="F75" s="30">
        <f t="shared" si="288"/>
      </c>
      <c r="G75" s="31">
        <v>424</v>
      </c>
      <c r="H75" s="32">
        <f t="shared" si="250"/>
      </c>
      <c r="I75" s="33">
        <f t="shared" si="41"/>
      </c>
      <c r="J75" s="34">
        <f t="shared" si="3"/>
      </c>
      <c r="K75" s="35">
        <f t="shared" si="117"/>
      </c>
      <c r="L75" s="36">
        <f t="shared" si="79"/>
      </c>
      <c r="M75" s="34">
        <f t="shared" si="212"/>
      </c>
      <c r="N75" s="37">
        <f t="shared" si="155"/>
      </c>
      <c r="O75" s="37">
        <f t="shared" si="174"/>
      </c>
      <c r="P75" s="37">
        <f t="shared" si="307"/>
      </c>
      <c r="Q75" s="37">
        <f t="shared" si="269"/>
      </c>
      <c r="R75" s="34">
        <f t="shared" si="60"/>
      </c>
      <c r="S75" s="35">
        <f t="shared" si="22"/>
      </c>
      <c r="T75" s="37">
        <f t="shared" si="136"/>
      </c>
      <c r="U75" s="37">
        <f t="shared" si="98"/>
      </c>
      <c r="V75" s="37">
        <f t="shared" si="231"/>
      </c>
      <c r="W75" s="37">
        <f t="shared" si="193"/>
      </c>
      <c r="X75" s="38" t="s">
        <v>38</v>
      </c>
      <c r="Y75" s="39" t="s">
        <v>39</v>
      </c>
      <c r="Z75" s="41">
        <v>34595</v>
      </c>
      <c r="AA75" s="40">
        <v>10755</v>
      </c>
      <c r="AB75" s="40">
        <v>74432</v>
      </c>
      <c r="AC75" s="40">
        <v>371</v>
      </c>
      <c r="AD75" s="41">
        <v>2</v>
      </c>
      <c r="AE75" s="40">
        <v>8218</v>
      </c>
      <c r="AF75" s="41">
        <v>134</v>
      </c>
      <c r="AG75" s="41">
        <v>18</v>
      </c>
      <c r="AH75" s="41">
        <v>5</v>
      </c>
      <c r="AI75" s="42">
        <v>0</v>
      </c>
      <c r="AJ75" s="24"/>
      <c r="AK75" s="24"/>
      <c r="AL75" s="24"/>
    </row>
    <row r="76">
      <c r="A76" s="25"/>
      <c r="B76" s="72" t="s">
        <v>36</v>
      </c>
      <c r="C76" s="43" t="s">
        <v>41</v>
      </c>
      <c r="D76" s="44">
        <v>1817.7069999999999</v>
      </c>
      <c r="E76" s="45">
        <v>3</v>
      </c>
      <c r="F76" s="30">
        <f t="shared" si="288"/>
      </c>
      <c r="G76" s="23">
        <v>652</v>
      </c>
      <c r="H76" s="32">
        <f t="shared" si="250"/>
      </c>
      <c r="I76" s="33">
        <f t="shared" si="41"/>
      </c>
      <c r="J76" s="34">
        <f t="shared" si="3"/>
      </c>
      <c r="K76" s="35">
        <f t="shared" si="117"/>
      </c>
      <c r="L76" s="36">
        <f t="shared" si="79"/>
      </c>
      <c r="M76" s="34">
        <f t="shared" si="212"/>
      </c>
      <c r="N76" s="37">
        <f t="shared" si="155"/>
      </c>
      <c r="O76" s="37">
        <f t="shared" si="174"/>
      </c>
      <c r="P76" s="37">
        <f t="shared" si="307"/>
      </c>
      <c r="Q76" s="37">
        <f t="shared" si="269"/>
      </c>
      <c r="R76" s="34">
        <f t="shared" si="60"/>
      </c>
      <c r="S76" s="35">
        <f t="shared" si="22"/>
      </c>
      <c r="T76" s="37">
        <f t="shared" si="136"/>
      </c>
      <c r="U76" s="37">
        <f t="shared" si="98"/>
      </c>
      <c r="V76" s="37">
        <f t="shared" si="231"/>
      </c>
      <c r="W76" s="37">
        <f t="shared" si="193"/>
      </c>
      <c r="X76" s="38" t="s">
        <v>38</v>
      </c>
      <c r="Y76" s="39" t="s">
        <v>39</v>
      </c>
      <c r="Z76" s="41">
        <v>46336</v>
      </c>
      <c r="AA76" s="41">
        <v>11199</v>
      </c>
      <c r="AB76" s="41">
        <v>85146</v>
      </c>
      <c r="AC76" s="41">
        <v>534</v>
      </c>
      <c r="AD76" s="41">
        <v>3</v>
      </c>
      <c r="AE76" s="41">
        <v>8989</v>
      </c>
      <c r="AF76" s="41">
        <v>134</v>
      </c>
      <c r="AG76" s="41">
        <v>21</v>
      </c>
      <c r="AH76" s="41">
        <v>5</v>
      </c>
      <c r="AI76" s="42">
        <v>0</v>
      </c>
      <c r="AJ76" s="24"/>
      <c r="AK76" s="24"/>
      <c r="AL76" s="24"/>
    </row>
    <row r="77">
      <c r="A77" s="25"/>
      <c r="B77" s="72" t="s">
        <v>36</v>
      </c>
      <c r="C77" s="46" t="s">
        <v>42</v>
      </c>
      <c r="D77" s="44">
        <v>1976.916</v>
      </c>
      <c r="E77" s="45">
        <v>5</v>
      </c>
      <c r="F77" s="47">
        <f t="shared" si="288"/>
      </c>
      <c r="G77" s="48">
        <v>1690.7999999999997</v>
      </c>
      <c r="H77" s="49">
        <f t="shared" si="250"/>
      </c>
      <c r="I77" s="50">
        <f t="shared" si="41"/>
      </c>
      <c r="J77" s="51">
        <f t="shared" si="3"/>
      </c>
      <c r="K77" s="52">
        <f t="shared" si="117"/>
      </c>
      <c r="L77" s="53">
        <f t="shared" si="79"/>
      </c>
      <c r="M77" s="54">
        <f t="shared" si="212"/>
      </c>
      <c r="N77" s="55">
        <f t="shared" si="155"/>
      </c>
      <c r="O77" s="55">
        <f t="shared" si="174"/>
      </c>
      <c r="P77" s="55">
        <f t="shared" si="307"/>
      </c>
      <c r="Q77" s="55">
        <f t="shared" si="269"/>
      </c>
      <c r="R77" s="54">
        <f t="shared" si="60"/>
      </c>
      <c r="S77" s="56">
        <f t="shared" si="22"/>
      </c>
      <c r="T77" s="55">
        <f t="shared" si="136"/>
      </c>
      <c r="U77" s="55">
        <f t="shared" si="98"/>
      </c>
      <c r="V77" s="55">
        <f t="shared" si="231"/>
      </c>
      <c r="W77" s="55">
        <f t="shared" si="193"/>
      </c>
      <c r="X77" s="38" t="s">
        <v>38</v>
      </c>
      <c r="Y77" s="39" t="s">
        <v>39</v>
      </c>
      <c r="Z77" s="40">
        <v>67852</v>
      </c>
      <c r="AA77" s="40">
        <v>10064</v>
      </c>
      <c r="AB77" s="40">
        <v>83139</v>
      </c>
      <c r="AC77" s="40">
        <v>477</v>
      </c>
      <c r="AD77" s="40">
        <v>4</v>
      </c>
      <c r="AE77" s="40">
        <v>7727</v>
      </c>
      <c r="AF77" s="41">
        <v>185</v>
      </c>
      <c r="AG77" s="41">
        <v>23</v>
      </c>
      <c r="AH77" s="41">
        <v>6</v>
      </c>
      <c r="AI77" s="42">
        <v>2</v>
      </c>
      <c r="AJ77" s="24"/>
      <c r="AK77" s="24"/>
      <c r="AL77" s="24"/>
    </row>
    <row r="78">
      <c r="A78" s="25"/>
      <c r="B78" s="72" t="s">
        <v>36</v>
      </c>
      <c r="C78" s="46" t="s">
        <v>43</v>
      </c>
      <c r="D78" s="57">
        <v>2398.273</v>
      </c>
      <c r="E78" s="45">
        <v>9</v>
      </c>
      <c r="F78" s="47">
        <f t="shared" si="288"/>
      </c>
      <c r="G78" s="48">
        <v>1935.5000000000005</v>
      </c>
      <c r="H78" s="49">
        <f t="shared" si="250"/>
      </c>
      <c r="I78" s="50">
        <f t="shared" si="41"/>
      </c>
      <c r="J78" s="51">
        <f t="shared" si="3"/>
      </c>
      <c r="K78" s="52">
        <f t="shared" si="117"/>
      </c>
      <c r="L78" s="53">
        <f t="shared" si="79"/>
      </c>
      <c r="M78" s="54">
        <f t="shared" si="212"/>
      </c>
      <c r="N78" s="55">
        <f t="shared" si="155"/>
      </c>
      <c r="O78" s="55">
        <f t="shared" si="174"/>
      </c>
      <c r="P78" s="55">
        <f t="shared" si="307"/>
      </c>
      <c r="Q78" s="55">
        <f t="shared" si="269"/>
      </c>
      <c r="R78" s="54">
        <f t="shared" si="60"/>
      </c>
      <c r="S78" s="56">
        <f t="shared" si="22"/>
      </c>
      <c r="T78" s="55">
        <f t="shared" si="136"/>
      </c>
      <c r="U78" s="55">
        <f t="shared" si="98"/>
      </c>
      <c r="V78" s="55">
        <f t="shared" si="231"/>
      </c>
      <c r="W78" s="55">
        <f t="shared" si="193"/>
      </c>
      <c r="X78" s="38" t="s">
        <v>38</v>
      </c>
      <c r="Y78" s="39" t="s">
        <v>39</v>
      </c>
      <c r="Z78" s="40">
        <v>78874</v>
      </c>
      <c r="AA78" s="40">
        <v>13276</v>
      </c>
      <c r="AB78" s="40">
        <v>112186</v>
      </c>
      <c r="AC78" s="40">
        <v>688</v>
      </c>
      <c r="AD78" s="40">
        <v>6</v>
      </c>
      <c r="AE78" s="40">
        <v>11014</v>
      </c>
      <c r="AF78" s="41">
        <v>227</v>
      </c>
      <c r="AG78" s="41">
        <v>21</v>
      </c>
      <c r="AH78" s="41">
        <v>8</v>
      </c>
      <c r="AI78" s="42">
        <v>2</v>
      </c>
      <c r="AJ78" s="24"/>
      <c r="AK78" s="24"/>
      <c r="AL78" s="24"/>
    </row>
    <row r="79">
      <c r="A79" s="25"/>
      <c r="B79" s="58" t="s">
        <v>44</v>
      </c>
      <c r="C79" s="58"/>
      <c r="D79" s="59">
        <f>SUM(D74:D78)</f>
      </c>
      <c r="E79" s="60">
        <f>SUM(E74:E78)</f>
      </c>
      <c r="F79" s="61">
        <f t="shared" si="288"/>
      </c>
      <c r="G79" s="62">
        <f>SUM(G74:G78)</f>
      </c>
      <c r="H79" s="63">
        <f t="shared" si="250"/>
      </c>
      <c r="I79" s="64">
        <f t="shared" si="41"/>
      </c>
      <c r="J79" s="65">
        <f t="shared" si="3"/>
      </c>
      <c r="K79" s="61">
        <f t="shared" si="117"/>
      </c>
      <c r="L79" s="66">
        <f t="shared" si="79"/>
      </c>
      <c r="M79" s="65">
        <f t="shared" si="212"/>
      </c>
      <c r="N79" s="67">
        <f t="shared" si="155"/>
      </c>
      <c r="O79" s="67">
        <f t="shared" si="174"/>
      </c>
      <c r="P79" s="68">
        <f t="shared" si="307"/>
      </c>
      <c r="Q79" s="68">
        <f t="shared" si="269"/>
      </c>
      <c r="R79" s="69">
        <f t="shared" si="60"/>
      </c>
      <c r="S79" s="70">
        <f t="shared" si="22"/>
      </c>
      <c r="T79" s="68">
        <f t="shared" si="136"/>
      </c>
      <c r="U79" s="68">
        <f t="shared" si="98"/>
      </c>
      <c r="V79" s="68">
        <f t="shared" si="231"/>
      </c>
      <c r="W79" s="68">
        <f t="shared" si="193"/>
      </c>
      <c r="X79" s="68"/>
      <c r="Y79" s="71"/>
      <c r="Z79" s="59">
        <f>SUM(Z74:Z78)</f>
      </c>
      <c r="AA79" s="59">
        <f>SUM(AA74:AA78)</f>
      </c>
      <c r="AB79" s="59">
        <f>SUM(AB74:AB78)</f>
      </c>
      <c r="AC79" s="59">
        <f>SUM(AC74:AC78)</f>
      </c>
      <c r="AD79" s="59">
        <f>SUM(AD74:AD78)</f>
      </c>
      <c r="AE79" s="59">
        <f>SUM(AE74:AE78)</f>
      </c>
      <c r="AF79" s="59">
        <f>SUM(AF74:AF78)</f>
      </c>
      <c r="AG79" s="59">
        <f>SUM(AG74:AG78)</f>
      </c>
      <c r="AH79" s="59">
        <f>SUM(AH74:AH78)</f>
      </c>
      <c r="AI79" s="59">
        <f>SUM(AI74:AI78)</f>
      </c>
      <c r="AJ79" s="24"/>
      <c r="AK79" s="24"/>
      <c r="AL79" s="24"/>
    </row>
    <row r="80">
      <c r="A80" s="25"/>
      <c r="B80" s="72" t="s">
        <v>45</v>
      </c>
      <c r="C80" s="73" t="s">
        <v>46</v>
      </c>
      <c r="D80" s="74">
        <v>2346.6169999999997</v>
      </c>
      <c r="E80" s="75">
        <v>4</v>
      </c>
      <c r="F80" s="47">
        <f t="shared" si="288"/>
      </c>
      <c r="G80" s="45">
        <v>838.8000000000002</v>
      </c>
      <c r="H80" s="49">
        <f t="shared" si="250"/>
      </c>
      <c r="I80" s="50">
        <f t="shared" si="41"/>
      </c>
      <c r="J80" s="51">
        <f t="shared" si="3"/>
      </c>
      <c r="K80" s="52">
        <f t="shared" si="117"/>
      </c>
      <c r="L80" s="76">
        <f t="shared" si="79"/>
      </c>
      <c r="M80" s="34">
        <f t="shared" si="212"/>
      </c>
      <c r="N80" s="37">
        <f t="shared" si="155"/>
      </c>
      <c r="O80" s="37">
        <f t="shared" si="174"/>
      </c>
      <c r="P80" s="37">
        <f t="shared" si="307"/>
      </c>
      <c r="Q80" s="37">
        <f t="shared" si="269"/>
      </c>
      <c r="R80" s="34">
        <f t="shared" si="60"/>
      </c>
      <c r="S80" s="35">
        <f t="shared" si="22"/>
      </c>
      <c r="T80" s="37">
        <f t="shared" si="136"/>
      </c>
      <c r="U80" s="37">
        <f t="shared" si="98"/>
      </c>
      <c r="V80" s="37">
        <f t="shared" si="231"/>
      </c>
      <c r="W80" s="37">
        <f t="shared" si="193"/>
      </c>
      <c r="X80" s="38" t="s">
        <v>38</v>
      </c>
      <c r="Y80" s="39" t="s">
        <v>39</v>
      </c>
      <c r="Z80" s="41">
        <v>77557</v>
      </c>
      <c r="AA80" s="41">
        <v>12159</v>
      </c>
      <c r="AB80" s="41">
        <v>121275</v>
      </c>
      <c r="AC80" s="41">
        <v>653</v>
      </c>
      <c r="AD80" s="41">
        <v>2</v>
      </c>
      <c r="AE80" s="41">
        <v>11416</v>
      </c>
      <c r="AF80" s="41">
        <v>205</v>
      </c>
      <c r="AG80" s="41">
        <v>19</v>
      </c>
      <c r="AH80" s="41">
        <v>9</v>
      </c>
      <c r="AI80" s="42">
        <v>3</v>
      </c>
      <c r="AJ80" s="24"/>
      <c r="AK80" s="24"/>
      <c r="AL80" s="24"/>
    </row>
    <row r="81">
      <c r="A81" s="25"/>
      <c r="B81" s="72" t="s">
        <v>45</v>
      </c>
      <c r="C81" s="77" t="s">
        <v>47</v>
      </c>
      <c r="D81" s="44">
        <v>1764.9089999999999</v>
      </c>
      <c r="E81" s="45">
        <v>5</v>
      </c>
      <c r="F81" s="47">
        <f t="shared" si="288"/>
      </c>
      <c r="G81" s="48">
        <v>1680</v>
      </c>
      <c r="H81" s="49">
        <f t="shared" si="250"/>
      </c>
      <c r="I81" s="50">
        <f t="shared" si="41"/>
      </c>
      <c r="J81" s="51">
        <f t="shared" si="3"/>
      </c>
      <c r="K81" s="52">
        <f t="shared" si="117"/>
      </c>
      <c r="L81" s="76">
        <f t="shared" si="79"/>
      </c>
      <c r="M81" s="34">
        <f t="shared" si="212"/>
      </c>
      <c r="N81" s="37">
        <f t="shared" si="155"/>
      </c>
      <c r="O81" s="37">
        <f t="shared" si="174"/>
      </c>
      <c r="P81" s="37">
        <f t="shared" si="307"/>
      </c>
      <c r="Q81" s="37">
        <f t="shared" si="269"/>
      </c>
      <c r="R81" s="34">
        <f t="shared" si="60"/>
      </c>
      <c r="S81" s="35">
        <f t="shared" si="22"/>
      </c>
      <c r="T81" s="37">
        <f t="shared" si="136"/>
      </c>
      <c r="U81" s="37">
        <f t="shared" si="98"/>
      </c>
      <c r="V81" s="37">
        <f t="shared" si="231"/>
      </c>
      <c r="W81" s="37">
        <f t="shared" si="193"/>
      </c>
      <c r="X81" s="38" t="s">
        <v>38</v>
      </c>
      <c r="Y81" s="39" t="s">
        <v>39</v>
      </c>
      <c r="Z81" s="41">
        <v>59999</v>
      </c>
      <c r="AA81" s="41">
        <v>7920</v>
      </c>
      <c r="AB81" s="41">
        <v>89432</v>
      </c>
      <c r="AC81" s="41">
        <v>532</v>
      </c>
      <c r="AD81" s="41">
        <v>5</v>
      </c>
      <c r="AE81" s="41">
        <v>7096</v>
      </c>
      <c r="AF81" s="41">
        <v>170</v>
      </c>
      <c r="AG81" s="41">
        <v>9</v>
      </c>
      <c r="AH81" s="41">
        <v>5</v>
      </c>
      <c r="AI81" s="42">
        <v>0</v>
      </c>
      <c r="AJ81" s="24"/>
      <c r="AK81" s="24"/>
      <c r="AL81" s="24"/>
    </row>
    <row r="82">
      <c r="A82" s="25"/>
      <c r="B82" s="72" t="s">
        <v>45</v>
      </c>
      <c r="C82" s="78" t="s">
        <v>48</v>
      </c>
      <c r="D82" s="44">
        <v>1757.109</v>
      </c>
      <c r="E82" s="45">
        <v>4</v>
      </c>
      <c r="F82" s="30">
        <f t="shared" si="288"/>
      </c>
      <c r="G82" s="23">
        <v>1399.8999999999996</v>
      </c>
      <c r="H82" s="32">
        <f t="shared" si="250"/>
      </c>
      <c r="I82" s="33">
        <f t="shared" si="41"/>
      </c>
      <c r="J82" s="34">
        <f t="shared" si="3"/>
      </c>
      <c r="K82" s="35">
        <f t="shared" si="117"/>
      </c>
      <c r="L82" s="79">
        <f t="shared" si="79"/>
      </c>
      <c r="M82" s="54">
        <f t="shared" si="212"/>
      </c>
      <c r="N82" s="55">
        <f t="shared" si="155"/>
      </c>
      <c r="O82" s="55">
        <f t="shared" si="174"/>
      </c>
      <c r="P82" s="55">
        <f t="shared" si="307"/>
      </c>
      <c r="Q82" s="55">
        <f t="shared" si="269"/>
      </c>
      <c r="R82" s="54">
        <f t="shared" si="60"/>
      </c>
      <c r="S82" s="56">
        <f t="shared" si="22"/>
      </c>
      <c r="T82" s="55">
        <f t="shared" si="136"/>
      </c>
      <c r="U82" s="55">
        <f t="shared" si="98"/>
      </c>
      <c r="V82" s="55">
        <f t="shared" si="231"/>
      </c>
      <c r="W82" s="55">
        <f t="shared" si="193"/>
      </c>
      <c r="X82" s="38" t="s">
        <v>38</v>
      </c>
      <c r="Y82" s="39" t="s">
        <v>39</v>
      </c>
      <c r="Z82" s="41">
        <v>78833</v>
      </c>
      <c r="AA82" s="41">
        <v>6479</v>
      </c>
      <c r="AB82" s="41">
        <v>74276</v>
      </c>
      <c r="AC82" s="41">
        <v>390</v>
      </c>
      <c r="AD82" s="41">
        <v>4</v>
      </c>
      <c r="AE82" s="41">
        <v>5079</v>
      </c>
      <c r="AF82" s="41">
        <v>150</v>
      </c>
      <c r="AG82" s="41">
        <v>15</v>
      </c>
      <c r="AH82" s="41">
        <v>6</v>
      </c>
      <c r="AI82" s="42">
        <v>2</v>
      </c>
      <c r="AJ82" s="24"/>
      <c r="AK82" s="24"/>
      <c r="AL82" s="24"/>
    </row>
    <row r="83">
      <c r="A83" s="25"/>
      <c r="B83" s="72" t="s">
        <v>45</v>
      </c>
      <c r="C83" s="78" t="s">
        <v>49</v>
      </c>
      <c r="D83" s="57">
        <v>2009.0249999999999</v>
      </c>
      <c r="E83" s="45">
        <v>6</v>
      </c>
      <c r="F83" s="30">
        <f t="shared" si="288"/>
      </c>
      <c r="G83" s="23">
        <v>2518.7999999999993</v>
      </c>
      <c r="H83" s="32">
        <f t="shared" si="250"/>
      </c>
      <c r="I83" s="33">
        <f t="shared" si="41"/>
      </c>
      <c r="J83" s="34">
        <f t="shared" si="3"/>
      </c>
      <c r="K83" s="35">
        <f t="shared" si="117"/>
      </c>
      <c r="L83" s="79">
        <f t="shared" si="79"/>
      </c>
      <c r="M83" s="54">
        <f t="shared" si="212"/>
      </c>
      <c r="N83" s="55">
        <f t="shared" si="155"/>
      </c>
      <c r="O83" s="55">
        <f t="shared" si="174"/>
      </c>
      <c r="P83" s="55">
        <f t="shared" si="307"/>
      </c>
      <c r="Q83" s="55">
        <f t="shared" si="269"/>
      </c>
      <c r="R83" s="54">
        <f t="shared" si="60"/>
      </c>
      <c r="S83" s="56">
        <f t="shared" si="22"/>
      </c>
      <c r="T83" s="55">
        <f t="shared" si="136"/>
      </c>
      <c r="U83" s="55">
        <f t="shared" si="98"/>
      </c>
      <c r="V83" s="55">
        <f t="shared" si="231"/>
      </c>
      <c r="W83" s="55">
        <f t="shared" si="193"/>
      </c>
      <c r="X83" s="38" t="s">
        <v>38</v>
      </c>
      <c r="Y83" s="39" t="s">
        <v>39</v>
      </c>
      <c r="Z83" s="41">
        <v>82528</v>
      </c>
      <c r="AA83" s="41">
        <v>7040</v>
      </c>
      <c r="AB83" s="41">
        <v>91485</v>
      </c>
      <c r="AC83" s="41">
        <v>405</v>
      </c>
      <c r="AD83" s="41">
        <v>5</v>
      </c>
      <c r="AE83" s="41">
        <v>5582</v>
      </c>
      <c r="AF83" s="41">
        <v>157</v>
      </c>
      <c r="AG83" s="41">
        <v>15</v>
      </c>
      <c r="AH83" s="41">
        <v>12</v>
      </c>
      <c r="AI83" s="42">
        <v>2</v>
      </c>
      <c r="AJ83" s="24"/>
      <c r="AK83" s="24"/>
      <c r="AL83" s="24"/>
    </row>
    <row r="84">
      <c r="A84" s="25"/>
      <c r="B84" s="58" t="s">
        <v>44</v>
      </c>
      <c r="C84" s="58"/>
      <c r="D84" s="59">
        <f>SUM(D80:D83)</f>
      </c>
      <c r="E84" s="60">
        <f>SUM(E80:E83)</f>
      </c>
      <c r="F84" s="61">
        <f t="shared" si="288"/>
      </c>
      <c r="G84" s="62">
        <f>SUM(G80:G83)</f>
      </c>
      <c r="H84" s="63">
        <f t="shared" si="250"/>
      </c>
      <c r="I84" s="64">
        <f t="shared" si="41"/>
      </c>
      <c r="J84" s="65">
        <f t="shared" si="3"/>
      </c>
      <c r="K84" s="61">
        <f t="shared" si="117"/>
      </c>
      <c r="L84" s="66">
        <f t="shared" si="79"/>
      </c>
      <c r="M84" s="65">
        <f t="shared" si="212"/>
      </c>
      <c r="N84" s="67">
        <f t="shared" si="155"/>
      </c>
      <c r="O84" s="67">
        <f t="shared" si="174"/>
      </c>
      <c r="P84" s="68">
        <f t="shared" si="307"/>
      </c>
      <c r="Q84" s="68">
        <f t="shared" si="269"/>
      </c>
      <c r="R84" s="69">
        <f t="shared" si="60"/>
      </c>
      <c r="S84" s="70">
        <f t="shared" si="22"/>
      </c>
      <c r="T84" s="68">
        <f t="shared" si="136"/>
      </c>
      <c r="U84" s="68">
        <f t="shared" si="98"/>
      </c>
      <c r="V84" s="68">
        <f t="shared" si="231"/>
      </c>
      <c r="W84" s="68">
        <f t="shared" si="193"/>
      </c>
      <c r="X84" s="68"/>
      <c r="Y84" s="71"/>
      <c r="Z84" s="59">
        <f>SUM(Z80:Z83)</f>
      </c>
      <c r="AA84" s="59">
        <f>SUM(AA80:AA83)</f>
      </c>
      <c r="AB84" s="59">
        <f>SUM(AB80:AB83)</f>
      </c>
      <c r="AC84" s="59">
        <f>SUM(AC80:AC83)</f>
      </c>
      <c r="AD84" s="59">
        <f>SUM(AD80:AD83)</f>
      </c>
      <c r="AE84" s="59">
        <f>SUM(AE80:AE83)</f>
      </c>
      <c r="AF84" s="59">
        <f>SUM(AF80:AF83)</f>
      </c>
      <c r="AG84" s="59">
        <f>SUM(AG80:AG83)</f>
      </c>
      <c r="AH84" s="59">
        <f>SUM(AH80:AH83)</f>
      </c>
      <c r="AI84" s="59">
        <f>SUM(AI80:AI83)</f>
      </c>
      <c r="AJ84" s="24"/>
      <c r="AK84" s="24"/>
      <c r="AL84" s="24"/>
    </row>
    <row r="85">
      <c r="A85" s="25"/>
      <c r="B85" s="72" t="s">
        <v>50</v>
      </c>
      <c r="C85" s="38" t="s">
        <v>51</v>
      </c>
      <c r="D85" s="84">
        <v>1630.713</v>
      </c>
      <c r="E85" s="45">
        <v>1</v>
      </c>
      <c r="F85" s="30">
        <f t="shared" si="288"/>
      </c>
      <c r="G85" s="45">
        <v>828</v>
      </c>
      <c r="H85" s="32">
        <f t="shared" si="250"/>
      </c>
      <c r="I85" s="33">
        <f t="shared" si="41"/>
      </c>
      <c r="J85" s="34">
        <f t="shared" si="3"/>
      </c>
      <c r="K85" s="35">
        <f t="shared" si="117"/>
      </c>
      <c r="L85" s="79">
        <f t="shared" si="79"/>
      </c>
      <c r="M85" s="54">
        <f t="shared" si="212"/>
      </c>
      <c r="N85" s="55">
        <f t="shared" si="155"/>
      </c>
      <c r="O85" s="55">
        <f t="shared" si="174"/>
      </c>
      <c r="P85" s="55">
        <f t="shared" si="307"/>
      </c>
      <c r="Q85" s="55">
        <f t="shared" si="269"/>
      </c>
      <c r="R85" s="54">
        <f t="shared" si="60"/>
      </c>
      <c r="S85" s="56">
        <f t="shared" si="22"/>
      </c>
      <c r="T85" s="55">
        <f t="shared" si="136"/>
      </c>
      <c r="U85" s="55">
        <f t="shared" si="98"/>
      </c>
      <c r="V85" s="55">
        <f t="shared" si="231"/>
      </c>
      <c r="W85" s="55">
        <f t="shared" si="193"/>
      </c>
      <c r="X85" s="38" t="s">
        <v>52</v>
      </c>
      <c r="Y85" s="39" t="s">
        <v>39</v>
      </c>
      <c r="Z85" s="41">
        <v>59596</v>
      </c>
      <c r="AA85" s="41">
        <v>6984</v>
      </c>
      <c r="AB85" s="41">
        <v>73186</v>
      </c>
      <c r="AC85" s="41">
        <v>411</v>
      </c>
      <c r="AD85" s="41">
        <v>1</v>
      </c>
      <c r="AE85" s="41">
        <v>5118</v>
      </c>
      <c r="AF85" s="41">
        <v>112</v>
      </c>
      <c r="AG85" s="41">
        <v>10</v>
      </c>
      <c r="AH85" s="41">
        <v>5</v>
      </c>
      <c r="AI85" s="42">
        <v>0</v>
      </c>
      <c r="AJ85" s="24"/>
      <c r="AK85" s="24"/>
      <c r="AL85" s="24"/>
    </row>
    <row r="86">
      <c r="A86" s="25"/>
      <c r="B86" s="72" t="s">
        <v>50</v>
      </c>
      <c r="C86" s="78" t="s">
        <v>53</v>
      </c>
      <c r="D86" s="85">
        <v>1875.953</v>
      </c>
      <c r="E86" s="45">
        <v>7</v>
      </c>
      <c r="F86" s="30">
        <f t="shared" si="288"/>
      </c>
      <c r="G86" s="45">
        <v>2185.2</v>
      </c>
      <c r="H86" s="32">
        <f t="shared" si="250"/>
      </c>
      <c r="I86" s="33">
        <f t="shared" si="41"/>
      </c>
      <c r="J86" s="34">
        <f t="shared" si="3"/>
      </c>
      <c r="K86" s="35">
        <f t="shared" si="117"/>
      </c>
      <c r="L86" s="79">
        <f t="shared" si="79"/>
      </c>
      <c r="M86" s="54">
        <f t="shared" si="212"/>
      </c>
      <c r="N86" s="55">
        <f t="shared" si="155"/>
      </c>
      <c r="O86" s="55">
        <f t="shared" si="174"/>
      </c>
      <c r="P86" s="55">
        <f t="shared" si="307"/>
      </c>
      <c r="Q86" s="55">
        <f t="shared" si="269"/>
      </c>
      <c r="R86" s="54">
        <f t="shared" si="60"/>
      </c>
      <c r="S86" s="56">
        <f t="shared" si="22"/>
      </c>
      <c r="T86" s="55">
        <f t="shared" si="136"/>
      </c>
      <c r="U86" s="55">
        <f t="shared" si="98"/>
      </c>
      <c r="V86" s="55">
        <f t="shared" si="231"/>
      </c>
      <c r="W86" s="55">
        <f t="shared" si="193"/>
      </c>
      <c r="X86" s="38" t="s">
        <v>52</v>
      </c>
      <c r="Y86" s="86" t="s">
        <v>54</v>
      </c>
      <c r="Z86" s="41">
        <v>59730</v>
      </c>
      <c r="AA86" s="41">
        <v>8406</v>
      </c>
      <c r="AB86" s="41">
        <v>102664</v>
      </c>
      <c r="AC86" s="41">
        <v>449</v>
      </c>
      <c r="AD86" s="41">
        <v>6</v>
      </c>
      <c r="AE86" s="41">
        <v>7275</v>
      </c>
      <c r="AF86" s="41">
        <v>132</v>
      </c>
      <c r="AG86" s="41">
        <v>16</v>
      </c>
      <c r="AH86" s="41">
        <v>2</v>
      </c>
      <c r="AI86" s="42">
        <v>1</v>
      </c>
      <c r="AJ86" s="24"/>
      <c r="AK86" s="24"/>
      <c r="AL86" s="24"/>
    </row>
    <row r="87">
      <c r="A87" s="25"/>
      <c r="B87" s="72" t="s">
        <v>50</v>
      </c>
      <c r="C87" s="78" t="s">
        <v>55</v>
      </c>
      <c r="D87" s="85">
        <v>2282.981</v>
      </c>
      <c r="E87" s="45">
        <v>4</v>
      </c>
      <c r="F87" s="30">
        <f t="shared" si="288"/>
      </c>
      <c r="G87" s="45">
        <v>912</v>
      </c>
      <c r="H87" s="32">
        <f t="shared" si="250"/>
      </c>
      <c r="I87" s="33">
        <f t="shared" si="41"/>
      </c>
      <c r="J87" s="34">
        <f t="shared" si="3"/>
      </c>
      <c r="K87" s="35">
        <f t="shared" si="117"/>
      </c>
      <c r="L87" s="79">
        <f t="shared" si="79"/>
      </c>
      <c r="M87" s="54">
        <f t="shared" si="212"/>
      </c>
      <c r="N87" s="55">
        <f t="shared" si="155"/>
      </c>
      <c r="O87" s="55">
        <f t="shared" si="174"/>
      </c>
      <c r="P87" s="55">
        <f t="shared" si="307"/>
      </c>
      <c r="Q87" s="55">
        <f t="shared" si="269"/>
      </c>
      <c r="R87" s="54">
        <f t="shared" si="60"/>
      </c>
      <c r="S87" s="56">
        <f t="shared" si="22"/>
      </c>
      <c r="T87" s="55">
        <f t="shared" si="136"/>
      </c>
      <c r="U87" s="55">
        <f t="shared" si="98"/>
      </c>
      <c r="V87" s="55">
        <f t="shared" si="231"/>
      </c>
      <c r="W87" s="55">
        <f t="shared" si="193"/>
      </c>
      <c r="X87" s="38" t="s">
        <v>52</v>
      </c>
      <c r="Y87" s="86" t="s">
        <v>54</v>
      </c>
      <c r="Z87" s="41">
        <v>57386</v>
      </c>
      <c r="AA87" s="41">
        <v>10403</v>
      </c>
      <c r="AB87" s="41">
        <v>116927</v>
      </c>
      <c r="AC87" s="41">
        <v>472</v>
      </c>
      <c r="AD87" s="41">
        <v>3</v>
      </c>
      <c r="AE87" s="41">
        <v>9530</v>
      </c>
      <c r="AF87" s="41">
        <v>170</v>
      </c>
      <c r="AG87" s="41">
        <v>25</v>
      </c>
      <c r="AH87" s="41">
        <v>5</v>
      </c>
      <c r="AI87" s="42">
        <v>0</v>
      </c>
      <c r="AJ87" s="24"/>
      <c r="AK87" s="24"/>
      <c r="AL87" s="24"/>
    </row>
    <row r="88">
      <c r="A88" s="25"/>
      <c r="B88" s="72" t="s">
        <v>50</v>
      </c>
      <c r="C88" s="78" t="s">
        <v>56</v>
      </c>
      <c r="D88" s="85">
        <v>1871.192</v>
      </c>
      <c r="E88" s="45">
        <v>2</v>
      </c>
      <c r="F88" s="30">
        <f t="shared" si="288"/>
      </c>
      <c r="G88" s="45">
        <v>456</v>
      </c>
      <c r="H88" s="32">
        <f t="shared" si="250"/>
      </c>
      <c r="I88" s="33">
        <f t="shared" si="41"/>
      </c>
      <c r="J88" s="34">
        <f t="shared" si="3"/>
      </c>
      <c r="K88" s="35">
        <f t="shared" si="117"/>
      </c>
      <c r="L88" s="79">
        <f t="shared" si="79"/>
      </c>
      <c r="M88" s="54">
        <f t="shared" si="212"/>
      </c>
      <c r="N88" s="55">
        <f t="shared" si="155"/>
      </c>
      <c r="O88" s="55">
        <f t="shared" si="174"/>
      </c>
      <c r="P88" s="55">
        <f t="shared" si="307"/>
      </c>
      <c r="Q88" s="55">
        <f t="shared" si="269"/>
      </c>
      <c r="R88" s="54">
        <f t="shared" si="60"/>
      </c>
      <c r="S88" s="56">
        <f t="shared" si="22"/>
      </c>
      <c r="T88" s="55">
        <f t="shared" si="136"/>
      </c>
      <c r="U88" s="55">
        <f t="shared" si="98"/>
      </c>
      <c r="V88" s="55">
        <f t="shared" si="231"/>
      </c>
      <c r="W88" s="55">
        <f t="shared" si="193"/>
      </c>
      <c r="X88" s="38" t="s">
        <v>52</v>
      </c>
      <c r="Y88" s="86" t="s">
        <v>54</v>
      </c>
      <c r="Z88" s="41">
        <v>65625</v>
      </c>
      <c r="AA88" s="41">
        <v>7625</v>
      </c>
      <c r="AB88" s="41">
        <v>91729</v>
      </c>
      <c r="AC88" s="41">
        <v>290</v>
      </c>
      <c r="AD88" s="41">
        <v>3</v>
      </c>
      <c r="AE88" s="41">
        <v>6081</v>
      </c>
      <c r="AF88" s="41">
        <v>112</v>
      </c>
      <c r="AG88" s="41">
        <v>19</v>
      </c>
      <c r="AH88" s="41">
        <v>5</v>
      </c>
      <c r="AI88" s="42">
        <v>0</v>
      </c>
      <c r="AJ88" s="24"/>
      <c r="AK88" s="24"/>
      <c r="AL88" s="24"/>
    </row>
    <row r="89">
      <c r="A89" s="25"/>
      <c r="B89" s="58" t="s">
        <v>44</v>
      </c>
      <c r="C89" s="58"/>
      <c r="D89" s="59">
        <f>SUM(D85:D88)</f>
      </c>
      <c r="E89" s="60">
        <f>SUM(E85:E88)</f>
      </c>
      <c r="F89" s="70">
        <f t="shared" si="288"/>
      </c>
      <c r="G89" s="80">
        <f>SUM(G85:G88)</f>
      </c>
      <c r="H89" s="81">
        <f t="shared" si="250"/>
      </c>
      <c r="I89" s="82">
        <f t="shared" si="41"/>
      </c>
      <c r="J89" s="69">
        <f t="shared" si="3"/>
      </c>
      <c r="K89" s="70">
        <f t="shared" si="117"/>
      </c>
      <c r="L89" s="83">
        <f t="shared" si="79"/>
      </c>
      <c r="M89" s="69">
        <f t="shared" si="212"/>
      </c>
      <c r="N89" s="68">
        <f t="shared" si="155"/>
      </c>
      <c r="O89" s="68">
        <f t="shared" si="174"/>
      </c>
      <c r="P89" s="68">
        <f t="shared" si="307"/>
      </c>
      <c r="Q89" s="68">
        <f t="shared" si="269"/>
      </c>
      <c r="R89" s="69">
        <f t="shared" si="60"/>
      </c>
      <c r="S89" s="70">
        <f t="shared" si="22"/>
      </c>
      <c r="T89" s="68">
        <f t="shared" si="136"/>
      </c>
      <c r="U89" s="68">
        <f t="shared" si="98"/>
      </c>
      <c r="V89" s="68">
        <f t="shared" si="231"/>
      </c>
      <c r="W89" s="68">
        <f t="shared" si="193"/>
      </c>
      <c r="X89" s="68"/>
      <c r="Y89" s="71"/>
      <c r="Z89" s="59">
        <f>SUM(Z85:Z88)</f>
      </c>
      <c r="AA89" s="59">
        <f>SUM(AA85:AA88)</f>
      </c>
      <c r="AB89" s="59">
        <f>SUM(AB85:AB88)</f>
      </c>
      <c r="AC89" s="59">
        <f>SUM(AC85:AC88)</f>
      </c>
      <c r="AD89" s="59">
        <f>SUM(AD85:AD88)</f>
      </c>
      <c r="AE89" s="59">
        <f>SUM(AE85:AE88)</f>
      </c>
      <c r="AF89" s="59">
        <f>SUM(AF85:AF88)</f>
      </c>
      <c r="AG89" s="59">
        <f>SUM(AG85:AG88)</f>
      </c>
      <c r="AH89" s="59">
        <f>SUM(AH85:AH88)</f>
      </c>
      <c r="AI89" s="59">
        <f>SUM(AI85:AI88)</f>
      </c>
      <c r="AJ89" s="24"/>
      <c r="AK89" s="24"/>
      <c r="AL89" s="24"/>
    </row>
    <row r="90">
      <c r="A90" s="25"/>
      <c r="B90" s="72" t="s">
        <v>57</v>
      </c>
      <c r="C90" s="38" t="s">
        <v>58</v>
      </c>
      <c r="D90" s="87">
        <v>1936.117</v>
      </c>
      <c r="E90" s="29">
        <v>2</v>
      </c>
      <c r="F90" s="30">
        <f t="shared" si="288"/>
      </c>
      <c r="G90" s="31">
        <v>1045.2</v>
      </c>
      <c r="H90" s="32">
        <f t="shared" si="250"/>
      </c>
      <c r="I90" s="33">
        <f t="shared" si="41"/>
      </c>
      <c r="J90" s="34">
        <f t="shared" si="3"/>
      </c>
      <c r="K90" s="35">
        <f t="shared" si="117"/>
      </c>
      <c r="L90" s="79">
        <f t="shared" si="79"/>
      </c>
      <c r="M90" s="54">
        <f t="shared" si="212"/>
      </c>
      <c r="N90" s="55">
        <f t="shared" si="155"/>
      </c>
      <c r="O90" s="55">
        <f t="shared" si="174"/>
      </c>
      <c r="P90" s="55">
        <f t="shared" si="307"/>
      </c>
      <c r="Q90" s="55">
        <f t="shared" si="269"/>
      </c>
      <c r="R90" s="54">
        <f t="shared" si="60"/>
      </c>
      <c r="S90" s="56">
        <f t="shared" si="22"/>
      </c>
      <c r="T90" s="55">
        <f t="shared" si="136"/>
      </c>
      <c r="U90" s="55">
        <f t="shared" si="98"/>
      </c>
      <c r="V90" s="55">
        <f t="shared" si="231"/>
      </c>
      <c r="W90" s="55">
        <f t="shared" si="193"/>
      </c>
      <c r="X90" s="38" t="s">
        <v>52</v>
      </c>
      <c r="Y90" s="86" t="s">
        <v>54</v>
      </c>
      <c r="Z90" s="41">
        <v>58859</v>
      </c>
      <c r="AA90" s="41">
        <v>7411</v>
      </c>
      <c r="AB90" s="41">
        <v>108577</v>
      </c>
      <c r="AC90" s="88">
        <v>382</v>
      </c>
      <c r="AD90" s="88">
        <v>1</v>
      </c>
      <c r="AE90" s="88">
        <v>6187</v>
      </c>
      <c r="AF90" s="88">
        <v>116</v>
      </c>
      <c r="AG90" s="88">
        <v>12</v>
      </c>
      <c r="AH90" s="88">
        <v>9</v>
      </c>
      <c r="AI90" s="42">
        <v>1</v>
      </c>
      <c r="AJ90" s="24"/>
      <c r="AK90" s="24"/>
      <c r="AL90" s="24"/>
    </row>
    <row r="91">
      <c r="A91" s="25"/>
      <c r="B91" s="72" t="s">
        <v>57</v>
      </c>
      <c r="C91" s="78" t="s">
        <v>59</v>
      </c>
      <c r="D91" s="84">
        <v>2476.226</v>
      </c>
      <c r="E91" s="45">
        <v>6</v>
      </c>
      <c r="F91" s="30">
        <f t="shared" si="288"/>
      </c>
      <c r="G91" s="45">
        <v>1929.6</v>
      </c>
      <c r="H91" s="32">
        <f t="shared" si="250"/>
      </c>
      <c r="I91" s="33">
        <f t="shared" si="41"/>
      </c>
      <c r="J91" s="34">
        <f t="shared" si="3"/>
      </c>
      <c r="K91" s="35">
        <f t="shared" si="117"/>
      </c>
      <c r="L91" s="79">
        <f t="shared" si="79"/>
      </c>
      <c r="M91" s="54">
        <f t="shared" si="212"/>
      </c>
      <c r="N91" s="55">
        <f t="shared" si="155"/>
      </c>
      <c r="O91" s="55">
        <f t="shared" si="174"/>
      </c>
      <c r="P91" s="55">
        <f t="shared" si="307"/>
      </c>
      <c r="Q91" s="55">
        <f t="shared" si="269"/>
      </c>
      <c r="R91" s="54">
        <f t="shared" si="60"/>
      </c>
      <c r="S91" s="56">
        <f t="shared" si="22"/>
      </c>
      <c r="T91" s="55">
        <f t="shared" si="136"/>
      </c>
      <c r="U91" s="55">
        <f t="shared" si="98"/>
      </c>
      <c r="V91" s="55">
        <f t="shared" si="231"/>
      </c>
      <c r="W91" s="55">
        <f t="shared" si="193"/>
      </c>
      <c r="X91" s="38" t="s">
        <v>52</v>
      </c>
      <c r="Y91" s="86" t="s">
        <v>54</v>
      </c>
      <c r="Z91" s="41">
        <v>70123</v>
      </c>
      <c r="AA91" s="41">
        <v>7614</v>
      </c>
      <c r="AB91" s="41">
        <v>152825</v>
      </c>
      <c r="AC91" s="41">
        <v>455</v>
      </c>
      <c r="AD91" s="41">
        <v>4</v>
      </c>
      <c r="AE91" s="41">
        <v>7167</v>
      </c>
      <c r="AF91" s="41">
        <v>99</v>
      </c>
      <c r="AG91" s="41">
        <v>19</v>
      </c>
      <c r="AH91" s="41">
        <v>5</v>
      </c>
      <c r="AI91" s="42">
        <v>1</v>
      </c>
      <c r="AJ91" s="24"/>
      <c r="AK91" s="24"/>
      <c r="AL91" s="24"/>
    </row>
    <row r="92">
      <c r="A92" s="25"/>
      <c r="B92" s="72" t="s">
        <v>57</v>
      </c>
      <c r="C92" s="78" t="s">
        <v>60</v>
      </c>
      <c r="D92" s="85">
        <v>2583.701</v>
      </c>
      <c r="E92" s="45">
        <v>5</v>
      </c>
      <c r="F92" s="30">
        <f t="shared" si="288"/>
      </c>
      <c r="G92" s="45">
        <v>1076.7</v>
      </c>
      <c r="H92" s="32">
        <f t="shared" si="250"/>
      </c>
      <c r="I92" s="33">
        <f t="shared" si="41"/>
      </c>
      <c r="J92" s="34">
        <f t="shared" si="3"/>
      </c>
      <c r="K92" s="35">
        <f t="shared" si="117"/>
      </c>
      <c r="L92" s="79">
        <f t="shared" si="79"/>
      </c>
      <c r="M92" s="54">
        <f t="shared" si="212"/>
      </c>
      <c r="N92" s="55">
        <f t="shared" si="155"/>
      </c>
      <c r="O92" s="55">
        <f t="shared" si="174"/>
      </c>
      <c r="P92" s="55">
        <f t="shared" si="307"/>
      </c>
      <c r="Q92" s="55">
        <f t="shared" si="269"/>
      </c>
      <c r="R92" s="54">
        <f t="shared" si="60"/>
      </c>
      <c r="S92" s="56">
        <f t="shared" si="22"/>
      </c>
      <c r="T92" s="55">
        <f t="shared" si="136"/>
      </c>
      <c r="U92" s="55">
        <f t="shared" si="98"/>
      </c>
      <c r="V92" s="55">
        <f t="shared" si="231"/>
      </c>
      <c r="W92" s="55">
        <f t="shared" si="193"/>
      </c>
      <c r="X92" s="38" t="s">
        <v>52</v>
      </c>
      <c r="Y92" s="86" t="s">
        <v>54</v>
      </c>
      <c r="Z92" s="41">
        <v>76850</v>
      </c>
      <c r="AA92" s="41">
        <v>9168</v>
      </c>
      <c r="AB92" s="41">
        <v>172194</v>
      </c>
      <c r="AC92" s="41">
        <v>423</v>
      </c>
      <c r="AD92" s="41">
        <v>4</v>
      </c>
      <c r="AE92" s="41">
        <v>8636</v>
      </c>
      <c r="AF92" s="41">
        <v>97</v>
      </c>
      <c r="AG92" s="41">
        <v>15</v>
      </c>
      <c r="AH92" s="41">
        <v>6</v>
      </c>
      <c r="AI92" s="42">
        <v>1</v>
      </c>
      <c r="AJ92" s="24"/>
      <c r="AK92" s="24"/>
      <c r="AL92" s="24"/>
    </row>
    <row r="93">
      <c r="A93" s="25"/>
      <c r="B93" s="72" t="s">
        <v>57</v>
      </c>
      <c r="C93" s="78" t="s">
        <v>61</v>
      </c>
      <c r="D93" s="85">
        <v>1309.694</v>
      </c>
      <c r="E93" s="45">
        <v>0</v>
      </c>
      <c r="F93" s="30">
        <f t="shared" si="288"/>
      </c>
      <c r="G93" s="45">
        <v>0</v>
      </c>
      <c r="H93" s="32">
        <f t="shared" si="250"/>
      </c>
      <c r="I93" s="33">
        <f t="shared" si="41"/>
      </c>
      <c r="J93" s="34">
        <f t="shared" si="3"/>
      </c>
      <c r="K93" s="35">
        <f t="shared" si="117"/>
      </c>
      <c r="L93" s="79">
        <f t="shared" si="79"/>
      </c>
      <c r="M93" s="54">
        <f t="shared" si="212"/>
      </c>
      <c r="N93" s="55">
        <f t="shared" si="155"/>
      </c>
      <c r="O93" s="55">
        <f t="shared" si="174"/>
      </c>
      <c r="P93" s="55">
        <f t="shared" si="307"/>
      </c>
      <c r="Q93" s="55">
        <f t="shared" si="269"/>
      </c>
      <c r="R93" s="54">
        <f t="shared" si="60"/>
      </c>
      <c r="S93" s="56">
        <f t="shared" si="22"/>
      </c>
      <c r="T93" s="55">
        <f t="shared" si="136"/>
      </c>
      <c r="U93" s="55">
        <f t="shared" si="98"/>
      </c>
      <c r="V93" s="55">
        <f t="shared" si="231"/>
      </c>
      <c r="W93" s="55">
        <f t="shared" si="193"/>
      </c>
      <c r="X93" s="38" t="s">
        <v>52</v>
      </c>
      <c r="Y93" s="86" t="s">
        <v>54</v>
      </c>
      <c r="Z93" s="41">
        <v>42378</v>
      </c>
      <c r="AA93" s="41">
        <v>5151</v>
      </c>
      <c r="AB93" s="41">
        <v>78723</v>
      </c>
      <c r="AC93" s="41">
        <v>250</v>
      </c>
      <c r="AD93" s="41">
        <v>0</v>
      </c>
      <c r="AE93" s="41">
        <v>4267</v>
      </c>
      <c r="AF93" s="41">
        <v>64</v>
      </c>
      <c r="AG93" s="41">
        <v>17</v>
      </c>
      <c r="AH93" s="41">
        <v>5</v>
      </c>
      <c r="AI93" s="42">
        <v>0</v>
      </c>
      <c r="AJ93" s="24"/>
      <c r="AK93" s="24"/>
      <c r="AL93" s="24"/>
    </row>
    <row r="94">
      <c r="A94" s="25"/>
      <c r="B94" s="72" t="s">
        <v>57</v>
      </c>
      <c r="C94" s="78" t="s">
        <v>62</v>
      </c>
      <c r="D94" s="85">
        <v>897.258</v>
      </c>
      <c r="E94" s="45">
        <v>4</v>
      </c>
      <c r="F94" s="47">
        <f t="shared" si="288"/>
      </c>
      <c r="G94" s="45">
        <v>1512</v>
      </c>
      <c r="H94" s="49">
        <f t="shared" si="250"/>
      </c>
      <c r="I94" s="50">
        <f t="shared" si="41"/>
      </c>
      <c r="J94" s="51">
        <f t="shared" si="3"/>
      </c>
      <c r="K94" s="52">
        <f t="shared" si="117"/>
      </c>
      <c r="L94" s="53">
        <f t="shared" si="79"/>
      </c>
      <c r="M94" s="54">
        <f t="shared" si="212"/>
      </c>
      <c r="N94" s="55">
        <f t="shared" si="155"/>
      </c>
      <c r="O94" s="55">
        <f t="shared" si="174"/>
      </c>
      <c r="P94" s="55">
        <f t="shared" si="307"/>
      </c>
      <c r="Q94" s="55">
        <f t="shared" si="269"/>
      </c>
      <c r="R94" s="54">
        <f t="shared" si="60"/>
      </c>
      <c r="S94" s="56">
        <f t="shared" si="22"/>
      </c>
      <c r="T94" s="55">
        <f t="shared" si="136"/>
      </c>
      <c r="U94" s="55">
        <f t="shared" si="98"/>
      </c>
      <c r="V94" s="55">
        <f t="shared" si="231"/>
      </c>
      <c r="W94" s="55">
        <f t="shared" si="193"/>
      </c>
      <c r="X94" s="38" t="s">
        <v>52</v>
      </c>
      <c r="Y94" s="86" t="s">
        <v>54</v>
      </c>
      <c r="Z94" s="40">
        <v>45738</v>
      </c>
      <c r="AA94" s="40">
        <v>3287</v>
      </c>
      <c r="AB94" s="40">
        <v>51539</v>
      </c>
      <c r="AC94" s="40">
        <v>273</v>
      </c>
      <c r="AD94" s="40">
        <v>3</v>
      </c>
      <c r="AE94" s="40">
        <v>2741</v>
      </c>
      <c r="AF94" s="41">
        <v>56</v>
      </c>
      <c r="AG94" s="41">
        <v>7</v>
      </c>
      <c r="AH94" s="41">
        <v>2</v>
      </c>
      <c r="AI94" s="42">
        <v>0</v>
      </c>
      <c r="AJ94" s="24"/>
      <c r="AK94" s="24"/>
      <c r="AL94" s="24"/>
    </row>
    <row r="95">
      <c r="A95" s="25"/>
      <c r="B95" s="58" t="s">
        <v>44</v>
      </c>
      <c r="C95" s="58"/>
      <c r="D95" s="59">
        <f>SUM(D90:D94)</f>
      </c>
      <c r="E95" s="60">
        <f>SUM(E90:E94)</f>
      </c>
      <c r="F95" s="61">
        <f t="shared" si="288"/>
      </c>
      <c r="G95" s="62">
        <f>SUM(G90:G94)</f>
      </c>
      <c r="H95" s="63">
        <f t="shared" si="250"/>
      </c>
      <c r="I95" s="64">
        <f t="shared" si="41"/>
      </c>
      <c r="J95" s="65">
        <f t="shared" si="3"/>
      </c>
      <c r="K95" s="61">
        <f t="shared" si="117"/>
      </c>
      <c r="L95" s="66">
        <f t="shared" si="79"/>
      </c>
      <c r="M95" s="65">
        <f t="shared" si="212"/>
      </c>
      <c r="N95" s="67">
        <f t="shared" si="155"/>
      </c>
      <c r="O95" s="67">
        <f t="shared" si="174"/>
      </c>
      <c r="P95" s="68">
        <f t="shared" si="307"/>
      </c>
      <c r="Q95" s="68">
        <f t="shared" si="269"/>
      </c>
      <c r="R95" s="69">
        <f t="shared" si="60"/>
      </c>
      <c r="S95" s="70">
        <f t="shared" si="22"/>
      </c>
      <c r="T95" s="68">
        <f t="shared" si="136"/>
      </c>
      <c r="U95" s="68">
        <f t="shared" si="98"/>
      </c>
      <c r="V95" s="68">
        <f t="shared" si="231"/>
      </c>
      <c r="W95" s="68">
        <f t="shared" si="193"/>
      </c>
      <c r="X95" s="68"/>
      <c r="Y95" s="71"/>
      <c r="Z95" s="59">
        <f>SUM(Z90:Z94)</f>
      </c>
      <c r="AA95" s="59">
        <f>SUM(AA90:AA94)</f>
      </c>
      <c r="AB95" s="59">
        <f>SUM(AB90:AB94)</f>
      </c>
      <c r="AC95" s="59">
        <f>SUM(AC90:AC94)</f>
      </c>
      <c r="AD95" s="59">
        <f>SUM(AD90:AD94)</f>
      </c>
      <c r="AE95" s="59">
        <f>SUM(AE90:AE94)</f>
      </c>
      <c r="AF95" s="59">
        <f>SUM(AF90:AF94)</f>
      </c>
      <c r="AG95" s="59">
        <f>SUM(AG90:AG94)</f>
      </c>
      <c r="AH95" s="59">
        <f>SUM(AH90:AH94)</f>
      </c>
      <c r="AI95" s="59">
        <f>SUM(AI90:AI94)</f>
      </c>
      <c r="AJ95" s="24"/>
      <c r="AK95" s="24"/>
      <c r="AL95" s="24"/>
    </row>
    <row r="96">
      <c r="A96" s="25"/>
      <c r="B96" s="89" t="s">
        <v>63</v>
      </c>
      <c r="C96" s="89"/>
      <c r="D96" s="90">
        <f>SUM(D95+D79+D84+D89)</f>
      </c>
      <c r="E96" s="91">
        <f>SUM(E95+E79+E84+E89)</f>
      </c>
      <c r="F96" s="92">
        <f t="shared" si="288"/>
      </c>
      <c r="G96" s="93">
        <f>SUM(G95+G79+G84+G89)</f>
      </c>
      <c r="H96" s="94">
        <f t="shared" si="250"/>
      </c>
      <c r="I96" s="95">
        <f t="shared" si="41"/>
      </c>
      <c r="J96" s="96">
        <f t="shared" si="3"/>
      </c>
      <c r="K96" s="92">
        <f t="shared" si="117"/>
      </c>
      <c r="L96" s="97">
        <f t="shared" si="79"/>
      </c>
      <c r="M96" s="97">
        <f t="shared" si="212"/>
      </c>
      <c r="N96" s="98">
        <f t="shared" si="155"/>
      </c>
      <c r="O96" s="98">
        <f t="shared" si="174"/>
      </c>
      <c r="P96" s="98">
        <f t="shared" si="307"/>
      </c>
      <c r="Q96" s="98">
        <f t="shared" si="269"/>
      </c>
      <c r="R96" s="99">
        <f t="shared" si="60"/>
      </c>
      <c r="S96" s="100">
        <f t="shared" si="22"/>
      </c>
      <c r="T96" s="101">
        <f t="shared" si="136"/>
      </c>
      <c r="U96" s="101">
        <f t="shared" si="98"/>
      </c>
      <c r="V96" s="101">
        <f t="shared" si="231"/>
      </c>
      <c r="W96" s="101">
        <f t="shared" si="193"/>
      </c>
      <c r="X96" s="101"/>
      <c r="Y96" s="102"/>
      <c r="Z96" s="103">
        <f>SUM(Z79+Z95+Z84+Z89)</f>
      </c>
      <c r="AA96" s="103">
        <f>SUM(AA79+AA95+AA84+AA89)</f>
      </c>
      <c r="AB96" s="103">
        <f>SUM(AB79+AB95+AB84+AB89)</f>
      </c>
      <c r="AC96" s="103">
        <f>SUM(AC79+AC95+AC84+AC89)</f>
      </c>
      <c r="AD96" s="103">
        <f>SUM(AD79+AD95+AD84+AD89)</f>
      </c>
      <c r="AE96" s="103">
        <f>SUM(AE79+AE95+AE84+AE89)</f>
      </c>
      <c r="AF96" s="103">
        <f>SUM(AF79+AF95+AF84+AF89)</f>
      </c>
      <c r="AG96" s="103">
        <f>SUM(AG79+AG95+AG84+AG89)</f>
      </c>
      <c r="AH96" s="103">
        <f>SUM(AH79+AH95+AH84+AH89)</f>
      </c>
      <c r="AI96" s="103">
        <f>SUM(AI79+AI95+AI84+AI89)</f>
      </c>
      <c r="AJ96" s="24"/>
      <c r="AK96" s="24"/>
      <c r="AL96" s="24"/>
    </row>
    <row r="97">
      <c r="A97" s="1" t="s">
        <v>1</v>
      </c>
      <c r="B97" s="2" t="s">
        <v>2</v>
      </c>
      <c r="C97" s="3" t="s">
        <v>3</v>
      </c>
      <c r="D97" s="4" t="s">
        <v>4</v>
      </c>
      <c r="E97" s="5" t="s">
        <v>5</v>
      </c>
      <c r="F97" s="6" t="s">
        <v>6</v>
      </c>
      <c r="G97" s="7" t="s">
        <v>7</v>
      </c>
      <c r="H97" s="8" t="s">
        <v>8</v>
      </c>
      <c r="I97" s="9" t="s">
        <v>9</v>
      </c>
      <c r="J97" s="10" t="s">
        <v>10</v>
      </c>
      <c r="K97" s="11" t="s">
        <v>11</v>
      </c>
      <c r="L97" s="12" t="s">
        <v>12</v>
      </c>
      <c r="M97" s="12" t="s">
        <v>13</v>
      </c>
      <c r="N97" s="13" t="s">
        <v>14</v>
      </c>
      <c r="O97" s="13" t="s">
        <v>15</v>
      </c>
      <c r="P97" s="13" t="s">
        <v>16</v>
      </c>
      <c r="Q97" s="13" t="s">
        <v>17</v>
      </c>
      <c r="R97" s="14" t="s">
        <v>18</v>
      </c>
      <c r="S97" s="15" t="s">
        <v>19</v>
      </c>
      <c r="T97" s="16" t="s">
        <v>20</v>
      </c>
      <c r="U97" s="16" t="s">
        <v>21</v>
      </c>
      <c r="V97" s="16" t="s">
        <v>22</v>
      </c>
      <c r="W97" s="16" t="s">
        <v>23</v>
      </c>
      <c r="X97" s="17" t="s">
        <v>24</v>
      </c>
      <c r="Y97" s="18" t="s">
        <v>25</v>
      </c>
      <c r="Z97" s="19" t="s">
        <v>26</v>
      </c>
      <c r="AA97" s="19" t="s">
        <v>27</v>
      </c>
      <c r="AB97" s="19" t="s">
        <v>28</v>
      </c>
      <c r="AC97" s="20" t="s">
        <v>29</v>
      </c>
      <c r="AD97" s="20" t="s">
        <v>30</v>
      </c>
      <c r="AE97" s="21" t="s">
        <v>31</v>
      </c>
      <c r="AF97" s="20" t="s">
        <v>32</v>
      </c>
      <c r="AG97" s="20" t="s">
        <v>33</v>
      </c>
      <c r="AH97" s="22" t="s">
        <v>34</v>
      </c>
      <c r="AI97" s="23" t="s">
        <v>35</v>
      </c>
      <c r="AJ97" s="24"/>
      <c r="AK97" s="24"/>
      <c r="AL97" s="24"/>
    </row>
    <row r="98">
      <c r="A98" s="25">
        <v>46300</v>
      </c>
      <c r="B98" s="72" t="s">
        <v>36</v>
      </c>
      <c r="C98" s="27" t="s">
        <v>37</v>
      </c>
      <c r="D98" s="28">
        <v>433.703</v>
      </c>
      <c r="E98" s="29">
        <v>2</v>
      </c>
      <c r="F98" s="30">
        <f t="shared" ref="F98:F120" si="289">D98/E98</f>
      </c>
      <c r="G98" s="31">
        <v>456</v>
      </c>
      <c r="H98" s="32">
        <f t="shared" ref="H98:H120" si="251">AD98</f>
      </c>
      <c r="I98" s="33">
        <f t="shared" ref="I98:I120" si="42">D98/AD98</f>
      </c>
      <c r="J98" s="34">
        <f t="shared" ref="J98:J120" si="4">G98/E98</f>
      </c>
      <c r="K98" s="35">
        <f t="shared" ref="K98:K120" si="118">G98/D98</f>
      </c>
      <c r="L98" s="36">
        <f t="shared" ref="L98:L120" si="80">D98/AB98</f>
      </c>
      <c r="M98" s="34">
        <f t="shared" ref="M98:M120" si="213">D98/AC98</f>
      </c>
      <c r="N98" s="37">
        <f t="shared" ref="N98:N120" si="156">AC98/AB98</f>
      </c>
      <c r="O98" s="37">
        <f t="shared" ref="O98:O120" si="175">AD98/AC98</f>
      </c>
      <c r="P98" s="37">
        <f t="shared" ref="P98:P120" si="308">AA98/Z98</f>
      </c>
      <c r="Q98" s="37">
        <f t="shared" ref="Q98:Q120" si="270">AD98/AA98</f>
      </c>
      <c r="R98" s="34">
        <f t="shared" ref="R98:R120" si="61">D98/Z98*1000</f>
      </c>
      <c r="S98" s="35">
        <f t="shared" ref="S98:S120" si="23">D98/AA98</f>
      </c>
      <c r="T98" s="37">
        <f t="shared" ref="T98:T120" si="137">AE98/AB98</f>
      </c>
      <c r="U98" s="37">
        <f t="shared" ref="U98:U120" si="99">AF98/AB98</f>
      </c>
      <c r="V98" s="37">
        <f t="shared" ref="V98:V120" si="232">AG98/AB98</f>
      </c>
      <c r="W98" s="37">
        <f t="shared" ref="W98:W120" si="194">AH98/AB98</f>
      </c>
      <c r="X98" s="38" t="s">
        <v>38</v>
      </c>
      <c r="Y98" s="39" t="s">
        <v>65</v>
      </c>
      <c r="Z98" s="40">
        <v>19294</v>
      </c>
      <c r="AA98" s="40">
        <v>2197</v>
      </c>
      <c r="AB98" s="40">
        <v>14999</v>
      </c>
      <c r="AC98" s="40">
        <v>83</v>
      </c>
      <c r="AD98" s="41">
        <v>2</v>
      </c>
      <c r="AE98" s="40">
        <v>1436</v>
      </c>
      <c r="AF98" s="41">
        <v>40</v>
      </c>
      <c r="AG98" s="41">
        <v>5</v>
      </c>
      <c r="AH98" s="41">
        <v>1</v>
      </c>
      <c r="AI98" s="42">
        <v>0</v>
      </c>
      <c r="AJ98" s="24"/>
      <c r="AK98" s="24"/>
      <c r="AL98" s="24"/>
    </row>
    <row r="99">
      <c r="A99" s="25"/>
      <c r="B99" s="72" t="s">
        <v>36</v>
      </c>
      <c r="C99" s="27" t="s">
        <v>40</v>
      </c>
      <c r="D99" s="28">
        <v>1553.8890000000001</v>
      </c>
      <c r="E99" s="29">
        <v>2</v>
      </c>
      <c r="F99" s="30">
        <f t="shared" si="289"/>
      </c>
      <c r="G99" s="31">
        <v>1617.6000000000004</v>
      </c>
      <c r="H99" s="32">
        <f t="shared" si="251"/>
      </c>
      <c r="I99" s="33">
        <f t="shared" si="42"/>
      </c>
      <c r="J99" s="34">
        <f t="shared" si="4"/>
      </c>
      <c r="K99" s="35">
        <f t="shared" si="118"/>
      </c>
      <c r="L99" s="36">
        <f t="shared" si="80"/>
      </c>
      <c r="M99" s="34">
        <f t="shared" si="213"/>
      </c>
      <c r="N99" s="37">
        <f t="shared" si="156"/>
      </c>
      <c r="O99" s="37">
        <f t="shared" si="175"/>
      </c>
      <c r="P99" s="37">
        <f t="shared" si="308"/>
      </c>
      <c r="Q99" s="37">
        <f t="shared" si="270"/>
      </c>
      <c r="R99" s="34">
        <f t="shared" si="61"/>
      </c>
      <c r="S99" s="35">
        <f t="shared" si="23"/>
      </c>
      <c r="T99" s="37">
        <f t="shared" si="137"/>
      </c>
      <c r="U99" s="37">
        <f t="shared" si="99"/>
      </c>
      <c r="V99" s="37">
        <f t="shared" si="232"/>
      </c>
      <c r="W99" s="37">
        <f t="shared" si="194"/>
      </c>
      <c r="X99" s="38" t="s">
        <v>38</v>
      </c>
      <c r="Y99" s="39" t="s">
        <v>65</v>
      </c>
      <c r="Z99" s="41">
        <v>80574</v>
      </c>
      <c r="AA99" s="40">
        <v>7429</v>
      </c>
      <c r="AB99" s="40">
        <v>54044</v>
      </c>
      <c r="AC99" s="40">
        <v>311</v>
      </c>
      <c r="AD99" s="41">
        <v>1</v>
      </c>
      <c r="AE99" s="40">
        <v>5518</v>
      </c>
      <c r="AF99" s="41">
        <v>154</v>
      </c>
      <c r="AG99" s="41">
        <v>17</v>
      </c>
      <c r="AH99" s="41">
        <v>2</v>
      </c>
      <c r="AI99" s="42">
        <v>0</v>
      </c>
      <c r="AJ99" s="24"/>
      <c r="AK99" s="24"/>
      <c r="AL99" s="24"/>
    </row>
    <row r="100">
      <c r="A100" s="25"/>
      <c r="B100" s="72" t="s">
        <v>36</v>
      </c>
      <c r="C100" s="43" t="s">
        <v>41</v>
      </c>
      <c r="D100" s="44">
        <v>1435.2289999999998</v>
      </c>
      <c r="E100" s="45">
        <v>4</v>
      </c>
      <c r="F100" s="30">
        <f t="shared" si="289"/>
      </c>
      <c r="G100" s="23">
        <v>1512</v>
      </c>
      <c r="H100" s="32">
        <f t="shared" si="251"/>
      </c>
      <c r="I100" s="33">
        <f t="shared" si="42"/>
      </c>
      <c r="J100" s="34">
        <f t="shared" si="4"/>
      </c>
      <c r="K100" s="35">
        <f t="shared" si="118"/>
      </c>
      <c r="L100" s="36">
        <f t="shared" si="80"/>
      </c>
      <c r="M100" s="34">
        <f t="shared" si="213"/>
      </c>
      <c r="N100" s="37">
        <f t="shared" si="156"/>
      </c>
      <c r="O100" s="37">
        <f t="shared" si="175"/>
      </c>
      <c r="P100" s="37">
        <f t="shared" si="308"/>
      </c>
      <c r="Q100" s="37">
        <f t="shared" si="270"/>
      </c>
      <c r="R100" s="34">
        <f t="shared" si="61"/>
      </c>
      <c r="S100" s="35">
        <f t="shared" si="23"/>
      </c>
      <c r="T100" s="37">
        <f t="shared" si="137"/>
      </c>
      <c r="U100" s="37">
        <f t="shared" si="99"/>
      </c>
      <c r="V100" s="37">
        <f t="shared" si="232"/>
      </c>
      <c r="W100" s="37">
        <f t="shared" si="194"/>
      </c>
      <c r="X100" s="38" t="s">
        <v>38</v>
      </c>
      <c r="Y100" s="39" t="s">
        <v>65</v>
      </c>
      <c r="Z100" s="41">
        <v>53691</v>
      </c>
      <c r="AA100" s="41">
        <v>8643</v>
      </c>
      <c r="AB100" s="41">
        <v>59553</v>
      </c>
      <c r="AC100" s="41">
        <v>377</v>
      </c>
      <c r="AD100" s="41">
        <v>4</v>
      </c>
      <c r="AE100" s="41">
        <v>6652</v>
      </c>
      <c r="AF100" s="41">
        <v>110</v>
      </c>
      <c r="AG100" s="41">
        <v>22</v>
      </c>
      <c r="AH100" s="41">
        <v>5</v>
      </c>
      <c r="AI100" s="42">
        <v>0</v>
      </c>
      <c r="AJ100" s="24"/>
      <c r="AK100" s="24"/>
      <c r="AL100" s="24"/>
    </row>
    <row r="101">
      <c r="A101" s="25"/>
      <c r="B101" s="72" t="s">
        <v>36</v>
      </c>
      <c r="C101" s="46" t="s">
        <v>42</v>
      </c>
      <c r="D101" s="44">
        <v>1527.361</v>
      </c>
      <c r="E101" s="45">
        <v>9</v>
      </c>
      <c r="F101" s="47">
        <f t="shared" si="289"/>
      </c>
      <c r="G101" s="48">
        <v>2019.6000000000004</v>
      </c>
      <c r="H101" s="49">
        <f t="shared" si="251"/>
      </c>
      <c r="I101" s="50">
        <f t="shared" si="42"/>
      </c>
      <c r="J101" s="51">
        <f t="shared" si="4"/>
      </c>
      <c r="K101" s="52">
        <f t="shared" si="118"/>
      </c>
      <c r="L101" s="53">
        <f t="shared" si="80"/>
      </c>
      <c r="M101" s="54">
        <f t="shared" si="213"/>
      </c>
      <c r="N101" s="55">
        <f t="shared" si="156"/>
      </c>
      <c r="O101" s="55">
        <f t="shared" si="175"/>
      </c>
      <c r="P101" s="55">
        <f t="shared" si="308"/>
      </c>
      <c r="Q101" s="55">
        <f t="shared" si="270"/>
      </c>
      <c r="R101" s="54">
        <f t="shared" si="61"/>
      </c>
      <c r="S101" s="56">
        <f t="shared" si="23"/>
      </c>
      <c r="T101" s="55">
        <f t="shared" si="137"/>
      </c>
      <c r="U101" s="55">
        <f t="shared" si="99"/>
      </c>
      <c r="V101" s="55">
        <f t="shared" si="232"/>
      </c>
      <c r="W101" s="55">
        <f t="shared" si="194"/>
      </c>
      <c r="X101" s="38" t="s">
        <v>38</v>
      </c>
      <c r="Y101" s="39" t="s">
        <v>65</v>
      </c>
      <c r="Z101" s="40">
        <v>46034</v>
      </c>
      <c r="AA101" s="40">
        <v>7566</v>
      </c>
      <c r="AB101" s="40">
        <v>66468</v>
      </c>
      <c r="AC101" s="40">
        <v>334</v>
      </c>
      <c r="AD101" s="40">
        <v>7</v>
      </c>
      <c r="AE101" s="40">
        <v>6419</v>
      </c>
      <c r="AF101" s="41">
        <v>155</v>
      </c>
      <c r="AG101" s="41">
        <v>20</v>
      </c>
      <c r="AH101" s="41">
        <v>9</v>
      </c>
      <c r="AI101" s="42">
        <v>3</v>
      </c>
      <c r="AJ101" s="24"/>
      <c r="AK101" s="24"/>
      <c r="AL101" s="24"/>
    </row>
    <row r="102">
      <c r="A102" s="25"/>
      <c r="B102" s="72" t="s">
        <v>36</v>
      </c>
      <c r="C102" s="46" t="s">
        <v>43</v>
      </c>
      <c r="D102" s="57">
        <v>1721.675</v>
      </c>
      <c r="E102" s="45">
        <v>4</v>
      </c>
      <c r="F102" s="47">
        <f t="shared" si="289"/>
      </c>
      <c r="G102" s="48">
        <v>1420.000000000001</v>
      </c>
      <c r="H102" s="49">
        <f t="shared" si="251"/>
      </c>
      <c r="I102" s="50">
        <f t="shared" si="42"/>
      </c>
      <c r="J102" s="51">
        <f t="shared" si="4"/>
      </c>
      <c r="K102" s="52">
        <f t="shared" si="118"/>
      </c>
      <c r="L102" s="53">
        <f t="shared" si="80"/>
      </c>
      <c r="M102" s="54">
        <f t="shared" si="213"/>
      </c>
      <c r="N102" s="55">
        <f t="shared" si="156"/>
      </c>
      <c r="O102" s="55">
        <f t="shared" si="175"/>
      </c>
      <c r="P102" s="55">
        <f t="shared" si="308"/>
      </c>
      <c r="Q102" s="55">
        <f t="shared" si="270"/>
      </c>
      <c r="R102" s="54">
        <f t="shared" si="61"/>
      </c>
      <c r="S102" s="56">
        <f t="shared" si="23"/>
      </c>
      <c r="T102" s="55">
        <f t="shared" si="137"/>
      </c>
      <c r="U102" s="55">
        <f t="shared" si="99"/>
      </c>
      <c r="V102" s="55">
        <f t="shared" si="232"/>
      </c>
      <c r="W102" s="55">
        <f t="shared" si="194"/>
      </c>
      <c r="X102" s="38" t="s">
        <v>38</v>
      </c>
      <c r="Y102" s="39" t="s">
        <v>65</v>
      </c>
      <c r="Z102" s="40">
        <v>45939</v>
      </c>
      <c r="AA102" s="40">
        <v>7665</v>
      </c>
      <c r="AB102" s="40">
        <v>76388</v>
      </c>
      <c r="AC102" s="40">
        <v>393</v>
      </c>
      <c r="AD102" s="40">
        <v>4</v>
      </c>
      <c r="AE102" s="40">
        <v>7010</v>
      </c>
      <c r="AF102" s="41">
        <v>112</v>
      </c>
      <c r="AG102" s="41">
        <v>16</v>
      </c>
      <c r="AH102" s="41">
        <v>2</v>
      </c>
      <c r="AI102" s="42">
        <v>0</v>
      </c>
      <c r="AJ102" s="24"/>
      <c r="AK102" s="24"/>
      <c r="AL102" s="24"/>
    </row>
    <row r="103">
      <c r="A103" s="25"/>
      <c r="B103" s="58" t="s">
        <v>44</v>
      </c>
      <c r="C103" s="58"/>
      <c r="D103" s="59">
        <f>SUM(D98:D102)</f>
      </c>
      <c r="E103" s="60">
        <f>SUM(E98:E102)</f>
      </c>
      <c r="F103" s="61">
        <f t="shared" si="289"/>
      </c>
      <c r="G103" s="62">
        <f>SUM(G98:G102)</f>
      </c>
      <c r="H103" s="63">
        <f t="shared" si="251"/>
      </c>
      <c r="I103" s="64">
        <f t="shared" si="42"/>
      </c>
      <c r="J103" s="65">
        <f t="shared" si="4"/>
      </c>
      <c r="K103" s="61">
        <f t="shared" si="118"/>
      </c>
      <c r="L103" s="66">
        <f t="shared" si="80"/>
      </c>
      <c r="M103" s="65">
        <f t="shared" si="213"/>
      </c>
      <c r="N103" s="67">
        <f t="shared" si="156"/>
      </c>
      <c r="O103" s="67">
        <f t="shared" si="175"/>
      </c>
      <c r="P103" s="68">
        <f t="shared" si="308"/>
      </c>
      <c r="Q103" s="68">
        <f t="shared" si="270"/>
      </c>
      <c r="R103" s="69">
        <f t="shared" si="61"/>
      </c>
      <c r="S103" s="70">
        <f t="shared" si="23"/>
      </c>
      <c r="T103" s="68">
        <f t="shared" si="137"/>
      </c>
      <c r="U103" s="68">
        <f t="shared" si="99"/>
      </c>
      <c r="V103" s="68">
        <f t="shared" si="232"/>
      </c>
      <c r="W103" s="68">
        <f t="shared" si="194"/>
      </c>
      <c r="X103" s="68"/>
      <c r="Y103" s="71"/>
      <c r="Z103" s="59">
        <f>SUM(Z98:Z102)</f>
      </c>
      <c r="AA103" s="59">
        <f>SUM(AA98:AA102)</f>
      </c>
      <c r="AB103" s="59">
        <f>SUM(AB98:AB102)</f>
      </c>
      <c r="AC103" s="59">
        <f>SUM(AC98:AC102)</f>
      </c>
      <c r="AD103" s="59">
        <f>SUM(AD98:AD102)</f>
      </c>
      <c r="AE103" s="59">
        <f>SUM(AE98:AE102)</f>
      </c>
      <c r="AF103" s="59">
        <f>SUM(AF98:AF102)</f>
      </c>
      <c r="AG103" s="59">
        <f>SUM(AG98:AG102)</f>
      </c>
      <c r="AH103" s="59">
        <f>SUM(AH98:AH102)</f>
      </c>
      <c r="AI103" s="59">
        <f>SUM(AI98:AI102)</f>
      </c>
      <c r="AJ103" s="24"/>
      <c r="AK103" s="24"/>
      <c r="AL103" s="24"/>
    </row>
    <row r="104">
      <c r="A104" s="25"/>
      <c r="B104" s="72" t="s">
        <v>45</v>
      </c>
      <c r="C104" s="73" t="s">
        <v>46</v>
      </c>
      <c r="D104" s="74">
        <v>2073.802</v>
      </c>
      <c r="E104" s="75">
        <v>5</v>
      </c>
      <c r="F104" s="47">
        <f t="shared" si="289"/>
      </c>
      <c r="G104" s="45">
        <v>2901.6000000000013</v>
      </c>
      <c r="H104" s="49">
        <f t="shared" si="251"/>
      </c>
      <c r="I104" s="50">
        <f t="shared" si="42"/>
      </c>
      <c r="J104" s="51">
        <f t="shared" si="4"/>
      </c>
      <c r="K104" s="52">
        <f t="shared" si="118"/>
      </c>
      <c r="L104" s="76">
        <f t="shared" si="80"/>
      </c>
      <c r="M104" s="34">
        <f t="shared" si="213"/>
      </c>
      <c r="N104" s="37">
        <f t="shared" si="156"/>
      </c>
      <c r="O104" s="37">
        <f t="shared" si="175"/>
      </c>
      <c r="P104" s="37">
        <f t="shared" si="308"/>
      </c>
      <c r="Q104" s="37">
        <f t="shared" si="270"/>
      </c>
      <c r="R104" s="34">
        <f t="shared" si="61"/>
      </c>
      <c r="S104" s="35">
        <f t="shared" si="23"/>
      </c>
      <c r="T104" s="37">
        <f t="shared" si="137"/>
      </c>
      <c r="U104" s="37">
        <f t="shared" si="99"/>
      </c>
      <c r="V104" s="37">
        <f t="shared" si="232"/>
      </c>
      <c r="W104" s="37">
        <f t="shared" si="194"/>
      </c>
      <c r="X104" s="38" t="s">
        <v>38</v>
      </c>
      <c r="Y104" s="39" t="s">
        <v>65</v>
      </c>
      <c r="Z104" s="41">
        <v>55489</v>
      </c>
      <c r="AA104" s="41">
        <v>9058</v>
      </c>
      <c r="AB104" s="41">
        <v>100667</v>
      </c>
      <c r="AC104" s="41">
        <v>482</v>
      </c>
      <c r="AD104" s="41">
        <v>4</v>
      </c>
      <c r="AE104" s="41">
        <v>8955</v>
      </c>
      <c r="AF104" s="41">
        <v>193</v>
      </c>
      <c r="AG104" s="41">
        <v>19</v>
      </c>
      <c r="AH104" s="41">
        <v>5</v>
      </c>
      <c r="AI104" s="42">
        <v>1</v>
      </c>
      <c r="AJ104" s="24"/>
      <c r="AK104" s="24"/>
      <c r="AL104" s="24"/>
    </row>
    <row r="105">
      <c r="A105" s="25"/>
      <c r="B105" s="72" t="s">
        <v>45</v>
      </c>
      <c r="C105" s="77" t="s">
        <v>47</v>
      </c>
      <c r="D105" s="44">
        <v>1989.4160000000002</v>
      </c>
      <c r="E105" s="45">
        <v>3</v>
      </c>
      <c r="F105" s="47">
        <f t="shared" si="289"/>
      </c>
      <c r="G105" s="48">
        <v>1884</v>
      </c>
      <c r="H105" s="49">
        <f t="shared" si="251"/>
      </c>
      <c r="I105" s="50">
        <f t="shared" si="42"/>
      </c>
      <c r="J105" s="51">
        <f t="shared" si="4"/>
      </c>
      <c r="K105" s="52">
        <f t="shared" si="118"/>
      </c>
      <c r="L105" s="76">
        <f t="shared" si="80"/>
      </c>
      <c r="M105" s="34">
        <f t="shared" si="213"/>
      </c>
      <c r="N105" s="37">
        <f t="shared" si="156"/>
      </c>
      <c r="O105" s="37">
        <f t="shared" si="175"/>
      </c>
      <c r="P105" s="37">
        <f t="shared" si="308"/>
      </c>
      <c r="Q105" s="37">
        <f t="shared" si="270"/>
      </c>
      <c r="R105" s="34">
        <f t="shared" si="61"/>
      </c>
      <c r="S105" s="35">
        <f t="shared" si="23"/>
      </c>
      <c r="T105" s="37">
        <f t="shared" si="137"/>
      </c>
      <c r="U105" s="37">
        <f t="shared" si="99"/>
      </c>
      <c r="V105" s="37">
        <f t="shared" si="232"/>
      </c>
      <c r="W105" s="37">
        <f t="shared" si="194"/>
      </c>
      <c r="X105" s="38" t="s">
        <v>38</v>
      </c>
      <c r="Y105" s="39" t="s">
        <v>65</v>
      </c>
      <c r="Z105" s="41">
        <v>61868</v>
      </c>
      <c r="AA105" s="41">
        <v>8995</v>
      </c>
      <c r="AB105" s="41">
        <v>112008</v>
      </c>
      <c r="AC105" s="41">
        <v>372</v>
      </c>
      <c r="AD105" s="41">
        <v>3</v>
      </c>
      <c r="AE105" s="41">
        <v>8279</v>
      </c>
      <c r="AF105" s="41">
        <v>202</v>
      </c>
      <c r="AG105" s="41">
        <v>17</v>
      </c>
      <c r="AH105" s="41">
        <v>8</v>
      </c>
      <c r="AI105" s="42">
        <v>0</v>
      </c>
      <c r="AJ105" s="24"/>
      <c r="AK105" s="24"/>
      <c r="AL105" s="24"/>
    </row>
    <row r="106">
      <c r="A106" s="25"/>
      <c r="B106" s="72" t="s">
        <v>45</v>
      </c>
      <c r="C106" s="78" t="s">
        <v>48</v>
      </c>
      <c r="D106" s="44">
        <v>2501.295</v>
      </c>
      <c r="E106" s="45">
        <v>8</v>
      </c>
      <c r="F106" s="30">
        <f t="shared" si="289"/>
      </c>
      <c r="G106" s="23">
        <v>2790.4000000000015</v>
      </c>
      <c r="H106" s="32">
        <f t="shared" si="251"/>
      </c>
      <c r="I106" s="33">
        <f t="shared" si="42"/>
      </c>
      <c r="J106" s="34">
        <f t="shared" si="4"/>
      </c>
      <c r="K106" s="35">
        <f t="shared" si="118"/>
      </c>
      <c r="L106" s="79">
        <f t="shared" si="80"/>
      </c>
      <c r="M106" s="54">
        <f t="shared" si="213"/>
      </c>
      <c r="N106" s="55">
        <f t="shared" si="156"/>
      </c>
      <c r="O106" s="55">
        <f t="shared" si="175"/>
      </c>
      <c r="P106" s="55">
        <f t="shared" si="308"/>
      </c>
      <c r="Q106" s="55">
        <f t="shared" si="270"/>
      </c>
      <c r="R106" s="54">
        <f t="shared" si="61"/>
      </c>
      <c r="S106" s="56">
        <f t="shared" si="23"/>
      </c>
      <c r="T106" s="55">
        <f t="shared" si="137"/>
      </c>
      <c r="U106" s="55">
        <f t="shared" si="99"/>
      </c>
      <c r="V106" s="55">
        <f t="shared" si="232"/>
      </c>
      <c r="W106" s="55">
        <f t="shared" si="194"/>
      </c>
      <c r="X106" s="38" t="s">
        <v>38</v>
      </c>
      <c r="Y106" s="39" t="s">
        <v>65</v>
      </c>
      <c r="Z106" s="41">
        <v>68005</v>
      </c>
      <c r="AA106" s="41">
        <v>10560</v>
      </c>
      <c r="AB106" s="41">
        <v>127407</v>
      </c>
      <c r="AC106" s="41">
        <v>554</v>
      </c>
      <c r="AD106" s="41">
        <v>6</v>
      </c>
      <c r="AE106" s="41">
        <v>8849</v>
      </c>
      <c r="AF106" s="41">
        <v>181</v>
      </c>
      <c r="AG106" s="41">
        <v>22</v>
      </c>
      <c r="AH106" s="41">
        <v>7</v>
      </c>
      <c r="AI106" s="42">
        <v>0</v>
      </c>
      <c r="AJ106" s="24"/>
      <c r="AK106" s="24"/>
      <c r="AL106" s="24"/>
    </row>
    <row customHeight="true" ht="16.071428571428573" r="107">
      <c r="A107" s="25"/>
      <c r="B107" s="72" t="s">
        <v>45</v>
      </c>
      <c r="C107" s="78" t="s">
        <v>49</v>
      </c>
      <c r="D107" s="57">
        <v>2260.025</v>
      </c>
      <c r="E107" s="45">
        <v>5</v>
      </c>
      <c r="F107" s="30">
        <f t="shared" si="289"/>
      </c>
      <c r="G107" s="23">
        <v>2308</v>
      </c>
      <c r="H107" s="32">
        <f t="shared" si="251"/>
      </c>
      <c r="I107" s="33">
        <f t="shared" si="42"/>
      </c>
      <c r="J107" s="34">
        <f t="shared" si="4"/>
      </c>
      <c r="K107" s="35">
        <f t="shared" si="118"/>
      </c>
      <c r="L107" s="79">
        <f t="shared" si="80"/>
      </c>
      <c r="M107" s="54">
        <f t="shared" si="213"/>
      </c>
      <c r="N107" s="55">
        <f t="shared" si="156"/>
      </c>
      <c r="O107" s="55">
        <f t="shared" si="175"/>
      </c>
      <c r="P107" s="55">
        <f t="shared" si="308"/>
      </c>
      <c r="Q107" s="55">
        <f t="shared" si="270"/>
      </c>
      <c r="R107" s="54">
        <f t="shared" si="61"/>
      </c>
      <c r="S107" s="56">
        <f t="shared" si="23"/>
      </c>
      <c r="T107" s="55">
        <f t="shared" si="137"/>
      </c>
      <c r="U107" s="55">
        <f t="shared" si="99"/>
      </c>
      <c r="V107" s="55">
        <f t="shared" si="232"/>
      </c>
      <c r="W107" s="55">
        <f t="shared" si="194"/>
      </c>
      <c r="X107" s="38" t="s">
        <v>38</v>
      </c>
      <c r="Y107" s="39" t="s">
        <v>65</v>
      </c>
      <c r="Z107" s="41">
        <v>66736</v>
      </c>
      <c r="AA107" s="41">
        <v>9002</v>
      </c>
      <c r="AB107" s="41">
        <v>115856</v>
      </c>
      <c r="AC107" s="41">
        <v>484</v>
      </c>
      <c r="AD107" s="41">
        <v>5</v>
      </c>
      <c r="AE107" s="41">
        <v>7983</v>
      </c>
      <c r="AF107" s="41">
        <v>192</v>
      </c>
      <c r="AG107" s="41">
        <v>16</v>
      </c>
      <c r="AH107" s="41">
        <v>7</v>
      </c>
      <c r="AI107" s="42">
        <v>0</v>
      </c>
      <c r="AJ107" s="24"/>
      <c r="AK107" s="24"/>
      <c r="AL107" s="24"/>
    </row>
    <row r="108">
      <c r="A108" s="25"/>
      <c r="B108" s="58" t="s">
        <v>44</v>
      </c>
      <c r="C108" s="58"/>
      <c r="D108" s="59">
        <f>SUM(D104:D107)</f>
      </c>
      <c r="E108" s="60">
        <f>SUM(E104:E107)</f>
      </c>
      <c r="F108" s="61">
        <f t="shared" si="289"/>
      </c>
      <c r="G108" s="62">
        <f>SUM(G104:G107)</f>
      </c>
      <c r="H108" s="63">
        <f t="shared" si="251"/>
      </c>
      <c r="I108" s="64">
        <f t="shared" si="42"/>
      </c>
      <c r="J108" s="65">
        <f t="shared" si="4"/>
      </c>
      <c r="K108" s="61">
        <f t="shared" si="118"/>
      </c>
      <c r="L108" s="66">
        <f t="shared" si="80"/>
      </c>
      <c r="M108" s="65">
        <f t="shared" si="213"/>
      </c>
      <c r="N108" s="67">
        <f t="shared" si="156"/>
      </c>
      <c r="O108" s="67">
        <f t="shared" si="175"/>
      </c>
      <c r="P108" s="68">
        <f t="shared" si="308"/>
      </c>
      <c r="Q108" s="68">
        <f t="shared" si="270"/>
      </c>
      <c r="R108" s="69">
        <f t="shared" si="61"/>
      </c>
      <c r="S108" s="70">
        <f t="shared" si="23"/>
      </c>
      <c r="T108" s="68">
        <f t="shared" si="137"/>
      </c>
      <c r="U108" s="68">
        <f t="shared" si="99"/>
      </c>
      <c r="V108" s="68">
        <f t="shared" si="232"/>
      </c>
      <c r="W108" s="68">
        <f t="shared" si="194"/>
      </c>
      <c r="X108" s="68"/>
      <c r="Y108" s="71"/>
      <c r="Z108" s="59">
        <f>SUM(Z104:Z107)</f>
      </c>
      <c r="AA108" s="59">
        <f>SUM(AA104:AA107)</f>
      </c>
      <c r="AB108" s="59">
        <f>SUM(AB104:AB107)</f>
      </c>
      <c r="AC108" s="59">
        <f>SUM(AC104:AC107)</f>
      </c>
      <c r="AD108" s="59">
        <f>SUM(AD104:AD107)</f>
      </c>
      <c r="AE108" s="59">
        <f>SUM(AE104:AE107)</f>
      </c>
      <c r="AF108" s="59">
        <f>SUM(AF104:AF107)</f>
      </c>
      <c r="AG108" s="59">
        <f>SUM(AG104:AG107)</f>
      </c>
      <c r="AH108" s="59">
        <f>SUM(AH104:AH107)</f>
      </c>
      <c r="AI108" s="59">
        <f>SUM(AI104:AI107)</f>
      </c>
      <c r="AJ108" s="24"/>
      <c r="AK108" s="24"/>
      <c r="AL108" s="24"/>
    </row>
    <row r="109">
      <c r="A109" s="25"/>
      <c r="B109" s="72" t="s">
        <v>64</v>
      </c>
      <c r="C109" s="38" t="s">
        <v>51</v>
      </c>
      <c r="D109" s="84">
        <v>1980.279</v>
      </c>
      <c r="E109" s="45">
        <v>1</v>
      </c>
      <c r="F109" s="30">
        <f t="shared" si="289"/>
      </c>
      <c r="G109" s="45">
        <v>228</v>
      </c>
      <c r="H109" s="32">
        <f t="shared" si="251"/>
      </c>
      <c r="I109" s="33">
        <f t="shared" si="42"/>
      </c>
      <c r="J109" s="34">
        <f t="shared" si="4"/>
      </c>
      <c r="K109" s="35">
        <f t="shared" si="118"/>
      </c>
      <c r="L109" s="79">
        <f t="shared" si="80"/>
      </c>
      <c r="M109" s="54">
        <f t="shared" si="213"/>
      </c>
      <c r="N109" s="55">
        <f t="shared" si="156"/>
      </c>
      <c r="O109" s="55">
        <f t="shared" si="175"/>
      </c>
      <c r="P109" s="55">
        <f t="shared" si="308"/>
      </c>
      <c r="Q109" s="55">
        <f t="shared" si="270"/>
      </c>
      <c r="R109" s="54">
        <f t="shared" si="61"/>
      </c>
      <c r="S109" s="56">
        <f t="shared" si="23"/>
      </c>
      <c r="T109" s="55">
        <f t="shared" si="137"/>
      </c>
      <c r="U109" s="55">
        <f t="shared" si="99"/>
      </c>
      <c r="V109" s="55">
        <f t="shared" si="232"/>
      </c>
      <c r="W109" s="55">
        <f t="shared" si="194"/>
      </c>
      <c r="X109" s="38" t="s">
        <v>52</v>
      </c>
      <c r="Y109" s="39" t="s">
        <v>65</v>
      </c>
      <c r="Z109" s="41">
        <v>79181</v>
      </c>
      <c r="AA109" s="41">
        <v>9770</v>
      </c>
      <c r="AB109" s="41">
        <v>92021</v>
      </c>
      <c r="AC109" s="41">
        <v>460</v>
      </c>
      <c r="AD109" s="41">
        <v>2</v>
      </c>
      <c r="AE109" s="41">
        <v>7297</v>
      </c>
      <c r="AF109" s="41">
        <v>165</v>
      </c>
      <c r="AG109" s="41">
        <v>22</v>
      </c>
      <c r="AH109" s="41">
        <v>5</v>
      </c>
      <c r="AI109" s="42">
        <v>1</v>
      </c>
      <c r="AJ109" s="24"/>
      <c r="AK109" s="24"/>
      <c r="AL109" s="24"/>
    </row>
    <row r="110">
      <c r="A110" s="25"/>
      <c r="B110" s="72" t="s">
        <v>64</v>
      </c>
      <c r="C110" s="78" t="s">
        <v>53</v>
      </c>
      <c r="D110" s="85">
        <v>1654.937</v>
      </c>
      <c r="E110" s="45">
        <v>2</v>
      </c>
      <c r="F110" s="30">
        <f t="shared" si="289"/>
      </c>
      <c r="G110" s="45">
        <v>424</v>
      </c>
      <c r="H110" s="32">
        <f t="shared" si="251"/>
      </c>
      <c r="I110" s="33">
        <f t="shared" si="42"/>
      </c>
      <c r="J110" s="34">
        <f t="shared" si="4"/>
      </c>
      <c r="K110" s="35">
        <f t="shared" si="118"/>
      </c>
      <c r="L110" s="79">
        <f t="shared" si="80"/>
      </c>
      <c r="M110" s="54">
        <f t="shared" si="213"/>
      </c>
      <c r="N110" s="55">
        <f t="shared" si="156"/>
      </c>
      <c r="O110" s="55">
        <f t="shared" si="175"/>
      </c>
      <c r="P110" s="55">
        <f t="shared" si="308"/>
      </c>
      <c r="Q110" s="55">
        <f t="shared" si="270"/>
      </c>
      <c r="R110" s="54">
        <f t="shared" si="61"/>
      </c>
      <c r="S110" s="56">
        <f t="shared" si="23"/>
      </c>
      <c r="T110" s="55">
        <f t="shared" si="137"/>
      </c>
      <c r="U110" s="55">
        <f t="shared" si="99"/>
      </c>
      <c r="V110" s="55">
        <f t="shared" si="232"/>
      </c>
      <c r="W110" s="55">
        <f t="shared" si="194"/>
      </c>
      <c r="X110" s="38" t="s">
        <v>52</v>
      </c>
      <c r="Y110" s="86" t="s">
        <v>54</v>
      </c>
      <c r="Z110" s="41">
        <v>61421</v>
      </c>
      <c r="AA110" s="41">
        <v>9384</v>
      </c>
      <c r="AB110" s="41">
        <v>75245</v>
      </c>
      <c r="AC110" s="41">
        <v>586</v>
      </c>
      <c r="AD110" s="41">
        <v>2</v>
      </c>
      <c r="AE110" s="41">
        <v>6313</v>
      </c>
      <c r="AF110" s="41">
        <v>171</v>
      </c>
      <c r="AG110" s="41">
        <v>16</v>
      </c>
      <c r="AH110" s="41">
        <v>1</v>
      </c>
      <c r="AI110" s="42">
        <v>0</v>
      </c>
      <c r="AJ110" s="24"/>
      <c r="AK110" s="24"/>
      <c r="AL110" s="24"/>
    </row>
    <row customHeight="true" ht="16.071428571428573" r="111">
      <c r="A111" s="25"/>
      <c r="B111" s="72" t="s">
        <v>64</v>
      </c>
      <c r="C111" s="78" t="s">
        <v>55</v>
      </c>
      <c r="D111" s="85">
        <v>1765.461</v>
      </c>
      <c r="E111" s="45">
        <v>6</v>
      </c>
      <c r="F111" s="30">
        <f t="shared" si="289"/>
      </c>
      <c r="G111" s="45">
        <v>1220.6</v>
      </c>
      <c r="H111" s="32">
        <f t="shared" si="251"/>
      </c>
      <c r="I111" s="33">
        <f t="shared" si="42"/>
      </c>
      <c r="J111" s="34">
        <f t="shared" si="4"/>
      </c>
      <c r="K111" s="35">
        <f t="shared" si="118"/>
      </c>
      <c r="L111" s="79">
        <f t="shared" si="80"/>
      </c>
      <c r="M111" s="54">
        <f t="shared" si="213"/>
      </c>
      <c r="N111" s="55">
        <f t="shared" si="156"/>
      </c>
      <c r="O111" s="55">
        <f t="shared" si="175"/>
      </c>
      <c r="P111" s="55">
        <f t="shared" si="308"/>
      </c>
      <c r="Q111" s="55">
        <f t="shared" si="270"/>
      </c>
      <c r="R111" s="54">
        <f t="shared" si="61"/>
      </c>
      <c r="S111" s="56">
        <f t="shared" si="23"/>
      </c>
      <c r="T111" s="55">
        <f t="shared" si="137"/>
      </c>
      <c r="U111" s="55">
        <f t="shared" si="99"/>
      </c>
      <c r="V111" s="55">
        <f t="shared" si="232"/>
      </c>
      <c r="W111" s="55">
        <f t="shared" si="194"/>
      </c>
      <c r="X111" s="38" t="s">
        <v>52</v>
      </c>
      <c r="Y111" s="86" t="s">
        <v>54</v>
      </c>
      <c r="Z111" s="41">
        <v>50792</v>
      </c>
      <c r="AA111" s="41">
        <v>10268</v>
      </c>
      <c r="AB111" s="41">
        <v>92472</v>
      </c>
      <c r="AC111" s="41">
        <v>498</v>
      </c>
      <c r="AD111" s="41">
        <v>4</v>
      </c>
      <c r="AE111" s="41">
        <v>8359</v>
      </c>
      <c r="AF111" s="41">
        <v>156</v>
      </c>
      <c r="AG111" s="41">
        <v>23</v>
      </c>
      <c r="AH111" s="41">
        <v>4</v>
      </c>
      <c r="AI111" s="42">
        <v>2</v>
      </c>
      <c r="AJ111" s="24"/>
      <c r="AK111" s="24"/>
      <c r="AL111" s="24"/>
    </row>
    <row r="112">
      <c r="A112" s="25"/>
      <c r="B112" s="72" t="s">
        <v>64</v>
      </c>
      <c r="C112" s="78" t="s">
        <v>56</v>
      </c>
      <c r="D112" s="85">
        <v>2293.17</v>
      </c>
      <c r="E112" s="45">
        <v>1</v>
      </c>
      <c r="F112" s="30">
        <f t="shared" si="289"/>
      </c>
      <c r="G112" s="45">
        <v>228</v>
      </c>
      <c r="H112" s="32">
        <f t="shared" si="251"/>
      </c>
      <c r="I112" s="33">
        <f t="shared" si="42"/>
      </c>
      <c r="J112" s="34">
        <f t="shared" si="4"/>
      </c>
      <c r="K112" s="35">
        <f t="shared" si="118"/>
      </c>
      <c r="L112" s="79">
        <f t="shared" si="80"/>
      </c>
      <c r="M112" s="54">
        <f t="shared" si="213"/>
      </c>
      <c r="N112" s="55">
        <f t="shared" si="156"/>
      </c>
      <c r="O112" s="55">
        <f t="shared" si="175"/>
      </c>
      <c r="P112" s="55">
        <f t="shared" si="308"/>
      </c>
      <c r="Q112" s="55">
        <f t="shared" si="270"/>
      </c>
      <c r="R112" s="54">
        <f t="shared" si="61"/>
      </c>
      <c r="S112" s="56">
        <f t="shared" si="23"/>
      </c>
      <c r="T112" s="55">
        <f t="shared" si="137"/>
      </c>
      <c r="U112" s="55">
        <f t="shared" si="99"/>
      </c>
      <c r="V112" s="55">
        <f t="shared" si="232"/>
      </c>
      <c r="W112" s="55">
        <f t="shared" si="194"/>
      </c>
      <c r="X112" s="38" t="s">
        <v>52</v>
      </c>
      <c r="Y112" s="86" t="s">
        <v>54</v>
      </c>
      <c r="Z112" s="41">
        <v>67354</v>
      </c>
      <c r="AA112" s="41">
        <v>9760</v>
      </c>
      <c r="AB112" s="41">
        <v>125004</v>
      </c>
      <c r="AC112" s="41">
        <v>486</v>
      </c>
      <c r="AD112" s="41">
        <v>1</v>
      </c>
      <c r="AE112" s="41">
        <v>8864</v>
      </c>
      <c r="AF112" s="41">
        <v>132</v>
      </c>
      <c r="AG112" s="41">
        <v>14</v>
      </c>
      <c r="AH112" s="41">
        <v>6</v>
      </c>
      <c r="AI112" s="42">
        <v>0</v>
      </c>
      <c r="AJ112" s="24"/>
      <c r="AK112" s="24"/>
      <c r="AL112" s="24"/>
    </row>
    <row r="113">
      <c r="A113" s="25"/>
      <c r="B113" s="58" t="s">
        <v>44</v>
      </c>
      <c r="C113" s="58"/>
      <c r="D113" s="59">
        <f>SUM(D109:D112)</f>
      </c>
      <c r="E113" s="60">
        <f>SUM(E109:E112)</f>
      </c>
      <c r="F113" s="70">
        <f t="shared" si="289"/>
      </c>
      <c r="G113" s="80">
        <f>SUM(G109:G112)</f>
      </c>
      <c r="H113" s="81">
        <f t="shared" si="251"/>
      </c>
      <c r="I113" s="82">
        <f t="shared" si="42"/>
      </c>
      <c r="J113" s="69">
        <f t="shared" si="4"/>
      </c>
      <c r="K113" s="70">
        <f t="shared" si="118"/>
      </c>
      <c r="L113" s="83">
        <f t="shared" si="80"/>
      </c>
      <c r="M113" s="69">
        <f t="shared" si="213"/>
      </c>
      <c r="N113" s="68">
        <f t="shared" si="156"/>
      </c>
      <c r="O113" s="68">
        <f t="shared" si="175"/>
      </c>
      <c r="P113" s="68">
        <f t="shared" si="308"/>
      </c>
      <c r="Q113" s="68">
        <f t="shared" si="270"/>
      </c>
      <c r="R113" s="69">
        <f t="shared" si="61"/>
      </c>
      <c r="S113" s="70">
        <f t="shared" si="23"/>
      </c>
      <c r="T113" s="68">
        <f t="shared" si="137"/>
      </c>
      <c r="U113" s="68">
        <f t="shared" si="99"/>
      </c>
      <c r="V113" s="68">
        <f t="shared" si="232"/>
      </c>
      <c r="W113" s="68">
        <f t="shared" si="194"/>
      </c>
      <c r="X113" s="68"/>
      <c r="Y113" s="71"/>
      <c r="Z113" s="59">
        <f>SUM(Z109:Z112)</f>
      </c>
      <c r="AA113" s="59">
        <f>SUM(AA109:AA112)</f>
      </c>
      <c r="AB113" s="59">
        <f>SUM(AB109:AB112)</f>
      </c>
      <c r="AC113" s="59">
        <f>SUM(AC109:AC112)</f>
      </c>
      <c r="AD113" s="59">
        <f>SUM(AD109:AD112)</f>
      </c>
      <c r="AE113" s="59">
        <f>SUM(AE109:AE112)</f>
      </c>
      <c r="AF113" s="59">
        <f>SUM(AF109:AF112)</f>
      </c>
      <c r="AG113" s="59">
        <f>SUM(AG109:AG112)</f>
      </c>
      <c r="AH113" s="59">
        <f>SUM(AH109:AH112)</f>
      </c>
      <c r="AI113" s="59">
        <f>SUM(AI109:AI112)</f>
      </c>
      <c r="AJ113" s="24"/>
      <c r="AK113" s="24"/>
      <c r="AL113" s="24"/>
    </row>
    <row r="114">
      <c r="A114" s="25"/>
      <c r="B114" s="72" t="s">
        <v>50</v>
      </c>
      <c r="C114" s="78" t="s">
        <v>58</v>
      </c>
      <c r="D114" s="84">
        <v>1184.019</v>
      </c>
      <c r="E114" s="45">
        <v>2</v>
      </c>
      <c r="F114" s="30">
        <f t="shared" si="289"/>
      </c>
      <c r="G114" s="45">
        <v>1617.6</v>
      </c>
      <c r="H114" s="32">
        <f t="shared" si="251"/>
      </c>
      <c r="I114" s="33">
        <f t="shared" si="42"/>
      </c>
      <c r="J114" s="34">
        <f t="shared" si="4"/>
      </c>
      <c r="K114" s="35">
        <f t="shared" si="118"/>
      </c>
      <c r="L114" s="79">
        <f t="shared" si="80"/>
      </c>
      <c r="M114" s="54">
        <f t="shared" si="213"/>
      </c>
      <c r="N114" s="55">
        <f t="shared" si="156"/>
      </c>
      <c r="O114" s="55">
        <f t="shared" si="175"/>
      </c>
      <c r="P114" s="55">
        <f t="shared" si="308"/>
      </c>
      <c r="Q114" s="55">
        <f t="shared" si="270"/>
      </c>
      <c r="R114" s="54">
        <f t="shared" si="61"/>
      </c>
      <c r="S114" s="56">
        <f t="shared" si="23"/>
      </c>
      <c r="T114" s="55">
        <f t="shared" si="137"/>
      </c>
      <c r="U114" s="55">
        <f t="shared" si="99"/>
      </c>
      <c r="V114" s="55">
        <f t="shared" si="232"/>
      </c>
      <c r="W114" s="55">
        <f t="shared" si="194"/>
      </c>
      <c r="X114" s="38" t="s">
        <v>52</v>
      </c>
      <c r="Y114" s="86" t="s">
        <v>54</v>
      </c>
      <c r="Z114" s="41">
        <v>41766</v>
      </c>
      <c r="AA114" s="41">
        <v>5027</v>
      </c>
      <c r="AB114" s="41">
        <v>50114</v>
      </c>
      <c r="AC114" s="41">
        <v>207</v>
      </c>
      <c r="AD114" s="41">
        <v>1</v>
      </c>
      <c r="AE114" s="41">
        <v>3603</v>
      </c>
      <c r="AF114" s="41">
        <v>123</v>
      </c>
      <c r="AG114" s="41">
        <v>8</v>
      </c>
      <c r="AH114" s="41">
        <v>5</v>
      </c>
      <c r="AI114" s="42">
        <v>1</v>
      </c>
      <c r="AJ114" s="24"/>
      <c r="AK114" s="24"/>
      <c r="AL114" s="24"/>
    </row>
    <row r="115">
      <c r="A115" s="25"/>
      <c r="B115" s="72" t="s">
        <v>50</v>
      </c>
      <c r="C115" s="78" t="s">
        <v>59</v>
      </c>
      <c r="D115" s="85">
        <v>1682.574</v>
      </c>
      <c r="E115" s="45">
        <v>1</v>
      </c>
      <c r="F115" s="30">
        <f t="shared" si="289"/>
      </c>
      <c r="G115" s="45">
        <v>828</v>
      </c>
      <c r="H115" s="32">
        <f t="shared" si="251"/>
      </c>
      <c r="I115" s="33">
        <f t="shared" si="42"/>
      </c>
      <c r="J115" s="34">
        <f t="shared" si="4"/>
      </c>
      <c r="K115" s="35">
        <f t="shared" si="118"/>
      </c>
      <c r="L115" s="79">
        <f t="shared" si="80"/>
      </c>
      <c r="M115" s="54">
        <f t="shared" si="213"/>
      </c>
      <c r="N115" s="55">
        <f t="shared" si="156"/>
      </c>
      <c r="O115" s="55">
        <f t="shared" si="175"/>
      </c>
      <c r="P115" s="55">
        <f t="shared" si="308"/>
      </c>
      <c r="Q115" s="55">
        <f t="shared" si="270"/>
      </c>
      <c r="R115" s="54">
        <f t="shared" si="61"/>
      </c>
      <c r="S115" s="56">
        <f t="shared" si="23"/>
      </c>
      <c r="T115" s="55">
        <f t="shared" si="137"/>
      </c>
      <c r="U115" s="55">
        <f t="shared" si="99"/>
      </c>
      <c r="V115" s="55">
        <f t="shared" si="232"/>
      </c>
      <c r="W115" s="55">
        <f t="shared" si="194"/>
      </c>
      <c r="X115" s="38" t="s">
        <v>52</v>
      </c>
      <c r="Y115" s="86" t="s">
        <v>54</v>
      </c>
      <c r="Z115" s="41">
        <v>45114</v>
      </c>
      <c r="AA115" s="41">
        <v>5292</v>
      </c>
      <c r="AB115" s="41">
        <v>83543</v>
      </c>
      <c r="AC115" s="41">
        <v>143</v>
      </c>
      <c r="AD115" s="41">
        <v>3</v>
      </c>
      <c r="AE115" s="41">
        <v>4071</v>
      </c>
      <c r="AF115" s="41">
        <v>82</v>
      </c>
      <c r="AG115" s="41">
        <v>14</v>
      </c>
      <c r="AH115" s="41">
        <v>4</v>
      </c>
      <c r="AI115" s="42">
        <v>0</v>
      </c>
      <c r="AJ115" s="24"/>
      <c r="AK115" s="24"/>
      <c r="AL115" s="24"/>
    </row>
    <row customHeight="true" ht="16.071428571428573" r="116">
      <c r="A116" s="25"/>
      <c r="B116" s="72" t="s">
        <v>50</v>
      </c>
      <c r="C116" s="78" t="s">
        <v>60</v>
      </c>
      <c r="D116" s="85">
        <v>5169.391</v>
      </c>
      <c r="E116" s="45">
        <v>11</v>
      </c>
      <c r="F116" s="30">
        <f t="shared" si="289"/>
      </c>
      <c r="G116" s="45">
        <v>3967</v>
      </c>
      <c r="H116" s="32">
        <f t="shared" si="251"/>
      </c>
      <c r="I116" s="33">
        <f t="shared" si="42"/>
      </c>
      <c r="J116" s="34">
        <f t="shared" si="4"/>
      </c>
      <c r="K116" s="35">
        <f t="shared" si="118"/>
      </c>
      <c r="L116" s="79">
        <f t="shared" si="80"/>
      </c>
      <c r="M116" s="54">
        <f t="shared" si="213"/>
      </c>
      <c r="N116" s="55">
        <f t="shared" si="156"/>
      </c>
      <c r="O116" s="55">
        <f t="shared" si="175"/>
      </c>
      <c r="P116" s="55">
        <f t="shared" si="308"/>
      </c>
      <c r="Q116" s="55">
        <f t="shared" si="270"/>
      </c>
      <c r="R116" s="54">
        <f t="shared" si="61"/>
      </c>
      <c r="S116" s="56">
        <f t="shared" si="23"/>
      </c>
      <c r="T116" s="55">
        <f t="shared" si="137"/>
      </c>
      <c r="U116" s="55">
        <f t="shared" si="99"/>
      </c>
      <c r="V116" s="55">
        <f t="shared" si="232"/>
      </c>
      <c r="W116" s="55">
        <f t="shared" si="194"/>
      </c>
      <c r="X116" s="38" t="s">
        <v>52</v>
      </c>
      <c r="Y116" s="86" t="s">
        <v>54</v>
      </c>
      <c r="Z116" s="41">
        <v>139238</v>
      </c>
      <c r="AA116" s="41">
        <v>17598</v>
      </c>
      <c r="AB116" s="41">
        <v>339305</v>
      </c>
      <c r="AC116" s="41">
        <v>772</v>
      </c>
      <c r="AD116" s="41">
        <v>8</v>
      </c>
      <c r="AE116" s="41">
        <v>17642</v>
      </c>
      <c r="AF116" s="41">
        <v>241</v>
      </c>
      <c r="AG116" s="41">
        <v>49</v>
      </c>
      <c r="AH116" s="41">
        <v>18</v>
      </c>
      <c r="AI116" s="42">
        <v>2</v>
      </c>
      <c r="AJ116" s="24"/>
      <c r="AK116" s="24"/>
      <c r="AL116" s="24"/>
    </row>
    <row r="117">
      <c r="A117" s="25"/>
      <c r="B117" s="72" t="s">
        <v>50</v>
      </c>
      <c r="C117" s="78" t="s">
        <v>61</v>
      </c>
      <c r="D117" s="85">
        <v>2189.483</v>
      </c>
      <c r="E117" s="45">
        <v>8</v>
      </c>
      <c r="F117" s="30">
        <f t="shared" si="289"/>
      </c>
      <c r="G117" s="45">
        <v>3500</v>
      </c>
      <c r="H117" s="32">
        <f t="shared" si="251"/>
      </c>
      <c r="I117" s="33">
        <f t="shared" si="42"/>
      </c>
      <c r="J117" s="34">
        <f t="shared" si="4"/>
      </c>
      <c r="K117" s="35">
        <f t="shared" si="118"/>
      </c>
      <c r="L117" s="79">
        <f t="shared" si="80"/>
      </c>
      <c r="M117" s="54">
        <f t="shared" si="213"/>
      </c>
      <c r="N117" s="55">
        <f t="shared" si="156"/>
      </c>
      <c r="O117" s="55">
        <f t="shared" si="175"/>
      </c>
      <c r="P117" s="55">
        <f t="shared" si="308"/>
      </c>
      <c r="Q117" s="55">
        <f t="shared" si="270"/>
      </c>
      <c r="R117" s="54">
        <f t="shared" si="61"/>
      </c>
      <c r="S117" s="56">
        <f t="shared" si="23"/>
      </c>
      <c r="T117" s="55">
        <f t="shared" si="137"/>
      </c>
      <c r="U117" s="55">
        <f t="shared" si="99"/>
      </c>
      <c r="V117" s="55">
        <f t="shared" si="232"/>
      </c>
      <c r="W117" s="55">
        <f t="shared" si="194"/>
      </c>
      <c r="X117" s="38" t="s">
        <v>52</v>
      </c>
      <c r="Y117" s="86" t="s">
        <v>54</v>
      </c>
      <c r="Z117" s="41">
        <v>57988</v>
      </c>
      <c r="AA117" s="41">
        <v>8481</v>
      </c>
      <c r="AB117" s="41">
        <v>133511</v>
      </c>
      <c r="AC117" s="41">
        <v>483</v>
      </c>
      <c r="AD117" s="41">
        <v>6</v>
      </c>
      <c r="AE117" s="41">
        <v>8071</v>
      </c>
      <c r="AF117" s="41">
        <v>171</v>
      </c>
      <c r="AG117" s="41">
        <v>36</v>
      </c>
      <c r="AH117" s="41">
        <v>14</v>
      </c>
      <c r="AI117" s="42">
        <v>1</v>
      </c>
      <c r="AJ117" s="24"/>
      <c r="AK117" s="24"/>
      <c r="AL117" s="24"/>
    </row>
    <row r="118">
      <c r="A118" s="25"/>
      <c r="B118" s="72" t="s">
        <v>50</v>
      </c>
      <c r="C118" s="78" t="s">
        <v>62</v>
      </c>
      <c r="D118" s="85">
        <f>204.975+0.038</f>
      </c>
      <c r="E118" s="45">
        <v>1</v>
      </c>
      <c r="F118" s="47">
        <f t="shared" si="289"/>
      </c>
      <c r="G118" s="45">
        <v>228</v>
      </c>
      <c r="H118" s="49">
        <f t="shared" si="251"/>
      </c>
      <c r="I118" s="50">
        <f t="shared" si="42"/>
      </c>
      <c r="J118" s="51">
        <f t="shared" si="4"/>
      </c>
      <c r="K118" s="52">
        <f t="shared" si="118"/>
      </c>
      <c r="L118" s="53">
        <f t="shared" si="80"/>
      </c>
      <c r="M118" s="54">
        <f t="shared" si="213"/>
      </c>
      <c r="N118" s="55">
        <f t="shared" si="156"/>
      </c>
      <c r="O118" s="55">
        <f t="shared" si="175"/>
      </c>
      <c r="P118" s="55">
        <f t="shared" si="308"/>
      </c>
      <c r="Q118" s="55">
        <f t="shared" si="270"/>
      </c>
      <c r="R118" s="54">
        <f t="shared" si="61"/>
      </c>
      <c r="S118" s="56">
        <f t="shared" si="23"/>
      </c>
      <c r="T118" s="55">
        <f t="shared" si="137"/>
      </c>
      <c r="U118" s="55">
        <f t="shared" si="99"/>
      </c>
      <c r="V118" s="55">
        <f t="shared" si="232"/>
      </c>
      <c r="W118" s="55">
        <f t="shared" si="194"/>
      </c>
      <c r="X118" s="38" t="s">
        <v>52</v>
      </c>
      <c r="Y118" s="86" t="s">
        <v>54</v>
      </c>
      <c r="Z118" s="40">
        <v>4242</v>
      </c>
      <c r="AA118" s="40">
        <v>792</v>
      </c>
      <c r="AB118" s="40">
        <v>8949</v>
      </c>
      <c r="AC118" s="40">
        <v>41</v>
      </c>
      <c r="AD118" s="40">
        <v>1</v>
      </c>
      <c r="AE118" s="40">
        <v>509</v>
      </c>
      <c r="AF118" s="41">
        <v>19</v>
      </c>
      <c r="AG118" s="41">
        <v>4</v>
      </c>
      <c r="AH118" s="41">
        <v>1</v>
      </c>
      <c r="AI118" s="42">
        <v>0</v>
      </c>
      <c r="AJ118" s="24"/>
      <c r="AK118" s="24"/>
      <c r="AL118" s="24"/>
    </row>
    <row r="119">
      <c r="A119" s="25"/>
      <c r="B119" s="58" t="s">
        <v>44</v>
      </c>
      <c r="C119" s="58"/>
      <c r="D119" s="59">
        <f>SUM(D114:D118)</f>
      </c>
      <c r="E119" s="60">
        <f>SUM(E114:E118)</f>
      </c>
      <c r="F119" s="61">
        <f t="shared" si="289"/>
      </c>
      <c r="G119" s="62">
        <f>SUM(G114:G118)</f>
      </c>
      <c r="H119" s="63">
        <f t="shared" si="251"/>
      </c>
      <c r="I119" s="64">
        <f t="shared" si="42"/>
      </c>
      <c r="J119" s="65">
        <f t="shared" si="4"/>
      </c>
      <c r="K119" s="61">
        <f t="shared" si="118"/>
      </c>
      <c r="L119" s="66">
        <f t="shared" si="80"/>
      </c>
      <c r="M119" s="65">
        <f t="shared" si="213"/>
      </c>
      <c r="N119" s="67">
        <f t="shared" si="156"/>
      </c>
      <c r="O119" s="67">
        <f t="shared" si="175"/>
      </c>
      <c r="P119" s="68">
        <f t="shared" si="308"/>
      </c>
      <c r="Q119" s="68">
        <f t="shared" si="270"/>
      </c>
      <c r="R119" s="69">
        <f t="shared" si="61"/>
      </c>
      <c r="S119" s="70">
        <f t="shared" si="23"/>
      </c>
      <c r="T119" s="68">
        <f t="shared" si="137"/>
      </c>
      <c r="U119" s="68">
        <f t="shared" si="99"/>
      </c>
      <c r="V119" s="68">
        <f t="shared" si="232"/>
      </c>
      <c r="W119" s="68">
        <f t="shared" si="194"/>
      </c>
      <c r="X119" s="68"/>
      <c r="Y119" s="71"/>
      <c r="Z119" s="59">
        <f>SUM(Z114:Z118)</f>
      </c>
      <c r="AA119" s="59">
        <f>SUM(AA114:AA118)</f>
      </c>
      <c r="AB119" s="59">
        <f>SUM(AB114:AB118)</f>
      </c>
      <c r="AC119" s="59">
        <f>SUM(AC114:AC118)</f>
      </c>
      <c r="AD119" s="59">
        <f>SUM(AD114:AD118)</f>
      </c>
      <c r="AE119" s="59">
        <f>SUM(AE114:AE118)</f>
      </c>
      <c r="AF119" s="59">
        <f>SUM(AF114:AF118)</f>
      </c>
      <c r="AG119" s="59">
        <f>SUM(AG114:AG118)</f>
      </c>
      <c r="AH119" s="59">
        <f>SUM(AH114:AH118)</f>
      </c>
      <c r="AI119" s="59">
        <f>SUM(AI114:AI118)</f>
      </c>
      <c r="AJ119" s="24"/>
      <c r="AK119" s="24"/>
      <c r="AL119" s="24"/>
    </row>
    <row r="120">
      <c r="A120" s="25"/>
      <c r="B120" s="89" t="s">
        <v>63</v>
      </c>
      <c r="C120" s="89"/>
      <c r="D120" s="90">
        <f>SUM(D119+D103+D108+D113)</f>
      </c>
      <c r="E120" s="91">
        <f>SUM(E119+E103+E108+E113)</f>
      </c>
      <c r="F120" s="92">
        <f t="shared" si="289"/>
      </c>
      <c r="G120" s="93">
        <f>SUM(G119+G103+G108+G113)</f>
      </c>
      <c r="H120" s="94">
        <f t="shared" si="251"/>
      </c>
      <c r="I120" s="95">
        <f t="shared" si="42"/>
      </c>
      <c r="J120" s="96">
        <f t="shared" si="4"/>
      </c>
      <c r="K120" s="92">
        <f t="shared" si="118"/>
      </c>
      <c r="L120" s="97">
        <f t="shared" si="80"/>
      </c>
      <c r="M120" s="97">
        <f t="shared" si="213"/>
      </c>
      <c r="N120" s="98">
        <f t="shared" si="156"/>
      </c>
      <c r="O120" s="98">
        <f t="shared" si="175"/>
      </c>
      <c r="P120" s="98">
        <f t="shared" si="308"/>
      </c>
      <c r="Q120" s="98">
        <f t="shared" si="270"/>
      </c>
      <c r="R120" s="99">
        <f t="shared" si="61"/>
      </c>
      <c r="S120" s="100">
        <f t="shared" si="23"/>
      </c>
      <c r="T120" s="101">
        <f t="shared" si="137"/>
      </c>
      <c r="U120" s="101">
        <f t="shared" si="99"/>
      </c>
      <c r="V120" s="101">
        <f t="shared" si="232"/>
      </c>
      <c r="W120" s="101">
        <f t="shared" si="194"/>
      </c>
      <c r="X120" s="101"/>
      <c r="Y120" s="102"/>
      <c r="Z120" s="103">
        <f>SUM(Z103+Z119+Z108+Z113)</f>
      </c>
      <c r="AA120" s="103">
        <f>SUM(AA103+AA119+AA108+AA113)</f>
      </c>
      <c r="AB120" s="103">
        <f>SUM(AB103+AB119+AB108+AB113)</f>
      </c>
      <c r="AC120" s="103">
        <f>SUM(AC103+AC119+AC108+AC113)</f>
      </c>
      <c r="AD120" s="103">
        <f>SUM(AD103+AD119+AD108+AD113)</f>
      </c>
      <c r="AE120" s="103">
        <f>SUM(AE103+AE119+AE108+AE113)</f>
      </c>
      <c r="AF120" s="103">
        <f>SUM(AF103+AF119+AF108+AF113)</f>
      </c>
      <c r="AG120" s="103">
        <f>SUM(AG103+AG119+AG108+AG113)</f>
      </c>
      <c r="AH120" s="103">
        <f>SUM(AH103+AH119+AH108+AH113)</f>
      </c>
      <c r="AI120" s="103">
        <f>SUM(AI103+AI119+AI108+AI113)</f>
      </c>
      <c r="AJ120" s="24"/>
      <c r="AK120" s="24"/>
      <c r="AL120" s="24"/>
    </row>
    <row r="121">
      <c r="A121" s="1" t="s">
        <v>1</v>
      </c>
      <c r="B121" s="2" t="s">
        <v>2</v>
      </c>
      <c r="C121" s="3" t="s">
        <v>3</v>
      </c>
      <c r="D121" s="4" t="s">
        <v>4</v>
      </c>
      <c r="E121" s="5" t="s">
        <v>5</v>
      </c>
      <c r="F121" s="6" t="s">
        <v>6</v>
      </c>
      <c r="G121" s="7" t="s">
        <v>7</v>
      </c>
      <c r="H121" s="8" t="s">
        <v>8</v>
      </c>
      <c r="I121" s="9" t="s">
        <v>9</v>
      </c>
      <c r="J121" s="10" t="s">
        <v>10</v>
      </c>
      <c r="K121" s="11" t="s">
        <v>11</v>
      </c>
      <c r="L121" s="12" t="s">
        <v>12</v>
      </c>
      <c r="M121" s="12" t="s">
        <v>13</v>
      </c>
      <c r="N121" s="13" t="s">
        <v>14</v>
      </c>
      <c r="O121" s="13" t="s">
        <v>15</v>
      </c>
      <c r="P121" s="13" t="s">
        <v>16</v>
      </c>
      <c r="Q121" s="13" t="s">
        <v>17</v>
      </c>
      <c r="R121" s="14" t="s">
        <v>18</v>
      </c>
      <c r="S121" s="15" t="s">
        <v>19</v>
      </c>
      <c r="T121" s="16" t="s">
        <v>20</v>
      </c>
      <c r="U121" s="16" t="s">
        <v>21</v>
      </c>
      <c r="V121" s="16" t="s">
        <v>22</v>
      </c>
      <c r="W121" s="16" t="s">
        <v>23</v>
      </c>
      <c r="X121" s="17" t="s">
        <v>24</v>
      </c>
      <c r="Y121" s="18" t="s">
        <v>25</v>
      </c>
      <c r="Z121" s="19" t="s">
        <v>26</v>
      </c>
      <c r="AA121" s="19" t="s">
        <v>27</v>
      </c>
      <c r="AB121" s="19" t="s">
        <v>28</v>
      </c>
      <c r="AC121" s="20" t="s">
        <v>29</v>
      </c>
      <c r="AD121" s="20" t="s">
        <v>30</v>
      </c>
      <c r="AE121" s="21" t="s">
        <v>31</v>
      </c>
      <c r="AF121" s="20" t="s">
        <v>32</v>
      </c>
      <c r="AG121" s="20" t="s">
        <v>33</v>
      </c>
      <c r="AH121" s="22" t="s">
        <v>34</v>
      </c>
      <c r="AI121" s="23" t="s">
        <v>35</v>
      </c>
      <c r="AJ121" s="24"/>
      <c r="AK121" s="24"/>
      <c r="AL121" s="24"/>
    </row>
    <row r="122">
      <c r="A122" s="25">
        <v>46301</v>
      </c>
      <c r="B122" s="72" t="s">
        <v>36</v>
      </c>
      <c r="C122" s="27" t="s">
        <v>37</v>
      </c>
      <c r="D122" s="28">
        <v>541.03</v>
      </c>
      <c r="E122" s="29">
        <v>0</v>
      </c>
      <c r="F122" s="30">
        <f t="shared" ref="F122:F144" si="290">D122/E122</f>
      </c>
      <c r="G122" s="31">
        <v>0</v>
      </c>
      <c r="H122" s="32">
        <f t="shared" ref="H122:H144" si="252">AD122</f>
      </c>
      <c r="I122" s="33">
        <f t="shared" ref="I122:I144" si="43">D122/AD122</f>
      </c>
      <c r="J122" s="34">
        <f t="shared" ref="J122:J144" si="5">G122/E122</f>
      </c>
      <c r="K122" s="35">
        <f t="shared" ref="K122:K144" si="119">G122/D122</f>
      </c>
      <c r="L122" s="36">
        <f t="shared" ref="L122:L144" si="81">D122/AB122</f>
      </c>
      <c r="M122" s="34">
        <f t="shared" ref="M122:M144" si="214">D122/AC122</f>
      </c>
      <c r="N122" s="37">
        <f t="shared" ref="N122:N144" si="157">AC122/AB122</f>
      </c>
      <c r="O122" s="37">
        <f t="shared" ref="O122:O144" si="176">AD122/AC122</f>
      </c>
      <c r="P122" s="37">
        <f t="shared" ref="P122:P144" si="309">AA122/Z122</f>
      </c>
      <c r="Q122" s="37">
        <f t="shared" ref="Q122:Q144" si="271">AD122/AA122</f>
      </c>
      <c r="R122" s="34">
        <f t="shared" ref="R122:R144" si="62">D122/Z122*1000</f>
      </c>
      <c r="S122" s="35">
        <f t="shared" ref="S122:S144" si="24">D122/AA122</f>
      </c>
      <c r="T122" s="37">
        <f t="shared" ref="T122:T144" si="138">AE122/AB122</f>
      </c>
      <c r="U122" s="37">
        <f t="shared" ref="U122:U144" si="100">AF122/AB122</f>
      </c>
      <c r="V122" s="37">
        <f t="shared" ref="V122:V144" si="233">AG122/AB122</f>
      </c>
      <c r="W122" s="37">
        <f t="shared" ref="W122:W144" si="195">AH122/AB122</f>
      </c>
      <c r="X122" s="38" t="s">
        <v>38</v>
      </c>
      <c r="Y122" s="39" t="s">
        <v>39</v>
      </c>
      <c r="Z122" s="40">
        <v>9781</v>
      </c>
      <c r="AA122" s="40">
        <v>2647</v>
      </c>
      <c r="AB122" s="40">
        <v>21189</v>
      </c>
      <c r="AC122" s="40">
        <v>94</v>
      </c>
      <c r="AD122" s="41">
        <v>0</v>
      </c>
      <c r="AE122" s="40">
        <v>2084</v>
      </c>
      <c r="AF122" s="41">
        <v>46</v>
      </c>
      <c r="AG122" s="41">
        <v>5</v>
      </c>
      <c r="AH122" s="41">
        <v>1</v>
      </c>
      <c r="AI122" s="42">
        <v>0</v>
      </c>
      <c r="AJ122" s="24"/>
      <c r="AK122" s="24"/>
      <c r="AL122" s="24"/>
    </row>
    <row r="123">
      <c r="A123" s="25"/>
      <c r="B123" s="72" t="s">
        <v>36</v>
      </c>
      <c r="C123" s="27" t="s">
        <v>40</v>
      </c>
      <c r="D123" s="28">
        <v>1462.569</v>
      </c>
      <c r="E123" s="29">
        <v>0</v>
      </c>
      <c r="F123" s="30">
        <f t="shared" si="290"/>
      </c>
      <c r="G123" s="31">
        <v>0</v>
      </c>
      <c r="H123" s="32">
        <f t="shared" si="252"/>
      </c>
      <c r="I123" s="33">
        <f t="shared" si="43"/>
      </c>
      <c r="J123" s="34">
        <f t="shared" si="5"/>
      </c>
      <c r="K123" s="35">
        <f t="shared" si="119"/>
      </c>
      <c r="L123" s="36">
        <f t="shared" si="81"/>
      </c>
      <c r="M123" s="34">
        <f t="shared" si="214"/>
      </c>
      <c r="N123" s="37">
        <f t="shared" si="157"/>
      </c>
      <c r="O123" s="37">
        <f t="shared" si="176"/>
      </c>
      <c r="P123" s="37">
        <f t="shared" si="309"/>
      </c>
      <c r="Q123" s="37">
        <f t="shared" si="271"/>
      </c>
      <c r="R123" s="34">
        <f t="shared" si="62"/>
      </c>
      <c r="S123" s="35">
        <f t="shared" si="24"/>
      </c>
      <c r="T123" s="37">
        <f t="shared" si="138"/>
      </c>
      <c r="U123" s="37">
        <f t="shared" si="100"/>
      </c>
      <c r="V123" s="37">
        <f t="shared" si="233"/>
      </c>
      <c r="W123" s="37">
        <f t="shared" si="195"/>
      </c>
      <c r="X123" s="38" t="s">
        <v>38</v>
      </c>
      <c r="Y123" s="39" t="s">
        <v>39</v>
      </c>
      <c r="Z123" s="41">
        <v>30332</v>
      </c>
      <c r="AA123" s="40">
        <v>7296</v>
      </c>
      <c r="AB123" s="40">
        <v>81589</v>
      </c>
      <c r="AC123" s="40">
        <v>238</v>
      </c>
      <c r="AD123" s="41">
        <v>0</v>
      </c>
      <c r="AE123" s="40">
        <v>7304</v>
      </c>
      <c r="AF123" s="41">
        <v>107</v>
      </c>
      <c r="AG123" s="41">
        <v>13</v>
      </c>
      <c r="AH123" s="41">
        <v>5</v>
      </c>
      <c r="AI123" s="42">
        <v>0</v>
      </c>
      <c r="AJ123" s="24"/>
      <c r="AK123" s="24"/>
      <c r="AL123" s="24"/>
    </row>
    <row r="124">
      <c r="A124" s="25"/>
      <c r="B124" s="72" t="s">
        <v>36</v>
      </c>
      <c r="C124" s="43" t="s">
        <v>41</v>
      </c>
      <c r="D124" s="44">
        <v>1648.9460000000001</v>
      </c>
      <c r="E124" s="45">
        <v>3</v>
      </c>
      <c r="F124" s="30">
        <f t="shared" si="290"/>
      </c>
      <c r="G124" s="45">
        <v>684</v>
      </c>
      <c r="H124" s="32">
        <f t="shared" si="252"/>
      </c>
      <c r="I124" s="33">
        <f t="shared" si="43"/>
      </c>
      <c r="J124" s="34">
        <f t="shared" si="5"/>
      </c>
      <c r="K124" s="35">
        <f t="shared" si="119"/>
      </c>
      <c r="L124" s="36">
        <f t="shared" si="81"/>
      </c>
      <c r="M124" s="34">
        <f t="shared" si="214"/>
      </c>
      <c r="N124" s="37">
        <f t="shared" si="157"/>
      </c>
      <c r="O124" s="37">
        <f t="shared" si="176"/>
      </c>
      <c r="P124" s="37">
        <f t="shared" si="309"/>
      </c>
      <c r="Q124" s="37">
        <f t="shared" si="271"/>
      </c>
      <c r="R124" s="34">
        <f t="shared" si="62"/>
      </c>
      <c r="S124" s="35">
        <f t="shared" si="24"/>
      </c>
      <c r="T124" s="37">
        <f t="shared" si="138"/>
      </c>
      <c r="U124" s="37">
        <f t="shared" si="100"/>
      </c>
      <c r="V124" s="37">
        <f t="shared" si="233"/>
      </c>
      <c r="W124" s="37">
        <f t="shared" si="195"/>
      </c>
      <c r="X124" s="38" t="s">
        <v>38</v>
      </c>
      <c r="Y124" s="39" t="s">
        <v>39</v>
      </c>
      <c r="Z124" s="41">
        <v>35050</v>
      </c>
      <c r="AA124" s="41">
        <v>8520</v>
      </c>
      <c r="AB124" s="41">
        <v>81751</v>
      </c>
      <c r="AC124" s="41">
        <v>383</v>
      </c>
      <c r="AD124" s="41">
        <v>2</v>
      </c>
      <c r="AE124" s="41">
        <v>8262</v>
      </c>
      <c r="AF124" s="41">
        <v>165</v>
      </c>
      <c r="AG124" s="41">
        <v>19</v>
      </c>
      <c r="AH124" s="41">
        <v>6</v>
      </c>
      <c r="AI124" s="42">
        <v>0</v>
      </c>
      <c r="AJ124" s="24"/>
      <c r="AK124" s="24"/>
      <c r="AL124" s="24"/>
    </row>
    <row r="125">
      <c r="A125" s="25"/>
      <c r="B125" s="72" t="s">
        <v>36</v>
      </c>
      <c r="C125" s="46" t="s">
        <v>42</v>
      </c>
      <c r="D125" s="44">
        <v>1749.529</v>
      </c>
      <c r="E125" s="45">
        <v>5</v>
      </c>
      <c r="F125" s="47">
        <f t="shared" si="290"/>
      </c>
      <c r="G125" s="48">
        <v>3374.3999999999996</v>
      </c>
      <c r="H125" s="49">
        <f t="shared" si="252"/>
      </c>
      <c r="I125" s="50">
        <f t="shared" si="43"/>
      </c>
      <c r="J125" s="51">
        <f t="shared" si="5"/>
      </c>
      <c r="K125" s="52">
        <f t="shared" si="119"/>
      </c>
      <c r="L125" s="53">
        <f t="shared" si="81"/>
      </c>
      <c r="M125" s="54">
        <f t="shared" si="214"/>
      </c>
      <c r="N125" s="55">
        <f t="shared" si="157"/>
      </c>
      <c r="O125" s="55">
        <f t="shared" si="176"/>
      </c>
      <c r="P125" s="55">
        <f t="shared" si="309"/>
      </c>
      <c r="Q125" s="55">
        <f t="shared" si="271"/>
      </c>
      <c r="R125" s="54">
        <f t="shared" si="62"/>
      </c>
      <c r="S125" s="56">
        <f t="shared" si="24"/>
      </c>
      <c r="T125" s="55">
        <f t="shared" si="138"/>
      </c>
      <c r="U125" s="55">
        <f t="shared" si="100"/>
      </c>
      <c r="V125" s="55">
        <f t="shared" si="233"/>
      </c>
      <c r="W125" s="55">
        <f t="shared" si="195"/>
      </c>
      <c r="X125" s="38" t="s">
        <v>38</v>
      </c>
      <c r="Y125" s="39" t="s">
        <v>39</v>
      </c>
      <c r="Z125" s="40">
        <v>61525</v>
      </c>
      <c r="AA125" s="40">
        <v>8441</v>
      </c>
      <c r="AB125" s="40">
        <v>84033</v>
      </c>
      <c r="AC125" s="40">
        <v>385</v>
      </c>
      <c r="AD125" s="40">
        <v>5</v>
      </c>
      <c r="AE125" s="40">
        <v>8125</v>
      </c>
      <c r="AF125" s="41">
        <v>154</v>
      </c>
      <c r="AG125" s="41">
        <v>17</v>
      </c>
      <c r="AH125" s="41">
        <v>5</v>
      </c>
      <c r="AI125" s="42">
        <v>0</v>
      </c>
      <c r="AJ125" s="24"/>
      <c r="AK125" s="24"/>
      <c r="AL125" s="24"/>
    </row>
    <row r="126">
      <c r="A126" s="25"/>
      <c r="B126" s="72" t="s">
        <v>36</v>
      </c>
      <c r="C126" s="46" t="s">
        <v>43</v>
      </c>
      <c r="D126" s="57">
        <v>2026.4409999999998</v>
      </c>
      <c r="E126" s="45">
        <v>11</v>
      </c>
      <c r="F126" s="47">
        <f t="shared" si="290"/>
      </c>
      <c r="G126" s="48">
        <v>4205.6</v>
      </c>
      <c r="H126" s="49">
        <f t="shared" si="252"/>
      </c>
      <c r="I126" s="50">
        <f t="shared" si="43"/>
      </c>
      <c r="J126" s="51">
        <f t="shared" si="5"/>
      </c>
      <c r="K126" s="52">
        <f t="shared" si="119"/>
      </c>
      <c r="L126" s="53">
        <f t="shared" si="81"/>
      </c>
      <c r="M126" s="54">
        <f t="shared" si="214"/>
      </c>
      <c r="N126" s="55">
        <f t="shared" si="157"/>
      </c>
      <c r="O126" s="55">
        <f t="shared" si="176"/>
      </c>
      <c r="P126" s="55">
        <f t="shared" si="309"/>
      </c>
      <c r="Q126" s="55">
        <f t="shared" si="271"/>
      </c>
      <c r="R126" s="54">
        <f t="shared" si="62"/>
      </c>
      <c r="S126" s="56">
        <f t="shared" si="24"/>
      </c>
      <c r="T126" s="55">
        <f t="shared" si="138"/>
      </c>
      <c r="U126" s="55">
        <f t="shared" si="100"/>
      </c>
      <c r="V126" s="55">
        <f t="shared" si="233"/>
      </c>
      <c r="W126" s="55">
        <f t="shared" si="195"/>
      </c>
      <c r="X126" s="38" t="s">
        <v>38</v>
      </c>
      <c r="Y126" s="39" t="s">
        <v>39</v>
      </c>
      <c r="Z126" s="40">
        <v>62892</v>
      </c>
      <c r="AA126" s="40">
        <v>8389</v>
      </c>
      <c r="AB126" s="40">
        <v>95427</v>
      </c>
      <c r="AC126" s="40">
        <v>389</v>
      </c>
      <c r="AD126" s="40">
        <v>8</v>
      </c>
      <c r="AE126" s="40">
        <v>8216</v>
      </c>
      <c r="AF126" s="41">
        <v>103</v>
      </c>
      <c r="AG126" s="41">
        <v>22</v>
      </c>
      <c r="AH126" s="41">
        <v>4</v>
      </c>
      <c r="AI126" s="42">
        <v>1</v>
      </c>
      <c r="AJ126" s="24"/>
      <c r="AK126" s="24"/>
      <c r="AL126" s="24"/>
    </row>
    <row r="127">
      <c r="A127" s="25"/>
      <c r="B127" s="58" t="s">
        <v>44</v>
      </c>
      <c r="C127" s="58"/>
      <c r="D127" s="59">
        <f>SUM(D122:D126)</f>
      </c>
      <c r="E127" s="60">
        <f>SUM(E122:E126)</f>
      </c>
      <c r="F127" s="61">
        <f t="shared" si="290"/>
      </c>
      <c r="G127" s="62">
        <f>SUM(G122:G126)</f>
      </c>
      <c r="H127" s="63">
        <f t="shared" si="252"/>
      </c>
      <c r="I127" s="64">
        <f t="shared" si="43"/>
      </c>
      <c r="J127" s="65">
        <f t="shared" si="5"/>
      </c>
      <c r="K127" s="61">
        <f t="shared" si="119"/>
      </c>
      <c r="L127" s="66">
        <f t="shared" si="81"/>
      </c>
      <c r="M127" s="65">
        <f t="shared" si="214"/>
      </c>
      <c r="N127" s="67">
        <f t="shared" si="157"/>
      </c>
      <c r="O127" s="67">
        <f t="shared" si="176"/>
      </c>
      <c r="P127" s="68">
        <f t="shared" si="309"/>
      </c>
      <c r="Q127" s="68">
        <f t="shared" si="271"/>
      </c>
      <c r="R127" s="69">
        <f t="shared" si="62"/>
      </c>
      <c r="S127" s="70">
        <f t="shared" si="24"/>
      </c>
      <c r="T127" s="68">
        <f t="shared" si="138"/>
      </c>
      <c r="U127" s="68">
        <f t="shared" si="100"/>
      </c>
      <c r="V127" s="68">
        <f t="shared" si="233"/>
      </c>
      <c r="W127" s="68">
        <f t="shared" si="195"/>
      </c>
      <c r="X127" s="68"/>
      <c r="Y127" s="71"/>
      <c r="Z127" s="59">
        <f>SUM(Z122:Z126)</f>
      </c>
      <c r="AA127" s="59">
        <f>SUM(AA122:AA126)</f>
      </c>
      <c r="AB127" s="59">
        <f>SUM(AB122:AB126)</f>
      </c>
      <c r="AC127" s="59">
        <f>SUM(AC122:AC126)</f>
      </c>
      <c r="AD127" s="59">
        <f>SUM(AD122:AD126)</f>
      </c>
      <c r="AE127" s="59">
        <f>SUM(AE122:AE126)</f>
      </c>
      <c r="AF127" s="59">
        <f>SUM(AF122:AF126)</f>
      </c>
      <c r="AG127" s="59">
        <f>SUM(AG122:AG126)</f>
      </c>
      <c r="AH127" s="59">
        <f>SUM(AH122:AH126)</f>
      </c>
      <c r="AI127" s="59">
        <f>SUM(AI122:AI126)</f>
      </c>
      <c r="AJ127" s="24"/>
      <c r="AK127" s="24"/>
      <c r="AL127" s="24"/>
    </row>
    <row r="128">
      <c r="A128" s="25"/>
      <c r="B128" s="72" t="s">
        <v>57</v>
      </c>
      <c r="C128" s="73" t="s">
        <v>46</v>
      </c>
      <c r="D128" s="74">
        <v>2258.589</v>
      </c>
      <c r="E128" s="75">
        <v>8</v>
      </c>
      <c r="F128" s="47">
        <f t="shared" si="290"/>
      </c>
      <c r="G128" s="45">
        <v>1759.2000000000007</v>
      </c>
      <c r="H128" s="49">
        <f t="shared" si="252"/>
      </c>
      <c r="I128" s="50">
        <f t="shared" si="43"/>
      </c>
      <c r="J128" s="51">
        <f t="shared" si="5"/>
      </c>
      <c r="K128" s="52">
        <f t="shared" si="119"/>
      </c>
      <c r="L128" s="76">
        <f t="shared" si="81"/>
      </c>
      <c r="M128" s="34">
        <f t="shared" si="214"/>
      </c>
      <c r="N128" s="37">
        <f t="shared" si="157"/>
      </c>
      <c r="O128" s="37">
        <f t="shared" si="176"/>
      </c>
      <c r="P128" s="37">
        <f t="shared" si="309"/>
      </c>
      <c r="Q128" s="37">
        <f t="shared" si="271"/>
      </c>
      <c r="R128" s="34">
        <f t="shared" si="62"/>
      </c>
      <c r="S128" s="35">
        <f t="shared" si="24"/>
      </c>
      <c r="T128" s="37">
        <f t="shared" si="138"/>
      </c>
      <c r="U128" s="37">
        <f t="shared" si="100"/>
      </c>
      <c r="V128" s="37">
        <f t="shared" si="233"/>
      </c>
      <c r="W128" s="37">
        <f t="shared" si="195"/>
      </c>
      <c r="X128" s="38" t="s">
        <v>38</v>
      </c>
      <c r="Y128" s="39" t="s">
        <v>39</v>
      </c>
      <c r="Z128" s="41">
        <v>72867</v>
      </c>
      <c r="AA128" s="41">
        <v>9987</v>
      </c>
      <c r="AB128" s="41">
        <v>105501</v>
      </c>
      <c r="AC128" s="41">
        <v>311</v>
      </c>
      <c r="AD128" s="41">
        <v>7</v>
      </c>
      <c r="AE128" s="41">
        <v>9411</v>
      </c>
      <c r="AF128" s="41">
        <v>165</v>
      </c>
      <c r="AG128" s="41">
        <v>17</v>
      </c>
      <c r="AH128" s="41">
        <v>8</v>
      </c>
      <c r="AI128" s="42">
        <v>4</v>
      </c>
      <c r="AJ128" s="24"/>
      <c r="AK128" s="24"/>
      <c r="AL128" s="24"/>
    </row>
    <row r="129">
      <c r="A129" s="25"/>
      <c r="B129" s="72" t="s">
        <v>57</v>
      </c>
      <c r="C129" s="77" t="s">
        <v>47</v>
      </c>
      <c r="D129" s="44">
        <v>2979.2609999999995</v>
      </c>
      <c r="E129" s="45">
        <v>15</v>
      </c>
      <c r="F129" s="47">
        <f t="shared" si="290"/>
      </c>
      <c r="G129" s="48">
        <v>8781.599999999999</v>
      </c>
      <c r="H129" s="49">
        <f t="shared" si="252"/>
      </c>
      <c r="I129" s="50">
        <f t="shared" si="43"/>
      </c>
      <c r="J129" s="51">
        <f t="shared" si="5"/>
      </c>
      <c r="K129" s="52">
        <f t="shared" si="119"/>
      </c>
      <c r="L129" s="76">
        <f t="shared" si="81"/>
      </c>
      <c r="M129" s="34">
        <f t="shared" si="214"/>
      </c>
      <c r="N129" s="37">
        <f t="shared" si="157"/>
      </c>
      <c r="O129" s="37">
        <f t="shared" si="176"/>
      </c>
      <c r="P129" s="37">
        <f t="shared" si="309"/>
      </c>
      <c r="Q129" s="37">
        <f t="shared" si="271"/>
      </c>
      <c r="R129" s="34">
        <f t="shared" si="62"/>
      </c>
      <c r="S129" s="35">
        <f t="shared" si="24"/>
      </c>
      <c r="T129" s="37">
        <f t="shared" si="138"/>
      </c>
      <c r="U129" s="37">
        <f t="shared" si="100"/>
      </c>
      <c r="V129" s="37">
        <f t="shared" si="233"/>
      </c>
      <c r="W129" s="37">
        <f t="shared" si="195"/>
      </c>
      <c r="X129" s="38" t="s">
        <v>38</v>
      </c>
      <c r="Y129" s="39" t="s">
        <v>39</v>
      </c>
      <c r="Z129" s="41">
        <v>142365</v>
      </c>
      <c r="AA129" s="41">
        <v>9268</v>
      </c>
      <c r="AB129" s="41">
        <v>128229</v>
      </c>
      <c r="AC129" s="41">
        <v>358</v>
      </c>
      <c r="AD129" s="41">
        <v>7</v>
      </c>
      <c r="AE129" s="41">
        <v>9048</v>
      </c>
      <c r="AF129" s="41">
        <v>162</v>
      </c>
      <c r="AG129" s="41">
        <v>22</v>
      </c>
      <c r="AH129" s="41">
        <v>10</v>
      </c>
      <c r="AI129" s="42">
        <v>7</v>
      </c>
      <c r="AJ129" s="24"/>
      <c r="AK129" s="24"/>
      <c r="AL129" s="24"/>
    </row>
    <row r="130">
      <c r="A130" s="25"/>
      <c r="B130" s="72" t="s">
        <v>57</v>
      </c>
      <c r="C130" s="78" t="s">
        <v>48</v>
      </c>
      <c r="D130" s="44">
        <v>2673.017</v>
      </c>
      <c r="E130" s="45">
        <v>6</v>
      </c>
      <c r="F130" s="30">
        <f t="shared" si="290"/>
      </c>
      <c r="G130" s="23">
        <v>1357.2000000000007</v>
      </c>
      <c r="H130" s="32">
        <f t="shared" si="252"/>
      </c>
      <c r="I130" s="33">
        <f t="shared" si="43"/>
      </c>
      <c r="J130" s="34">
        <f t="shared" si="5"/>
      </c>
      <c r="K130" s="35">
        <f t="shared" si="119"/>
      </c>
      <c r="L130" s="79">
        <f t="shared" si="81"/>
      </c>
      <c r="M130" s="54">
        <f t="shared" si="214"/>
      </c>
      <c r="N130" s="55">
        <f t="shared" si="157"/>
      </c>
      <c r="O130" s="55">
        <f t="shared" si="176"/>
      </c>
      <c r="P130" s="55">
        <f t="shared" si="309"/>
      </c>
      <c r="Q130" s="55">
        <f t="shared" si="271"/>
      </c>
      <c r="R130" s="54">
        <f t="shared" si="62"/>
      </c>
      <c r="S130" s="56">
        <f t="shared" si="24"/>
      </c>
      <c r="T130" s="55">
        <f t="shared" si="138"/>
      </c>
      <c r="U130" s="55">
        <f t="shared" si="100"/>
      </c>
      <c r="V130" s="55">
        <f t="shared" si="233"/>
      </c>
      <c r="W130" s="55">
        <f t="shared" si="195"/>
      </c>
      <c r="X130" s="38" t="s">
        <v>38</v>
      </c>
      <c r="Y130" s="39" t="s">
        <v>39</v>
      </c>
      <c r="Z130" s="41">
        <v>129705</v>
      </c>
      <c r="AA130" s="41">
        <v>8380</v>
      </c>
      <c r="AB130" s="41">
        <v>114430</v>
      </c>
      <c r="AC130" s="41">
        <v>309</v>
      </c>
      <c r="AD130" s="41">
        <v>5</v>
      </c>
      <c r="AE130" s="41">
        <v>7430</v>
      </c>
      <c r="AF130" s="41">
        <v>156</v>
      </c>
      <c r="AG130" s="41">
        <v>16</v>
      </c>
      <c r="AH130" s="41">
        <v>8</v>
      </c>
      <c r="AI130" s="42">
        <v>1</v>
      </c>
      <c r="AJ130" s="24"/>
      <c r="AK130" s="24"/>
      <c r="AL130" s="24"/>
    </row>
    <row r="131">
      <c r="A131" s="25"/>
      <c r="B131" s="72" t="s">
        <v>57</v>
      </c>
      <c r="C131" s="78" t="s">
        <v>49</v>
      </c>
      <c r="D131" s="57">
        <v>1982.9920000000002</v>
      </c>
      <c r="E131" s="45">
        <v>3</v>
      </c>
      <c r="F131" s="30">
        <f t="shared" si="290"/>
      </c>
      <c r="G131" s="23">
        <v>652</v>
      </c>
      <c r="H131" s="32">
        <f t="shared" si="252"/>
      </c>
      <c r="I131" s="33">
        <f t="shared" si="43"/>
      </c>
      <c r="J131" s="34">
        <f t="shared" si="5"/>
      </c>
      <c r="K131" s="35">
        <f t="shared" si="119"/>
      </c>
      <c r="L131" s="79">
        <f t="shared" si="81"/>
      </c>
      <c r="M131" s="54">
        <f t="shared" si="214"/>
      </c>
      <c r="N131" s="55">
        <f t="shared" si="157"/>
      </c>
      <c r="O131" s="55">
        <f t="shared" si="176"/>
      </c>
      <c r="P131" s="55">
        <f t="shared" si="309"/>
      </c>
      <c r="Q131" s="55">
        <f t="shared" si="271"/>
      </c>
      <c r="R131" s="54">
        <f t="shared" si="62"/>
      </c>
      <c r="S131" s="56">
        <f t="shared" si="24"/>
      </c>
      <c r="T131" s="55">
        <f t="shared" si="138"/>
      </c>
      <c r="U131" s="55">
        <f t="shared" si="100"/>
      </c>
      <c r="V131" s="55">
        <f t="shared" si="233"/>
      </c>
      <c r="W131" s="55">
        <f t="shared" si="195"/>
      </c>
      <c r="X131" s="38" t="s">
        <v>38</v>
      </c>
      <c r="Y131" s="39" t="s">
        <v>39</v>
      </c>
      <c r="Z131" s="41">
        <v>72238</v>
      </c>
      <c r="AA131" s="41">
        <v>8009</v>
      </c>
      <c r="AB131" s="41">
        <v>86449</v>
      </c>
      <c r="AC131" s="41">
        <v>268</v>
      </c>
      <c r="AD131" s="41">
        <v>3</v>
      </c>
      <c r="AE131" s="41">
        <v>6120</v>
      </c>
      <c r="AF131" s="41">
        <v>155</v>
      </c>
      <c r="AG131" s="41">
        <v>11</v>
      </c>
      <c r="AH131" s="41">
        <v>5</v>
      </c>
      <c r="AI131" s="42">
        <v>0</v>
      </c>
      <c r="AJ131" s="24"/>
      <c r="AK131" s="24"/>
      <c r="AL131" s="24"/>
    </row>
    <row r="132">
      <c r="A132" s="25"/>
      <c r="B132" s="58" t="s">
        <v>44</v>
      </c>
      <c r="C132" s="58"/>
      <c r="D132" s="59">
        <f>SUM(D128:D131)</f>
      </c>
      <c r="E132" s="60">
        <f>SUM(E128:E131)</f>
      </c>
      <c r="F132" s="61">
        <f t="shared" si="290"/>
      </c>
      <c r="G132" s="62">
        <f>SUM(G128:G131)</f>
      </c>
      <c r="H132" s="63">
        <f t="shared" si="252"/>
      </c>
      <c r="I132" s="64">
        <f t="shared" si="43"/>
      </c>
      <c r="J132" s="65">
        <f t="shared" si="5"/>
      </c>
      <c r="K132" s="61">
        <f t="shared" si="119"/>
      </c>
      <c r="L132" s="66">
        <f t="shared" si="81"/>
      </c>
      <c r="M132" s="65">
        <f t="shared" si="214"/>
      </c>
      <c r="N132" s="67">
        <f t="shared" si="157"/>
      </c>
      <c r="O132" s="67">
        <f t="shared" si="176"/>
      </c>
      <c r="P132" s="68">
        <f t="shared" si="309"/>
      </c>
      <c r="Q132" s="68">
        <f t="shared" si="271"/>
      </c>
      <c r="R132" s="69">
        <f t="shared" si="62"/>
      </c>
      <c r="S132" s="70">
        <f t="shared" si="24"/>
      </c>
      <c r="T132" s="68">
        <f t="shared" si="138"/>
      </c>
      <c r="U132" s="68">
        <f t="shared" si="100"/>
      </c>
      <c r="V132" s="68">
        <f t="shared" si="233"/>
      </c>
      <c r="W132" s="68">
        <f t="shared" si="195"/>
      </c>
      <c r="X132" s="68"/>
      <c r="Y132" s="71"/>
      <c r="Z132" s="59">
        <f>SUM(Z128:Z131)</f>
      </c>
      <c r="AA132" s="59">
        <f>SUM(AA128:AA131)</f>
      </c>
      <c r="AB132" s="59">
        <f>SUM(AB128:AB131)</f>
      </c>
      <c r="AC132" s="59">
        <f>SUM(AC128:AC131)</f>
      </c>
      <c r="AD132" s="59">
        <f>SUM(AD128:AD131)</f>
      </c>
      <c r="AE132" s="59">
        <f>SUM(AE128:AE131)</f>
      </c>
      <c r="AF132" s="59">
        <f>SUM(AF128:AF131)</f>
      </c>
      <c r="AG132" s="59">
        <f>SUM(AG128:AG131)</f>
      </c>
      <c r="AH132" s="59">
        <f>SUM(AH128:AH131)</f>
      </c>
      <c r="AI132" s="59">
        <f>SUM(AI128:AI131)</f>
      </c>
      <c r="AJ132" s="24"/>
      <c r="AK132" s="24"/>
      <c r="AL132" s="24"/>
    </row>
    <row r="133">
      <c r="A133" s="25"/>
      <c r="B133" s="72" t="s">
        <v>45</v>
      </c>
      <c r="C133" s="38" t="s">
        <v>51</v>
      </c>
      <c r="D133" s="84">
        <v>907.745</v>
      </c>
      <c r="E133" s="45">
        <v>2</v>
      </c>
      <c r="F133" s="30">
        <f t="shared" si="290"/>
      </c>
      <c r="G133" s="45">
        <v>456</v>
      </c>
      <c r="H133" s="32">
        <f t="shared" si="252"/>
      </c>
      <c r="I133" s="33">
        <f t="shared" si="43"/>
      </c>
      <c r="J133" s="34">
        <f t="shared" si="5"/>
      </c>
      <c r="K133" s="35">
        <f t="shared" si="119"/>
      </c>
      <c r="L133" s="79">
        <f t="shared" si="81"/>
      </c>
      <c r="M133" s="54">
        <f t="shared" si="214"/>
      </c>
      <c r="N133" s="55">
        <f t="shared" si="157"/>
      </c>
      <c r="O133" s="55">
        <f t="shared" si="176"/>
      </c>
      <c r="P133" s="55">
        <f t="shared" si="309"/>
      </c>
      <c r="Q133" s="55">
        <f t="shared" si="271"/>
      </c>
      <c r="R133" s="54">
        <f t="shared" si="62"/>
      </c>
      <c r="S133" s="56">
        <f t="shared" si="24"/>
      </c>
      <c r="T133" s="55">
        <f t="shared" si="138"/>
      </c>
      <c r="U133" s="55">
        <f t="shared" si="100"/>
      </c>
      <c r="V133" s="55">
        <f t="shared" si="233"/>
      </c>
      <c r="W133" s="55">
        <f t="shared" si="195"/>
      </c>
      <c r="X133" s="38" t="s">
        <v>52</v>
      </c>
      <c r="Y133" s="39" t="s">
        <v>39</v>
      </c>
      <c r="Z133" s="41">
        <v>41128</v>
      </c>
      <c r="AA133" s="41">
        <v>3884</v>
      </c>
      <c r="AB133" s="41">
        <v>34003</v>
      </c>
      <c r="AC133" s="41">
        <v>221</v>
      </c>
      <c r="AD133" s="41">
        <v>2</v>
      </c>
      <c r="AE133" s="41">
        <v>2599</v>
      </c>
      <c r="AF133" s="41">
        <v>126</v>
      </c>
      <c r="AG133" s="41">
        <v>7</v>
      </c>
      <c r="AH133" s="41">
        <v>0</v>
      </c>
      <c r="AI133" s="42">
        <v>0</v>
      </c>
      <c r="AJ133" s="24"/>
      <c r="AK133" s="24"/>
      <c r="AL133" s="24"/>
    </row>
    <row r="134">
      <c r="A134" s="25"/>
      <c r="B134" s="72" t="s">
        <v>45</v>
      </c>
      <c r="C134" s="78" t="s">
        <v>53</v>
      </c>
      <c r="D134" s="85">
        <v>1586.093</v>
      </c>
      <c r="E134" s="45">
        <v>0</v>
      </c>
      <c r="F134" s="30">
        <f t="shared" si="290"/>
      </c>
      <c r="G134" s="45">
        <v>0</v>
      </c>
      <c r="H134" s="32">
        <f t="shared" si="252"/>
      </c>
      <c r="I134" s="33">
        <f t="shared" si="43"/>
      </c>
      <c r="J134" s="34">
        <f t="shared" si="5"/>
      </c>
      <c r="K134" s="35">
        <f t="shared" si="119"/>
      </c>
      <c r="L134" s="79">
        <f t="shared" si="81"/>
      </c>
      <c r="M134" s="54">
        <f t="shared" si="214"/>
      </c>
      <c r="N134" s="55">
        <f t="shared" si="157"/>
      </c>
      <c r="O134" s="55">
        <f t="shared" si="176"/>
      </c>
      <c r="P134" s="55">
        <f t="shared" si="309"/>
      </c>
      <c r="Q134" s="55">
        <f t="shared" si="271"/>
      </c>
      <c r="R134" s="54">
        <f t="shared" si="62"/>
      </c>
      <c r="S134" s="56">
        <f t="shared" si="24"/>
      </c>
      <c r="T134" s="55">
        <f t="shared" si="138"/>
      </c>
      <c r="U134" s="55">
        <f t="shared" si="100"/>
      </c>
      <c r="V134" s="55">
        <f t="shared" si="233"/>
      </c>
      <c r="W134" s="55">
        <f t="shared" si="195"/>
      </c>
      <c r="X134" s="38" t="s">
        <v>52</v>
      </c>
      <c r="Y134" s="86" t="s">
        <v>54</v>
      </c>
      <c r="Z134" s="41">
        <v>58770</v>
      </c>
      <c r="AA134" s="41">
        <v>7414</v>
      </c>
      <c r="AB134" s="41">
        <v>76089</v>
      </c>
      <c r="AC134" s="41">
        <v>449</v>
      </c>
      <c r="AD134" s="41">
        <v>0</v>
      </c>
      <c r="AE134" s="41">
        <v>5394</v>
      </c>
      <c r="AF134" s="41">
        <v>170</v>
      </c>
      <c r="AG134" s="41">
        <v>14</v>
      </c>
      <c r="AH134" s="41">
        <v>2</v>
      </c>
      <c r="AI134" s="42">
        <v>0</v>
      </c>
      <c r="AJ134" s="24"/>
      <c r="AK134" s="24"/>
      <c r="AL134" s="24"/>
    </row>
    <row r="135">
      <c r="A135" s="25"/>
      <c r="B135" s="72" t="s">
        <v>45</v>
      </c>
      <c r="C135" s="78" t="s">
        <v>55</v>
      </c>
      <c r="D135" s="85">
        <v>2166.65</v>
      </c>
      <c r="E135" s="45">
        <v>7</v>
      </c>
      <c r="F135" s="30">
        <f t="shared" si="290"/>
      </c>
      <c r="G135" s="45">
        <v>1966.9</v>
      </c>
      <c r="H135" s="32">
        <f t="shared" si="252"/>
      </c>
      <c r="I135" s="33">
        <f t="shared" si="43"/>
      </c>
      <c r="J135" s="34">
        <f t="shared" si="5"/>
      </c>
      <c r="K135" s="35">
        <f t="shared" si="119"/>
      </c>
      <c r="L135" s="79">
        <f t="shared" si="81"/>
      </c>
      <c r="M135" s="54">
        <f t="shared" si="214"/>
      </c>
      <c r="N135" s="55">
        <f t="shared" si="157"/>
      </c>
      <c r="O135" s="55">
        <f t="shared" si="176"/>
      </c>
      <c r="P135" s="55">
        <f t="shared" si="309"/>
      </c>
      <c r="Q135" s="55">
        <f t="shared" si="271"/>
      </c>
      <c r="R135" s="54">
        <f t="shared" si="62"/>
      </c>
      <c r="S135" s="56">
        <f t="shared" si="24"/>
      </c>
      <c r="T135" s="55">
        <f t="shared" si="138"/>
      </c>
      <c r="U135" s="55">
        <f t="shared" si="100"/>
      </c>
      <c r="V135" s="55">
        <f t="shared" si="233"/>
      </c>
      <c r="W135" s="55">
        <f t="shared" si="195"/>
      </c>
      <c r="X135" s="38" t="s">
        <v>52</v>
      </c>
      <c r="Y135" s="86" t="s">
        <v>54</v>
      </c>
      <c r="Z135" s="41">
        <v>75181</v>
      </c>
      <c r="AA135" s="41">
        <v>14025</v>
      </c>
      <c r="AB135" s="41">
        <v>106314</v>
      </c>
      <c r="AC135" s="41">
        <v>802</v>
      </c>
      <c r="AD135" s="41">
        <v>5</v>
      </c>
      <c r="AE135" s="41">
        <v>10189</v>
      </c>
      <c r="AF135" s="41">
        <v>186</v>
      </c>
      <c r="AG135" s="41">
        <v>22</v>
      </c>
      <c r="AH135" s="41">
        <v>7</v>
      </c>
      <c r="AI135" s="42">
        <v>2</v>
      </c>
      <c r="AJ135" s="24"/>
      <c r="AK135" s="24"/>
      <c r="AL135" s="24"/>
    </row>
    <row r="136">
      <c r="A136" s="25"/>
      <c r="B136" s="72" t="s">
        <v>45</v>
      </c>
      <c r="C136" s="78" t="s">
        <v>56</v>
      </c>
      <c r="D136" s="85">
        <v>2672.308</v>
      </c>
      <c r="E136" s="45">
        <v>3</v>
      </c>
      <c r="F136" s="30">
        <f t="shared" si="290"/>
      </c>
      <c r="G136" s="45">
        <v>1273.2</v>
      </c>
      <c r="H136" s="32">
        <f t="shared" si="252"/>
      </c>
      <c r="I136" s="33">
        <f t="shared" si="43"/>
      </c>
      <c r="J136" s="34">
        <f t="shared" si="5"/>
      </c>
      <c r="K136" s="35">
        <f t="shared" si="119"/>
      </c>
      <c r="L136" s="79">
        <f t="shared" si="81"/>
      </c>
      <c r="M136" s="54">
        <f t="shared" si="214"/>
      </c>
      <c r="N136" s="55">
        <f t="shared" si="157"/>
      </c>
      <c r="O136" s="55">
        <f t="shared" si="176"/>
      </c>
      <c r="P136" s="55">
        <f t="shared" si="309"/>
      </c>
      <c r="Q136" s="55">
        <f t="shared" si="271"/>
      </c>
      <c r="R136" s="54">
        <f t="shared" si="62"/>
      </c>
      <c r="S136" s="56">
        <f t="shared" si="24"/>
      </c>
      <c r="T136" s="55">
        <f t="shared" si="138"/>
      </c>
      <c r="U136" s="55">
        <f t="shared" si="100"/>
      </c>
      <c r="V136" s="55">
        <f t="shared" si="233"/>
      </c>
      <c r="W136" s="55">
        <f t="shared" si="195"/>
      </c>
      <c r="X136" s="38" t="s">
        <v>52</v>
      </c>
      <c r="Y136" s="86" t="s">
        <v>54</v>
      </c>
      <c r="Z136" s="41">
        <v>95387</v>
      </c>
      <c r="AA136" s="41">
        <v>12460</v>
      </c>
      <c r="AB136" s="41">
        <v>139665</v>
      </c>
      <c r="AC136" s="41">
        <v>669</v>
      </c>
      <c r="AD136" s="41">
        <v>2</v>
      </c>
      <c r="AE136" s="41">
        <v>9982</v>
      </c>
      <c r="AF136" s="41">
        <v>136</v>
      </c>
      <c r="AG136" s="41">
        <v>21</v>
      </c>
      <c r="AH136" s="41">
        <v>4</v>
      </c>
      <c r="AI136" s="42">
        <v>0</v>
      </c>
      <c r="AJ136" s="24"/>
      <c r="AK136" s="24"/>
      <c r="AL136" s="24"/>
    </row>
    <row r="137">
      <c r="A137" s="25"/>
      <c r="B137" s="58" t="s">
        <v>44</v>
      </c>
      <c r="C137" s="58"/>
      <c r="D137" s="59">
        <f>SUM(D133:D136)</f>
      </c>
      <c r="E137" s="60">
        <f>SUM(E133:E136)</f>
      </c>
      <c r="F137" s="70">
        <f t="shared" si="290"/>
      </c>
      <c r="G137" s="80">
        <f>SUM(G133:G136)</f>
      </c>
      <c r="H137" s="81">
        <f t="shared" si="252"/>
      </c>
      <c r="I137" s="82">
        <f t="shared" si="43"/>
      </c>
      <c r="J137" s="69">
        <f t="shared" si="5"/>
      </c>
      <c r="K137" s="70">
        <f t="shared" si="119"/>
      </c>
      <c r="L137" s="83">
        <f t="shared" si="81"/>
      </c>
      <c r="M137" s="69">
        <f t="shared" si="214"/>
      </c>
      <c r="N137" s="68">
        <f t="shared" si="157"/>
      </c>
      <c r="O137" s="68">
        <f t="shared" si="176"/>
      </c>
      <c r="P137" s="68">
        <f t="shared" si="309"/>
      </c>
      <c r="Q137" s="68">
        <f t="shared" si="271"/>
      </c>
      <c r="R137" s="69">
        <f t="shared" si="62"/>
      </c>
      <c r="S137" s="70">
        <f t="shared" si="24"/>
      </c>
      <c r="T137" s="68">
        <f t="shared" si="138"/>
      </c>
      <c r="U137" s="68">
        <f t="shared" si="100"/>
      </c>
      <c r="V137" s="68">
        <f t="shared" si="233"/>
      </c>
      <c r="W137" s="68">
        <f t="shared" si="195"/>
      </c>
      <c r="X137" s="68"/>
      <c r="Y137" s="71"/>
      <c r="Z137" s="59">
        <f>SUM(Z133:Z136)</f>
      </c>
      <c r="AA137" s="59">
        <f>SUM(AA133:AA136)</f>
      </c>
      <c r="AB137" s="59">
        <f>SUM(AB133:AB136)</f>
      </c>
      <c r="AC137" s="59">
        <f>SUM(AC133:AC136)</f>
      </c>
      <c r="AD137" s="59">
        <f>SUM(AD133:AD136)</f>
      </c>
      <c r="AE137" s="59">
        <f>SUM(AE133:AE136)</f>
      </c>
      <c r="AF137" s="59">
        <f>SUM(AF133:AF136)</f>
      </c>
      <c r="AG137" s="59">
        <f>SUM(AG133:AG136)</f>
      </c>
      <c r="AH137" s="59">
        <f>SUM(AH133:AH136)</f>
      </c>
      <c r="AI137" s="59">
        <f>SUM(AI133:AI136)</f>
      </c>
      <c r="AJ137" s="24"/>
      <c r="AK137" s="24"/>
      <c r="AL137" s="24"/>
    </row>
    <row r="138">
      <c r="A138" s="25"/>
      <c r="B138" s="72" t="s">
        <v>50</v>
      </c>
      <c r="C138" s="78" t="s">
        <v>58</v>
      </c>
      <c r="D138" s="84">
        <v>2493.783</v>
      </c>
      <c r="E138" s="45">
        <v>5</v>
      </c>
      <c r="F138" s="30">
        <f t="shared" si="290"/>
      </c>
      <c r="G138" s="45">
        <v>2929.2</v>
      </c>
      <c r="H138" s="32">
        <f t="shared" si="252"/>
      </c>
      <c r="I138" s="33">
        <f t="shared" si="43"/>
      </c>
      <c r="J138" s="34">
        <f t="shared" si="5"/>
      </c>
      <c r="K138" s="35">
        <f t="shared" si="119"/>
      </c>
      <c r="L138" s="79">
        <f t="shared" si="81"/>
      </c>
      <c r="M138" s="54">
        <f t="shared" si="214"/>
      </c>
      <c r="N138" s="55">
        <f t="shared" si="157"/>
      </c>
      <c r="O138" s="55">
        <f t="shared" si="176"/>
      </c>
      <c r="P138" s="55">
        <f t="shared" si="309"/>
      </c>
      <c r="Q138" s="55">
        <f t="shared" si="271"/>
      </c>
      <c r="R138" s="54">
        <f t="shared" si="62"/>
      </c>
      <c r="S138" s="56">
        <f t="shared" si="24"/>
      </c>
      <c r="T138" s="55">
        <f t="shared" si="138"/>
      </c>
      <c r="U138" s="55">
        <f t="shared" si="100"/>
      </c>
      <c r="V138" s="55">
        <f t="shared" si="233"/>
      </c>
      <c r="W138" s="55">
        <f t="shared" si="195"/>
      </c>
      <c r="X138" s="38" t="s">
        <v>52</v>
      </c>
      <c r="Y138" s="86" t="s">
        <v>54</v>
      </c>
      <c r="Z138" s="41">
        <v>80167</v>
      </c>
      <c r="AA138" s="41">
        <v>10151</v>
      </c>
      <c r="AB138" s="41">
        <v>133114</v>
      </c>
      <c r="AC138" s="41">
        <v>565</v>
      </c>
      <c r="AD138" s="41">
        <v>5</v>
      </c>
      <c r="AE138" s="41">
        <v>8257</v>
      </c>
      <c r="AF138" s="41">
        <v>140</v>
      </c>
      <c r="AG138" s="41">
        <v>16</v>
      </c>
      <c r="AH138" s="41">
        <v>4</v>
      </c>
      <c r="AI138" s="42">
        <v>2</v>
      </c>
      <c r="AJ138" s="24"/>
      <c r="AK138" s="24"/>
      <c r="AL138" s="24"/>
    </row>
    <row r="139">
      <c r="A139" s="25"/>
      <c r="B139" s="72" t="s">
        <v>50</v>
      </c>
      <c r="C139" s="78" t="s">
        <v>59</v>
      </c>
      <c r="D139" s="85">
        <v>1407.865</v>
      </c>
      <c r="E139" s="45">
        <v>5</v>
      </c>
      <c r="F139" s="30">
        <f t="shared" si="290"/>
      </c>
      <c r="G139" s="45">
        <v>2797.2</v>
      </c>
      <c r="H139" s="32">
        <f t="shared" si="252"/>
      </c>
      <c r="I139" s="33">
        <f t="shared" si="43"/>
      </c>
      <c r="J139" s="34">
        <f t="shared" si="5"/>
      </c>
      <c r="K139" s="35">
        <f t="shared" si="119"/>
      </c>
      <c r="L139" s="79">
        <f t="shared" si="81"/>
      </c>
      <c r="M139" s="54">
        <f t="shared" si="214"/>
      </c>
      <c r="N139" s="55">
        <f t="shared" si="157"/>
      </c>
      <c r="O139" s="55">
        <f t="shared" si="176"/>
      </c>
      <c r="P139" s="55">
        <f t="shared" si="309"/>
      </c>
      <c r="Q139" s="55">
        <f t="shared" si="271"/>
      </c>
      <c r="R139" s="54">
        <f t="shared" si="62"/>
      </c>
      <c r="S139" s="56">
        <f t="shared" si="24"/>
      </c>
      <c r="T139" s="55">
        <f t="shared" si="138"/>
      </c>
      <c r="U139" s="55">
        <f t="shared" si="100"/>
      </c>
      <c r="V139" s="55">
        <f t="shared" si="233"/>
      </c>
      <c r="W139" s="55">
        <f t="shared" si="195"/>
      </c>
      <c r="X139" s="38" t="s">
        <v>52</v>
      </c>
      <c r="Y139" s="86" t="s">
        <v>54</v>
      </c>
      <c r="Z139" s="41">
        <v>54275</v>
      </c>
      <c r="AA139" s="41">
        <v>5197</v>
      </c>
      <c r="AB139" s="41">
        <v>62887</v>
      </c>
      <c r="AC139" s="41">
        <v>325</v>
      </c>
      <c r="AD139" s="41">
        <v>3</v>
      </c>
      <c r="AE139" s="41">
        <v>3857</v>
      </c>
      <c r="AF139" s="41">
        <v>100</v>
      </c>
      <c r="AG139" s="41">
        <v>14</v>
      </c>
      <c r="AH139" s="41">
        <v>2</v>
      </c>
      <c r="AI139" s="42">
        <v>1</v>
      </c>
      <c r="AJ139" s="24"/>
      <c r="AK139" s="24"/>
      <c r="AL139" s="24"/>
    </row>
    <row r="140">
      <c r="A140" s="25"/>
      <c r="B140" s="72" t="s">
        <v>50</v>
      </c>
      <c r="C140" s="78" t="s">
        <v>60</v>
      </c>
      <c r="D140" s="85">
        <v>1274.226</v>
      </c>
      <c r="E140" s="45">
        <v>4</v>
      </c>
      <c r="F140" s="30">
        <f t="shared" si="290"/>
      </c>
      <c r="G140" s="45">
        <v>3235.2</v>
      </c>
      <c r="H140" s="32">
        <f t="shared" si="252"/>
      </c>
      <c r="I140" s="33">
        <f t="shared" si="43"/>
      </c>
      <c r="J140" s="34">
        <f t="shared" si="5"/>
      </c>
      <c r="K140" s="35">
        <f t="shared" si="119"/>
      </c>
      <c r="L140" s="79">
        <f t="shared" si="81"/>
      </c>
      <c r="M140" s="54">
        <f t="shared" si="214"/>
      </c>
      <c r="N140" s="55">
        <f t="shared" si="157"/>
      </c>
      <c r="O140" s="55">
        <f t="shared" si="176"/>
      </c>
      <c r="P140" s="55">
        <f t="shared" si="309"/>
      </c>
      <c r="Q140" s="55">
        <f t="shared" si="271"/>
      </c>
      <c r="R140" s="54">
        <f t="shared" si="62"/>
      </c>
      <c r="S140" s="56">
        <f t="shared" si="24"/>
      </c>
      <c r="T140" s="55">
        <f t="shared" si="138"/>
      </c>
      <c r="U140" s="55">
        <f t="shared" si="100"/>
      </c>
      <c r="V140" s="55">
        <f t="shared" si="233"/>
      </c>
      <c r="W140" s="55">
        <f t="shared" si="195"/>
      </c>
      <c r="X140" s="38" t="s">
        <v>52</v>
      </c>
      <c r="Y140" s="86" t="s">
        <v>54</v>
      </c>
      <c r="Z140" s="41">
        <v>56184</v>
      </c>
      <c r="AA140" s="41">
        <v>5120</v>
      </c>
      <c r="AB140" s="41">
        <v>53283</v>
      </c>
      <c r="AC140" s="41">
        <v>306</v>
      </c>
      <c r="AD140" s="41">
        <v>3</v>
      </c>
      <c r="AE140" s="41">
        <v>3411</v>
      </c>
      <c r="AF140" s="41">
        <v>116</v>
      </c>
      <c r="AG140" s="41">
        <v>16</v>
      </c>
      <c r="AH140" s="41">
        <v>2</v>
      </c>
      <c r="AI140" s="42">
        <v>1</v>
      </c>
      <c r="AJ140" s="24"/>
      <c r="AK140" s="24"/>
      <c r="AL140" s="24"/>
    </row>
    <row r="141">
      <c r="A141" s="25"/>
      <c r="B141" s="72" t="s">
        <v>50</v>
      </c>
      <c r="C141" s="78" t="s">
        <v>61</v>
      </c>
      <c r="D141" s="85">
        <v>1106.404</v>
      </c>
      <c r="E141" s="45">
        <v>1</v>
      </c>
      <c r="F141" s="30">
        <f t="shared" si="290"/>
      </c>
      <c r="G141" s="45">
        <v>828</v>
      </c>
      <c r="H141" s="32">
        <f t="shared" si="252"/>
      </c>
      <c r="I141" s="33">
        <f t="shared" si="43"/>
      </c>
      <c r="J141" s="34">
        <f t="shared" si="5"/>
      </c>
      <c r="K141" s="35">
        <f t="shared" si="119"/>
      </c>
      <c r="L141" s="79">
        <f t="shared" si="81"/>
      </c>
      <c r="M141" s="54">
        <f t="shared" si="214"/>
      </c>
      <c r="N141" s="55">
        <f t="shared" si="157"/>
      </c>
      <c r="O141" s="55">
        <f t="shared" si="176"/>
      </c>
      <c r="P141" s="55">
        <f t="shared" si="309"/>
      </c>
      <c r="Q141" s="55">
        <f t="shared" si="271"/>
      </c>
      <c r="R141" s="54">
        <f t="shared" si="62"/>
      </c>
      <c r="S141" s="56">
        <f t="shared" si="24"/>
      </c>
      <c r="T141" s="55">
        <f t="shared" si="138"/>
      </c>
      <c r="U141" s="55">
        <f t="shared" si="100"/>
      </c>
      <c r="V141" s="55">
        <f t="shared" si="233"/>
      </c>
      <c r="W141" s="55">
        <f t="shared" si="195"/>
      </c>
      <c r="X141" s="38" t="s">
        <v>52</v>
      </c>
      <c r="Y141" s="86" t="s">
        <v>54</v>
      </c>
      <c r="Z141" s="41">
        <v>50311</v>
      </c>
      <c r="AA141" s="41">
        <v>4257</v>
      </c>
      <c r="AB141" s="41">
        <v>52006</v>
      </c>
      <c r="AC141" s="41">
        <v>255</v>
      </c>
      <c r="AD141" s="41">
        <v>1</v>
      </c>
      <c r="AE141" s="41">
        <v>2979</v>
      </c>
      <c r="AF141" s="41">
        <v>71</v>
      </c>
      <c r="AG141" s="41">
        <v>9</v>
      </c>
      <c r="AH141" s="41">
        <v>5</v>
      </c>
      <c r="AI141" s="42">
        <v>0</v>
      </c>
      <c r="AJ141" s="24"/>
      <c r="AK141" s="24"/>
      <c r="AL141" s="24"/>
    </row>
    <row r="142">
      <c r="A142" s="25"/>
      <c r="B142" s="72" t="s">
        <v>50</v>
      </c>
      <c r="C142" s="78" t="s">
        <v>62</v>
      </c>
      <c r="D142" s="85">
        <v>2241.968</v>
      </c>
      <c r="E142" s="45">
        <v>5</v>
      </c>
      <c r="F142" s="47">
        <f t="shared" si="290"/>
      </c>
      <c r="G142" s="45">
        <v>1707.6</v>
      </c>
      <c r="H142" s="49">
        <f t="shared" si="252"/>
      </c>
      <c r="I142" s="50">
        <f t="shared" si="43"/>
      </c>
      <c r="J142" s="51">
        <f t="shared" si="5"/>
      </c>
      <c r="K142" s="52">
        <f t="shared" si="119"/>
      </c>
      <c r="L142" s="53">
        <f t="shared" si="81"/>
      </c>
      <c r="M142" s="54">
        <f t="shared" si="214"/>
      </c>
      <c r="N142" s="55">
        <f t="shared" si="157"/>
      </c>
      <c r="O142" s="55">
        <f t="shared" si="176"/>
      </c>
      <c r="P142" s="55">
        <f t="shared" si="309"/>
      </c>
      <c r="Q142" s="55">
        <f t="shared" si="271"/>
      </c>
      <c r="R142" s="54">
        <f t="shared" si="62"/>
      </c>
      <c r="S142" s="56">
        <f t="shared" si="24"/>
      </c>
      <c r="T142" s="55">
        <f t="shared" si="138"/>
      </c>
      <c r="U142" s="55">
        <f t="shared" si="100"/>
      </c>
      <c r="V142" s="55">
        <f t="shared" si="233"/>
      </c>
      <c r="W142" s="55">
        <f t="shared" si="195"/>
      </c>
      <c r="X142" s="38" t="s">
        <v>52</v>
      </c>
      <c r="Y142" s="86" t="s">
        <v>54</v>
      </c>
      <c r="Z142" s="40">
        <v>87823</v>
      </c>
      <c r="AA142" s="40">
        <v>9136</v>
      </c>
      <c r="AB142" s="40">
        <v>165286</v>
      </c>
      <c r="AC142" s="40">
        <v>412</v>
      </c>
      <c r="AD142" s="40">
        <v>3</v>
      </c>
      <c r="AE142" s="40">
        <v>8137</v>
      </c>
      <c r="AF142" s="41">
        <v>65</v>
      </c>
      <c r="AG142" s="41">
        <v>21</v>
      </c>
      <c r="AH142" s="41">
        <v>8</v>
      </c>
      <c r="AI142" s="42">
        <v>1</v>
      </c>
      <c r="AJ142" s="24"/>
      <c r="AK142" s="24"/>
      <c r="AL142" s="24"/>
    </row>
    <row r="143">
      <c r="A143" s="25"/>
      <c r="B143" s="58" t="s">
        <v>44</v>
      </c>
      <c r="C143" s="58"/>
      <c r="D143" s="59">
        <f>SUM(D138:D142)</f>
      </c>
      <c r="E143" s="60">
        <f>SUM(E138:E142)</f>
      </c>
      <c r="F143" s="61">
        <f t="shared" si="290"/>
      </c>
      <c r="G143" s="62">
        <f>SUM(G138:G142)</f>
      </c>
      <c r="H143" s="63">
        <f t="shared" si="252"/>
      </c>
      <c r="I143" s="64">
        <f t="shared" si="43"/>
      </c>
      <c r="J143" s="65">
        <f t="shared" si="5"/>
      </c>
      <c r="K143" s="61">
        <f t="shared" si="119"/>
      </c>
      <c r="L143" s="66">
        <f t="shared" si="81"/>
      </c>
      <c r="M143" s="65">
        <f t="shared" si="214"/>
      </c>
      <c r="N143" s="67">
        <f t="shared" si="157"/>
      </c>
      <c r="O143" s="67">
        <f t="shared" si="176"/>
      </c>
      <c r="P143" s="68">
        <f t="shared" si="309"/>
      </c>
      <c r="Q143" s="68">
        <f t="shared" si="271"/>
      </c>
      <c r="R143" s="69">
        <f t="shared" si="62"/>
      </c>
      <c r="S143" s="70">
        <f t="shared" si="24"/>
      </c>
      <c r="T143" s="68">
        <f t="shared" si="138"/>
      </c>
      <c r="U143" s="68">
        <f t="shared" si="100"/>
      </c>
      <c r="V143" s="68">
        <f t="shared" si="233"/>
      </c>
      <c r="W143" s="68">
        <f t="shared" si="195"/>
      </c>
      <c r="X143" s="68"/>
      <c r="Y143" s="71"/>
      <c r="Z143" s="59">
        <f>SUM(Z138:Z142)</f>
      </c>
      <c r="AA143" s="59">
        <f>SUM(AA138:AA142)</f>
      </c>
      <c r="AB143" s="59">
        <f>SUM(AB138:AB142)</f>
      </c>
      <c r="AC143" s="59">
        <f>SUM(AC138:AC142)</f>
      </c>
      <c r="AD143" s="59">
        <f>SUM(AD138:AD142)</f>
      </c>
      <c r="AE143" s="59">
        <f>SUM(AE138:AE142)</f>
      </c>
      <c r="AF143" s="59">
        <f>SUM(AF138:AF142)</f>
      </c>
      <c r="AG143" s="59">
        <f>SUM(AG138:AG142)</f>
      </c>
      <c r="AH143" s="59">
        <f>SUM(AH138:AH142)</f>
      </c>
      <c r="AI143" s="59">
        <f>SUM(AI138:AI142)</f>
      </c>
      <c r="AJ143" s="24"/>
      <c r="AK143" s="24"/>
      <c r="AL143" s="24"/>
    </row>
    <row r="144">
      <c r="A144" s="25"/>
      <c r="B144" s="89" t="s">
        <v>63</v>
      </c>
      <c r="C144" s="89"/>
      <c r="D144" s="90">
        <f>SUM(D143+D127+D132+D137)</f>
      </c>
      <c r="E144" s="91">
        <f>SUM(E143+E127+E132+E137)</f>
      </c>
      <c r="F144" s="92">
        <f t="shared" si="290"/>
      </c>
      <c r="G144" s="93">
        <f>SUM(G143+G127+G132+G137)</f>
      </c>
      <c r="H144" s="94">
        <f t="shared" si="252"/>
      </c>
      <c r="I144" s="95">
        <f t="shared" si="43"/>
      </c>
      <c r="J144" s="96">
        <f t="shared" si="5"/>
      </c>
      <c r="K144" s="92">
        <f t="shared" si="119"/>
      </c>
      <c r="L144" s="97">
        <f t="shared" si="81"/>
      </c>
      <c r="M144" s="97">
        <f t="shared" si="214"/>
      </c>
      <c r="N144" s="98">
        <f t="shared" si="157"/>
      </c>
      <c r="O144" s="98">
        <f t="shared" si="176"/>
      </c>
      <c r="P144" s="98">
        <f t="shared" si="309"/>
      </c>
      <c r="Q144" s="98">
        <f t="shared" si="271"/>
      </c>
      <c r="R144" s="99">
        <f t="shared" si="62"/>
      </c>
      <c r="S144" s="100">
        <f t="shared" si="24"/>
      </c>
      <c r="T144" s="101">
        <f t="shared" si="138"/>
      </c>
      <c r="U144" s="101">
        <f t="shared" si="100"/>
      </c>
      <c r="V144" s="101">
        <f t="shared" si="233"/>
      </c>
      <c r="W144" s="101">
        <f t="shared" si="195"/>
      </c>
      <c r="X144" s="101"/>
      <c r="Y144" s="102"/>
      <c r="Z144" s="103">
        <f>SUM(Z127+Z143+Z132+Z137)</f>
      </c>
      <c r="AA144" s="103">
        <f>SUM(AA127+AA143+AA132+AA137)</f>
      </c>
      <c r="AB144" s="103">
        <f>SUM(AB127+AB143+AB132+AB137)</f>
      </c>
      <c r="AC144" s="103">
        <f>SUM(AC127+AC143+AC132+AC137)</f>
      </c>
      <c r="AD144" s="103">
        <f>SUM(AD127+AD143+AD132+AD137)</f>
      </c>
      <c r="AE144" s="103">
        <f>SUM(AE127+AE143+AE132+AE137)</f>
      </c>
      <c r="AF144" s="103">
        <f>SUM(AF127+AF143+AF132+AF137)</f>
      </c>
      <c r="AG144" s="103">
        <f>SUM(AG127+AG143+AG132+AG137)</f>
      </c>
      <c r="AH144" s="103">
        <f>SUM(AH127+AH143+AH132+AH137)</f>
      </c>
      <c r="AI144" s="103">
        <f>SUM(AI127+AI143+AI132+AI137)</f>
      </c>
      <c r="AJ144" s="24"/>
      <c r="AK144" s="24"/>
      <c r="AL144" s="24"/>
    </row>
    <row r="145">
      <c r="A145" s="1" t="s">
        <v>1</v>
      </c>
      <c r="B145" s="2" t="s">
        <v>2</v>
      </c>
      <c r="C145" s="3" t="s">
        <v>3</v>
      </c>
      <c r="D145" s="4" t="s">
        <v>4</v>
      </c>
      <c r="E145" s="5" t="s">
        <v>5</v>
      </c>
      <c r="F145" s="6" t="s">
        <v>6</v>
      </c>
      <c r="G145" s="7" t="s">
        <v>7</v>
      </c>
      <c r="H145" s="8" t="s">
        <v>8</v>
      </c>
      <c r="I145" s="9" t="s">
        <v>9</v>
      </c>
      <c r="J145" s="10" t="s">
        <v>10</v>
      </c>
      <c r="K145" s="11" t="s">
        <v>11</v>
      </c>
      <c r="L145" s="12" t="s">
        <v>12</v>
      </c>
      <c r="M145" s="12" t="s">
        <v>13</v>
      </c>
      <c r="N145" s="13" t="s">
        <v>14</v>
      </c>
      <c r="O145" s="13" t="s">
        <v>15</v>
      </c>
      <c r="P145" s="13" t="s">
        <v>16</v>
      </c>
      <c r="Q145" s="13" t="s">
        <v>17</v>
      </c>
      <c r="R145" s="14" t="s">
        <v>18</v>
      </c>
      <c r="S145" s="15" t="s">
        <v>19</v>
      </c>
      <c r="T145" s="16" t="s">
        <v>20</v>
      </c>
      <c r="U145" s="16" t="s">
        <v>21</v>
      </c>
      <c r="V145" s="16" t="s">
        <v>22</v>
      </c>
      <c r="W145" s="16" t="s">
        <v>23</v>
      </c>
      <c r="X145" s="17" t="s">
        <v>24</v>
      </c>
      <c r="Y145" s="18" t="s">
        <v>25</v>
      </c>
      <c r="Z145" s="19" t="s">
        <v>26</v>
      </c>
      <c r="AA145" s="19" t="s">
        <v>27</v>
      </c>
      <c r="AB145" s="19" t="s">
        <v>28</v>
      </c>
      <c r="AC145" s="20" t="s">
        <v>29</v>
      </c>
      <c r="AD145" s="20" t="s">
        <v>30</v>
      </c>
      <c r="AE145" s="21" t="s">
        <v>31</v>
      </c>
      <c r="AF145" s="20" t="s">
        <v>32</v>
      </c>
      <c r="AG145" s="20" t="s">
        <v>33</v>
      </c>
      <c r="AH145" s="22" t="s">
        <v>34</v>
      </c>
      <c r="AI145" s="23" t="s">
        <v>35</v>
      </c>
      <c r="AJ145" s="24"/>
      <c r="AK145" s="24"/>
      <c r="AL145" s="24"/>
    </row>
    <row r="146">
      <c r="A146" s="25">
        <v>46302</v>
      </c>
      <c r="B146" s="72" t="s">
        <v>36</v>
      </c>
      <c r="C146" s="27" t="s">
        <v>37</v>
      </c>
      <c r="D146" s="28">
        <v>656.3979999999999</v>
      </c>
      <c r="E146" s="29">
        <v>2</v>
      </c>
      <c r="F146" s="30">
        <f t="shared" ref="F146:F168" si="291">D146/E146</f>
      </c>
      <c r="G146" s="31">
        <v>456</v>
      </c>
      <c r="H146" s="32">
        <f t="shared" ref="H146:H168" si="253">AD146</f>
      </c>
      <c r="I146" s="33">
        <f t="shared" ref="I146:I168" si="44">D146/AD146</f>
      </c>
      <c r="J146" s="34">
        <f t="shared" ref="J146:J168" si="6">G146/E146</f>
      </c>
      <c r="K146" s="35">
        <f t="shared" ref="K146:K168" si="120">G146/D146</f>
      </c>
      <c r="L146" s="36">
        <f t="shared" ref="L146:L168" si="82">D146/AB146</f>
      </c>
      <c r="M146" s="34">
        <f t="shared" ref="M146:M168" si="215">D146/AC146</f>
      </c>
      <c r="N146" s="37">
        <f t="shared" ref="N146:N168" si="158">AC146/AB146</f>
      </c>
      <c r="O146" s="37">
        <f t="shared" ref="O146:O168" si="177">AD146/AC146</f>
      </c>
      <c r="P146" s="37">
        <f t="shared" ref="P146:P168" si="310">AA146/Z146</f>
      </c>
      <c r="Q146" s="37">
        <f t="shared" ref="Q146:Q168" si="272">AD146/AA146</f>
      </c>
      <c r="R146" s="34">
        <f t="shared" ref="R146:R168" si="63">D146/Z146*1000</f>
      </c>
      <c r="S146" s="35">
        <f t="shared" ref="S146:S168" si="25">D146/AA146</f>
      </c>
      <c r="T146" s="37">
        <f t="shared" ref="T146:T168" si="139">AE146/AB146</f>
      </c>
      <c r="U146" s="37">
        <f t="shared" ref="U146:U168" si="101">AF146/AB146</f>
      </c>
      <c r="V146" s="37">
        <f t="shared" ref="V146:V168" si="234">AG146/AB146</f>
      </c>
      <c r="W146" s="37">
        <f t="shared" ref="W146:W168" si="196">AH146/AB146</f>
      </c>
      <c r="X146" s="38" t="s">
        <v>38</v>
      </c>
      <c r="Y146" s="39" t="s">
        <v>39</v>
      </c>
      <c r="Z146" s="40">
        <v>30321</v>
      </c>
      <c r="AA146" s="40">
        <v>5607</v>
      </c>
      <c r="AB146" s="40">
        <v>29070</v>
      </c>
      <c r="AC146" s="40">
        <v>185</v>
      </c>
      <c r="AD146" s="41">
        <v>1</v>
      </c>
      <c r="AE146" s="40">
        <v>3406</v>
      </c>
      <c r="AF146" s="41">
        <v>77</v>
      </c>
      <c r="AG146" s="41">
        <v>21</v>
      </c>
      <c r="AH146" s="41">
        <v>2</v>
      </c>
      <c r="AI146" s="42">
        <v>0</v>
      </c>
      <c r="AJ146" s="24"/>
      <c r="AK146" s="24"/>
      <c r="AL146" s="24"/>
    </row>
    <row r="147">
      <c r="A147" s="25"/>
      <c r="B147" s="72" t="s">
        <v>36</v>
      </c>
      <c r="C147" s="27" t="s">
        <v>40</v>
      </c>
      <c r="D147" s="28">
        <v>1933.026</v>
      </c>
      <c r="E147" s="29">
        <v>3</v>
      </c>
      <c r="F147" s="30">
        <f t="shared" si="291"/>
      </c>
      <c r="G147" s="31">
        <v>1252</v>
      </c>
      <c r="H147" s="32">
        <f t="shared" si="253"/>
      </c>
      <c r="I147" s="33">
        <f t="shared" si="44"/>
      </c>
      <c r="J147" s="34">
        <f t="shared" si="6"/>
      </c>
      <c r="K147" s="35">
        <f t="shared" si="120"/>
      </c>
      <c r="L147" s="36">
        <f t="shared" si="82"/>
      </c>
      <c r="M147" s="34">
        <f t="shared" si="215"/>
      </c>
      <c r="N147" s="37">
        <f t="shared" si="158"/>
      </c>
      <c r="O147" s="37">
        <f t="shared" si="177"/>
      </c>
      <c r="P147" s="37">
        <f t="shared" si="310"/>
      </c>
      <c r="Q147" s="37">
        <f t="shared" si="272"/>
      </c>
      <c r="R147" s="34">
        <f t="shared" si="63"/>
      </c>
      <c r="S147" s="35">
        <f t="shared" si="25"/>
      </c>
      <c r="T147" s="37">
        <f t="shared" si="139"/>
      </c>
      <c r="U147" s="37">
        <f t="shared" si="101"/>
      </c>
      <c r="V147" s="37">
        <f t="shared" si="234"/>
      </c>
      <c r="W147" s="37">
        <f t="shared" si="196"/>
      </c>
      <c r="X147" s="38" t="s">
        <v>38</v>
      </c>
      <c r="Y147" s="39" t="s">
        <v>39</v>
      </c>
      <c r="Z147" s="41">
        <v>83997</v>
      </c>
      <c r="AA147" s="40">
        <v>12587</v>
      </c>
      <c r="AB147" s="40">
        <v>80028</v>
      </c>
      <c r="AC147" s="40">
        <v>423</v>
      </c>
      <c r="AD147" s="41">
        <v>5</v>
      </c>
      <c r="AE147" s="40">
        <v>9023</v>
      </c>
      <c r="AF147" s="41">
        <v>172</v>
      </c>
      <c r="AG147" s="41">
        <v>33</v>
      </c>
      <c r="AH147" s="41">
        <v>6</v>
      </c>
      <c r="AI147" s="42">
        <v>0</v>
      </c>
      <c r="AJ147" s="24"/>
      <c r="AK147" s="24"/>
      <c r="AL147" s="24"/>
    </row>
    <row r="148">
      <c r="A148" s="25"/>
      <c r="B148" s="72" t="s">
        <v>36</v>
      </c>
      <c r="C148" s="43" t="s">
        <v>41</v>
      </c>
      <c r="D148" s="44">
        <v>1984.4500000000003</v>
      </c>
      <c r="E148" s="45">
        <v>8</v>
      </c>
      <c r="F148" s="30">
        <f t="shared" si="291"/>
      </c>
      <c r="G148" s="45">
        <v>2798.3999999999996</v>
      </c>
      <c r="H148" s="32">
        <f t="shared" si="253"/>
      </c>
      <c r="I148" s="33">
        <f t="shared" si="44"/>
      </c>
      <c r="J148" s="34">
        <f t="shared" si="6"/>
      </c>
      <c r="K148" s="35">
        <f t="shared" si="120"/>
      </c>
      <c r="L148" s="36">
        <f t="shared" si="82"/>
      </c>
      <c r="M148" s="34">
        <f t="shared" si="215"/>
      </c>
      <c r="N148" s="37">
        <f t="shared" si="158"/>
      </c>
      <c r="O148" s="37">
        <f t="shared" si="177"/>
      </c>
      <c r="P148" s="37">
        <f t="shared" si="310"/>
      </c>
      <c r="Q148" s="37">
        <f t="shared" si="272"/>
      </c>
      <c r="R148" s="34">
        <f t="shared" si="63"/>
      </c>
      <c r="S148" s="35">
        <f t="shared" si="25"/>
      </c>
      <c r="T148" s="37">
        <f t="shared" si="139"/>
      </c>
      <c r="U148" s="37">
        <f t="shared" si="101"/>
      </c>
      <c r="V148" s="37">
        <f t="shared" si="234"/>
      </c>
      <c r="W148" s="37">
        <f t="shared" si="196"/>
      </c>
      <c r="X148" s="38" t="s">
        <v>38</v>
      </c>
      <c r="Y148" s="39" t="s">
        <v>39</v>
      </c>
      <c r="Z148" s="41">
        <v>69189</v>
      </c>
      <c r="AA148" s="41">
        <v>10243</v>
      </c>
      <c r="AB148" s="41">
        <v>86166</v>
      </c>
      <c r="AC148" s="41">
        <v>365</v>
      </c>
      <c r="AD148" s="41">
        <v>6</v>
      </c>
      <c r="AE148" s="41">
        <v>8232</v>
      </c>
      <c r="AF148" s="41">
        <v>158</v>
      </c>
      <c r="AG148" s="41">
        <v>15</v>
      </c>
      <c r="AH148" s="41">
        <v>4</v>
      </c>
      <c r="AI148" s="42">
        <v>4</v>
      </c>
      <c r="AJ148" s="24"/>
      <c r="AK148" s="24"/>
      <c r="AL148" s="24"/>
    </row>
    <row r="149">
      <c r="A149" s="25"/>
      <c r="B149" s="72" t="s">
        <v>36</v>
      </c>
      <c r="C149" s="46" t="s">
        <v>42</v>
      </c>
      <c r="D149" s="44">
        <v>1782.066</v>
      </c>
      <c r="E149" s="45">
        <v>3</v>
      </c>
      <c r="F149" s="47">
        <f t="shared" si="291"/>
      </c>
      <c r="G149" s="45">
        <v>1284</v>
      </c>
      <c r="H149" s="49">
        <f t="shared" si="253"/>
      </c>
      <c r="I149" s="50">
        <f t="shared" si="44"/>
      </c>
      <c r="J149" s="51">
        <f t="shared" si="6"/>
      </c>
      <c r="K149" s="52">
        <f t="shared" si="120"/>
      </c>
      <c r="L149" s="53">
        <f t="shared" si="82"/>
      </c>
      <c r="M149" s="54">
        <f t="shared" si="215"/>
      </c>
      <c r="N149" s="55">
        <f t="shared" si="158"/>
      </c>
      <c r="O149" s="55">
        <f t="shared" si="177"/>
      </c>
      <c r="P149" s="55">
        <f t="shared" si="310"/>
      </c>
      <c r="Q149" s="55">
        <f t="shared" si="272"/>
      </c>
      <c r="R149" s="54">
        <f t="shared" si="63"/>
      </c>
      <c r="S149" s="56">
        <f t="shared" si="25"/>
      </c>
      <c r="T149" s="55">
        <f t="shared" si="139"/>
      </c>
      <c r="U149" s="55">
        <f t="shared" si="101"/>
      </c>
      <c r="V149" s="55">
        <f t="shared" si="234"/>
      </c>
      <c r="W149" s="55">
        <f t="shared" si="196"/>
      </c>
      <c r="X149" s="38" t="s">
        <v>38</v>
      </c>
      <c r="Y149" s="39" t="s">
        <v>39</v>
      </c>
      <c r="Z149" s="40">
        <v>51468</v>
      </c>
      <c r="AA149" s="40">
        <v>9740</v>
      </c>
      <c r="AB149" s="40">
        <v>76041</v>
      </c>
      <c r="AC149" s="40">
        <v>406</v>
      </c>
      <c r="AD149" s="40">
        <v>2</v>
      </c>
      <c r="AE149" s="40">
        <v>7116</v>
      </c>
      <c r="AF149" s="41">
        <v>188</v>
      </c>
      <c r="AG149" s="41">
        <v>15</v>
      </c>
      <c r="AH149" s="41">
        <v>5</v>
      </c>
      <c r="AI149" s="42">
        <v>0</v>
      </c>
      <c r="AJ149" s="24"/>
      <c r="AK149" s="24"/>
      <c r="AL149" s="24"/>
    </row>
    <row r="150">
      <c r="A150" s="25"/>
      <c r="B150" s="72" t="s">
        <v>36</v>
      </c>
      <c r="C150" s="46" t="s">
        <v>43</v>
      </c>
      <c r="D150" s="57">
        <v>2126.971</v>
      </c>
      <c r="E150" s="45">
        <v>6</v>
      </c>
      <c r="F150" s="47">
        <f t="shared" si="291"/>
      </c>
      <c r="G150" s="48">
        <v>2497.6000000000004</v>
      </c>
      <c r="H150" s="49">
        <f t="shared" si="253"/>
      </c>
      <c r="I150" s="50">
        <f t="shared" si="44"/>
      </c>
      <c r="J150" s="51">
        <f t="shared" si="6"/>
      </c>
      <c r="K150" s="52">
        <f t="shared" si="120"/>
      </c>
      <c r="L150" s="53">
        <f t="shared" si="82"/>
      </c>
      <c r="M150" s="54">
        <f t="shared" si="215"/>
      </c>
      <c r="N150" s="55">
        <f t="shared" si="158"/>
      </c>
      <c r="O150" s="55">
        <f t="shared" si="177"/>
      </c>
      <c r="P150" s="55">
        <f t="shared" si="310"/>
      </c>
      <c r="Q150" s="55">
        <f t="shared" si="272"/>
      </c>
      <c r="R150" s="54">
        <f t="shared" si="63"/>
      </c>
      <c r="S150" s="56">
        <f t="shared" si="25"/>
      </c>
      <c r="T150" s="55">
        <f t="shared" si="139"/>
      </c>
      <c r="U150" s="55">
        <f t="shared" si="101"/>
      </c>
      <c r="V150" s="55">
        <f t="shared" si="234"/>
      </c>
      <c r="W150" s="55">
        <f t="shared" si="196"/>
      </c>
      <c r="X150" s="38" t="s">
        <v>38</v>
      </c>
      <c r="Y150" s="39" t="s">
        <v>39</v>
      </c>
      <c r="Z150" s="40">
        <v>59500</v>
      </c>
      <c r="AA150" s="40">
        <v>9363</v>
      </c>
      <c r="AB150" s="40">
        <v>91263</v>
      </c>
      <c r="AC150" s="40">
        <v>315</v>
      </c>
      <c r="AD150" s="40">
        <v>5</v>
      </c>
      <c r="AE150" s="40">
        <v>8395</v>
      </c>
      <c r="AF150" s="41">
        <v>170</v>
      </c>
      <c r="AG150" s="41">
        <v>25</v>
      </c>
      <c r="AH150" s="41">
        <v>3</v>
      </c>
      <c r="AI150" s="42">
        <v>1</v>
      </c>
      <c r="AJ150" s="24"/>
      <c r="AK150" s="24"/>
      <c r="AL150" s="24"/>
    </row>
    <row r="151">
      <c r="A151" s="25"/>
      <c r="B151" s="58" t="s">
        <v>44</v>
      </c>
      <c r="C151" s="58"/>
      <c r="D151" s="59">
        <f>SUM(D146:D150)</f>
      </c>
      <c r="E151" s="60">
        <f>SUM(E146:E150)</f>
      </c>
      <c r="F151" s="61">
        <f t="shared" si="291"/>
      </c>
      <c r="G151" s="62">
        <f>SUM(G146:G150)</f>
      </c>
      <c r="H151" s="63">
        <f t="shared" si="253"/>
      </c>
      <c r="I151" s="64">
        <f t="shared" si="44"/>
      </c>
      <c r="J151" s="65">
        <f t="shared" si="6"/>
      </c>
      <c r="K151" s="61">
        <f t="shared" si="120"/>
      </c>
      <c r="L151" s="66">
        <f t="shared" si="82"/>
      </c>
      <c r="M151" s="65">
        <f t="shared" si="215"/>
      </c>
      <c r="N151" s="67">
        <f t="shared" si="158"/>
      </c>
      <c r="O151" s="67">
        <f t="shared" si="177"/>
      </c>
      <c r="P151" s="68">
        <f t="shared" si="310"/>
      </c>
      <c r="Q151" s="68">
        <f t="shared" si="272"/>
      </c>
      <c r="R151" s="69">
        <f t="shared" si="63"/>
      </c>
      <c r="S151" s="70">
        <f t="shared" si="25"/>
      </c>
      <c r="T151" s="68">
        <f t="shared" si="139"/>
      </c>
      <c r="U151" s="68">
        <f t="shared" si="101"/>
      </c>
      <c r="V151" s="68">
        <f t="shared" si="234"/>
      </c>
      <c r="W151" s="68">
        <f t="shared" si="196"/>
      </c>
      <c r="X151" s="68"/>
      <c r="Y151" s="71"/>
      <c r="Z151" s="59">
        <f>SUM(Z146:Z150)</f>
      </c>
      <c r="AA151" s="59">
        <f>SUM(AA146:AA150)</f>
      </c>
      <c r="AB151" s="59">
        <f>SUM(AB146:AB150)</f>
      </c>
      <c r="AC151" s="59">
        <f>SUM(AC146:AC150)</f>
      </c>
      <c r="AD151" s="59">
        <f>SUM(AD146:AD150)</f>
      </c>
      <c r="AE151" s="59">
        <f>SUM(AE146:AE150)</f>
      </c>
      <c r="AF151" s="59">
        <f>SUM(AF146:AF150)</f>
      </c>
      <c r="AG151" s="59">
        <f>SUM(AG146:AG150)</f>
      </c>
      <c r="AH151" s="59">
        <f>SUM(AH146:AH150)</f>
      </c>
      <c r="AI151" s="59">
        <f>SUM(AI146:AI150)</f>
      </c>
      <c r="AJ151" s="24"/>
      <c r="AK151" s="24"/>
      <c r="AL151" s="24"/>
    </row>
    <row r="152">
      <c r="A152" s="25"/>
      <c r="B152" s="72" t="s">
        <v>57</v>
      </c>
      <c r="C152" s="73" t="s">
        <v>46</v>
      </c>
      <c r="D152" s="74">
        <v>2110.746</v>
      </c>
      <c r="E152" s="75">
        <v>3</v>
      </c>
      <c r="F152" s="47">
        <f t="shared" si="291"/>
      </c>
      <c r="G152" s="45">
        <v>620</v>
      </c>
      <c r="H152" s="49">
        <f t="shared" si="253"/>
      </c>
      <c r="I152" s="50">
        <f t="shared" si="44"/>
      </c>
      <c r="J152" s="51">
        <f t="shared" si="6"/>
      </c>
      <c r="K152" s="52">
        <f t="shared" si="120"/>
      </c>
      <c r="L152" s="76">
        <f t="shared" si="82"/>
      </c>
      <c r="M152" s="34">
        <f t="shared" si="215"/>
      </c>
      <c r="N152" s="37">
        <f t="shared" si="158"/>
      </c>
      <c r="O152" s="37">
        <f t="shared" si="177"/>
      </c>
      <c r="P152" s="37">
        <f t="shared" si="310"/>
      </c>
      <c r="Q152" s="37">
        <f t="shared" si="272"/>
      </c>
      <c r="R152" s="34">
        <f t="shared" si="63"/>
      </c>
      <c r="S152" s="35">
        <f t="shared" si="25"/>
      </c>
      <c r="T152" s="37">
        <f t="shared" si="139"/>
      </c>
      <c r="U152" s="37">
        <f t="shared" si="101"/>
      </c>
      <c r="V152" s="37">
        <f t="shared" si="234"/>
      </c>
      <c r="W152" s="37">
        <f t="shared" si="196"/>
      </c>
      <c r="X152" s="38" t="s">
        <v>38</v>
      </c>
      <c r="Y152" s="39" t="s">
        <v>39</v>
      </c>
      <c r="Z152" s="41">
        <v>68496</v>
      </c>
      <c r="AA152" s="41">
        <v>9006</v>
      </c>
      <c r="AB152" s="41">
        <v>88939</v>
      </c>
      <c r="AC152" s="41">
        <v>357</v>
      </c>
      <c r="AD152" s="41">
        <v>4</v>
      </c>
      <c r="AE152" s="41">
        <v>7746</v>
      </c>
      <c r="AF152" s="41">
        <v>195</v>
      </c>
      <c r="AG152" s="41">
        <v>12</v>
      </c>
      <c r="AH152" s="41">
        <v>3</v>
      </c>
      <c r="AI152" s="42">
        <v>0</v>
      </c>
      <c r="AJ152" s="24"/>
      <c r="AK152" s="24"/>
      <c r="AL152" s="24"/>
    </row>
    <row r="153">
      <c r="A153" s="25"/>
      <c r="B153" s="72" t="s">
        <v>57</v>
      </c>
      <c r="C153" s="77" t="s">
        <v>47</v>
      </c>
      <c r="D153" s="44">
        <v>2369.867</v>
      </c>
      <c r="E153" s="45">
        <v>6</v>
      </c>
      <c r="F153" s="47">
        <f t="shared" si="291"/>
      </c>
      <c r="G153" s="48">
        <v>1335.6000000000004</v>
      </c>
      <c r="H153" s="49">
        <f t="shared" si="253"/>
      </c>
      <c r="I153" s="50">
        <f t="shared" si="44"/>
      </c>
      <c r="J153" s="51">
        <f t="shared" si="6"/>
      </c>
      <c r="K153" s="52">
        <f t="shared" si="120"/>
      </c>
      <c r="L153" s="76">
        <f t="shared" si="82"/>
      </c>
      <c r="M153" s="34">
        <f t="shared" si="215"/>
      </c>
      <c r="N153" s="37">
        <f t="shared" si="158"/>
      </c>
      <c r="O153" s="37">
        <f t="shared" si="177"/>
      </c>
      <c r="P153" s="37">
        <f t="shared" si="310"/>
      </c>
      <c r="Q153" s="37">
        <f t="shared" si="272"/>
      </c>
      <c r="R153" s="34">
        <f t="shared" si="63"/>
      </c>
      <c r="S153" s="35">
        <f t="shared" si="25"/>
      </c>
      <c r="T153" s="37">
        <f t="shared" si="139"/>
      </c>
      <c r="U153" s="37">
        <f t="shared" si="101"/>
      </c>
      <c r="V153" s="37">
        <f t="shared" si="234"/>
      </c>
      <c r="W153" s="37">
        <f t="shared" si="196"/>
      </c>
      <c r="X153" s="38" t="s">
        <v>38</v>
      </c>
      <c r="Y153" s="39" t="s">
        <v>39</v>
      </c>
      <c r="Z153" s="41">
        <v>70683</v>
      </c>
      <c r="AA153" s="41">
        <v>8844</v>
      </c>
      <c r="AB153" s="41">
        <v>113766</v>
      </c>
      <c r="AC153" s="41">
        <v>425</v>
      </c>
      <c r="AD153" s="41">
        <v>5</v>
      </c>
      <c r="AE153" s="41">
        <v>8275</v>
      </c>
      <c r="AF153" s="41">
        <v>136</v>
      </c>
      <c r="AG153" s="41">
        <v>14</v>
      </c>
      <c r="AH153" s="41">
        <v>3</v>
      </c>
      <c r="AI153" s="42">
        <v>2</v>
      </c>
      <c r="AJ153" s="24"/>
      <c r="AK153" s="24"/>
      <c r="AL153" s="24"/>
    </row>
    <row r="154">
      <c r="A154" s="25"/>
      <c r="B154" s="72" t="s">
        <v>57</v>
      </c>
      <c r="C154" s="78" t="s">
        <v>48</v>
      </c>
      <c r="D154" s="44">
        <v>1864.3310000000001</v>
      </c>
      <c r="E154" s="45">
        <v>2</v>
      </c>
      <c r="F154" s="30">
        <f t="shared" si="291"/>
      </c>
      <c r="G154" s="23">
        <v>1024</v>
      </c>
      <c r="H154" s="32">
        <f t="shared" si="253"/>
      </c>
      <c r="I154" s="33">
        <f t="shared" si="44"/>
      </c>
      <c r="J154" s="34">
        <f t="shared" si="6"/>
      </c>
      <c r="K154" s="35">
        <f t="shared" si="120"/>
      </c>
      <c r="L154" s="79">
        <f t="shared" si="82"/>
      </c>
      <c r="M154" s="54">
        <f t="shared" si="215"/>
      </c>
      <c r="N154" s="55">
        <f t="shared" si="158"/>
      </c>
      <c r="O154" s="55">
        <f t="shared" si="177"/>
      </c>
      <c r="P154" s="55">
        <f t="shared" si="310"/>
      </c>
      <c r="Q154" s="55">
        <f t="shared" si="272"/>
      </c>
      <c r="R154" s="54">
        <f t="shared" si="63"/>
      </c>
      <c r="S154" s="56">
        <f t="shared" si="25"/>
      </c>
      <c r="T154" s="55">
        <f t="shared" si="139"/>
      </c>
      <c r="U154" s="55">
        <f t="shared" si="101"/>
      </c>
      <c r="V154" s="55">
        <f t="shared" si="234"/>
      </c>
      <c r="W154" s="55">
        <f t="shared" si="196"/>
      </c>
      <c r="X154" s="38" t="s">
        <v>38</v>
      </c>
      <c r="Y154" s="39" t="s">
        <v>39</v>
      </c>
      <c r="Z154" s="41">
        <v>54570</v>
      </c>
      <c r="AA154" s="41">
        <v>6212</v>
      </c>
      <c r="AB154" s="41">
        <v>95161</v>
      </c>
      <c r="AC154" s="41">
        <v>280</v>
      </c>
      <c r="AD154" s="41">
        <v>1</v>
      </c>
      <c r="AE154" s="41">
        <v>5968</v>
      </c>
      <c r="AF154" s="41">
        <v>120</v>
      </c>
      <c r="AG154" s="41">
        <v>11</v>
      </c>
      <c r="AH154" s="41">
        <v>10</v>
      </c>
      <c r="AI154" s="42">
        <v>0</v>
      </c>
      <c r="AJ154" s="24"/>
      <c r="AK154" s="24"/>
      <c r="AL154" s="24"/>
    </row>
    <row r="155">
      <c r="A155" s="25"/>
      <c r="B155" s="72" t="s">
        <v>57</v>
      </c>
      <c r="C155" s="78" t="s">
        <v>49</v>
      </c>
      <c r="D155" s="57">
        <v>2348.5460000000003</v>
      </c>
      <c r="E155" s="45">
        <v>3</v>
      </c>
      <c r="F155" s="30">
        <f t="shared" si="291"/>
      </c>
      <c r="G155" s="23">
        <v>1884</v>
      </c>
      <c r="H155" s="32">
        <f t="shared" si="253"/>
      </c>
      <c r="I155" s="33">
        <f t="shared" si="44"/>
      </c>
      <c r="J155" s="34">
        <f t="shared" si="6"/>
      </c>
      <c r="K155" s="35">
        <f t="shared" si="120"/>
      </c>
      <c r="L155" s="79">
        <f t="shared" si="82"/>
      </c>
      <c r="M155" s="54">
        <f t="shared" si="215"/>
      </c>
      <c r="N155" s="55">
        <f t="shared" si="158"/>
      </c>
      <c r="O155" s="55">
        <f t="shared" si="177"/>
      </c>
      <c r="P155" s="55">
        <f t="shared" si="310"/>
      </c>
      <c r="Q155" s="55">
        <f t="shared" si="272"/>
      </c>
      <c r="R155" s="54">
        <f t="shared" si="63"/>
      </c>
      <c r="S155" s="56">
        <f t="shared" si="25"/>
      </c>
      <c r="T155" s="55">
        <f t="shared" si="139"/>
      </c>
      <c r="U155" s="55">
        <f t="shared" si="101"/>
      </c>
      <c r="V155" s="55">
        <f t="shared" si="234"/>
      </c>
      <c r="W155" s="55">
        <f t="shared" si="196"/>
      </c>
      <c r="X155" s="38" t="s">
        <v>38</v>
      </c>
      <c r="Y155" s="39" t="s">
        <v>39</v>
      </c>
      <c r="Z155" s="41">
        <v>60662</v>
      </c>
      <c r="AA155" s="41">
        <v>7958</v>
      </c>
      <c r="AB155" s="41">
        <v>109756</v>
      </c>
      <c r="AC155" s="41">
        <v>313</v>
      </c>
      <c r="AD155" s="41">
        <v>4</v>
      </c>
      <c r="AE155" s="41">
        <v>7405</v>
      </c>
      <c r="AF155" s="41">
        <v>139</v>
      </c>
      <c r="AG155" s="41">
        <v>13</v>
      </c>
      <c r="AH155" s="41">
        <v>6</v>
      </c>
      <c r="AI155" s="42">
        <v>0</v>
      </c>
      <c r="AJ155" s="24"/>
      <c r="AK155" s="24"/>
      <c r="AL155" s="24"/>
    </row>
    <row r="156">
      <c r="A156" s="25"/>
      <c r="B156" s="58" t="s">
        <v>44</v>
      </c>
      <c r="C156" s="58"/>
      <c r="D156" s="59">
        <f>SUM(D152:D155)</f>
      </c>
      <c r="E156" s="60">
        <f>SUM(E152:E155)</f>
      </c>
      <c r="F156" s="61">
        <f t="shared" si="291"/>
      </c>
      <c r="G156" s="62">
        <f>SUM(G152:G155)</f>
      </c>
      <c r="H156" s="63">
        <f t="shared" si="253"/>
      </c>
      <c r="I156" s="64">
        <f t="shared" si="44"/>
      </c>
      <c r="J156" s="65">
        <f t="shared" si="6"/>
      </c>
      <c r="K156" s="61">
        <f t="shared" si="120"/>
      </c>
      <c r="L156" s="66">
        <f t="shared" si="82"/>
      </c>
      <c r="M156" s="65">
        <f t="shared" si="215"/>
      </c>
      <c r="N156" s="67">
        <f t="shared" si="158"/>
      </c>
      <c r="O156" s="67">
        <f t="shared" si="177"/>
      </c>
      <c r="P156" s="68">
        <f t="shared" si="310"/>
      </c>
      <c r="Q156" s="68">
        <f t="shared" si="272"/>
      </c>
      <c r="R156" s="69">
        <f t="shared" si="63"/>
      </c>
      <c r="S156" s="70">
        <f t="shared" si="25"/>
      </c>
      <c r="T156" s="68">
        <f t="shared" si="139"/>
      </c>
      <c r="U156" s="68">
        <f t="shared" si="101"/>
      </c>
      <c r="V156" s="68">
        <f t="shared" si="234"/>
      </c>
      <c r="W156" s="68">
        <f t="shared" si="196"/>
      </c>
      <c r="X156" s="68"/>
      <c r="Y156" s="71"/>
      <c r="Z156" s="59">
        <f>SUM(Z152:Z155)</f>
      </c>
      <c r="AA156" s="59">
        <f>SUM(AA152:AA155)</f>
      </c>
      <c r="AB156" s="59">
        <f>SUM(AB152:AB155)</f>
      </c>
      <c r="AC156" s="59">
        <f>SUM(AC152:AC155)</f>
      </c>
      <c r="AD156" s="59">
        <f>SUM(AD152:AD155)</f>
      </c>
      <c r="AE156" s="59">
        <f>SUM(AE152:AE155)</f>
      </c>
      <c r="AF156" s="59">
        <f>SUM(AF152:AF155)</f>
      </c>
      <c r="AG156" s="59">
        <f>SUM(AG152:AG155)</f>
      </c>
      <c r="AH156" s="59">
        <f>SUM(AH152:AH155)</f>
      </c>
      <c r="AI156" s="59">
        <f>SUM(AI152:AI155)</f>
      </c>
      <c r="AJ156" s="24"/>
      <c r="AK156" s="24"/>
      <c r="AL156" s="24"/>
    </row>
    <row r="157">
      <c r="A157" s="25"/>
      <c r="B157" s="72" t="s">
        <v>64</v>
      </c>
      <c r="C157" s="38" t="s">
        <v>51</v>
      </c>
      <c r="D157" s="84">
        <v>1430.99</v>
      </c>
      <c r="E157" s="45">
        <v>2</v>
      </c>
      <c r="F157" s="30">
        <f t="shared" si="291"/>
      </c>
      <c r="G157" s="45">
        <v>445.2</v>
      </c>
      <c r="H157" s="32">
        <f t="shared" si="253"/>
      </c>
      <c r="I157" s="33">
        <f t="shared" si="44"/>
      </c>
      <c r="J157" s="34">
        <f t="shared" si="6"/>
      </c>
      <c r="K157" s="35">
        <f t="shared" si="120"/>
      </c>
      <c r="L157" s="79">
        <f t="shared" si="82"/>
      </c>
      <c r="M157" s="54">
        <f t="shared" si="215"/>
      </c>
      <c r="N157" s="55">
        <f t="shared" si="158"/>
      </c>
      <c r="O157" s="55">
        <f t="shared" si="177"/>
      </c>
      <c r="P157" s="55">
        <f t="shared" si="310"/>
      </c>
      <c r="Q157" s="55">
        <f t="shared" si="272"/>
      </c>
      <c r="R157" s="54">
        <f t="shared" si="63"/>
      </c>
      <c r="S157" s="56">
        <f t="shared" si="25"/>
      </c>
      <c r="T157" s="55">
        <f t="shared" si="139"/>
      </c>
      <c r="U157" s="55">
        <f t="shared" si="101"/>
      </c>
      <c r="V157" s="55">
        <f t="shared" si="234"/>
      </c>
      <c r="W157" s="55">
        <f t="shared" si="196"/>
      </c>
      <c r="X157" s="38" t="s">
        <v>52</v>
      </c>
      <c r="Y157" s="39" t="s">
        <v>39</v>
      </c>
      <c r="Z157" s="41">
        <v>43157</v>
      </c>
      <c r="AA157" s="41">
        <v>6350</v>
      </c>
      <c r="AB157" s="41">
        <v>67098</v>
      </c>
      <c r="AC157" s="41">
        <v>385</v>
      </c>
      <c r="AD157" s="41">
        <v>1</v>
      </c>
      <c r="AE157" s="41">
        <v>5125</v>
      </c>
      <c r="AF157" s="41">
        <v>129</v>
      </c>
      <c r="AG157" s="41">
        <v>8</v>
      </c>
      <c r="AH157" s="41">
        <v>4</v>
      </c>
      <c r="AI157" s="42">
        <v>1</v>
      </c>
      <c r="AJ157" s="24"/>
      <c r="AK157" s="24"/>
      <c r="AL157" s="24"/>
    </row>
    <row r="158">
      <c r="A158" s="25"/>
      <c r="B158" s="72" t="s">
        <v>64</v>
      </c>
      <c r="C158" s="78" t="s">
        <v>53</v>
      </c>
      <c r="D158" s="85">
        <v>1062.377</v>
      </c>
      <c r="E158" s="45">
        <v>3</v>
      </c>
      <c r="F158" s="30">
        <f t="shared" si="291"/>
      </c>
      <c r="G158" s="45">
        <v>1284</v>
      </c>
      <c r="H158" s="32">
        <f t="shared" si="253"/>
      </c>
      <c r="I158" s="33">
        <f t="shared" si="44"/>
      </c>
      <c r="J158" s="34">
        <f t="shared" si="6"/>
      </c>
      <c r="K158" s="35">
        <f t="shared" si="120"/>
      </c>
      <c r="L158" s="79">
        <f t="shared" si="82"/>
      </c>
      <c r="M158" s="54">
        <f t="shared" si="215"/>
      </c>
      <c r="N158" s="55">
        <f t="shared" si="158"/>
      </c>
      <c r="O158" s="55">
        <f t="shared" si="177"/>
      </c>
      <c r="P158" s="55">
        <f t="shared" si="310"/>
      </c>
      <c r="Q158" s="55">
        <f t="shared" si="272"/>
      </c>
      <c r="R158" s="54">
        <f t="shared" si="63"/>
      </c>
      <c r="S158" s="56">
        <f t="shared" si="25"/>
      </c>
      <c r="T158" s="55">
        <f t="shared" si="139"/>
      </c>
      <c r="U158" s="55">
        <f t="shared" si="101"/>
      </c>
      <c r="V158" s="55">
        <f t="shared" si="234"/>
      </c>
      <c r="W158" s="55">
        <f t="shared" si="196"/>
      </c>
      <c r="X158" s="38" t="s">
        <v>52</v>
      </c>
      <c r="Y158" s="86" t="s">
        <v>54</v>
      </c>
      <c r="Z158" s="41">
        <v>32223</v>
      </c>
      <c r="AA158" s="41">
        <v>4134</v>
      </c>
      <c r="AB158" s="41">
        <v>44734</v>
      </c>
      <c r="AC158" s="41">
        <v>392</v>
      </c>
      <c r="AD158" s="41">
        <v>3</v>
      </c>
      <c r="AE158" s="41">
        <v>3367</v>
      </c>
      <c r="AF158" s="41">
        <v>103</v>
      </c>
      <c r="AG158" s="41">
        <v>10</v>
      </c>
      <c r="AH158" s="41">
        <v>3</v>
      </c>
      <c r="AI158" s="42">
        <v>0</v>
      </c>
      <c r="AJ158" s="24"/>
      <c r="AK158" s="24"/>
      <c r="AL158" s="24"/>
    </row>
    <row r="159">
      <c r="A159" s="25"/>
      <c r="B159" s="72" t="s">
        <v>64</v>
      </c>
      <c r="C159" s="78" t="s">
        <v>55</v>
      </c>
      <c r="D159" s="85">
        <v>1174.787</v>
      </c>
      <c r="E159" s="45">
        <v>8</v>
      </c>
      <c r="F159" s="30">
        <f t="shared" si="291"/>
      </c>
      <c r="G159" s="45">
        <v>1781.2</v>
      </c>
      <c r="H159" s="32">
        <f t="shared" si="253"/>
      </c>
      <c r="I159" s="33">
        <f t="shared" si="44"/>
      </c>
      <c r="J159" s="34">
        <f t="shared" si="6"/>
      </c>
      <c r="K159" s="35">
        <f t="shared" si="120"/>
      </c>
      <c r="L159" s="79">
        <f t="shared" si="82"/>
      </c>
      <c r="M159" s="54">
        <f t="shared" si="215"/>
      </c>
      <c r="N159" s="55">
        <f t="shared" si="158"/>
      </c>
      <c r="O159" s="55">
        <f t="shared" si="177"/>
      </c>
      <c r="P159" s="55">
        <f t="shared" si="310"/>
      </c>
      <c r="Q159" s="55">
        <f t="shared" si="272"/>
      </c>
      <c r="R159" s="54">
        <f t="shared" si="63"/>
      </c>
      <c r="S159" s="56">
        <f t="shared" si="25"/>
      </c>
      <c r="T159" s="55">
        <f t="shared" si="139"/>
      </c>
      <c r="U159" s="55">
        <f t="shared" si="101"/>
      </c>
      <c r="V159" s="55">
        <f t="shared" si="234"/>
      </c>
      <c r="W159" s="55">
        <f t="shared" si="196"/>
      </c>
      <c r="X159" s="38" t="s">
        <v>52</v>
      </c>
      <c r="Y159" s="86" t="s">
        <v>54</v>
      </c>
      <c r="Z159" s="41">
        <v>33533</v>
      </c>
      <c r="AA159" s="41">
        <v>4376</v>
      </c>
      <c r="AB159" s="41">
        <v>49062</v>
      </c>
      <c r="AC159" s="41">
        <v>366</v>
      </c>
      <c r="AD159" s="41">
        <v>8</v>
      </c>
      <c r="AE159" s="41">
        <v>4092</v>
      </c>
      <c r="AF159" s="41">
        <v>103</v>
      </c>
      <c r="AG159" s="41">
        <v>5</v>
      </c>
      <c r="AH159" s="41">
        <v>4</v>
      </c>
      <c r="AI159" s="42">
        <v>1</v>
      </c>
      <c r="AJ159" s="24"/>
      <c r="AK159" s="24"/>
      <c r="AL159" s="24"/>
    </row>
    <row r="160">
      <c r="A160" s="25"/>
      <c r="B160" s="72" t="s">
        <v>64</v>
      </c>
      <c r="C160" s="78" t="s">
        <v>56</v>
      </c>
      <c r="D160" s="85">
        <v>1257.483</v>
      </c>
      <c r="E160" s="45">
        <v>3</v>
      </c>
      <c r="F160" s="30">
        <f t="shared" si="291"/>
      </c>
      <c r="G160" s="45">
        <v>1845.6</v>
      </c>
      <c r="H160" s="32">
        <f t="shared" si="253"/>
      </c>
      <c r="I160" s="33">
        <f t="shared" si="44"/>
      </c>
      <c r="J160" s="34">
        <f t="shared" si="6"/>
      </c>
      <c r="K160" s="35">
        <f t="shared" si="120"/>
      </c>
      <c r="L160" s="79">
        <f t="shared" si="82"/>
      </c>
      <c r="M160" s="54">
        <f t="shared" si="215"/>
      </c>
      <c r="N160" s="55">
        <f t="shared" si="158"/>
      </c>
      <c r="O160" s="55">
        <f t="shared" si="177"/>
      </c>
      <c r="P160" s="55">
        <f t="shared" si="310"/>
      </c>
      <c r="Q160" s="55">
        <f t="shared" si="272"/>
      </c>
      <c r="R160" s="54">
        <f t="shared" si="63"/>
      </c>
      <c r="S160" s="56">
        <f t="shared" si="25"/>
      </c>
      <c r="T160" s="55">
        <f t="shared" si="139"/>
      </c>
      <c r="U160" s="55">
        <f t="shared" si="101"/>
      </c>
      <c r="V160" s="55">
        <f t="shared" si="234"/>
      </c>
      <c r="W160" s="55">
        <f t="shared" si="196"/>
      </c>
      <c r="X160" s="38" t="s">
        <v>52</v>
      </c>
      <c r="Y160" s="86" t="s">
        <v>54</v>
      </c>
      <c r="Z160" s="41">
        <v>37290</v>
      </c>
      <c r="AA160" s="41">
        <v>4864</v>
      </c>
      <c r="AB160" s="41">
        <v>56825</v>
      </c>
      <c r="AC160" s="41">
        <v>443</v>
      </c>
      <c r="AD160" s="41">
        <v>2</v>
      </c>
      <c r="AE160" s="41">
        <v>4006</v>
      </c>
      <c r="AF160" s="41">
        <v>99</v>
      </c>
      <c r="AG160" s="41">
        <v>9</v>
      </c>
      <c r="AH160" s="41">
        <v>1</v>
      </c>
      <c r="AI160" s="42">
        <v>1</v>
      </c>
      <c r="AJ160" s="24"/>
      <c r="AK160" s="24"/>
      <c r="AL160" s="24"/>
    </row>
    <row r="161">
      <c r="A161" s="25"/>
      <c r="B161" s="58" t="s">
        <v>44</v>
      </c>
      <c r="C161" s="58"/>
      <c r="D161" s="59">
        <f>SUM(D157:D160)</f>
      </c>
      <c r="E161" s="60">
        <f>SUM(E157:E160)</f>
      </c>
      <c r="F161" s="70">
        <f t="shared" si="291"/>
      </c>
      <c r="G161" s="80">
        <f>SUM(G157:G160)</f>
      </c>
      <c r="H161" s="81">
        <f t="shared" si="253"/>
      </c>
      <c r="I161" s="82">
        <f t="shared" si="44"/>
      </c>
      <c r="J161" s="69">
        <f t="shared" si="6"/>
      </c>
      <c r="K161" s="70">
        <f t="shared" si="120"/>
      </c>
      <c r="L161" s="83">
        <f t="shared" si="82"/>
      </c>
      <c r="M161" s="69">
        <f t="shared" si="215"/>
      </c>
      <c r="N161" s="68">
        <f t="shared" si="158"/>
      </c>
      <c r="O161" s="68">
        <f t="shared" si="177"/>
      </c>
      <c r="P161" s="68">
        <f t="shared" si="310"/>
      </c>
      <c r="Q161" s="68">
        <f t="shared" si="272"/>
      </c>
      <c r="R161" s="69">
        <f t="shared" si="63"/>
      </c>
      <c r="S161" s="70">
        <f t="shared" si="25"/>
      </c>
      <c r="T161" s="68">
        <f t="shared" si="139"/>
      </c>
      <c r="U161" s="68">
        <f t="shared" si="101"/>
      </c>
      <c r="V161" s="68">
        <f t="shared" si="234"/>
      </c>
      <c r="W161" s="68">
        <f t="shared" si="196"/>
      </c>
      <c r="X161" s="68"/>
      <c r="Y161" s="71"/>
      <c r="Z161" s="59">
        <f>SUM(Z157:Z160)</f>
      </c>
      <c r="AA161" s="59">
        <f>SUM(AA157:AA160)</f>
      </c>
      <c r="AB161" s="59">
        <f>SUM(AB157:AB160)</f>
      </c>
      <c r="AC161" s="59">
        <f>SUM(AC157:AC160)</f>
      </c>
      <c r="AD161" s="59">
        <f>SUM(AD157:AD160)</f>
      </c>
      <c r="AE161" s="59">
        <f>SUM(AE157:AE160)</f>
      </c>
      <c r="AF161" s="59">
        <f>SUM(AF157:AF160)</f>
      </c>
      <c r="AG161" s="59">
        <f>SUM(AG157:AG160)</f>
      </c>
      <c r="AH161" s="59">
        <f>SUM(AH157:AH160)</f>
      </c>
      <c r="AI161" s="59">
        <f>SUM(AI157:AI160)</f>
      </c>
      <c r="AJ161" s="24"/>
      <c r="AK161" s="24"/>
      <c r="AL161" s="24"/>
    </row>
    <row r="162">
      <c r="A162" s="25"/>
      <c r="B162" s="72" t="s">
        <v>50</v>
      </c>
      <c r="C162" s="78" t="s">
        <v>58</v>
      </c>
      <c r="D162" s="84">
        <v>1335.783</v>
      </c>
      <c r="E162" s="45">
        <v>3</v>
      </c>
      <c r="F162" s="30">
        <f t="shared" si="291"/>
      </c>
      <c r="G162" s="45">
        <v>673.2</v>
      </c>
      <c r="H162" s="32">
        <f t="shared" si="253"/>
      </c>
      <c r="I162" s="33">
        <f t="shared" si="44"/>
      </c>
      <c r="J162" s="34">
        <f t="shared" si="6"/>
      </c>
      <c r="K162" s="35">
        <f t="shared" si="120"/>
      </c>
      <c r="L162" s="79">
        <f t="shared" si="82"/>
      </c>
      <c r="M162" s="54">
        <f t="shared" si="215"/>
      </c>
      <c r="N162" s="55">
        <f t="shared" si="158"/>
      </c>
      <c r="O162" s="55">
        <f t="shared" si="177"/>
      </c>
      <c r="P162" s="55">
        <f t="shared" si="310"/>
      </c>
      <c r="Q162" s="55">
        <f t="shared" si="272"/>
      </c>
      <c r="R162" s="54">
        <f t="shared" si="63"/>
      </c>
      <c r="S162" s="56">
        <f t="shared" si="25"/>
      </c>
      <c r="T162" s="55">
        <f t="shared" si="139"/>
      </c>
      <c r="U162" s="55">
        <f t="shared" si="101"/>
      </c>
      <c r="V162" s="55">
        <f t="shared" si="234"/>
      </c>
      <c r="W162" s="55">
        <f t="shared" si="196"/>
      </c>
      <c r="X162" s="38" t="s">
        <v>52</v>
      </c>
      <c r="Y162" s="86" t="s">
        <v>54</v>
      </c>
      <c r="Z162" s="41">
        <v>35703</v>
      </c>
      <c r="AA162" s="41">
        <v>5103</v>
      </c>
      <c r="AB162" s="41">
        <v>59532</v>
      </c>
      <c r="AC162" s="41">
        <v>442</v>
      </c>
      <c r="AD162" s="41">
        <v>3</v>
      </c>
      <c r="AE162" s="41">
        <v>3724</v>
      </c>
      <c r="AF162" s="41">
        <v>86</v>
      </c>
      <c r="AG162" s="41">
        <v>16</v>
      </c>
      <c r="AH162" s="41">
        <v>5</v>
      </c>
      <c r="AI162" s="42">
        <v>0</v>
      </c>
      <c r="AJ162" s="24"/>
      <c r="AK162" s="24"/>
      <c r="AL162" s="24"/>
    </row>
    <row r="163">
      <c r="A163" s="25"/>
      <c r="B163" s="72" t="s">
        <v>50</v>
      </c>
      <c r="C163" s="78" t="s">
        <v>59</v>
      </c>
      <c r="D163" s="85">
        <v>1813.154</v>
      </c>
      <c r="E163" s="45">
        <v>6</v>
      </c>
      <c r="F163" s="30">
        <f t="shared" si="291"/>
      </c>
      <c r="G163" s="45">
        <v>3014.8</v>
      </c>
      <c r="H163" s="32">
        <f t="shared" si="253"/>
      </c>
      <c r="I163" s="33">
        <f t="shared" si="44"/>
      </c>
      <c r="J163" s="34">
        <f t="shared" si="6"/>
      </c>
      <c r="K163" s="35">
        <f t="shared" si="120"/>
      </c>
      <c r="L163" s="79">
        <f t="shared" si="82"/>
      </c>
      <c r="M163" s="54">
        <f t="shared" si="215"/>
      </c>
      <c r="N163" s="55">
        <f t="shared" si="158"/>
      </c>
      <c r="O163" s="55">
        <f t="shared" si="177"/>
      </c>
      <c r="P163" s="55">
        <f t="shared" si="310"/>
      </c>
      <c r="Q163" s="55">
        <f t="shared" si="272"/>
      </c>
      <c r="R163" s="54">
        <f t="shared" si="63"/>
      </c>
      <c r="S163" s="56">
        <f t="shared" si="25"/>
      </c>
      <c r="T163" s="55">
        <f t="shared" si="139"/>
      </c>
      <c r="U163" s="55">
        <f t="shared" si="101"/>
      </c>
      <c r="V163" s="55">
        <f t="shared" si="234"/>
      </c>
      <c r="W163" s="55">
        <f t="shared" si="196"/>
      </c>
      <c r="X163" s="38" t="s">
        <v>52</v>
      </c>
      <c r="Y163" s="86" t="s">
        <v>54</v>
      </c>
      <c r="Z163" s="41">
        <v>52244</v>
      </c>
      <c r="AA163" s="41">
        <v>6415</v>
      </c>
      <c r="AB163" s="41">
        <v>96884</v>
      </c>
      <c r="AC163" s="41">
        <v>389</v>
      </c>
      <c r="AD163" s="41">
        <v>5</v>
      </c>
      <c r="AE163" s="41">
        <v>5048</v>
      </c>
      <c r="AF163" s="41">
        <v>103</v>
      </c>
      <c r="AG163" s="41">
        <v>9</v>
      </c>
      <c r="AH163" s="41">
        <v>8</v>
      </c>
      <c r="AI163" s="42">
        <v>1</v>
      </c>
      <c r="AJ163" s="24"/>
      <c r="AK163" s="24"/>
      <c r="AL163" s="24"/>
    </row>
    <row r="164">
      <c r="A164" s="25"/>
      <c r="B164" s="72" t="s">
        <v>50</v>
      </c>
      <c r="C164" s="78" t="s">
        <v>60</v>
      </c>
      <c r="D164" s="85">
        <v>1945.288</v>
      </c>
      <c r="E164" s="45">
        <v>12</v>
      </c>
      <c r="F164" s="30">
        <f t="shared" si="291"/>
      </c>
      <c r="G164" s="45">
        <v>3191.5</v>
      </c>
      <c r="H164" s="32">
        <f t="shared" si="253"/>
      </c>
      <c r="I164" s="33">
        <f t="shared" si="44"/>
      </c>
      <c r="J164" s="34">
        <f t="shared" si="6"/>
      </c>
      <c r="K164" s="35">
        <f t="shared" si="120"/>
      </c>
      <c r="L164" s="79">
        <f t="shared" si="82"/>
      </c>
      <c r="M164" s="54">
        <f t="shared" si="215"/>
      </c>
      <c r="N164" s="55">
        <f t="shared" si="158"/>
      </c>
      <c r="O164" s="55">
        <f t="shared" si="177"/>
      </c>
      <c r="P164" s="55">
        <f t="shared" si="310"/>
      </c>
      <c r="Q164" s="55">
        <f t="shared" si="272"/>
      </c>
      <c r="R164" s="54">
        <f t="shared" si="63"/>
      </c>
      <c r="S164" s="56">
        <f t="shared" si="25"/>
      </c>
      <c r="T164" s="55">
        <f t="shared" si="139"/>
      </c>
      <c r="U164" s="55">
        <f t="shared" si="101"/>
      </c>
      <c r="V164" s="55">
        <f t="shared" si="234"/>
      </c>
      <c r="W164" s="55">
        <f t="shared" si="196"/>
      </c>
      <c r="X164" s="38" t="s">
        <v>52</v>
      </c>
      <c r="Y164" s="86" t="s">
        <v>54</v>
      </c>
      <c r="Z164" s="41">
        <v>57574</v>
      </c>
      <c r="AA164" s="41">
        <v>6644</v>
      </c>
      <c r="AB164" s="41">
        <v>109448</v>
      </c>
      <c r="AC164" s="41">
        <v>404</v>
      </c>
      <c r="AD164" s="41">
        <v>8</v>
      </c>
      <c r="AE164" s="41">
        <v>5966</v>
      </c>
      <c r="AF164" s="41">
        <v>105</v>
      </c>
      <c r="AG164" s="41">
        <v>24</v>
      </c>
      <c r="AH164" s="41">
        <v>4</v>
      </c>
      <c r="AI164" s="42">
        <v>2</v>
      </c>
      <c r="AJ164" s="24"/>
      <c r="AK164" s="24"/>
      <c r="AL164" s="24"/>
    </row>
    <row r="165">
      <c r="A165" s="25"/>
      <c r="B165" s="72" t="s">
        <v>50</v>
      </c>
      <c r="C165" s="78" t="s">
        <v>61</v>
      </c>
      <c r="D165" s="85">
        <v>1463.281</v>
      </c>
      <c r="E165" s="45">
        <v>6</v>
      </c>
      <c r="F165" s="30">
        <f t="shared" si="291"/>
      </c>
      <c r="G165" s="45">
        <v>1704.3</v>
      </c>
      <c r="H165" s="32">
        <f t="shared" si="253"/>
      </c>
      <c r="I165" s="33">
        <f t="shared" si="44"/>
      </c>
      <c r="J165" s="34">
        <f t="shared" si="6"/>
      </c>
      <c r="K165" s="35">
        <f t="shared" si="120"/>
      </c>
      <c r="L165" s="79">
        <f t="shared" si="82"/>
      </c>
      <c r="M165" s="54">
        <f t="shared" si="215"/>
      </c>
      <c r="N165" s="55">
        <f t="shared" si="158"/>
      </c>
      <c r="O165" s="55">
        <f t="shared" si="177"/>
      </c>
      <c r="P165" s="55">
        <f t="shared" si="310"/>
      </c>
      <c r="Q165" s="55">
        <f t="shared" si="272"/>
      </c>
      <c r="R165" s="54">
        <f t="shared" si="63"/>
      </c>
      <c r="S165" s="56">
        <f t="shared" si="25"/>
      </c>
      <c r="T165" s="55">
        <f t="shared" si="139"/>
      </c>
      <c r="U165" s="55">
        <f t="shared" si="101"/>
      </c>
      <c r="V165" s="55">
        <f t="shared" si="234"/>
      </c>
      <c r="W165" s="55">
        <f t="shared" si="196"/>
      </c>
      <c r="X165" s="38" t="s">
        <v>52</v>
      </c>
      <c r="Y165" s="86" t="s">
        <v>54</v>
      </c>
      <c r="Z165" s="41">
        <v>44870</v>
      </c>
      <c r="AA165" s="41">
        <v>4584</v>
      </c>
      <c r="AB165" s="41">
        <v>78115</v>
      </c>
      <c r="AC165" s="41">
        <v>306</v>
      </c>
      <c r="AD165" s="41">
        <v>5</v>
      </c>
      <c r="AE165" s="41">
        <v>4348</v>
      </c>
      <c r="AF165" s="41">
        <v>78</v>
      </c>
      <c r="AG165" s="41">
        <v>19</v>
      </c>
      <c r="AH165" s="41">
        <v>2</v>
      </c>
      <c r="AI165" s="42">
        <v>1</v>
      </c>
      <c r="AJ165" s="24"/>
      <c r="AK165" s="24"/>
      <c r="AL165" s="24"/>
    </row>
    <row r="166">
      <c r="A166" s="25"/>
      <c r="B166" s="72" t="s">
        <v>50</v>
      </c>
      <c r="C166" s="78" t="s">
        <v>62</v>
      </c>
      <c r="D166" s="85">
        <f>1029.213+0.37</f>
      </c>
      <c r="E166" s="45">
        <v>9</v>
      </c>
      <c r="F166" s="47">
        <f t="shared" si="291"/>
      </c>
      <c r="G166" s="45">
        <v>3055.6</v>
      </c>
      <c r="H166" s="49">
        <f t="shared" si="253"/>
      </c>
      <c r="I166" s="50">
        <f t="shared" si="44"/>
      </c>
      <c r="J166" s="51">
        <f t="shared" si="6"/>
      </c>
      <c r="K166" s="52">
        <f t="shared" si="120"/>
      </c>
      <c r="L166" s="53">
        <f t="shared" si="82"/>
      </c>
      <c r="M166" s="54">
        <f t="shared" si="215"/>
      </c>
      <c r="N166" s="55">
        <f t="shared" si="158"/>
      </c>
      <c r="O166" s="55">
        <f t="shared" si="177"/>
      </c>
      <c r="P166" s="55">
        <f t="shared" si="310"/>
      </c>
      <c r="Q166" s="55">
        <f t="shared" si="272"/>
      </c>
      <c r="R166" s="54">
        <f t="shared" si="63"/>
      </c>
      <c r="S166" s="56">
        <f t="shared" si="25"/>
      </c>
      <c r="T166" s="55">
        <f t="shared" si="139"/>
      </c>
      <c r="U166" s="55">
        <f t="shared" si="101"/>
      </c>
      <c r="V166" s="55">
        <f t="shared" si="234"/>
      </c>
      <c r="W166" s="55">
        <f t="shared" si="196"/>
      </c>
      <c r="X166" s="38" t="s">
        <v>52</v>
      </c>
      <c r="Y166" s="86" t="s">
        <v>54</v>
      </c>
      <c r="Z166" s="40">
        <v>33774</v>
      </c>
      <c r="AA166" s="40">
        <v>3023</v>
      </c>
      <c r="AB166" s="40">
        <v>59534</v>
      </c>
      <c r="AC166" s="40">
        <v>206</v>
      </c>
      <c r="AD166" s="40">
        <v>6</v>
      </c>
      <c r="AE166" s="40">
        <v>3313</v>
      </c>
      <c r="AF166" s="41">
        <v>60</v>
      </c>
      <c r="AG166" s="41">
        <v>19</v>
      </c>
      <c r="AH166" s="41">
        <v>1</v>
      </c>
      <c r="AI166" s="42">
        <v>2</v>
      </c>
      <c r="AJ166" s="24"/>
      <c r="AK166" s="24"/>
      <c r="AL166" s="24"/>
    </row>
    <row r="167">
      <c r="A167" s="25"/>
      <c r="B167" s="58" t="s">
        <v>44</v>
      </c>
      <c r="C167" s="58"/>
      <c r="D167" s="59">
        <f>SUM(D162:D166)</f>
      </c>
      <c r="E167" s="60">
        <f>SUM(E162:E166)</f>
      </c>
      <c r="F167" s="61">
        <f t="shared" si="291"/>
      </c>
      <c r="G167" s="62">
        <f>SUM(G162:G166)</f>
      </c>
      <c r="H167" s="63">
        <f t="shared" si="253"/>
      </c>
      <c r="I167" s="64">
        <f t="shared" si="44"/>
      </c>
      <c r="J167" s="65">
        <f t="shared" si="6"/>
      </c>
      <c r="K167" s="61">
        <f t="shared" si="120"/>
      </c>
      <c r="L167" s="66">
        <f t="shared" si="82"/>
      </c>
      <c r="M167" s="65">
        <f t="shared" si="215"/>
      </c>
      <c r="N167" s="67">
        <f t="shared" si="158"/>
      </c>
      <c r="O167" s="67">
        <f t="shared" si="177"/>
      </c>
      <c r="P167" s="68">
        <f t="shared" si="310"/>
      </c>
      <c r="Q167" s="68">
        <f t="shared" si="272"/>
      </c>
      <c r="R167" s="69">
        <f t="shared" si="63"/>
      </c>
      <c r="S167" s="70">
        <f t="shared" si="25"/>
      </c>
      <c r="T167" s="68">
        <f t="shared" si="139"/>
      </c>
      <c r="U167" s="68">
        <f t="shared" si="101"/>
      </c>
      <c r="V167" s="68">
        <f t="shared" si="234"/>
      </c>
      <c r="W167" s="68">
        <f t="shared" si="196"/>
      </c>
      <c r="X167" s="68"/>
      <c r="Y167" s="71"/>
      <c r="Z167" s="59">
        <f>SUM(Z162:Z166)</f>
      </c>
      <c r="AA167" s="59">
        <f>SUM(AA162:AA166)</f>
      </c>
      <c r="AB167" s="59">
        <f>SUM(AB162:AB166)</f>
      </c>
      <c r="AC167" s="59">
        <f>SUM(AC162:AC166)</f>
      </c>
      <c r="AD167" s="59">
        <f>SUM(AD162:AD166)</f>
      </c>
      <c r="AE167" s="59">
        <f>SUM(AE162:AE166)</f>
      </c>
      <c r="AF167" s="59">
        <f>SUM(AF162:AF166)</f>
      </c>
      <c r="AG167" s="59">
        <f>SUM(AG162:AG166)</f>
      </c>
      <c r="AH167" s="59">
        <f>SUM(AH162:AH166)</f>
      </c>
      <c r="AI167" s="59">
        <f>SUM(AI162:AI166)</f>
      </c>
      <c r="AJ167" s="24"/>
      <c r="AK167" s="24"/>
      <c r="AL167" s="24"/>
    </row>
    <row r="168">
      <c r="A168" s="25"/>
      <c r="B168" s="89" t="s">
        <v>63</v>
      </c>
      <c r="C168" s="89"/>
      <c r="D168" s="90">
        <f>SUM(D167+D151+D156+D161)</f>
      </c>
      <c r="E168" s="91">
        <f>SUM(E167+E151+E156+E161)</f>
      </c>
      <c r="F168" s="92">
        <f t="shared" si="291"/>
      </c>
      <c r="G168" s="93">
        <f>SUM(G167+G151+G156+G161)</f>
      </c>
      <c r="H168" s="94">
        <f t="shared" si="253"/>
      </c>
      <c r="I168" s="95">
        <f t="shared" si="44"/>
      </c>
      <c r="J168" s="96">
        <f t="shared" si="6"/>
      </c>
      <c r="K168" s="92">
        <f t="shared" si="120"/>
      </c>
      <c r="L168" s="97">
        <f t="shared" si="82"/>
      </c>
      <c r="M168" s="97">
        <f t="shared" si="215"/>
      </c>
      <c r="N168" s="98">
        <f t="shared" si="158"/>
      </c>
      <c r="O168" s="98">
        <f t="shared" si="177"/>
      </c>
      <c r="P168" s="98">
        <f t="shared" si="310"/>
      </c>
      <c r="Q168" s="98">
        <f t="shared" si="272"/>
      </c>
      <c r="R168" s="99">
        <f t="shared" si="63"/>
      </c>
      <c r="S168" s="100">
        <f t="shared" si="25"/>
      </c>
      <c r="T168" s="101">
        <f t="shared" si="139"/>
      </c>
      <c r="U168" s="101">
        <f t="shared" si="101"/>
      </c>
      <c r="V168" s="101">
        <f t="shared" si="234"/>
      </c>
      <c r="W168" s="101">
        <f t="shared" si="196"/>
      </c>
      <c r="X168" s="101"/>
      <c r="Y168" s="102"/>
      <c r="Z168" s="103">
        <f>SUM(Z151+Z167+Z156+Z161)</f>
      </c>
      <c r="AA168" s="103">
        <f>SUM(AA151+AA167+AA156+AA161)</f>
      </c>
      <c r="AB168" s="103">
        <f>SUM(AB151+AB167+AB156+AB161)</f>
      </c>
      <c r="AC168" s="103">
        <f>SUM(AC151+AC167+AC156+AC161)</f>
      </c>
      <c r="AD168" s="103">
        <f>SUM(AD151+AD167+AD156+AD161)</f>
      </c>
      <c r="AE168" s="103">
        <f>SUM(AE151+AE167+AE156+AE161)</f>
      </c>
      <c r="AF168" s="103">
        <f>SUM(AF151+AF167+AF156+AF161)</f>
      </c>
      <c r="AG168" s="103">
        <f>SUM(AG151+AG167+AG156+AG161)</f>
      </c>
      <c r="AH168" s="103">
        <f>SUM(AH151+AH167+AH156+AH161)</f>
      </c>
      <c r="AI168" s="103">
        <f>SUM(AI151+AI167+AI156+AI161)</f>
      </c>
      <c r="AJ168" s="24"/>
      <c r="AK168" s="24"/>
      <c r="AL168" s="24"/>
    </row>
    <row r="169">
      <c r="A169" s="1" t="s">
        <v>1</v>
      </c>
      <c r="B169" s="2" t="s">
        <v>2</v>
      </c>
      <c r="C169" s="3" t="s">
        <v>3</v>
      </c>
      <c r="D169" s="4" t="s">
        <v>4</v>
      </c>
      <c r="E169" s="5" t="s">
        <v>5</v>
      </c>
      <c r="F169" s="6" t="s">
        <v>6</v>
      </c>
      <c r="G169" s="7" t="s">
        <v>7</v>
      </c>
      <c r="H169" s="8" t="s">
        <v>8</v>
      </c>
      <c r="I169" s="9" t="s">
        <v>9</v>
      </c>
      <c r="J169" s="10" t="s">
        <v>10</v>
      </c>
      <c r="K169" s="11" t="s">
        <v>11</v>
      </c>
      <c r="L169" s="12" t="s">
        <v>12</v>
      </c>
      <c r="M169" s="12" t="s">
        <v>13</v>
      </c>
      <c r="N169" s="13" t="s">
        <v>14</v>
      </c>
      <c r="O169" s="13" t="s">
        <v>15</v>
      </c>
      <c r="P169" s="13" t="s">
        <v>16</v>
      </c>
      <c r="Q169" s="13" t="s">
        <v>17</v>
      </c>
      <c r="R169" s="14" t="s">
        <v>18</v>
      </c>
      <c r="S169" s="15" t="s">
        <v>19</v>
      </c>
      <c r="T169" s="16" t="s">
        <v>20</v>
      </c>
      <c r="U169" s="16" t="s">
        <v>21</v>
      </c>
      <c r="V169" s="16" t="s">
        <v>22</v>
      </c>
      <c r="W169" s="16" t="s">
        <v>23</v>
      </c>
      <c r="X169" s="17" t="s">
        <v>24</v>
      </c>
      <c r="Y169" s="18" t="s">
        <v>25</v>
      </c>
      <c r="Z169" s="19" t="s">
        <v>26</v>
      </c>
      <c r="AA169" s="19" t="s">
        <v>27</v>
      </c>
      <c r="AB169" s="19" t="s">
        <v>28</v>
      </c>
      <c r="AC169" s="20" t="s">
        <v>29</v>
      </c>
      <c r="AD169" s="20" t="s">
        <v>30</v>
      </c>
      <c r="AE169" s="21" t="s">
        <v>31</v>
      </c>
      <c r="AF169" s="20" t="s">
        <v>32</v>
      </c>
      <c r="AG169" s="20" t="s">
        <v>33</v>
      </c>
      <c r="AH169" s="22" t="s">
        <v>34</v>
      </c>
      <c r="AI169" s="23" t="s">
        <v>35</v>
      </c>
      <c r="AJ169" s="24"/>
      <c r="AK169" s="24"/>
      <c r="AL169" s="24"/>
    </row>
    <row r="170">
      <c r="A170" s="25">
        <v>46303</v>
      </c>
      <c r="B170" s="72" t="s">
        <v>36</v>
      </c>
      <c r="C170" s="27" t="s">
        <v>37</v>
      </c>
      <c r="D170" s="28">
        <v>667.5050000000001</v>
      </c>
      <c r="E170" s="29">
        <v>5</v>
      </c>
      <c r="F170" s="30">
        <f t="shared" ref="F170:F192" si="292">D170/E170</f>
      </c>
      <c r="G170" s="31">
        <v>1462.8400000000001</v>
      </c>
      <c r="H170" s="49">
        <f t="shared" ref="H170:H192" si="254">AD170</f>
      </c>
      <c r="I170" s="33">
        <f t="shared" ref="I170:I192" si="45">D170/AD170</f>
      </c>
      <c r="J170" s="34">
        <f t="shared" ref="J170:J192" si="7">G170/E170</f>
      </c>
      <c r="K170" s="35">
        <f t="shared" ref="K170:K192" si="121">G170/D170</f>
      </c>
      <c r="L170" s="36">
        <f t="shared" ref="L170:L192" si="83">D170/AB170</f>
      </c>
      <c r="M170" s="34">
        <f t="shared" ref="M170:M192" si="216">D170/AC170</f>
      </c>
      <c r="N170" s="37">
        <f t="shared" ref="N170:N192" si="159">AC170/AB170</f>
      </c>
      <c r="O170" s="37">
        <f t="shared" ref="O170:O192" si="178">AD170/AC170</f>
      </c>
      <c r="P170" s="37">
        <f t="shared" ref="P170:P192" si="311">AA170/Z170</f>
      </c>
      <c r="Q170" s="37">
        <f t="shared" ref="Q170:Q192" si="273">AD170/AA170</f>
      </c>
      <c r="R170" s="34">
        <f t="shared" ref="R170:R192" si="64">D170/Z170*1000</f>
      </c>
      <c r="S170" s="35">
        <f t="shared" ref="S170:S192" si="26">D170/AA170</f>
      </c>
      <c r="T170" s="37">
        <f t="shared" ref="T170:T192" si="140">AE170/AB170</f>
      </c>
      <c r="U170" s="37">
        <f t="shared" ref="U170:U192" si="102">AF170/AB170</f>
      </c>
      <c r="V170" s="37">
        <f t="shared" ref="V170:V192" si="235">AG170/AB170</f>
      </c>
      <c r="W170" s="37">
        <f t="shared" ref="W170:W192" si="197">AH170/AB170</f>
      </c>
      <c r="X170" s="38" t="s">
        <v>38</v>
      </c>
      <c r="Y170" s="39" t="s">
        <v>39</v>
      </c>
      <c r="Z170" s="40">
        <v>12397</v>
      </c>
      <c r="AA170" s="40">
        <v>3466</v>
      </c>
      <c r="AB170" s="40">
        <v>22615</v>
      </c>
      <c r="AC170" s="40">
        <v>138</v>
      </c>
      <c r="AD170" s="41">
        <v>4</v>
      </c>
      <c r="AE170" s="40">
        <v>2498</v>
      </c>
      <c r="AF170" s="41">
        <v>51</v>
      </c>
      <c r="AG170" s="41">
        <v>8</v>
      </c>
      <c r="AH170" s="41">
        <v>1</v>
      </c>
      <c r="AI170" s="42">
        <v>1</v>
      </c>
      <c r="AJ170" s="24"/>
      <c r="AK170" s="24"/>
      <c r="AL170" s="24"/>
    </row>
    <row r="171">
      <c r="A171" s="25"/>
      <c r="B171" s="72" t="s">
        <v>36</v>
      </c>
      <c r="C171" s="27" t="s">
        <v>40</v>
      </c>
      <c r="D171" s="28">
        <v>1663.1629999999998</v>
      </c>
      <c r="E171" s="29">
        <v>6</v>
      </c>
      <c r="F171" s="30">
        <f t="shared" si="292"/>
      </c>
      <c r="G171" s="31">
        <v>1893.1999999999998</v>
      </c>
      <c r="H171" s="49">
        <f t="shared" si="254"/>
      </c>
      <c r="I171" s="33">
        <f t="shared" si="45"/>
      </c>
      <c r="J171" s="34">
        <f t="shared" si="7"/>
      </c>
      <c r="K171" s="35">
        <f t="shared" si="121"/>
      </c>
      <c r="L171" s="36">
        <f t="shared" si="83"/>
      </c>
      <c r="M171" s="34">
        <f t="shared" si="216"/>
      </c>
      <c r="N171" s="37">
        <f t="shared" si="159"/>
      </c>
      <c r="O171" s="37">
        <f t="shared" si="178"/>
      </c>
      <c r="P171" s="37">
        <f t="shared" si="311"/>
      </c>
      <c r="Q171" s="37">
        <f t="shared" si="273"/>
      </c>
      <c r="R171" s="34">
        <f t="shared" si="64"/>
      </c>
      <c r="S171" s="35">
        <f t="shared" si="26"/>
      </c>
      <c r="T171" s="37">
        <f t="shared" si="140"/>
      </c>
      <c r="U171" s="37">
        <f t="shared" si="102"/>
      </c>
      <c r="V171" s="37">
        <f t="shared" si="235"/>
      </c>
      <c r="W171" s="37">
        <f t="shared" si="197"/>
      </c>
      <c r="X171" s="38" t="s">
        <v>38</v>
      </c>
      <c r="Y171" s="39" t="s">
        <v>39</v>
      </c>
      <c r="Z171" s="41">
        <v>44726</v>
      </c>
      <c r="AA171" s="40">
        <v>7746</v>
      </c>
      <c r="AB171" s="40">
        <v>56161</v>
      </c>
      <c r="AC171" s="40">
        <v>317</v>
      </c>
      <c r="AD171" s="41">
        <v>5</v>
      </c>
      <c r="AE171" s="40">
        <v>6833</v>
      </c>
      <c r="AF171" s="41">
        <v>113</v>
      </c>
      <c r="AG171" s="41">
        <v>14</v>
      </c>
      <c r="AH171" s="41">
        <v>3</v>
      </c>
      <c r="AI171" s="42">
        <v>1</v>
      </c>
      <c r="AJ171" s="24"/>
      <c r="AK171" s="24"/>
      <c r="AL171" s="24"/>
    </row>
    <row r="172">
      <c r="A172" s="25"/>
      <c r="B172" s="72" t="s">
        <v>36</v>
      </c>
      <c r="C172" s="43" t="s">
        <v>41</v>
      </c>
      <c r="D172" s="44">
        <v>1709.146</v>
      </c>
      <c r="E172" s="45">
        <v>7</v>
      </c>
      <c r="F172" s="30">
        <f t="shared" si="292"/>
      </c>
      <c r="G172" s="45">
        <v>1531.5999999999995</v>
      </c>
      <c r="H172" s="49">
        <f t="shared" si="254"/>
      </c>
      <c r="I172" s="33">
        <f t="shared" si="45"/>
      </c>
      <c r="J172" s="34">
        <f t="shared" si="7"/>
      </c>
      <c r="K172" s="35">
        <f t="shared" si="121"/>
      </c>
      <c r="L172" s="36">
        <f t="shared" si="83"/>
      </c>
      <c r="M172" s="34">
        <f t="shared" si="216"/>
      </c>
      <c r="N172" s="37">
        <f t="shared" si="159"/>
      </c>
      <c r="O172" s="37">
        <f t="shared" si="178"/>
      </c>
      <c r="P172" s="37">
        <f t="shared" si="311"/>
      </c>
      <c r="Q172" s="37">
        <f t="shared" si="273"/>
      </c>
      <c r="R172" s="34">
        <f t="shared" si="64"/>
      </c>
      <c r="S172" s="35">
        <f t="shared" si="26"/>
      </c>
      <c r="T172" s="37">
        <f t="shared" si="140"/>
      </c>
      <c r="U172" s="37">
        <f t="shared" si="102"/>
      </c>
      <c r="V172" s="37">
        <f t="shared" si="235"/>
      </c>
      <c r="W172" s="37">
        <f t="shared" si="197"/>
      </c>
      <c r="X172" s="38" t="s">
        <v>38</v>
      </c>
      <c r="Y172" s="39" t="s">
        <v>39</v>
      </c>
      <c r="Z172" s="41">
        <v>57214</v>
      </c>
      <c r="AA172" s="41">
        <v>7209</v>
      </c>
      <c r="AB172" s="41">
        <v>52422</v>
      </c>
      <c r="AC172" s="41">
        <v>327</v>
      </c>
      <c r="AD172" s="41">
        <v>6</v>
      </c>
      <c r="AE172" s="41">
        <v>5873</v>
      </c>
      <c r="AF172" s="41">
        <v>117</v>
      </c>
      <c r="AG172" s="41">
        <v>10</v>
      </c>
      <c r="AH172" s="41">
        <v>3</v>
      </c>
      <c r="AI172" s="42">
        <v>2</v>
      </c>
      <c r="AJ172" s="24"/>
      <c r="AK172" s="24"/>
      <c r="AL172" s="24"/>
    </row>
    <row r="173">
      <c r="A173" s="25"/>
      <c r="B173" s="72" t="s">
        <v>36</v>
      </c>
      <c r="C173" s="46" t="s">
        <v>42</v>
      </c>
      <c r="D173" s="44">
        <v>1790.427</v>
      </c>
      <c r="E173" s="45">
        <v>1</v>
      </c>
      <c r="F173" s="47">
        <f t="shared" si="292"/>
      </c>
      <c r="G173" s="45">
        <v>828</v>
      </c>
      <c r="H173" s="49">
        <f t="shared" si="254"/>
      </c>
      <c r="I173" s="50">
        <f t="shared" si="45"/>
      </c>
      <c r="J173" s="51">
        <f t="shared" si="7"/>
      </c>
      <c r="K173" s="52">
        <f t="shared" si="121"/>
      </c>
      <c r="L173" s="53">
        <f t="shared" si="83"/>
      </c>
      <c r="M173" s="54">
        <f t="shared" si="216"/>
      </c>
      <c r="N173" s="55">
        <f t="shared" si="159"/>
      </c>
      <c r="O173" s="55">
        <f t="shared" si="178"/>
      </c>
      <c r="P173" s="55">
        <f t="shared" si="311"/>
      </c>
      <c r="Q173" s="55">
        <f t="shared" si="273"/>
      </c>
      <c r="R173" s="54">
        <f t="shared" si="64"/>
      </c>
      <c r="S173" s="56">
        <f t="shared" si="26"/>
      </c>
      <c r="T173" s="55">
        <f t="shared" si="140"/>
      </c>
      <c r="U173" s="55">
        <f t="shared" si="102"/>
      </c>
      <c r="V173" s="55">
        <f t="shared" si="235"/>
      </c>
      <c r="W173" s="55">
        <f t="shared" si="197"/>
      </c>
      <c r="X173" s="38" t="s">
        <v>38</v>
      </c>
      <c r="Y173" s="39" t="s">
        <v>39</v>
      </c>
      <c r="Z173" s="40">
        <v>41577</v>
      </c>
      <c r="AA173" s="40">
        <v>7832</v>
      </c>
      <c r="AB173" s="40">
        <v>60230</v>
      </c>
      <c r="AC173" s="40">
        <v>431</v>
      </c>
      <c r="AD173" s="40">
        <v>1</v>
      </c>
      <c r="AE173" s="40">
        <v>6403</v>
      </c>
      <c r="AF173" s="41">
        <v>170</v>
      </c>
      <c r="AG173" s="41">
        <v>6</v>
      </c>
      <c r="AH173" s="41">
        <v>3</v>
      </c>
      <c r="AI173" s="42">
        <v>0</v>
      </c>
      <c r="AJ173" s="24"/>
      <c r="AK173" s="24"/>
      <c r="AL173" s="24"/>
    </row>
    <row r="174">
      <c r="A174" s="25"/>
      <c r="B174" s="72" t="s">
        <v>36</v>
      </c>
      <c r="C174" s="46" t="s">
        <v>43</v>
      </c>
      <c r="D174" s="57">
        <v>1967.4089999999999</v>
      </c>
      <c r="E174" s="45">
        <v>8</v>
      </c>
      <c r="F174" s="47">
        <f t="shared" si="292"/>
      </c>
      <c r="G174" s="48">
        <v>2350.300000000001</v>
      </c>
      <c r="H174" s="49">
        <f t="shared" si="254"/>
      </c>
      <c r="I174" s="50">
        <f t="shared" si="45"/>
      </c>
      <c r="J174" s="51">
        <f t="shared" si="7"/>
      </c>
      <c r="K174" s="52">
        <f t="shared" si="121"/>
      </c>
      <c r="L174" s="53">
        <f t="shared" si="83"/>
      </c>
      <c r="M174" s="54">
        <f t="shared" si="216"/>
      </c>
      <c r="N174" s="55">
        <f t="shared" si="159"/>
      </c>
      <c r="O174" s="55">
        <f t="shared" si="178"/>
      </c>
      <c r="P174" s="55">
        <f t="shared" si="311"/>
      </c>
      <c r="Q174" s="55">
        <f t="shared" si="273"/>
      </c>
      <c r="R174" s="54">
        <f t="shared" si="64"/>
      </c>
      <c r="S174" s="56">
        <f t="shared" si="26"/>
      </c>
      <c r="T174" s="55">
        <f t="shared" si="140"/>
      </c>
      <c r="U174" s="55">
        <f t="shared" si="102"/>
      </c>
      <c r="V174" s="55">
        <f t="shared" si="235"/>
      </c>
      <c r="W174" s="55">
        <f t="shared" si="197"/>
      </c>
      <c r="X174" s="38" t="s">
        <v>38</v>
      </c>
      <c r="Y174" s="39" t="s">
        <v>39</v>
      </c>
      <c r="Z174" s="40">
        <v>41262</v>
      </c>
      <c r="AA174" s="40">
        <v>9395</v>
      </c>
      <c r="AB174" s="40">
        <v>78388</v>
      </c>
      <c r="AC174" s="40">
        <v>416</v>
      </c>
      <c r="AD174" s="40">
        <v>8</v>
      </c>
      <c r="AE174" s="40">
        <v>7403</v>
      </c>
      <c r="AF174" s="41">
        <v>127</v>
      </c>
      <c r="AG174" s="41">
        <v>15</v>
      </c>
      <c r="AH174" s="41">
        <v>3</v>
      </c>
      <c r="AI174" s="42">
        <v>1</v>
      </c>
      <c r="AJ174" s="24"/>
      <c r="AK174" s="24"/>
      <c r="AL174" s="24"/>
    </row>
    <row r="175">
      <c r="A175" s="25"/>
      <c r="B175" s="58" t="s">
        <v>44</v>
      </c>
      <c r="C175" s="58"/>
      <c r="D175" s="59">
        <f>SUM(D170:D174)</f>
      </c>
      <c r="E175" s="60">
        <f>SUM(E170:E174)</f>
      </c>
      <c r="F175" s="61">
        <f t="shared" si="292"/>
      </c>
      <c r="G175" s="62">
        <f>SUM(G170:G174)</f>
      </c>
      <c r="H175" s="63">
        <f t="shared" si="254"/>
      </c>
      <c r="I175" s="64">
        <f t="shared" si="45"/>
      </c>
      <c r="J175" s="65">
        <f t="shared" si="7"/>
      </c>
      <c r="K175" s="61">
        <f t="shared" si="121"/>
      </c>
      <c r="L175" s="66">
        <f t="shared" si="83"/>
      </c>
      <c r="M175" s="65">
        <f t="shared" si="216"/>
      </c>
      <c r="N175" s="67">
        <f t="shared" si="159"/>
      </c>
      <c r="O175" s="67">
        <f t="shared" si="178"/>
      </c>
      <c r="P175" s="68">
        <f t="shared" si="311"/>
      </c>
      <c r="Q175" s="68">
        <f t="shared" si="273"/>
      </c>
      <c r="R175" s="69">
        <f t="shared" si="64"/>
      </c>
      <c r="S175" s="70">
        <f t="shared" si="26"/>
      </c>
      <c r="T175" s="68">
        <f t="shared" si="140"/>
      </c>
      <c r="U175" s="68">
        <f t="shared" si="102"/>
      </c>
      <c r="V175" s="68">
        <f t="shared" si="235"/>
      </c>
      <c r="W175" s="68">
        <f t="shared" si="197"/>
      </c>
      <c r="X175" s="68"/>
      <c r="Y175" s="71"/>
      <c r="Z175" s="59">
        <f>SUM(Z170:Z174)</f>
      </c>
      <c r="AA175" s="59">
        <f>SUM(AA170:AA174)</f>
      </c>
      <c r="AB175" s="59">
        <f>SUM(AB170:AB174)</f>
      </c>
      <c r="AC175" s="59">
        <f>SUM(AC170:AC174)</f>
      </c>
      <c r="AD175" s="59">
        <f>SUM(AD170:AD174)</f>
      </c>
      <c r="AE175" s="59">
        <f>SUM(AE170:AE174)</f>
      </c>
      <c r="AF175" s="59">
        <f>SUM(AF170:AF174)</f>
      </c>
      <c r="AG175" s="59">
        <f>SUM(AG170:AG174)</f>
      </c>
      <c r="AH175" s="59">
        <f>SUM(AH170:AH174)</f>
      </c>
      <c r="AI175" s="59">
        <f>SUM(AI170:AI174)</f>
      </c>
      <c r="AJ175" s="24"/>
      <c r="AK175" s="24"/>
      <c r="AL175" s="24"/>
    </row>
    <row r="176">
      <c r="A176" s="25"/>
      <c r="B176" s="72" t="s">
        <v>45</v>
      </c>
      <c r="C176" s="73" t="s">
        <v>46</v>
      </c>
      <c r="D176" s="74">
        <v>2408.79</v>
      </c>
      <c r="E176" s="75">
        <v>2</v>
      </c>
      <c r="F176" s="47">
        <f t="shared" si="292"/>
      </c>
      <c r="G176" s="45">
        <v>1024</v>
      </c>
      <c r="H176" s="49">
        <f t="shared" si="254"/>
      </c>
      <c r="I176" s="50">
        <f t="shared" si="45"/>
      </c>
      <c r="J176" s="51">
        <f t="shared" si="7"/>
      </c>
      <c r="K176" s="52">
        <f t="shared" si="121"/>
      </c>
      <c r="L176" s="76">
        <f t="shared" si="83"/>
      </c>
      <c r="M176" s="34">
        <f t="shared" si="216"/>
      </c>
      <c r="N176" s="37">
        <f t="shared" si="159"/>
      </c>
      <c r="O176" s="37">
        <f t="shared" si="178"/>
      </c>
      <c r="P176" s="37">
        <f t="shared" si="311"/>
      </c>
      <c r="Q176" s="37">
        <f t="shared" si="273"/>
      </c>
      <c r="R176" s="34">
        <f t="shared" si="64"/>
      </c>
      <c r="S176" s="35">
        <f t="shared" si="26"/>
      </c>
      <c r="T176" s="37">
        <f t="shared" si="140"/>
      </c>
      <c r="U176" s="37">
        <f t="shared" si="102"/>
      </c>
      <c r="V176" s="37">
        <f t="shared" si="235"/>
      </c>
      <c r="W176" s="37">
        <f t="shared" si="197"/>
      </c>
      <c r="X176" s="38" t="s">
        <v>38</v>
      </c>
      <c r="Y176" s="39" t="s">
        <v>39</v>
      </c>
      <c r="Z176" s="41">
        <v>50720</v>
      </c>
      <c r="AA176" s="41">
        <v>8784</v>
      </c>
      <c r="AB176" s="41">
        <v>96221</v>
      </c>
      <c r="AC176" s="41">
        <v>374</v>
      </c>
      <c r="AD176" s="41">
        <v>2</v>
      </c>
      <c r="AE176" s="41">
        <v>8713</v>
      </c>
      <c r="AF176" s="41">
        <v>141</v>
      </c>
      <c r="AG176" s="41">
        <v>11</v>
      </c>
      <c r="AH176" s="41">
        <v>3</v>
      </c>
      <c r="AI176" s="42">
        <v>0</v>
      </c>
      <c r="AJ176" s="24"/>
      <c r="AK176" s="24"/>
      <c r="AL176" s="24"/>
    </row>
    <row r="177">
      <c r="A177" s="25"/>
      <c r="B177" s="72" t="s">
        <v>45</v>
      </c>
      <c r="C177" s="77" t="s">
        <v>47</v>
      </c>
      <c r="D177" s="44">
        <v>2581.963</v>
      </c>
      <c r="E177" s="45">
        <v>4</v>
      </c>
      <c r="F177" s="47">
        <f t="shared" si="292"/>
      </c>
      <c r="G177" s="48">
        <v>1438.300000000001</v>
      </c>
      <c r="H177" s="49">
        <f t="shared" si="254"/>
      </c>
      <c r="I177" s="50">
        <f t="shared" si="45"/>
      </c>
      <c r="J177" s="51">
        <f t="shared" si="7"/>
      </c>
      <c r="K177" s="52">
        <f t="shared" si="121"/>
      </c>
      <c r="L177" s="76">
        <f t="shared" si="83"/>
      </c>
      <c r="M177" s="34">
        <f t="shared" si="216"/>
      </c>
      <c r="N177" s="37">
        <f t="shared" si="159"/>
      </c>
      <c r="O177" s="37">
        <f t="shared" si="178"/>
      </c>
      <c r="P177" s="37">
        <f t="shared" si="311"/>
      </c>
      <c r="Q177" s="37">
        <f t="shared" si="273"/>
      </c>
      <c r="R177" s="34">
        <f t="shared" si="64"/>
      </c>
      <c r="S177" s="35">
        <f t="shared" si="26"/>
      </c>
      <c r="T177" s="37">
        <f t="shared" si="140"/>
      </c>
      <c r="U177" s="37">
        <f t="shared" si="102"/>
      </c>
      <c r="V177" s="37">
        <f t="shared" si="235"/>
      </c>
      <c r="W177" s="37">
        <f t="shared" si="197"/>
      </c>
      <c r="X177" s="38" t="s">
        <v>38</v>
      </c>
      <c r="Y177" s="39" t="s">
        <v>39</v>
      </c>
      <c r="Z177" s="41">
        <v>57836</v>
      </c>
      <c r="AA177" s="41">
        <v>8193</v>
      </c>
      <c r="AB177" s="41">
        <v>128285</v>
      </c>
      <c r="AC177" s="41">
        <v>371</v>
      </c>
      <c r="AD177" s="41">
        <v>3</v>
      </c>
      <c r="AE177" s="41">
        <v>8496</v>
      </c>
      <c r="AF177" s="41">
        <v>170</v>
      </c>
      <c r="AG177" s="41">
        <v>10</v>
      </c>
      <c r="AH177" s="41">
        <v>6</v>
      </c>
      <c r="AI177" s="42">
        <v>1</v>
      </c>
      <c r="AJ177" s="24"/>
      <c r="AK177" s="24"/>
      <c r="AL177" s="24"/>
    </row>
    <row r="178">
      <c r="A178" s="25"/>
      <c r="B178" s="72" t="s">
        <v>45</v>
      </c>
      <c r="C178" s="78" t="s">
        <v>48</v>
      </c>
      <c r="D178" s="44">
        <v>2207.406</v>
      </c>
      <c r="E178" s="45">
        <v>2</v>
      </c>
      <c r="F178" s="30">
        <f t="shared" si="292"/>
      </c>
      <c r="G178" s="23">
        <v>1024</v>
      </c>
      <c r="H178" s="49">
        <f t="shared" si="254"/>
      </c>
      <c r="I178" s="33">
        <f t="shared" si="45"/>
      </c>
      <c r="J178" s="34">
        <f t="shared" si="7"/>
      </c>
      <c r="K178" s="35">
        <f t="shared" si="121"/>
      </c>
      <c r="L178" s="79">
        <f t="shared" si="83"/>
      </c>
      <c r="M178" s="54">
        <f t="shared" si="216"/>
      </c>
      <c r="N178" s="55">
        <f t="shared" si="159"/>
      </c>
      <c r="O178" s="55">
        <f t="shared" si="178"/>
      </c>
      <c r="P178" s="55">
        <f t="shared" si="311"/>
      </c>
      <c r="Q178" s="55">
        <f t="shared" si="273"/>
      </c>
      <c r="R178" s="54">
        <f t="shared" si="64"/>
      </c>
      <c r="S178" s="56">
        <f t="shared" si="26"/>
      </c>
      <c r="T178" s="55">
        <f t="shared" si="140"/>
      </c>
      <c r="U178" s="55">
        <f t="shared" si="102"/>
      </c>
      <c r="V178" s="55">
        <f t="shared" si="235"/>
      </c>
      <c r="W178" s="55">
        <f t="shared" si="197"/>
      </c>
      <c r="X178" s="38" t="s">
        <v>38</v>
      </c>
      <c r="Y178" s="39" t="s">
        <v>39</v>
      </c>
      <c r="Z178" s="41">
        <v>53164</v>
      </c>
      <c r="AA178" s="41">
        <v>7708</v>
      </c>
      <c r="AB178" s="41">
        <v>94326</v>
      </c>
      <c r="AC178" s="41">
        <v>374</v>
      </c>
      <c r="AD178" s="41">
        <v>2</v>
      </c>
      <c r="AE178" s="41">
        <v>6398</v>
      </c>
      <c r="AF178" s="41">
        <v>119</v>
      </c>
      <c r="AG178" s="41">
        <v>15</v>
      </c>
      <c r="AH178" s="41">
        <v>6</v>
      </c>
      <c r="AI178" s="42">
        <v>0</v>
      </c>
      <c r="AJ178" s="24"/>
      <c r="AK178" s="24"/>
      <c r="AL178" s="24"/>
    </row>
    <row r="179">
      <c r="A179" s="25"/>
      <c r="B179" s="72" t="s">
        <v>45</v>
      </c>
      <c r="C179" s="78" t="s">
        <v>49</v>
      </c>
      <c r="D179" s="57">
        <v>1066.732</v>
      </c>
      <c r="E179" s="45">
        <v>0</v>
      </c>
      <c r="F179" s="30">
        <f t="shared" si="292"/>
      </c>
      <c r="G179" s="45">
        <v>0</v>
      </c>
      <c r="H179" s="49">
        <f t="shared" si="254"/>
      </c>
      <c r="I179" s="33">
        <f t="shared" si="45"/>
      </c>
      <c r="J179" s="34">
        <f t="shared" si="7"/>
      </c>
      <c r="K179" s="35">
        <f t="shared" si="121"/>
      </c>
      <c r="L179" s="79">
        <f t="shared" si="83"/>
      </c>
      <c r="M179" s="54">
        <f t="shared" si="216"/>
      </c>
      <c r="N179" s="55">
        <f t="shared" si="159"/>
      </c>
      <c r="O179" s="55">
        <f t="shared" si="178"/>
      </c>
      <c r="P179" s="55">
        <f t="shared" si="311"/>
      </c>
      <c r="Q179" s="55">
        <f t="shared" si="273"/>
      </c>
      <c r="R179" s="54">
        <f t="shared" si="64"/>
      </c>
      <c r="S179" s="56">
        <f t="shared" si="26"/>
      </c>
      <c r="T179" s="55">
        <f t="shared" si="140"/>
      </c>
      <c r="U179" s="55">
        <f t="shared" si="102"/>
      </c>
      <c r="V179" s="55">
        <f t="shared" si="235"/>
      </c>
      <c r="W179" s="55">
        <f t="shared" si="197"/>
      </c>
      <c r="X179" s="38" t="s">
        <v>38</v>
      </c>
      <c r="Y179" s="39" t="s">
        <v>39</v>
      </c>
      <c r="Z179" s="41">
        <v>30987</v>
      </c>
      <c r="AA179" s="41">
        <v>5554</v>
      </c>
      <c r="AB179" s="41">
        <v>42118</v>
      </c>
      <c r="AC179" s="41">
        <v>194</v>
      </c>
      <c r="AD179" s="41">
        <v>0</v>
      </c>
      <c r="AE179" s="41">
        <v>3309</v>
      </c>
      <c r="AF179" s="41">
        <v>104</v>
      </c>
      <c r="AG179" s="41">
        <v>4</v>
      </c>
      <c r="AH179" s="41">
        <v>1</v>
      </c>
      <c r="AI179" s="42">
        <v>2</v>
      </c>
      <c r="AJ179" s="24"/>
      <c r="AK179" s="24"/>
      <c r="AL179" s="24"/>
    </row>
    <row r="180">
      <c r="A180" s="25"/>
      <c r="B180" s="58" t="s">
        <v>44</v>
      </c>
      <c r="C180" s="58"/>
      <c r="D180" s="59">
        <f>SUM(D176:D179)</f>
      </c>
      <c r="E180" s="60">
        <f>SUM(E176:E179)</f>
      </c>
      <c r="F180" s="61">
        <f t="shared" si="292"/>
      </c>
      <c r="G180" s="62">
        <f>SUM(G176:G179)</f>
      </c>
      <c r="H180" s="63">
        <f t="shared" si="254"/>
      </c>
      <c r="I180" s="64">
        <f t="shared" si="45"/>
      </c>
      <c r="J180" s="65">
        <f t="shared" si="7"/>
      </c>
      <c r="K180" s="61">
        <f t="shared" si="121"/>
      </c>
      <c r="L180" s="66">
        <f t="shared" si="83"/>
      </c>
      <c r="M180" s="65">
        <f t="shared" si="216"/>
      </c>
      <c r="N180" s="67">
        <f t="shared" si="159"/>
      </c>
      <c r="O180" s="67">
        <f t="shared" si="178"/>
      </c>
      <c r="P180" s="68">
        <f t="shared" si="311"/>
      </c>
      <c r="Q180" s="68">
        <f t="shared" si="273"/>
      </c>
      <c r="R180" s="69">
        <f t="shared" si="64"/>
      </c>
      <c r="S180" s="70">
        <f t="shared" si="26"/>
      </c>
      <c r="T180" s="68">
        <f t="shared" si="140"/>
      </c>
      <c r="U180" s="68">
        <f t="shared" si="102"/>
      </c>
      <c r="V180" s="68">
        <f t="shared" si="235"/>
      </c>
      <c r="W180" s="68">
        <f t="shared" si="197"/>
      </c>
      <c r="X180" s="68"/>
      <c r="Y180" s="71"/>
      <c r="Z180" s="59">
        <f>SUM(Z176:Z179)</f>
      </c>
      <c r="AA180" s="59">
        <f>SUM(AA176:AA179)</f>
      </c>
      <c r="AB180" s="59">
        <f>SUM(AB176:AB179)</f>
      </c>
      <c r="AC180" s="59">
        <f>SUM(AC176:AC179)</f>
      </c>
      <c r="AD180" s="59">
        <f>SUM(AD176:AD179)</f>
      </c>
      <c r="AE180" s="59">
        <f>SUM(AE176:AE179)</f>
      </c>
      <c r="AF180" s="59">
        <f>SUM(AF176:AF179)</f>
      </c>
      <c r="AG180" s="59">
        <f>SUM(AG176:AG179)</f>
      </c>
      <c r="AH180" s="59">
        <f>SUM(AH176:AH179)</f>
      </c>
      <c r="AI180" s="59">
        <f>SUM(AI176:AI179)</f>
      </c>
      <c r="AJ180" s="24"/>
      <c r="AK180" s="24"/>
      <c r="AL180" s="24"/>
    </row>
    <row r="181">
      <c r="A181" s="25"/>
      <c r="B181" s="72" t="s">
        <v>64</v>
      </c>
      <c r="C181" s="38" t="s">
        <v>51</v>
      </c>
      <c r="D181" s="84">
        <v>1022.68</v>
      </c>
      <c r="E181" s="45">
        <v>3</v>
      </c>
      <c r="F181" s="30">
        <f t="shared" si="292"/>
      </c>
      <c r="G181" s="45">
        <v>673.2</v>
      </c>
      <c r="H181" s="49">
        <f t="shared" si="254"/>
      </c>
      <c r="I181" s="33">
        <f t="shared" si="45"/>
      </c>
      <c r="J181" s="34">
        <f t="shared" si="7"/>
      </c>
      <c r="K181" s="35">
        <f t="shared" si="121"/>
      </c>
      <c r="L181" s="79">
        <f t="shared" si="83"/>
      </c>
      <c r="M181" s="54">
        <f t="shared" si="216"/>
      </c>
      <c r="N181" s="55">
        <f t="shared" si="159"/>
      </c>
      <c r="O181" s="55">
        <f t="shared" si="178"/>
      </c>
      <c r="P181" s="55">
        <f t="shared" si="311"/>
      </c>
      <c r="Q181" s="55">
        <f t="shared" si="273"/>
      </c>
      <c r="R181" s="54">
        <f t="shared" si="64"/>
      </c>
      <c r="S181" s="56">
        <f t="shared" si="26"/>
      </c>
      <c r="T181" s="55">
        <f t="shared" si="140"/>
      </c>
      <c r="U181" s="55">
        <f t="shared" si="102"/>
      </c>
      <c r="V181" s="55">
        <f t="shared" si="235"/>
      </c>
      <c r="W181" s="55">
        <f t="shared" si="197"/>
      </c>
      <c r="X181" s="38" t="s">
        <v>52</v>
      </c>
      <c r="Y181" s="39" t="s">
        <v>39</v>
      </c>
      <c r="Z181" s="41">
        <v>28797</v>
      </c>
      <c r="AA181" s="41">
        <v>5623</v>
      </c>
      <c r="AB181" s="41">
        <v>43337</v>
      </c>
      <c r="AC181" s="41">
        <v>272</v>
      </c>
      <c r="AD181" s="41">
        <v>2</v>
      </c>
      <c r="AE181" s="41">
        <v>3557</v>
      </c>
      <c r="AF181" s="41">
        <v>87</v>
      </c>
      <c r="AG181" s="41">
        <v>12</v>
      </c>
      <c r="AH181" s="41">
        <v>0</v>
      </c>
      <c r="AI181" s="42">
        <v>1</v>
      </c>
      <c r="AJ181" s="24"/>
      <c r="AK181" s="24"/>
      <c r="AL181" s="24"/>
    </row>
    <row r="182">
      <c r="A182" s="25"/>
      <c r="B182" s="72" t="s">
        <v>64</v>
      </c>
      <c r="C182" s="78" t="s">
        <v>53</v>
      </c>
      <c r="D182" s="85">
        <v>1235.577</v>
      </c>
      <c r="E182" s="45">
        <v>4</v>
      </c>
      <c r="F182" s="30">
        <f t="shared" si="292"/>
      </c>
      <c r="G182" s="45">
        <v>912</v>
      </c>
      <c r="H182" s="49">
        <f t="shared" si="254"/>
      </c>
      <c r="I182" s="33">
        <f t="shared" si="45"/>
      </c>
      <c r="J182" s="34">
        <f t="shared" si="7"/>
      </c>
      <c r="K182" s="35">
        <f t="shared" si="121"/>
      </c>
      <c r="L182" s="79">
        <f t="shared" si="83"/>
      </c>
      <c r="M182" s="54">
        <f t="shared" si="216"/>
      </c>
      <c r="N182" s="55">
        <f t="shared" si="159"/>
      </c>
      <c r="O182" s="55">
        <f t="shared" si="178"/>
      </c>
      <c r="P182" s="55">
        <f t="shared" si="311"/>
      </c>
      <c r="Q182" s="55">
        <f t="shared" si="273"/>
      </c>
      <c r="R182" s="54">
        <f t="shared" si="64"/>
      </c>
      <c r="S182" s="56">
        <f t="shared" si="26"/>
      </c>
      <c r="T182" s="55">
        <f t="shared" si="140"/>
      </c>
      <c r="U182" s="55">
        <f t="shared" si="102"/>
      </c>
      <c r="V182" s="55">
        <f t="shared" si="235"/>
      </c>
      <c r="W182" s="55">
        <f t="shared" si="197"/>
      </c>
      <c r="X182" s="38" t="s">
        <v>52</v>
      </c>
      <c r="Y182" s="39" t="s">
        <v>66</v>
      </c>
      <c r="Z182" s="41">
        <v>30351</v>
      </c>
      <c r="AA182" s="41">
        <v>5235</v>
      </c>
      <c r="AB182" s="41">
        <v>52827</v>
      </c>
      <c r="AC182" s="41">
        <v>272</v>
      </c>
      <c r="AD182" s="41">
        <v>4</v>
      </c>
      <c r="AE182" s="41">
        <v>4092</v>
      </c>
      <c r="AF182" s="41">
        <v>114</v>
      </c>
      <c r="AG182" s="41">
        <v>5</v>
      </c>
      <c r="AH182" s="41">
        <v>0</v>
      </c>
      <c r="AI182" s="42">
        <v>0</v>
      </c>
      <c r="AJ182" s="24"/>
      <c r="AK182" s="24"/>
      <c r="AL182" s="24"/>
    </row>
    <row r="183">
      <c r="A183" s="25"/>
      <c r="B183" s="72" t="s">
        <v>64</v>
      </c>
      <c r="C183" s="78" t="s">
        <v>55</v>
      </c>
      <c r="D183" s="85">
        <v>2289.75</v>
      </c>
      <c r="E183" s="45">
        <v>4</v>
      </c>
      <c r="F183" s="30">
        <f t="shared" si="292"/>
      </c>
      <c r="G183" s="45">
        <v>1386.7</v>
      </c>
      <c r="H183" s="49">
        <f t="shared" si="254"/>
      </c>
      <c r="I183" s="33">
        <f t="shared" si="45"/>
      </c>
      <c r="J183" s="34">
        <f t="shared" si="7"/>
      </c>
      <c r="K183" s="35">
        <f t="shared" si="121"/>
      </c>
      <c r="L183" s="79">
        <f t="shared" si="83"/>
      </c>
      <c r="M183" s="54">
        <f t="shared" si="216"/>
      </c>
      <c r="N183" s="55">
        <f t="shared" si="159"/>
      </c>
      <c r="O183" s="55">
        <f t="shared" si="178"/>
      </c>
      <c r="P183" s="55">
        <f t="shared" si="311"/>
      </c>
      <c r="Q183" s="55">
        <f t="shared" si="273"/>
      </c>
      <c r="R183" s="54">
        <f t="shared" si="64"/>
      </c>
      <c r="S183" s="56">
        <f t="shared" si="26"/>
      </c>
      <c r="T183" s="55">
        <f t="shared" si="140"/>
      </c>
      <c r="U183" s="55">
        <f t="shared" si="102"/>
      </c>
      <c r="V183" s="55">
        <f t="shared" si="235"/>
      </c>
      <c r="W183" s="55">
        <f t="shared" si="197"/>
      </c>
      <c r="X183" s="38" t="s">
        <v>52</v>
      </c>
      <c r="Y183" s="39" t="s">
        <v>66</v>
      </c>
      <c r="Z183" s="41">
        <v>48549</v>
      </c>
      <c r="AA183" s="41">
        <v>7502</v>
      </c>
      <c r="AB183" s="41">
        <v>104692</v>
      </c>
      <c r="AC183" s="41">
        <v>489</v>
      </c>
      <c r="AD183" s="41">
        <v>1</v>
      </c>
      <c r="AE183" s="41">
        <v>8109</v>
      </c>
      <c r="AF183" s="41">
        <v>141</v>
      </c>
      <c r="AG183" s="41">
        <v>12</v>
      </c>
      <c r="AH183" s="41">
        <v>6</v>
      </c>
      <c r="AI183" s="42">
        <v>1</v>
      </c>
      <c r="AJ183" s="24"/>
      <c r="AK183" s="24"/>
      <c r="AL183" s="24"/>
    </row>
    <row r="184">
      <c r="A184" s="25"/>
      <c r="B184" s="72" t="s">
        <v>64</v>
      </c>
      <c r="C184" s="78" t="s">
        <v>56</v>
      </c>
      <c r="D184" s="85">
        <v>2552.666</v>
      </c>
      <c r="E184" s="45">
        <v>2</v>
      </c>
      <c r="F184" s="30">
        <f t="shared" si="292"/>
      </c>
      <c r="G184" s="45">
        <v>1056</v>
      </c>
      <c r="H184" s="49">
        <f t="shared" si="254"/>
      </c>
      <c r="I184" s="33">
        <f t="shared" si="45"/>
      </c>
      <c r="J184" s="34">
        <f t="shared" si="7"/>
      </c>
      <c r="K184" s="35">
        <f t="shared" si="121"/>
      </c>
      <c r="L184" s="79">
        <f t="shared" si="83"/>
      </c>
      <c r="M184" s="54">
        <f t="shared" si="216"/>
      </c>
      <c r="N184" s="55">
        <f t="shared" si="159"/>
      </c>
      <c r="O184" s="55">
        <f t="shared" si="178"/>
      </c>
      <c r="P184" s="55">
        <f t="shared" si="311"/>
      </c>
      <c r="Q184" s="55">
        <f t="shared" si="273"/>
      </c>
      <c r="R184" s="54">
        <f t="shared" si="64"/>
      </c>
      <c r="S184" s="56">
        <f t="shared" si="26"/>
      </c>
      <c r="T184" s="55">
        <f t="shared" si="140"/>
      </c>
      <c r="U184" s="55">
        <f t="shared" si="102"/>
      </c>
      <c r="V184" s="55">
        <f t="shared" si="235"/>
      </c>
      <c r="W184" s="55">
        <f t="shared" si="197"/>
      </c>
      <c r="X184" s="38" t="s">
        <v>52</v>
      </c>
      <c r="Y184" s="39" t="s">
        <v>66</v>
      </c>
      <c r="Z184" s="41">
        <v>59576</v>
      </c>
      <c r="AA184" s="41">
        <v>8864</v>
      </c>
      <c r="AB184" s="41">
        <v>128782</v>
      </c>
      <c r="AC184" s="41">
        <v>317</v>
      </c>
      <c r="AD184" s="41">
        <v>3</v>
      </c>
      <c r="AE184" s="41">
        <v>9192</v>
      </c>
      <c r="AF184" s="41">
        <v>159</v>
      </c>
      <c r="AG184" s="41">
        <v>14</v>
      </c>
      <c r="AH184" s="41">
        <v>7</v>
      </c>
      <c r="AI184" s="42">
        <v>0</v>
      </c>
      <c r="AJ184" s="24"/>
      <c r="AK184" s="24"/>
      <c r="AL184" s="24"/>
    </row>
    <row r="185">
      <c r="A185" s="25"/>
      <c r="B185" s="58" t="s">
        <v>44</v>
      </c>
      <c r="C185" s="58"/>
      <c r="D185" s="59">
        <f>SUM(D181:D184)</f>
      </c>
      <c r="E185" s="60">
        <f>SUM(E181:E184)</f>
      </c>
      <c r="F185" s="70">
        <f t="shared" si="292"/>
      </c>
      <c r="G185" s="80">
        <f>SUM(G181:G184)</f>
      </c>
      <c r="H185" s="81">
        <f t="shared" si="254"/>
      </c>
      <c r="I185" s="82">
        <f t="shared" si="45"/>
      </c>
      <c r="J185" s="69">
        <f t="shared" si="7"/>
      </c>
      <c r="K185" s="70">
        <f t="shared" si="121"/>
      </c>
      <c r="L185" s="83">
        <f t="shared" si="83"/>
      </c>
      <c r="M185" s="69">
        <f t="shared" si="216"/>
      </c>
      <c r="N185" s="68">
        <f t="shared" si="159"/>
      </c>
      <c r="O185" s="68">
        <f t="shared" si="178"/>
      </c>
      <c r="P185" s="68">
        <f t="shared" si="311"/>
      </c>
      <c r="Q185" s="68">
        <f t="shared" si="273"/>
      </c>
      <c r="R185" s="69">
        <f t="shared" si="64"/>
      </c>
      <c r="S185" s="70">
        <f t="shared" si="26"/>
      </c>
      <c r="T185" s="68">
        <f t="shared" si="140"/>
      </c>
      <c r="U185" s="68">
        <f t="shared" si="102"/>
      </c>
      <c r="V185" s="68">
        <f t="shared" si="235"/>
      </c>
      <c r="W185" s="68">
        <f t="shared" si="197"/>
      </c>
      <c r="X185" s="68"/>
      <c r="Y185" s="71"/>
      <c r="Z185" s="59">
        <f>SUM(Z181:Z184)</f>
      </c>
      <c r="AA185" s="59">
        <f>SUM(AA181:AA184)</f>
      </c>
      <c r="AB185" s="59">
        <f>SUM(AB181:AB184)</f>
      </c>
      <c r="AC185" s="59">
        <f>SUM(AC181:AC184)</f>
      </c>
      <c r="AD185" s="59">
        <f>SUM(AD181:AD184)</f>
      </c>
      <c r="AE185" s="59">
        <f>SUM(AE181:AE184)</f>
      </c>
      <c r="AF185" s="59">
        <f>SUM(AF181:AF184)</f>
      </c>
      <c r="AG185" s="59">
        <f>SUM(AG181:AG184)</f>
      </c>
      <c r="AH185" s="59">
        <f>SUM(AH181:AH184)</f>
      </c>
      <c r="AI185" s="59">
        <f>SUM(AI181:AI184)</f>
      </c>
      <c r="AJ185" s="24"/>
      <c r="AK185" s="24"/>
      <c r="AL185" s="24"/>
    </row>
    <row r="186">
      <c r="A186" s="25"/>
      <c r="B186" s="72" t="s">
        <v>50</v>
      </c>
      <c r="C186" s="78" t="s">
        <v>58</v>
      </c>
      <c r="D186" s="84">
        <v>1538.833</v>
      </c>
      <c r="E186" s="45">
        <v>6</v>
      </c>
      <c r="F186" s="30">
        <f t="shared" si="292"/>
      </c>
      <c r="G186" s="45">
        <v>1242.7</v>
      </c>
      <c r="H186" s="49">
        <f t="shared" si="254"/>
      </c>
      <c r="I186" s="33">
        <f t="shared" si="45"/>
      </c>
      <c r="J186" s="34">
        <f t="shared" si="7"/>
      </c>
      <c r="K186" s="35">
        <f t="shared" si="121"/>
      </c>
      <c r="L186" s="79">
        <f t="shared" si="83"/>
      </c>
      <c r="M186" s="54">
        <f t="shared" si="216"/>
      </c>
      <c r="N186" s="55">
        <f t="shared" si="159"/>
      </c>
      <c r="O186" s="55">
        <f t="shared" si="178"/>
      </c>
      <c r="P186" s="55">
        <f t="shared" si="311"/>
      </c>
      <c r="Q186" s="55">
        <f t="shared" si="273"/>
      </c>
      <c r="R186" s="54">
        <f t="shared" si="64"/>
      </c>
      <c r="S186" s="56">
        <f t="shared" si="26"/>
      </c>
      <c r="T186" s="55">
        <f t="shared" si="140"/>
      </c>
      <c r="U186" s="55">
        <f t="shared" si="102"/>
      </c>
      <c r="V186" s="55">
        <f t="shared" si="235"/>
      </c>
      <c r="W186" s="55">
        <f t="shared" si="197"/>
      </c>
      <c r="X186" s="38" t="s">
        <v>52</v>
      </c>
      <c r="Y186" s="39" t="s">
        <v>66</v>
      </c>
      <c r="Z186" s="41">
        <v>44082</v>
      </c>
      <c r="AA186" s="41">
        <v>5356</v>
      </c>
      <c r="AB186" s="41">
        <v>80715</v>
      </c>
      <c r="AC186" s="41">
        <v>343</v>
      </c>
      <c r="AD186" s="41">
        <v>4</v>
      </c>
      <c r="AE186" s="41">
        <v>4501</v>
      </c>
      <c r="AF186" s="41">
        <v>83</v>
      </c>
      <c r="AG186" s="41">
        <v>11</v>
      </c>
      <c r="AH186" s="41">
        <v>3</v>
      </c>
      <c r="AI186" s="42">
        <v>1</v>
      </c>
      <c r="AJ186" s="24"/>
      <c r="AK186" s="24"/>
      <c r="AL186" s="24"/>
    </row>
    <row r="187">
      <c r="A187" s="25"/>
      <c r="B187" s="72" t="s">
        <v>50</v>
      </c>
      <c r="C187" s="78" t="s">
        <v>59</v>
      </c>
      <c r="D187" s="85">
        <v>1868.392</v>
      </c>
      <c r="E187" s="45">
        <v>12</v>
      </c>
      <c r="F187" s="30">
        <f t="shared" si="292"/>
      </c>
      <c r="G187" s="45">
        <v>3750.9</v>
      </c>
      <c r="H187" s="49">
        <f t="shared" si="254"/>
      </c>
      <c r="I187" s="33">
        <f t="shared" si="45"/>
      </c>
      <c r="J187" s="34">
        <f t="shared" si="7"/>
      </c>
      <c r="K187" s="35">
        <f t="shared" si="121"/>
      </c>
      <c r="L187" s="79">
        <f t="shared" si="83"/>
      </c>
      <c r="M187" s="54">
        <f t="shared" si="216"/>
      </c>
      <c r="N187" s="55">
        <f t="shared" si="159"/>
      </c>
      <c r="O187" s="55">
        <f t="shared" si="178"/>
      </c>
      <c r="P187" s="55">
        <f t="shared" si="311"/>
      </c>
      <c r="Q187" s="55">
        <f t="shared" si="273"/>
      </c>
      <c r="R187" s="54">
        <f t="shared" si="64"/>
      </c>
      <c r="S187" s="56">
        <f t="shared" si="26"/>
      </c>
      <c r="T187" s="55">
        <f t="shared" si="140"/>
      </c>
      <c r="U187" s="55">
        <f t="shared" si="102"/>
      </c>
      <c r="V187" s="55">
        <f t="shared" si="235"/>
      </c>
      <c r="W187" s="55">
        <f t="shared" si="197"/>
      </c>
      <c r="X187" s="38" t="s">
        <v>52</v>
      </c>
      <c r="Y187" s="39" t="s">
        <v>66</v>
      </c>
      <c r="Z187" s="41">
        <v>62382</v>
      </c>
      <c r="AA187" s="41">
        <v>6545</v>
      </c>
      <c r="AB187" s="41">
        <v>95326</v>
      </c>
      <c r="AC187" s="41">
        <v>306</v>
      </c>
      <c r="AD187" s="41">
        <v>7</v>
      </c>
      <c r="AE187" s="41">
        <v>5150</v>
      </c>
      <c r="AF187" s="41">
        <v>89</v>
      </c>
      <c r="AG187" s="41">
        <v>14</v>
      </c>
      <c r="AH187" s="41">
        <v>7</v>
      </c>
      <c r="AI187" s="42">
        <v>2</v>
      </c>
      <c r="AJ187" s="24"/>
      <c r="AK187" s="24"/>
      <c r="AL187" s="24"/>
    </row>
    <row r="188">
      <c r="A188" s="25"/>
      <c r="B188" s="72" t="s">
        <v>50</v>
      </c>
      <c r="C188" s="78" t="s">
        <v>60</v>
      </c>
      <c r="D188" s="85">
        <v>1835.033</v>
      </c>
      <c r="E188" s="45">
        <v>7</v>
      </c>
      <c r="F188" s="30">
        <f t="shared" si="292"/>
      </c>
      <c r="G188" s="45">
        <v>2019.9</v>
      </c>
      <c r="H188" s="49">
        <f t="shared" si="254"/>
      </c>
      <c r="I188" s="33">
        <f t="shared" si="45"/>
      </c>
      <c r="J188" s="34">
        <f t="shared" si="7"/>
      </c>
      <c r="K188" s="35">
        <f t="shared" si="121"/>
      </c>
      <c r="L188" s="79">
        <f t="shared" si="83"/>
      </c>
      <c r="M188" s="54">
        <f t="shared" si="216"/>
      </c>
      <c r="N188" s="55">
        <f t="shared" si="159"/>
      </c>
      <c r="O188" s="55">
        <f t="shared" si="178"/>
      </c>
      <c r="P188" s="55">
        <f t="shared" si="311"/>
      </c>
      <c r="Q188" s="55">
        <f t="shared" si="273"/>
      </c>
      <c r="R188" s="54">
        <f t="shared" si="64"/>
      </c>
      <c r="S188" s="56">
        <f t="shared" si="26"/>
      </c>
      <c r="T188" s="55">
        <f t="shared" si="140"/>
      </c>
      <c r="U188" s="55">
        <f t="shared" si="102"/>
      </c>
      <c r="V188" s="55">
        <f t="shared" si="235"/>
      </c>
      <c r="W188" s="55">
        <f t="shared" si="197"/>
      </c>
      <c r="X188" s="38" t="s">
        <v>52</v>
      </c>
      <c r="Y188" s="39" t="s">
        <v>66</v>
      </c>
      <c r="Z188" s="41">
        <v>59908</v>
      </c>
      <c r="AA188" s="41">
        <v>8053</v>
      </c>
      <c r="AB188" s="41">
        <v>94682</v>
      </c>
      <c r="AC188" s="41">
        <v>409</v>
      </c>
      <c r="AD188" s="41">
        <v>5</v>
      </c>
      <c r="AE188" s="41">
        <v>5669</v>
      </c>
      <c r="AF188" s="41">
        <v>105</v>
      </c>
      <c r="AG188" s="41">
        <v>14</v>
      </c>
      <c r="AH188" s="41">
        <v>3</v>
      </c>
      <c r="AI188" s="42">
        <v>2</v>
      </c>
      <c r="AJ188" s="24"/>
      <c r="AK188" s="24"/>
      <c r="AL188" s="24"/>
    </row>
    <row r="189">
      <c r="A189" s="25"/>
      <c r="B189" s="72" t="s">
        <v>50</v>
      </c>
      <c r="C189" s="78" t="s">
        <v>61</v>
      </c>
      <c r="D189" s="85">
        <v>2122.701</v>
      </c>
      <c r="E189" s="45">
        <v>6</v>
      </c>
      <c r="F189" s="30">
        <f t="shared" si="292"/>
      </c>
      <c r="G189" s="45">
        <v>2536</v>
      </c>
      <c r="H189" s="49">
        <f t="shared" si="254"/>
      </c>
      <c r="I189" s="33">
        <f t="shared" si="45"/>
      </c>
      <c r="J189" s="34">
        <f t="shared" si="7"/>
      </c>
      <c r="K189" s="35">
        <f t="shared" si="121"/>
      </c>
      <c r="L189" s="79">
        <f t="shared" si="83"/>
      </c>
      <c r="M189" s="54">
        <f t="shared" si="216"/>
      </c>
      <c r="N189" s="55">
        <f t="shared" si="159"/>
      </c>
      <c r="O189" s="55">
        <f t="shared" si="178"/>
      </c>
      <c r="P189" s="55">
        <f t="shared" si="311"/>
      </c>
      <c r="Q189" s="55">
        <f t="shared" si="273"/>
      </c>
      <c r="R189" s="54">
        <f t="shared" si="64"/>
      </c>
      <c r="S189" s="56">
        <f t="shared" si="26"/>
      </c>
      <c r="T189" s="55">
        <f t="shared" si="140"/>
      </c>
      <c r="U189" s="55">
        <f t="shared" si="102"/>
      </c>
      <c r="V189" s="55">
        <f t="shared" si="235"/>
      </c>
      <c r="W189" s="55">
        <f t="shared" si="197"/>
      </c>
      <c r="X189" s="38" t="s">
        <v>52</v>
      </c>
      <c r="Y189" s="39" t="s">
        <v>66</v>
      </c>
      <c r="Z189" s="41">
        <v>58446</v>
      </c>
      <c r="AA189" s="41">
        <v>8525</v>
      </c>
      <c r="AB189" s="41">
        <v>112852</v>
      </c>
      <c r="AC189" s="41">
        <v>443</v>
      </c>
      <c r="AD189" s="41">
        <v>6</v>
      </c>
      <c r="AE189" s="41">
        <v>6407</v>
      </c>
      <c r="AF189" s="41">
        <v>96</v>
      </c>
      <c r="AG189" s="41">
        <v>22</v>
      </c>
      <c r="AH189" s="41">
        <v>9</v>
      </c>
      <c r="AI189" s="42">
        <v>0</v>
      </c>
      <c r="AJ189" s="24"/>
      <c r="AK189" s="24"/>
      <c r="AL189" s="24"/>
    </row>
    <row r="190">
      <c r="A190" s="25"/>
      <c r="B190" s="72" t="s">
        <v>50</v>
      </c>
      <c r="C190" s="78" t="s">
        <v>62</v>
      </c>
      <c r="D190" s="85">
        <f>1067.695+0.556</f>
      </c>
      <c r="E190" s="45">
        <v>3</v>
      </c>
      <c r="F190" s="47">
        <f t="shared" si="292"/>
      </c>
      <c r="G190" s="45">
        <v>652</v>
      </c>
      <c r="H190" s="49">
        <f t="shared" si="254"/>
      </c>
      <c r="I190" s="50">
        <f t="shared" si="45"/>
      </c>
      <c r="J190" s="51">
        <f t="shared" si="7"/>
      </c>
      <c r="K190" s="52">
        <f t="shared" si="121"/>
      </c>
      <c r="L190" s="53">
        <f t="shared" si="83"/>
      </c>
      <c r="M190" s="54">
        <f t="shared" si="216"/>
      </c>
      <c r="N190" s="55">
        <f t="shared" si="159"/>
      </c>
      <c r="O190" s="55">
        <f t="shared" si="178"/>
      </c>
      <c r="P190" s="55">
        <f t="shared" si="311"/>
      </c>
      <c r="Q190" s="55">
        <f t="shared" si="273"/>
      </c>
      <c r="R190" s="54">
        <f t="shared" si="64"/>
      </c>
      <c r="S190" s="56">
        <f t="shared" si="26"/>
      </c>
      <c r="T190" s="55">
        <f t="shared" si="140"/>
      </c>
      <c r="U190" s="55">
        <f t="shared" si="102"/>
      </c>
      <c r="V190" s="55">
        <f t="shared" si="235"/>
      </c>
      <c r="W190" s="55">
        <f t="shared" si="197"/>
      </c>
      <c r="X190" s="38" t="s">
        <v>52</v>
      </c>
      <c r="Y190" s="39" t="s">
        <v>66</v>
      </c>
      <c r="Z190" s="40">
        <v>40129</v>
      </c>
      <c r="AA190" s="40">
        <v>5698</v>
      </c>
      <c r="AB190" s="40">
        <v>62022</v>
      </c>
      <c r="AC190" s="40">
        <v>301</v>
      </c>
      <c r="AD190" s="40">
        <v>3</v>
      </c>
      <c r="AE190" s="40">
        <v>3781</v>
      </c>
      <c r="AF190" s="41">
        <v>65</v>
      </c>
      <c r="AG190" s="41">
        <v>21</v>
      </c>
      <c r="AH190" s="41">
        <v>4</v>
      </c>
      <c r="AI190" s="42">
        <v>0</v>
      </c>
      <c r="AJ190" s="24"/>
      <c r="AK190" s="24"/>
      <c r="AL190" s="24"/>
    </row>
    <row r="191">
      <c r="A191" s="25"/>
      <c r="B191" s="58" t="s">
        <v>44</v>
      </c>
      <c r="C191" s="58"/>
      <c r="D191" s="59">
        <f>SUM(D186:D190)</f>
      </c>
      <c r="E191" s="60">
        <f>SUM(E186:E190)</f>
      </c>
      <c r="F191" s="61">
        <f t="shared" si="292"/>
      </c>
      <c r="G191" s="62">
        <f>SUM(G186:G190)</f>
      </c>
      <c r="H191" s="63">
        <f t="shared" si="254"/>
      </c>
      <c r="I191" s="64">
        <f t="shared" si="45"/>
      </c>
      <c r="J191" s="65">
        <f t="shared" si="7"/>
      </c>
      <c r="K191" s="61">
        <f t="shared" si="121"/>
      </c>
      <c r="L191" s="66">
        <f t="shared" si="83"/>
      </c>
      <c r="M191" s="65">
        <f t="shared" si="216"/>
      </c>
      <c r="N191" s="67">
        <f t="shared" si="159"/>
      </c>
      <c r="O191" s="67">
        <f t="shared" si="178"/>
      </c>
      <c r="P191" s="68">
        <f t="shared" si="311"/>
      </c>
      <c r="Q191" s="68">
        <f t="shared" si="273"/>
      </c>
      <c r="R191" s="69">
        <f t="shared" si="64"/>
      </c>
      <c r="S191" s="70">
        <f t="shared" si="26"/>
      </c>
      <c r="T191" s="68">
        <f t="shared" si="140"/>
      </c>
      <c r="U191" s="68">
        <f t="shared" si="102"/>
      </c>
      <c r="V191" s="68">
        <f t="shared" si="235"/>
      </c>
      <c r="W191" s="68">
        <f t="shared" si="197"/>
      </c>
      <c r="X191" s="68"/>
      <c r="Y191" s="71"/>
      <c r="Z191" s="59">
        <f>SUM(Z186:Z190)</f>
      </c>
      <c r="AA191" s="59">
        <f>SUM(AA186:AA190)</f>
      </c>
      <c r="AB191" s="59">
        <f>SUM(AB186:AB190)</f>
      </c>
      <c r="AC191" s="59">
        <f>SUM(AC186:AC190)</f>
      </c>
      <c r="AD191" s="59">
        <f>SUM(AD186:AD190)</f>
      </c>
      <c r="AE191" s="59">
        <f>SUM(AE186:AE190)</f>
      </c>
      <c r="AF191" s="59">
        <f>SUM(AF186:AF190)</f>
      </c>
      <c r="AG191" s="59">
        <f>SUM(AG186:AG190)</f>
      </c>
      <c r="AH191" s="59">
        <f>SUM(AH186:AH190)</f>
      </c>
      <c r="AI191" s="59">
        <f>SUM(AI186:AI190)</f>
      </c>
      <c r="AJ191" s="24"/>
      <c r="AK191" s="24"/>
      <c r="AL191" s="24"/>
    </row>
    <row r="192">
      <c r="A192" s="25"/>
      <c r="B192" s="89" t="s">
        <v>63</v>
      </c>
      <c r="C192" s="89"/>
      <c r="D192" s="90">
        <f>SUM(D191+D175+D180+D185)</f>
      </c>
      <c r="E192" s="91">
        <f>SUM(E191+E175+E180+E185)</f>
      </c>
      <c r="F192" s="92">
        <f t="shared" si="292"/>
      </c>
      <c r="G192" s="93">
        <f>SUM(G191+G175+G180+G185)</f>
      </c>
      <c r="H192" s="94">
        <f t="shared" si="254"/>
      </c>
      <c r="I192" s="95">
        <f t="shared" si="45"/>
      </c>
      <c r="J192" s="96">
        <f t="shared" si="7"/>
      </c>
      <c r="K192" s="92">
        <f t="shared" si="121"/>
      </c>
      <c r="L192" s="97">
        <f t="shared" si="83"/>
      </c>
      <c r="M192" s="97">
        <f t="shared" si="216"/>
      </c>
      <c r="N192" s="98">
        <f t="shared" si="159"/>
      </c>
      <c r="O192" s="98">
        <f t="shared" si="178"/>
      </c>
      <c r="P192" s="98">
        <f t="shared" si="311"/>
      </c>
      <c r="Q192" s="98">
        <f t="shared" si="273"/>
      </c>
      <c r="R192" s="99">
        <f t="shared" si="64"/>
      </c>
      <c r="S192" s="100">
        <f t="shared" si="26"/>
      </c>
      <c r="T192" s="101">
        <f t="shared" si="140"/>
      </c>
      <c r="U192" s="101">
        <f t="shared" si="102"/>
      </c>
      <c r="V192" s="101">
        <f t="shared" si="235"/>
      </c>
      <c r="W192" s="101">
        <f t="shared" si="197"/>
      </c>
      <c r="X192" s="101"/>
      <c r="Y192" s="102"/>
      <c r="Z192" s="103">
        <f>SUM(Z175+Z191+Z180+Z185)</f>
      </c>
      <c r="AA192" s="103">
        <f>SUM(AA175+AA191+AA180+AA185)</f>
      </c>
      <c r="AB192" s="103">
        <f>SUM(AB175+AB191+AB180+AB185)</f>
      </c>
      <c r="AC192" s="103">
        <f>SUM(AC175+AC191+AC180+AC185)</f>
      </c>
      <c r="AD192" s="103">
        <f>SUM(AD175+AD191+AD180+AD185)</f>
      </c>
      <c r="AE192" s="103">
        <f>SUM(AE175+AE191+AE180+AE185)</f>
      </c>
      <c r="AF192" s="103">
        <f>SUM(AF175+AF191+AF180+AF185)</f>
      </c>
      <c r="AG192" s="103">
        <f>SUM(AG175+AG191+AG180+AG185)</f>
      </c>
      <c r="AH192" s="103">
        <f>SUM(AH175+AH191+AH180+AH185)</f>
      </c>
      <c r="AI192" s="103">
        <f>SUM(AI175+AI191+AI180+AI185)</f>
      </c>
      <c r="AJ192" s="24"/>
      <c r="AK192" s="24"/>
      <c r="AL192" s="24"/>
    </row>
    <row r="193">
      <c r="A193" s="1" t="s">
        <v>1</v>
      </c>
      <c r="B193" s="2" t="s">
        <v>2</v>
      </c>
      <c r="C193" s="3" t="s">
        <v>3</v>
      </c>
      <c r="D193" s="4" t="s">
        <v>4</v>
      </c>
      <c r="E193" s="5" t="s">
        <v>5</v>
      </c>
      <c r="F193" s="6" t="s">
        <v>6</v>
      </c>
      <c r="G193" s="7" t="s">
        <v>7</v>
      </c>
      <c r="H193" s="8" t="s">
        <v>8</v>
      </c>
      <c r="I193" s="9" t="s">
        <v>9</v>
      </c>
      <c r="J193" s="10" t="s">
        <v>10</v>
      </c>
      <c r="K193" s="11" t="s">
        <v>11</v>
      </c>
      <c r="L193" s="12" t="s">
        <v>12</v>
      </c>
      <c r="M193" s="12" t="s">
        <v>13</v>
      </c>
      <c r="N193" s="13" t="s">
        <v>14</v>
      </c>
      <c r="O193" s="13" t="s">
        <v>15</v>
      </c>
      <c r="P193" s="13" t="s">
        <v>16</v>
      </c>
      <c r="Q193" s="13" t="s">
        <v>17</v>
      </c>
      <c r="R193" s="14" t="s">
        <v>18</v>
      </c>
      <c r="S193" s="15" t="s">
        <v>19</v>
      </c>
      <c r="T193" s="16" t="s">
        <v>20</v>
      </c>
      <c r="U193" s="16" t="s">
        <v>21</v>
      </c>
      <c r="V193" s="16" t="s">
        <v>22</v>
      </c>
      <c r="W193" s="16" t="s">
        <v>23</v>
      </c>
      <c r="X193" s="17" t="s">
        <v>24</v>
      </c>
      <c r="Y193" s="18" t="s">
        <v>25</v>
      </c>
      <c r="Z193" s="19" t="s">
        <v>26</v>
      </c>
      <c r="AA193" s="19" t="s">
        <v>27</v>
      </c>
      <c r="AB193" s="19" t="s">
        <v>28</v>
      </c>
      <c r="AC193" s="20" t="s">
        <v>29</v>
      </c>
      <c r="AD193" s="20" t="s">
        <v>30</v>
      </c>
      <c r="AE193" s="21" t="s">
        <v>31</v>
      </c>
      <c r="AF193" s="20" t="s">
        <v>32</v>
      </c>
      <c r="AG193" s="20" t="s">
        <v>33</v>
      </c>
      <c r="AH193" s="22" t="s">
        <v>34</v>
      </c>
      <c r="AI193" s="23" t="s">
        <v>35</v>
      </c>
      <c r="AJ193" s="24"/>
      <c r="AK193" s="24"/>
      <c r="AL193" s="24"/>
    </row>
    <row r="194">
      <c r="A194" s="25">
        <v>46304</v>
      </c>
      <c r="B194" s="72" t="s">
        <v>36</v>
      </c>
      <c r="C194" s="27" t="s">
        <v>37</v>
      </c>
      <c r="D194" s="28">
        <v>720.6600000000001</v>
      </c>
      <c r="E194" s="29">
        <v>3</v>
      </c>
      <c r="F194" s="30">
        <f t="shared" ref="F194:F216" si="293">D194/E194</f>
      </c>
      <c r="G194" s="31">
        <v>1884</v>
      </c>
      <c r="H194" s="49">
        <f t="shared" ref="H194:H216" si="255">AD194</f>
      </c>
      <c r="I194" s="33">
        <f t="shared" ref="I194:I216" si="46">D194/AD194</f>
      </c>
      <c r="J194" s="34">
        <f t="shared" ref="J194:J216" si="8">G194/E194</f>
      </c>
      <c r="K194" s="35">
        <f t="shared" ref="K194:K216" si="122">G194/D194</f>
      </c>
      <c r="L194" s="36">
        <f t="shared" ref="L194:L216" si="84">D194/AB194</f>
      </c>
      <c r="M194" s="34">
        <f t="shared" ref="M194:M216" si="217">D194/AC194</f>
      </c>
      <c r="N194" s="37">
        <f t="shared" ref="N194:N216" si="160">AC194/AB194</f>
      </c>
      <c r="O194" s="37">
        <f t="shared" ref="O194:O216" si="179">AD194/AC194</f>
      </c>
      <c r="P194" s="37">
        <f t="shared" ref="P194:P216" si="312">AA194/Z194</f>
      </c>
      <c r="Q194" s="37">
        <f t="shared" ref="Q194:Q216" si="274">AD194/AA194</f>
      </c>
      <c r="R194" s="34">
        <f t="shared" ref="R194:R216" si="65">D194/Z194*1000</f>
      </c>
      <c r="S194" s="35">
        <f t="shared" ref="S194:S216" si="27">D194/AA194</f>
      </c>
      <c r="T194" s="37">
        <f t="shared" ref="T194:T216" si="141">AE194/AB194</f>
      </c>
      <c r="U194" s="37">
        <f t="shared" ref="U194:U216" si="103">AF194/AB194</f>
      </c>
      <c r="V194" s="37">
        <f t="shared" ref="V194:V216" si="236">AG194/AB194</f>
      </c>
      <c r="W194" s="37">
        <f t="shared" ref="W194:W216" si="198">AH194/AB194</f>
      </c>
      <c r="X194" s="38" t="s">
        <v>38</v>
      </c>
      <c r="Y194" s="39" t="s">
        <v>39</v>
      </c>
      <c r="Z194" s="40">
        <v>33178</v>
      </c>
      <c r="AA194" s="40">
        <v>5834</v>
      </c>
      <c r="AB194" s="40">
        <v>21378</v>
      </c>
      <c r="AC194" s="40">
        <v>256</v>
      </c>
      <c r="AD194" s="41">
        <v>3</v>
      </c>
      <c r="AE194" s="40">
        <v>3027</v>
      </c>
      <c r="AF194" s="41">
        <v>61</v>
      </c>
      <c r="AG194" s="41">
        <v>15</v>
      </c>
      <c r="AH194" s="41">
        <v>3</v>
      </c>
      <c r="AI194" s="42">
        <v>0</v>
      </c>
      <c r="AJ194" s="24"/>
      <c r="AK194" s="24"/>
      <c r="AL194" s="24"/>
    </row>
    <row r="195">
      <c r="A195" s="25"/>
      <c r="B195" s="72" t="s">
        <v>36</v>
      </c>
      <c r="C195" s="27" t="s">
        <v>40</v>
      </c>
      <c r="D195" s="28">
        <v>1218.282</v>
      </c>
      <c r="E195" s="29">
        <v>1</v>
      </c>
      <c r="F195" s="30">
        <f t="shared" si="293"/>
      </c>
      <c r="G195" s="31">
        <v>196</v>
      </c>
      <c r="H195" s="49">
        <f t="shared" si="255"/>
      </c>
      <c r="I195" s="33">
        <f t="shared" si="46"/>
      </c>
      <c r="J195" s="34">
        <f t="shared" si="8"/>
      </c>
      <c r="K195" s="35">
        <f t="shared" si="122"/>
      </c>
      <c r="L195" s="36">
        <f t="shared" si="84"/>
      </c>
      <c r="M195" s="34">
        <f t="shared" si="217"/>
      </c>
      <c r="N195" s="37">
        <f t="shared" si="160"/>
      </c>
      <c r="O195" s="37">
        <f t="shared" si="179"/>
      </c>
      <c r="P195" s="37">
        <f t="shared" si="312"/>
      </c>
      <c r="Q195" s="37">
        <f t="shared" si="274"/>
      </c>
      <c r="R195" s="34">
        <f t="shared" si="65"/>
      </c>
      <c r="S195" s="35">
        <f t="shared" si="27"/>
      </c>
      <c r="T195" s="37">
        <f t="shared" si="141"/>
      </c>
      <c r="U195" s="37">
        <f t="shared" si="103"/>
      </c>
      <c r="V195" s="37">
        <f t="shared" si="236"/>
      </c>
      <c r="W195" s="37">
        <f t="shared" si="198"/>
      </c>
      <c r="X195" s="38" t="s">
        <v>38</v>
      </c>
      <c r="Y195" s="39" t="s">
        <v>39</v>
      </c>
      <c r="Z195" s="41">
        <v>60770</v>
      </c>
      <c r="AA195" s="40">
        <v>12867</v>
      </c>
      <c r="AB195" s="40">
        <v>42756</v>
      </c>
      <c r="AC195" s="40">
        <v>473</v>
      </c>
      <c r="AD195" s="41">
        <v>1</v>
      </c>
      <c r="AE195" s="40">
        <v>6553</v>
      </c>
      <c r="AF195" s="41">
        <v>130</v>
      </c>
      <c r="AG195" s="41">
        <v>26</v>
      </c>
      <c r="AH195" s="41">
        <v>3</v>
      </c>
      <c r="AI195" s="42">
        <v>0</v>
      </c>
      <c r="AJ195" s="24"/>
      <c r="AK195" s="24"/>
      <c r="AL195" s="24"/>
    </row>
    <row r="196">
      <c r="A196" s="25"/>
      <c r="B196" s="72" t="s">
        <v>36</v>
      </c>
      <c r="C196" s="43" t="s">
        <v>41</v>
      </c>
      <c r="D196" s="44">
        <v>1935.811</v>
      </c>
      <c r="E196" s="45">
        <v>5</v>
      </c>
      <c r="F196" s="30">
        <f t="shared" si="293"/>
      </c>
      <c r="G196" s="45">
        <v>1044.6999999999998</v>
      </c>
      <c r="H196" s="49">
        <f t="shared" si="255"/>
      </c>
      <c r="I196" s="33">
        <f t="shared" si="46"/>
      </c>
      <c r="J196" s="34">
        <f t="shared" si="8"/>
      </c>
      <c r="K196" s="35">
        <f t="shared" si="122"/>
      </c>
      <c r="L196" s="36">
        <f t="shared" si="84"/>
      </c>
      <c r="M196" s="34">
        <f t="shared" si="217"/>
      </c>
      <c r="N196" s="37">
        <f t="shared" si="160"/>
      </c>
      <c r="O196" s="37">
        <f t="shared" si="179"/>
      </c>
      <c r="P196" s="37">
        <f t="shared" si="312"/>
      </c>
      <c r="Q196" s="37">
        <f t="shared" si="274"/>
      </c>
      <c r="R196" s="34">
        <f t="shared" si="65"/>
      </c>
      <c r="S196" s="35">
        <f t="shared" si="27"/>
      </c>
      <c r="T196" s="37">
        <f t="shared" si="141"/>
      </c>
      <c r="U196" s="37">
        <f t="shared" si="103"/>
      </c>
      <c r="V196" s="37">
        <f t="shared" si="236"/>
      </c>
      <c r="W196" s="37">
        <f t="shared" si="198"/>
      </c>
      <c r="X196" s="38" t="s">
        <v>38</v>
      </c>
      <c r="Y196" s="39" t="s">
        <v>39</v>
      </c>
      <c r="Z196" s="41">
        <v>54749</v>
      </c>
      <c r="AA196" s="41">
        <v>17544</v>
      </c>
      <c r="AB196" s="41">
        <v>75200</v>
      </c>
      <c r="AC196" s="41">
        <v>762</v>
      </c>
      <c r="AD196" s="41">
        <v>5</v>
      </c>
      <c r="AE196" s="41">
        <v>10129</v>
      </c>
      <c r="AF196" s="41">
        <v>298</v>
      </c>
      <c r="AG196" s="41">
        <v>29</v>
      </c>
      <c r="AH196" s="41">
        <v>13</v>
      </c>
      <c r="AI196" s="42">
        <v>2</v>
      </c>
      <c r="AJ196" s="24"/>
      <c r="AK196" s="24"/>
      <c r="AL196" s="24"/>
    </row>
    <row r="197">
      <c r="A197" s="25"/>
      <c r="B197" s="72" t="s">
        <v>36</v>
      </c>
      <c r="C197" s="46" t="s">
        <v>42</v>
      </c>
      <c r="D197" s="44">
        <v>2203.226</v>
      </c>
      <c r="E197" s="45">
        <v>9</v>
      </c>
      <c r="F197" s="47">
        <f t="shared" si="293"/>
      </c>
      <c r="G197" s="45">
        <v>1914.3000000000002</v>
      </c>
      <c r="H197" s="49">
        <f t="shared" si="255"/>
      </c>
      <c r="I197" s="50">
        <f t="shared" si="46"/>
      </c>
      <c r="J197" s="51">
        <f t="shared" si="8"/>
      </c>
      <c r="K197" s="52">
        <f t="shared" si="122"/>
      </c>
      <c r="L197" s="53">
        <f t="shared" si="84"/>
      </c>
      <c r="M197" s="54">
        <f t="shared" si="217"/>
      </c>
      <c r="N197" s="55">
        <f t="shared" si="160"/>
      </c>
      <c r="O197" s="55">
        <f t="shared" si="179"/>
      </c>
      <c r="P197" s="55">
        <f t="shared" si="312"/>
      </c>
      <c r="Q197" s="55">
        <f t="shared" si="274"/>
      </c>
      <c r="R197" s="54">
        <f t="shared" si="65"/>
      </c>
      <c r="S197" s="56">
        <f t="shared" si="27"/>
      </c>
      <c r="T197" s="55">
        <f t="shared" si="141"/>
      </c>
      <c r="U197" s="55">
        <f t="shared" si="103"/>
      </c>
      <c r="V197" s="55">
        <f t="shared" si="236"/>
      </c>
      <c r="W197" s="55">
        <f t="shared" si="198"/>
      </c>
      <c r="X197" s="38" t="s">
        <v>38</v>
      </c>
      <c r="Y197" s="39" t="s">
        <v>39</v>
      </c>
      <c r="Z197" s="40">
        <v>58011</v>
      </c>
      <c r="AA197" s="40">
        <v>14837</v>
      </c>
      <c r="AB197" s="40">
        <v>97334</v>
      </c>
      <c r="AC197" s="40">
        <v>456</v>
      </c>
      <c r="AD197" s="40">
        <v>8</v>
      </c>
      <c r="AE197" s="40">
        <v>10305</v>
      </c>
      <c r="AF197" s="41">
        <v>265</v>
      </c>
      <c r="AG197" s="41">
        <v>25</v>
      </c>
      <c r="AH197" s="41">
        <v>6</v>
      </c>
      <c r="AI197" s="42">
        <v>1</v>
      </c>
      <c r="AJ197" s="24"/>
      <c r="AK197" s="24"/>
      <c r="AL197" s="24"/>
    </row>
    <row r="198">
      <c r="A198" s="25"/>
      <c r="B198" s="72" t="s">
        <v>36</v>
      </c>
      <c r="C198" s="46" t="s">
        <v>43</v>
      </c>
      <c r="D198" s="57">
        <v>2084.558</v>
      </c>
      <c r="E198" s="45">
        <v>7</v>
      </c>
      <c r="F198" s="47">
        <f t="shared" si="293"/>
      </c>
      <c r="G198" s="48">
        <v>2693.6000000000004</v>
      </c>
      <c r="H198" s="49">
        <f t="shared" si="255"/>
      </c>
      <c r="I198" s="50">
        <f t="shared" si="46"/>
      </c>
      <c r="J198" s="51">
        <f t="shared" si="8"/>
      </c>
      <c r="K198" s="52">
        <f t="shared" si="122"/>
      </c>
      <c r="L198" s="53">
        <f t="shared" si="84"/>
      </c>
      <c r="M198" s="54">
        <f t="shared" si="217"/>
      </c>
      <c r="N198" s="55">
        <f t="shared" si="160"/>
      </c>
      <c r="O198" s="55">
        <f t="shared" si="179"/>
      </c>
      <c r="P198" s="55">
        <f t="shared" si="312"/>
      </c>
      <c r="Q198" s="55">
        <f t="shared" si="274"/>
      </c>
      <c r="R198" s="54">
        <f t="shared" si="65"/>
      </c>
      <c r="S198" s="56">
        <f t="shared" si="27"/>
      </c>
      <c r="T198" s="55">
        <f t="shared" si="141"/>
      </c>
      <c r="U198" s="55">
        <f t="shared" si="103"/>
      </c>
      <c r="V198" s="55">
        <f t="shared" si="236"/>
      </c>
      <c r="W198" s="55">
        <f t="shared" si="198"/>
      </c>
      <c r="X198" s="38" t="s">
        <v>38</v>
      </c>
      <c r="Y198" s="39" t="s">
        <v>39</v>
      </c>
      <c r="Z198" s="40">
        <v>53241</v>
      </c>
      <c r="AA198" s="40">
        <v>11449</v>
      </c>
      <c r="AB198" s="40">
        <v>92690</v>
      </c>
      <c r="AC198" s="40">
        <v>470</v>
      </c>
      <c r="AD198" s="40">
        <v>5</v>
      </c>
      <c r="AE198" s="40">
        <v>8847</v>
      </c>
      <c r="AF198" s="41">
        <v>225</v>
      </c>
      <c r="AG198" s="41">
        <v>19</v>
      </c>
      <c r="AH198" s="41">
        <v>7</v>
      </c>
      <c r="AI198" s="42">
        <v>1</v>
      </c>
      <c r="AJ198" s="24"/>
      <c r="AK198" s="24"/>
      <c r="AL198" s="24"/>
    </row>
    <row r="199">
      <c r="A199" s="25"/>
      <c r="B199" s="58" t="s">
        <v>44</v>
      </c>
      <c r="C199" s="58"/>
      <c r="D199" s="59">
        <f>SUM(D194:D198)</f>
      </c>
      <c r="E199" s="60">
        <f>SUM(E194:E198)</f>
      </c>
      <c r="F199" s="61">
        <f t="shared" si="293"/>
      </c>
      <c r="G199" s="62">
        <f>SUM(G194:G198)</f>
      </c>
      <c r="H199" s="63">
        <f t="shared" si="255"/>
      </c>
      <c r="I199" s="64">
        <f t="shared" si="46"/>
      </c>
      <c r="J199" s="65">
        <f t="shared" si="8"/>
      </c>
      <c r="K199" s="61">
        <f t="shared" si="122"/>
      </c>
      <c r="L199" s="66">
        <f t="shared" si="84"/>
      </c>
      <c r="M199" s="65">
        <f t="shared" si="217"/>
      </c>
      <c r="N199" s="67">
        <f t="shared" si="160"/>
      </c>
      <c r="O199" s="67">
        <f t="shared" si="179"/>
      </c>
      <c r="P199" s="68">
        <f t="shared" si="312"/>
      </c>
      <c r="Q199" s="68">
        <f t="shared" si="274"/>
      </c>
      <c r="R199" s="69">
        <f t="shared" si="65"/>
      </c>
      <c r="S199" s="70">
        <f t="shared" si="27"/>
      </c>
      <c r="T199" s="68">
        <f t="shared" si="141"/>
      </c>
      <c r="U199" s="68">
        <f t="shared" si="103"/>
      </c>
      <c r="V199" s="68">
        <f t="shared" si="236"/>
      </c>
      <c r="W199" s="68">
        <f t="shared" si="198"/>
      </c>
      <c r="X199" s="68"/>
      <c r="Y199" s="71"/>
      <c r="Z199" s="59">
        <f>SUM(Z194:Z198)</f>
      </c>
      <c r="AA199" s="59">
        <f>SUM(AA194:AA198)</f>
      </c>
      <c r="AB199" s="59">
        <f>SUM(AB194:AB198)</f>
      </c>
      <c r="AC199" s="59">
        <f>SUM(AC194:AC198)</f>
      </c>
      <c r="AD199" s="59">
        <f>SUM(AD194:AD198)</f>
      </c>
      <c r="AE199" s="59">
        <f>SUM(AE194:AE198)</f>
      </c>
      <c r="AF199" s="59">
        <f>SUM(AF194:AF198)</f>
      </c>
      <c r="AG199" s="59">
        <f>SUM(AG194:AG198)</f>
      </c>
      <c r="AH199" s="59">
        <f>SUM(AH194:AH198)</f>
      </c>
      <c r="AI199" s="59">
        <f>SUM(AI194:AI198)</f>
      </c>
      <c r="AJ199" s="24"/>
      <c r="AK199" s="24"/>
      <c r="AL199" s="24"/>
    </row>
    <row r="200">
      <c r="A200" s="25"/>
      <c r="B200" s="72" t="s">
        <v>64</v>
      </c>
      <c r="C200" s="73" t="s">
        <v>46</v>
      </c>
      <c r="D200" s="74">
        <v>2199.547</v>
      </c>
      <c r="E200" s="75">
        <v>4</v>
      </c>
      <c r="F200" s="47">
        <f t="shared" si="293"/>
      </c>
      <c r="G200" s="45">
        <v>890.3999999999996</v>
      </c>
      <c r="H200" s="49">
        <f t="shared" si="255"/>
      </c>
      <c r="I200" s="50">
        <f t="shared" si="46"/>
      </c>
      <c r="J200" s="51">
        <f t="shared" si="8"/>
      </c>
      <c r="K200" s="52">
        <f t="shared" si="122"/>
      </c>
      <c r="L200" s="76">
        <f t="shared" si="84"/>
      </c>
      <c r="M200" s="34">
        <f t="shared" si="217"/>
      </c>
      <c r="N200" s="37">
        <f t="shared" si="160"/>
      </c>
      <c r="O200" s="37">
        <f t="shared" si="179"/>
      </c>
      <c r="P200" s="37">
        <f t="shared" si="312"/>
      </c>
      <c r="Q200" s="37">
        <f t="shared" si="274"/>
      </c>
      <c r="R200" s="34">
        <f t="shared" si="65"/>
      </c>
      <c r="S200" s="35">
        <f t="shared" si="27"/>
      </c>
      <c r="T200" s="37">
        <f t="shared" si="141"/>
      </c>
      <c r="U200" s="37">
        <f t="shared" si="103"/>
      </c>
      <c r="V200" s="37">
        <f t="shared" si="236"/>
      </c>
      <c r="W200" s="37">
        <f t="shared" si="198"/>
      </c>
      <c r="X200" s="38" t="s">
        <v>38</v>
      </c>
      <c r="Y200" s="39" t="s">
        <v>39</v>
      </c>
      <c r="Z200" s="41">
        <v>52377</v>
      </c>
      <c r="AA200" s="41">
        <v>12728</v>
      </c>
      <c r="AB200" s="41">
        <v>99887</v>
      </c>
      <c r="AC200" s="41">
        <v>429</v>
      </c>
      <c r="AD200" s="41">
        <v>4</v>
      </c>
      <c r="AE200" s="41">
        <v>10279</v>
      </c>
      <c r="AF200" s="41">
        <v>195</v>
      </c>
      <c r="AG200" s="41">
        <v>24</v>
      </c>
      <c r="AH200" s="41">
        <v>6</v>
      </c>
      <c r="AI200" s="42">
        <v>2</v>
      </c>
      <c r="AJ200" s="24"/>
      <c r="AK200" s="24"/>
      <c r="AL200" s="24"/>
    </row>
    <row r="201">
      <c r="A201" s="25"/>
      <c r="B201" s="72" t="s">
        <v>64</v>
      </c>
      <c r="C201" s="77" t="s">
        <v>47</v>
      </c>
      <c r="D201" s="44">
        <v>2572.197</v>
      </c>
      <c r="E201" s="45">
        <v>9</v>
      </c>
      <c r="F201" s="47">
        <f t="shared" si="293"/>
      </c>
      <c r="G201" s="48">
        <v>2030.3999999999996</v>
      </c>
      <c r="H201" s="49">
        <f t="shared" si="255"/>
      </c>
      <c r="I201" s="50">
        <f t="shared" si="46"/>
      </c>
      <c r="J201" s="51">
        <f t="shared" si="8"/>
      </c>
      <c r="K201" s="52">
        <f t="shared" si="122"/>
      </c>
      <c r="L201" s="76">
        <f t="shared" si="84"/>
      </c>
      <c r="M201" s="34">
        <f t="shared" si="217"/>
      </c>
      <c r="N201" s="37">
        <f t="shared" si="160"/>
      </c>
      <c r="O201" s="37">
        <f t="shared" si="179"/>
      </c>
      <c r="P201" s="37">
        <f t="shared" si="312"/>
      </c>
      <c r="Q201" s="37">
        <f t="shared" si="274"/>
      </c>
      <c r="R201" s="34">
        <f t="shared" si="65"/>
      </c>
      <c r="S201" s="35">
        <f t="shared" si="27"/>
      </c>
      <c r="T201" s="37">
        <f t="shared" si="141"/>
      </c>
      <c r="U201" s="37">
        <f t="shared" si="103"/>
      </c>
      <c r="V201" s="37">
        <f t="shared" si="236"/>
      </c>
      <c r="W201" s="37">
        <f t="shared" si="198"/>
      </c>
      <c r="X201" s="38" t="s">
        <v>38</v>
      </c>
      <c r="Y201" s="39" t="s">
        <v>39</v>
      </c>
      <c r="Z201" s="41">
        <v>64700</v>
      </c>
      <c r="AA201" s="41">
        <v>10911</v>
      </c>
      <c r="AB201" s="41">
        <v>127549</v>
      </c>
      <c r="AC201" s="41">
        <v>510</v>
      </c>
      <c r="AD201" s="41">
        <v>7</v>
      </c>
      <c r="AE201" s="41">
        <v>10271</v>
      </c>
      <c r="AF201" s="41">
        <v>218</v>
      </c>
      <c r="AG201" s="41">
        <v>21</v>
      </c>
      <c r="AH201" s="41">
        <v>8</v>
      </c>
      <c r="AI201" s="42">
        <v>2</v>
      </c>
      <c r="AJ201" s="24"/>
      <c r="AK201" s="24"/>
      <c r="AL201" s="24"/>
    </row>
    <row r="202">
      <c r="A202" s="25"/>
      <c r="B202" s="72" t="s">
        <v>64</v>
      </c>
      <c r="C202" s="78" t="s">
        <v>48</v>
      </c>
      <c r="D202" s="44">
        <v>2594.987</v>
      </c>
      <c r="E202" s="45">
        <v>3</v>
      </c>
      <c r="F202" s="30">
        <f t="shared" si="293"/>
      </c>
      <c r="G202" s="23">
        <v>684</v>
      </c>
      <c r="H202" s="49">
        <f t="shared" si="255"/>
      </c>
      <c r="I202" s="33">
        <f t="shared" si="46"/>
      </c>
      <c r="J202" s="34">
        <f t="shared" si="8"/>
      </c>
      <c r="K202" s="35">
        <f t="shared" si="122"/>
      </c>
      <c r="L202" s="79">
        <f t="shared" si="84"/>
      </c>
      <c r="M202" s="54">
        <f t="shared" si="217"/>
      </c>
      <c r="N202" s="55">
        <f t="shared" si="160"/>
      </c>
      <c r="O202" s="55">
        <f t="shared" si="179"/>
      </c>
      <c r="P202" s="55">
        <f t="shared" si="312"/>
      </c>
      <c r="Q202" s="55">
        <f t="shared" si="274"/>
      </c>
      <c r="R202" s="54">
        <f t="shared" si="65"/>
      </c>
      <c r="S202" s="56">
        <f t="shared" si="27"/>
      </c>
      <c r="T202" s="55">
        <f t="shared" si="141"/>
      </c>
      <c r="U202" s="55">
        <f t="shared" si="103"/>
      </c>
      <c r="V202" s="55">
        <f t="shared" si="236"/>
      </c>
      <c r="W202" s="55">
        <f t="shared" si="198"/>
      </c>
      <c r="X202" s="38" t="s">
        <v>38</v>
      </c>
      <c r="Y202" s="39" t="s">
        <v>39</v>
      </c>
      <c r="Z202" s="41">
        <v>69739</v>
      </c>
      <c r="AA202" s="41">
        <v>10084</v>
      </c>
      <c r="AB202" s="41">
        <v>116667</v>
      </c>
      <c r="AC202" s="41">
        <v>524</v>
      </c>
      <c r="AD202" s="41">
        <v>3</v>
      </c>
      <c r="AE202" s="41">
        <v>8797</v>
      </c>
      <c r="AF202" s="41">
        <v>183</v>
      </c>
      <c r="AG202" s="41">
        <v>27</v>
      </c>
      <c r="AH202" s="41">
        <v>4</v>
      </c>
      <c r="AI202" s="42">
        <v>0</v>
      </c>
      <c r="AJ202" s="24"/>
      <c r="AK202" s="24"/>
      <c r="AL202" s="24"/>
    </row>
    <row r="203">
      <c r="A203" s="25"/>
      <c r="B203" s="72" t="s">
        <v>64</v>
      </c>
      <c r="C203" s="78" t="s">
        <v>49</v>
      </c>
      <c r="D203" s="57">
        <v>2139.1029999999996</v>
      </c>
      <c r="E203" s="45">
        <v>3</v>
      </c>
      <c r="F203" s="30">
        <f t="shared" si="293"/>
      </c>
      <c r="G203" s="45">
        <v>1884</v>
      </c>
      <c r="H203" s="49">
        <f t="shared" si="255"/>
      </c>
      <c r="I203" s="33">
        <f t="shared" si="46"/>
      </c>
      <c r="J203" s="34">
        <f t="shared" si="8"/>
      </c>
      <c r="K203" s="35">
        <f t="shared" si="122"/>
      </c>
      <c r="L203" s="79">
        <f t="shared" si="84"/>
      </c>
      <c r="M203" s="54">
        <f t="shared" si="217"/>
      </c>
      <c r="N203" s="55">
        <f t="shared" si="160"/>
      </c>
      <c r="O203" s="55">
        <f t="shared" si="179"/>
      </c>
      <c r="P203" s="55">
        <f t="shared" si="312"/>
      </c>
      <c r="Q203" s="55">
        <f t="shared" si="274"/>
      </c>
      <c r="R203" s="54">
        <f t="shared" si="65"/>
      </c>
      <c r="S203" s="56">
        <f t="shared" si="27"/>
      </c>
      <c r="T203" s="55">
        <f t="shared" si="141"/>
      </c>
      <c r="U203" s="55">
        <f t="shared" si="103"/>
      </c>
      <c r="V203" s="55">
        <f t="shared" si="236"/>
      </c>
      <c r="W203" s="55">
        <f t="shared" si="198"/>
      </c>
      <c r="X203" s="38" t="s">
        <v>38</v>
      </c>
      <c r="Y203" s="39" t="s">
        <v>39</v>
      </c>
      <c r="Z203" s="41">
        <v>62958</v>
      </c>
      <c r="AA203" s="41">
        <v>7598</v>
      </c>
      <c r="AB203" s="41">
        <v>99997</v>
      </c>
      <c r="AC203" s="41">
        <v>563</v>
      </c>
      <c r="AD203" s="41">
        <v>3</v>
      </c>
      <c r="AE203" s="41">
        <v>7041</v>
      </c>
      <c r="AF203" s="41">
        <v>199</v>
      </c>
      <c r="AG203" s="41">
        <v>10</v>
      </c>
      <c r="AH203" s="41">
        <v>8</v>
      </c>
      <c r="AI203" s="42">
        <v>0</v>
      </c>
      <c r="AJ203" s="24"/>
      <c r="AK203" s="24"/>
      <c r="AL203" s="24"/>
    </row>
    <row customHeight="true" ht="16.071428571428573" r="204">
      <c r="A204" s="25"/>
      <c r="B204" s="72" t="s">
        <v>64</v>
      </c>
      <c r="C204" s="38" t="s">
        <v>51</v>
      </c>
      <c r="D204" s="85">
        <v>2233.348</v>
      </c>
      <c r="E204" s="45">
        <v>5</v>
      </c>
      <c r="F204" s="47">
        <f t="shared" si="293"/>
      </c>
      <c r="G204" s="45">
        <v>1140</v>
      </c>
      <c r="H204" s="49">
        <f t="shared" si="255"/>
      </c>
      <c r="I204" s="50">
        <f t="shared" si="46"/>
      </c>
      <c r="J204" s="51">
        <f t="shared" si="8"/>
      </c>
      <c r="K204" s="52">
        <f t="shared" si="122"/>
      </c>
      <c r="L204" s="53">
        <f t="shared" si="84"/>
      </c>
      <c r="M204" s="54">
        <f t="shared" si="217"/>
      </c>
      <c r="N204" s="55">
        <f t="shared" si="160"/>
      </c>
      <c r="O204" s="55">
        <f t="shared" si="179"/>
      </c>
      <c r="P204" s="55">
        <f t="shared" si="312"/>
      </c>
      <c r="Q204" s="55">
        <f t="shared" si="274"/>
      </c>
      <c r="R204" s="54">
        <f t="shared" si="65"/>
      </c>
      <c r="S204" s="56">
        <f t="shared" si="27"/>
      </c>
      <c r="T204" s="55">
        <f t="shared" si="141"/>
      </c>
      <c r="U204" s="55">
        <f t="shared" si="103"/>
      </c>
      <c r="V204" s="55">
        <f t="shared" si="236"/>
      </c>
      <c r="W204" s="55">
        <f t="shared" si="198"/>
      </c>
      <c r="X204" s="38" t="s">
        <v>38</v>
      </c>
      <c r="Y204" s="39" t="s">
        <v>39</v>
      </c>
      <c r="Z204" s="40">
        <v>55527</v>
      </c>
      <c r="AA204" s="40">
        <v>6955</v>
      </c>
      <c r="AB204" s="40">
        <v>107150</v>
      </c>
      <c r="AC204" s="40">
        <v>472</v>
      </c>
      <c r="AD204" s="40">
        <v>4</v>
      </c>
      <c r="AE204" s="40">
        <v>7436</v>
      </c>
      <c r="AF204" s="41">
        <v>111</v>
      </c>
      <c r="AG204" s="41">
        <v>10</v>
      </c>
      <c r="AH204" s="41">
        <v>7</v>
      </c>
      <c r="AI204" s="42">
        <v>0</v>
      </c>
      <c r="AJ204" s="24"/>
      <c r="AK204" s="24"/>
      <c r="AL204" s="24"/>
    </row>
    <row r="205">
      <c r="A205" s="25"/>
      <c r="B205" s="58" t="s">
        <v>44</v>
      </c>
      <c r="C205" s="58"/>
      <c r="D205" s="59">
        <f>SUM(D200:D204)</f>
      </c>
      <c r="E205" s="60">
        <f>SUM(E200:E204)</f>
      </c>
      <c r="F205" s="61">
        <f t="shared" si="293"/>
      </c>
      <c r="G205" s="62">
        <f>SUM(G200:G204)</f>
      </c>
      <c r="H205" s="63">
        <f t="shared" si="255"/>
      </c>
      <c r="I205" s="64">
        <f t="shared" si="46"/>
      </c>
      <c r="J205" s="65">
        <f t="shared" si="8"/>
      </c>
      <c r="K205" s="61">
        <f t="shared" si="122"/>
      </c>
      <c r="L205" s="66">
        <f t="shared" si="84"/>
      </c>
      <c r="M205" s="65">
        <f t="shared" si="217"/>
      </c>
      <c r="N205" s="67">
        <f t="shared" si="160"/>
      </c>
      <c r="O205" s="67">
        <f t="shared" si="179"/>
      </c>
      <c r="P205" s="68">
        <f t="shared" si="312"/>
      </c>
      <c r="Q205" s="68">
        <f t="shared" si="274"/>
      </c>
      <c r="R205" s="69">
        <f t="shared" si="65"/>
      </c>
      <c r="S205" s="70">
        <f t="shared" si="27"/>
      </c>
      <c r="T205" s="68">
        <f t="shared" si="141"/>
      </c>
      <c r="U205" s="68">
        <f t="shared" si="103"/>
      </c>
      <c r="V205" s="68">
        <f t="shared" si="236"/>
      </c>
      <c r="W205" s="68">
        <f t="shared" si="198"/>
      </c>
      <c r="X205" s="68"/>
      <c r="Y205" s="71"/>
      <c r="Z205" s="59">
        <f>SUM(Z200:Z204)</f>
      </c>
      <c r="AA205" s="59">
        <f>SUM(AA200:AA204)</f>
      </c>
      <c r="AB205" s="59">
        <f>SUM(AB200:AB204)</f>
      </c>
      <c r="AC205" s="59">
        <f>SUM(AC200:AC204)</f>
      </c>
      <c r="AD205" s="59">
        <f>SUM(AD200:AD204)</f>
      </c>
      <c r="AE205" s="59">
        <f>SUM(AE200:AE204)</f>
      </c>
      <c r="AF205" s="59">
        <f>SUM(AF200:AF204)</f>
      </c>
      <c r="AG205" s="59">
        <f>SUM(AG200:AG204)</f>
      </c>
      <c r="AH205" s="59">
        <f>SUM(AH200:AH204)</f>
      </c>
      <c r="AI205" s="59">
        <f>SUM(AI200:AI204)</f>
      </c>
      <c r="AJ205" s="24"/>
      <c r="AK205" s="24"/>
      <c r="AL205" s="24"/>
    </row>
    <row r="206">
      <c r="A206" s="25"/>
      <c r="B206" s="72" t="s">
        <v>45</v>
      </c>
      <c r="C206" s="78" t="s">
        <v>53</v>
      </c>
      <c r="D206" s="84">
        <v>2491.095</v>
      </c>
      <c r="E206" s="45">
        <v>7</v>
      </c>
      <c r="F206" s="30">
        <f t="shared" si="293"/>
      </c>
      <c r="G206" s="45">
        <v>2719.2</v>
      </c>
      <c r="H206" s="49">
        <f t="shared" si="255"/>
      </c>
      <c r="I206" s="33">
        <f t="shared" si="46"/>
      </c>
      <c r="J206" s="34">
        <f t="shared" si="8"/>
      </c>
      <c r="K206" s="35">
        <f t="shared" si="122"/>
      </c>
      <c r="L206" s="79">
        <f t="shared" si="84"/>
      </c>
      <c r="M206" s="54">
        <f t="shared" si="217"/>
      </c>
      <c r="N206" s="55">
        <f t="shared" si="160"/>
      </c>
      <c r="O206" s="55">
        <f t="shared" si="179"/>
      </c>
      <c r="P206" s="55">
        <f t="shared" si="312"/>
      </c>
      <c r="Q206" s="55">
        <f t="shared" si="274"/>
      </c>
      <c r="R206" s="54">
        <f t="shared" si="65"/>
      </c>
      <c r="S206" s="56">
        <f t="shared" si="27"/>
      </c>
      <c r="T206" s="55">
        <f t="shared" si="141"/>
      </c>
      <c r="U206" s="55">
        <f t="shared" si="103"/>
      </c>
      <c r="V206" s="55">
        <f t="shared" si="236"/>
      </c>
      <c r="W206" s="55">
        <f t="shared" si="198"/>
      </c>
      <c r="X206" s="38" t="s">
        <v>52</v>
      </c>
      <c r="Y206" s="39" t="s">
        <v>66</v>
      </c>
      <c r="Z206" s="41">
        <v>54137</v>
      </c>
      <c r="AA206" s="41">
        <v>4121</v>
      </c>
      <c r="AB206" s="41">
        <v>132934</v>
      </c>
      <c r="AC206" s="41">
        <v>373</v>
      </c>
      <c r="AD206" s="41">
        <v>5</v>
      </c>
      <c r="AE206" s="41">
        <v>8282</v>
      </c>
      <c r="AF206" s="41">
        <v>102</v>
      </c>
      <c r="AG206" s="41">
        <v>22</v>
      </c>
      <c r="AH206" s="41">
        <v>4</v>
      </c>
      <c r="AI206" s="42">
        <v>1</v>
      </c>
      <c r="AJ206" s="24"/>
      <c r="AK206" s="24"/>
      <c r="AL206" s="24"/>
    </row>
    <row r="207">
      <c r="A207" s="25"/>
      <c r="B207" s="72" t="s">
        <v>45</v>
      </c>
      <c r="C207" s="78" t="s">
        <v>55</v>
      </c>
      <c r="D207" s="85">
        <v>422.758</v>
      </c>
      <c r="E207" s="45">
        <v>1</v>
      </c>
      <c r="F207" s="30">
        <f t="shared" si="293"/>
      </c>
      <c r="G207" s="45">
        <v>228</v>
      </c>
      <c r="H207" s="49">
        <f t="shared" si="255"/>
      </c>
      <c r="I207" s="33">
        <f t="shared" si="46"/>
      </c>
      <c r="J207" s="34">
        <f t="shared" si="8"/>
      </c>
      <c r="K207" s="35">
        <f t="shared" si="122"/>
      </c>
      <c r="L207" s="79">
        <f t="shared" si="84"/>
      </c>
      <c r="M207" s="54">
        <f t="shared" si="217"/>
      </c>
      <c r="N207" s="55">
        <f t="shared" si="160"/>
      </c>
      <c r="O207" s="55">
        <f t="shared" si="179"/>
      </c>
      <c r="P207" s="55">
        <f t="shared" si="312"/>
      </c>
      <c r="Q207" s="55">
        <f t="shared" si="274"/>
      </c>
      <c r="R207" s="54">
        <f t="shared" si="65"/>
      </c>
      <c r="S207" s="56">
        <f t="shared" si="27"/>
      </c>
      <c r="T207" s="55">
        <f t="shared" si="141"/>
      </c>
      <c r="U207" s="55">
        <f t="shared" si="103"/>
      </c>
      <c r="V207" s="55">
        <f t="shared" si="236"/>
      </c>
      <c r="W207" s="55">
        <f t="shared" si="198"/>
      </c>
      <c r="X207" s="38" t="s">
        <v>52</v>
      </c>
      <c r="Y207" s="39" t="s">
        <v>66</v>
      </c>
      <c r="Z207" s="41">
        <v>16816</v>
      </c>
      <c r="AA207" s="41">
        <v>1324</v>
      </c>
      <c r="AB207" s="41">
        <v>15135</v>
      </c>
      <c r="AC207" s="41">
        <v>85</v>
      </c>
      <c r="AD207" s="41">
        <v>1</v>
      </c>
      <c r="AE207" s="41">
        <v>1085</v>
      </c>
      <c r="AF207" s="41">
        <v>60</v>
      </c>
      <c r="AG207" s="41">
        <v>6</v>
      </c>
      <c r="AH207" s="41">
        <v>2</v>
      </c>
      <c r="AI207" s="42">
        <v>0</v>
      </c>
      <c r="AJ207" s="24"/>
      <c r="AK207" s="24"/>
      <c r="AL207" s="24"/>
    </row>
    <row r="208">
      <c r="A208" s="25"/>
      <c r="B208" s="72" t="s">
        <v>45</v>
      </c>
      <c r="C208" s="78" t="s">
        <v>56</v>
      </c>
      <c r="D208" s="85">
        <v>2901.812</v>
      </c>
      <c r="E208" s="45">
        <v>4</v>
      </c>
      <c r="F208" s="30">
        <f t="shared" si="293"/>
      </c>
      <c r="G208" s="45">
        <v>2701.2</v>
      </c>
      <c r="H208" s="49">
        <f t="shared" si="255"/>
      </c>
      <c r="I208" s="33">
        <f t="shared" si="46"/>
      </c>
      <c r="J208" s="34">
        <f t="shared" si="8"/>
      </c>
      <c r="K208" s="35">
        <f t="shared" si="122"/>
      </c>
      <c r="L208" s="79">
        <f t="shared" si="84"/>
      </c>
      <c r="M208" s="54">
        <f t="shared" si="217"/>
      </c>
      <c r="N208" s="55">
        <f t="shared" si="160"/>
      </c>
      <c r="O208" s="55">
        <f t="shared" si="179"/>
      </c>
      <c r="P208" s="55">
        <f t="shared" si="312"/>
      </c>
      <c r="Q208" s="55">
        <f t="shared" si="274"/>
      </c>
      <c r="R208" s="54">
        <f t="shared" si="65"/>
      </c>
      <c r="S208" s="56">
        <f t="shared" si="27"/>
      </c>
      <c r="T208" s="55">
        <f t="shared" si="141"/>
      </c>
      <c r="U208" s="55">
        <f t="shared" si="103"/>
      </c>
      <c r="V208" s="55">
        <f t="shared" si="236"/>
      </c>
      <c r="W208" s="55">
        <f t="shared" si="198"/>
      </c>
      <c r="X208" s="38" t="s">
        <v>52</v>
      </c>
      <c r="Y208" s="39" t="s">
        <v>66</v>
      </c>
      <c r="Z208" s="41">
        <v>71345</v>
      </c>
      <c r="AA208" s="41">
        <v>6832</v>
      </c>
      <c r="AB208" s="41">
        <v>179820</v>
      </c>
      <c r="AC208" s="41">
        <v>409</v>
      </c>
      <c r="AD208" s="41">
        <v>3</v>
      </c>
      <c r="AE208" s="41">
        <v>9804</v>
      </c>
      <c r="AF208" s="41">
        <v>107</v>
      </c>
      <c r="AG208" s="41">
        <v>22</v>
      </c>
      <c r="AH208" s="41">
        <v>5</v>
      </c>
      <c r="AI208" s="42">
        <v>1</v>
      </c>
      <c r="AJ208" s="24"/>
      <c r="AK208" s="24"/>
      <c r="AL208" s="24"/>
    </row>
    <row r="209">
      <c r="A209" s="25"/>
      <c r="B209" s="72" t="s">
        <v>45</v>
      </c>
      <c r="C209" s="78" t="s">
        <v>58</v>
      </c>
      <c r="D209" s="85">
        <v>350.689</v>
      </c>
      <c r="E209" s="45">
        <v>0</v>
      </c>
      <c r="F209" s="30">
        <f t="shared" si="293"/>
      </c>
      <c r="G209" s="45">
        <v>0</v>
      </c>
      <c r="H209" s="49">
        <f t="shared" si="255"/>
      </c>
      <c r="I209" s="33">
        <f t="shared" si="46"/>
      </c>
      <c r="J209" s="34">
        <f t="shared" si="8"/>
      </c>
      <c r="K209" s="35">
        <f t="shared" si="122"/>
      </c>
      <c r="L209" s="79">
        <f t="shared" si="84"/>
      </c>
      <c r="M209" s="54">
        <f t="shared" si="217"/>
      </c>
      <c r="N209" s="55">
        <f t="shared" si="160"/>
      </c>
      <c r="O209" s="55">
        <f t="shared" si="179"/>
      </c>
      <c r="P209" s="55">
        <f t="shared" si="312"/>
      </c>
      <c r="Q209" s="55">
        <f t="shared" si="274"/>
      </c>
      <c r="R209" s="54">
        <f t="shared" si="65"/>
      </c>
      <c r="S209" s="56">
        <f t="shared" si="27"/>
      </c>
      <c r="T209" s="55">
        <f t="shared" si="141"/>
      </c>
      <c r="U209" s="55">
        <f t="shared" si="103"/>
      </c>
      <c r="V209" s="55">
        <f t="shared" si="236"/>
      </c>
      <c r="W209" s="55">
        <f t="shared" si="198"/>
      </c>
      <c r="X209" s="38" t="s">
        <v>52</v>
      </c>
      <c r="Y209" s="39" t="s">
        <v>66</v>
      </c>
      <c r="Z209" s="41">
        <v>17787</v>
      </c>
      <c r="AA209" s="41">
        <v>835</v>
      </c>
      <c r="AB209" s="41">
        <v>9249</v>
      </c>
      <c r="AC209" s="41">
        <v>56</v>
      </c>
      <c r="AD209" s="41">
        <v>0</v>
      </c>
      <c r="AE209" s="41">
        <v>513</v>
      </c>
      <c r="AF209" s="41">
        <v>30</v>
      </c>
      <c r="AG209" s="41">
        <v>6</v>
      </c>
      <c r="AH209" s="41">
        <v>0</v>
      </c>
      <c r="AI209" s="42">
        <v>0</v>
      </c>
      <c r="AJ209" s="24"/>
      <c r="AK209" s="24"/>
      <c r="AL209" s="24"/>
    </row>
    <row r="210">
      <c r="A210" s="25"/>
      <c r="B210" s="58" t="s">
        <v>44</v>
      </c>
      <c r="C210" s="58"/>
      <c r="D210" s="59">
        <f>SUM(D206:D209)</f>
      </c>
      <c r="E210" s="60">
        <f>SUM(E206:E209)</f>
      </c>
      <c r="F210" s="70">
        <f t="shared" si="293"/>
      </c>
      <c r="G210" s="80">
        <f>SUM(G206:G209)</f>
      </c>
      <c r="H210" s="81">
        <f t="shared" si="255"/>
      </c>
      <c r="I210" s="82">
        <f t="shared" si="46"/>
      </c>
      <c r="J210" s="69">
        <f t="shared" si="8"/>
      </c>
      <c r="K210" s="70">
        <f t="shared" si="122"/>
      </c>
      <c r="L210" s="83">
        <f t="shared" si="84"/>
      </c>
      <c r="M210" s="69">
        <f t="shared" si="217"/>
      </c>
      <c r="N210" s="68">
        <f t="shared" si="160"/>
      </c>
      <c r="O210" s="68">
        <f t="shared" si="179"/>
      </c>
      <c r="P210" s="68">
        <f t="shared" si="312"/>
      </c>
      <c r="Q210" s="68">
        <f t="shared" si="274"/>
      </c>
      <c r="R210" s="69">
        <f t="shared" si="65"/>
      </c>
      <c r="S210" s="70">
        <f t="shared" si="27"/>
      </c>
      <c r="T210" s="68">
        <f t="shared" si="141"/>
      </c>
      <c r="U210" s="68">
        <f t="shared" si="103"/>
      </c>
      <c r="V210" s="68">
        <f t="shared" si="236"/>
      </c>
      <c r="W210" s="68">
        <f t="shared" si="198"/>
      </c>
      <c r="X210" s="68"/>
      <c r="Y210" s="71"/>
      <c r="Z210" s="59">
        <f>SUM(Z206:Z209)</f>
      </c>
      <c r="AA210" s="59">
        <f>SUM(AA206:AA209)</f>
      </c>
      <c r="AB210" s="59">
        <f>SUM(AB206:AB209)</f>
      </c>
      <c r="AC210" s="59">
        <f>SUM(AC206:AC209)</f>
      </c>
      <c r="AD210" s="59">
        <f>SUM(AD206:AD209)</f>
      </c>
      <c r="AE210" s="59">
        <f>SUM(AE206:AE209)</f>
      </c>
      <c r="AF210" s="59">
        <f>SUM(AF206:AF209)</f>
      </c>
      <c r="AG210" s="59">
        <f>SUM(AG206:AG209)</f>
      </c>
      <c r="AH210" s="59">
        <f>SUM(AH206:AH209)</f>
      </c>
      <c r="AI210" s="59">
        <f>SUM(AI206:AI209)</f>
      </c>
      <c r="AJ210" s="24"/>
      <c r="AK210" s="24"/>
      <c r="AL210" s="24"/>
    </row>
    <row r="211">
      <c r="A211" s="25"/>
      <c r="B211" s="72" t="s">
        <v>57</v>
      </c>
      <c r="C211" s="78" t="s">
        <v>59</v>
      </c>
      <c r="D211" s="85">
        <v>4565.27</v>
      </c>
      <c r="E211" s="45">
        <v>9</v>
      </c>
      <c r="F211" s="30">
        <f t="shared" si="293"/>
      </c>
      <c r="G211" s="45">
        <v>2641.2</v>
      </c>
      <c r="H211" s="49">
        <f t="shared" si="255"/>
      </c>
      <c r="I211" s="33">
        <f t="shared" si="46"/>
      </c>
      <c r="J211" s="34">
        <f t="shared" si="8"/>
      </c>
      <c r="K211" s="35">
        <f t="shared" si="122"/>
      </c>
      <c r="L211" s="79">
        <f t="shared" si="84"/>
      </c>
      <c r="M211" s="54">
        <f t="shared" si="217"/>
      </c>
      <c r="N211" s="55">
        <f t="shared" si="160"/>
      </c>
      <c r="O211" s="55">
        <f t="shared" si="179"/>
      </c>
      <c r="P211" s="55">
        <f t="shared" si="312"/>
      </c>
      <c r="Q211" s="55">
        <f t="shared" si="274"/>
      </c>
      <c r="R211" s="54">
        <f t="shared" si="65"/>
      </c>
      <c r="S211" s="56">
        <f t="shared" si="27"/>
      </c>
      <c r="T211" s="55">
        <f t="shared" si="141"/>
      </c>
      <c r="U211" s="55">
        <f t="shared" si="103"/>
      </c>
      <c r="V211" s="55">
        <f t="shared" si="236"/>
      </c>
      <c r="W211" s="55">
        <f t="shared" si="198"/>
      </c>
      <c r="X211" s="38" t="s">
        <v>52</v>
      </c>
      <c r="Y211" s="39" t="s">
        <v>66</v>
      </c>
      <c r="Z211" s="41">
        <v>108943</v>
      </c>
      <c r="AA211" s="41">
        <v>13301</v>
      </c>
      <c r="AB211" s="41">
        <v>252696</v>
      </c>
      <c r="AC211" s="41">
        <v>795</v>
      </c>
      <c r="AD211" s="41">
        <v>6</v>
      </c>
      <c r="AE211" s="41">
        <v>13327</v>
      </c>
      <c r="AF211" s="41">
        <v>215</v>
      </c>
      <c r="AG211" s="41">
        <v>42</v>
      </c>
      <c r="AH211" s="41">
        <v>14</v>
      </c>
      <c r="AI211" s="42">
        <v>1</v>
      </c>
      <c r="AJ211" s="24"/>
      <c r="AK211" s="24"/>
      <c r="AL211" s="24"/>
    </row>
    <row r="212">
      <c r="A212" s="25"/>
      <c r="B212" s="72" t="s">
        <v>57</v>
      </c>
      <c r="C212" s="78" t="s">
        <v>60</v>
      </c>
      <c r="D212" s="85">
        <v>698.07</v>
      </c>
      <c r="E212" s="45">
        <v>10</v>
      </c>
      <c r="F212" s="30">
        <f t="shared" si="293"/>
      </c>
      <c r="G212" s="45">
        <v>3204.5</v>
      </c>
      <c r="H212" s="49">
        <f t="shared" si="255"/>
      </c>
      <c r="I212" s="33">
        <f t="shared" si="46"/>
      </c>
      <c r="J212" s="34">
        <f t="shared" si="8"/>
      </c>
      <c r="K212" s="35">
        <f t="shared" si="122"/>
      </c>
      <c r="L212" s="79">
        <f t="shared" si="84"/>
      </c>
      <c r="M212" s="54">
        <f t="shared" si="217"/>
      </c>
      <c r="N212" s="55">
        <f t="shared" si="160"/>
      </c>
      <c r="O212" s="55">
        <f t="shared" si="179"/>
      </c>
      <c r="P212" s="55">
        <f t="shared" si="312"/>
      </c>
      <c r="Q212" s="55">
        <f t="shared" si="274"/>
      </c>
      <c r="R212" s="54">
        <f t="shared" si="65"/>
      </c>
      <c r="S212" s="56">
        <f t="shared" si="27"/>
      </c>
      <c r="T212" s="55">
        <f t="shared" si="141"/>
      </c>
      <c r="U212" s="55">
        <f t="shared" si="103"/>
      </c>
      <c r="V212" s="55">
        <f t="shared" si="236"/>
      </c>
      <c r="W212" s="55">
        <f t="shared" si="198"/>
      </c>
      <c r="X212" s="38" t="s">
        <v>52</v>
      </c>
      <c r="Y212" s="39" t="s">
        <v>66</v>
      </c>
      <c r="Z212" s="41">
        <v>43560</v>
      </c>
      <c r="AA212" s="41">
        <v>1760</v>
      </c>
      <c r="AB212" s="41">
        <v>25016</v>
      </c>
      <c r="AC212" s="41">
        <v>161</v>
      </c>
      <c r="AD212" s="41">
        <v>7</v>
      </c>
      <c r="AE212" s="41">
        <v>1390</v>
      </c>
      <c r="AF212" s="41">
        <v>82</v>
      </c>
      <c r="AG212" s="41">
        <v>7</v>
      </c>
      <c r="AH212" s="41">
        <v>3</v>
      </c>
      <c r="AI212" s="42">
        <v>3</v>
      </c>
      <c r="AJ212" s="24"/>
      <c r="AK212" s="24"/>
      <c r="AL212" s="24"/>
    </row>
    <row r="213">
      <c r="A213" s="25"/>
      <c r="B213" s="72" t="s">
        <v>57</v>
      </c>
      <c r="C213" s="78" t="s">
        <v>61</v>
      </c>
      <c r="D213" s="85">
        <v>2531.694</v>
      </c>
      <c r="E213" s="45">
        <v>4</v>
      </c>
      <c r="F213" s="30">
        <f t="shared" si="293"/>
      </c>
      <c r="G213" s="45">
        <v>838.3</v>
      </c>
      <c r="H213" s="49">
        <f t="shared" si="255"/>
      </c>
      <c r="I213" s="33">
        <f t="shared" si="46"/>
      </c>
      <c r="J213" s="34">
        <f t="shared" si="8"/>
      </c>
      <c r="K213" s="35">
        <f t="shared" si="122"/>
      </c>
      <c r="L213" s="79">
        <f t="shared" si="84"/>
      </c>
      <c r="M213" s="54">
        <f t="shared" si="217"/>
      </c>
      <c r="N213" s="55">
        <f t="shared" si="160"/>
      </c>
      <c r="O213" s="55">
        <f t="shared" si="179"/>
      </c>
      <c r="P213" s="55">
        <f t="shared" si="312"/>
      </c>
      <c r="Q213" s="55">
        <f t="shared" si="274"/>
      </c>
      <c r="R213" s="54">
        <f t="shared" si="65"/>
      </c>
      <c r="S213" s="56">
        <f t="shared" si="27"/>
      </c>
      <c r="T213" s="55">
        <f t="shared" si="141"/>
      </c>
      <c r="U213" s="55">
        <f t="shared" si="103"/>
      </c>
      <c r="V213" s="55">
        <f t="shared" si="236"/>
      </c>
      <c r="W213" s="55">
        <f t="shared" si="198"/>
      </c>
      <c r="X213" s="38" t="s">
        <v>52</v>
      </c>
      <c r="Y213" s="39" t="s">
        <v>66</v>
      </c>
      <c r="Z213" s="41">
        <v>84174</v>
      </c>
      <c r="AA213" s="41">
        <v>3624</v>
      </c>
      <c r="AB213" s="41">
        <v>163605</v>
      </c>
      <c r="AC213" s="41">
        <v>345</v>
      </c>
      <c r="AD213" s="41">
        <v>4</v>
      </c>
      <c r="AE213" s="41">
        <v>6690</v>
      </c>
      <c r="AF213" s="41">
        <v>58</v>
      </c>
      <c r="AG213" s="41">
        <v>17</v>
      </c>
      <c r="AH213" s="41">
        <v>7</v>
      </c>
      <c r="AI213" s="42">
        <v>1</v>
      </c>
      <c r="AJ213" s="24"/>
      <c r="AK213" s="24"/>
      <c r="AL213" s="24"/>
    </row>
    <row r="214">
      <c r="A214" s="25"/>
      <c r="B214" s="72" t="s">
        <v>57</v>
      </c>
      <c r="C214" s="78" t="s">
        <v>62</v>
      </c>
      <c r="D214" s="85">
        <v>2251.485</v>
      </c>
      <c r="E214" s="45">
        <v>8</v>
      </c>
      <c r="F214" s="47">
        <f t="shared" si="293"/>
      </c>
      <c r="G214" s="45">
        <v>2270.4</v>
      </c>
      <c r="H214" s="49">
        <f t="shared" si="255"/>
      </c>
      <c r="I214" s="50">
        <f t="shared" si="46"/>
      </c>
      <c r="J214" s="51">
        <f t="shared" si="8"/>
      </c>
      <c r="K214" s="52">
        <f t="shared" si="122"/>
      </c>
      <c r="L214" s="53">
        <f t="shared" si="84"/>
      </c>
      <c r="M214" s="54">
        <f t="shared" si="217"/>
      </c>
      <c r="N214" s="55">
        <f t="shared" si="160"/>
      </c>
      <c r="O214" s="55">
        <f t="shared" si="179"/>
      </c>
      <c r="P214" s="55">
        <f t="shared" si="312"/>
      </c>
      <c r="Q214" s="55">
        <f t="shared" si="274"/>
      </c>
      <c r="R214" s="54">
        <f t="shared" si="65"/>
      </c>
      <c r="S214" s="56">
        <f t="shared" si="27"/>
      </c>
      <c r="T214" s="55">
        <f t="shared" si="141"/>
      </c>
      <c r="U214" s="55">
        <f t="shared" si="103"/>
      </c>
      <c r="V214" s="55">
        <f t="shared" si="236"/>
      </c>
      <c r="W214" s="55">
        <f t="shared" si="198"/>
      </c>
      <c r="X214" s="38" t="s">
        <v>52</v>
      </c>
      <c r="Y214" s="39" t="s">
        <v>66</v>
      </c>
      <c r="Z214" s="40">
        <v>78779</v>
      </c>
      <c r="AA214" s="40">
        <v>5792</v>
      </c>
      <c r="AB214" s="40">
        <v>180442</v>
      </c>
      <c r="AC214" s="40">
        <v>552</v>
      </c>
      <c r="AD214" s="40">
        <v>6</v>
      </c>
      <c r="AE214" s="40">
        <v>10099</v>
      </c>
      <c r="AF214" s="41">
        <v>77</v>
      </c>
      <c r="AG214" s="41">
        <v>22</v>
      </c>
      <c r="AH214" s="41">
        <v>5</v>
      </c>
      <c r="AI214" s="42">
        <v>1</v>
      </c>
      <c r="AJ214" s="24"/>
      <c r="AK214" s="24"/>
      <c r="AL214" s="24"/>
    </row>
    <row r="215">
      <c r="A215" s="25"/>
      <c r="B215" s="58" t="s">
        <v>44</v>
      </c>
      <c r="C215" s="58"/>
      <c r="D215" s="59">
        <f>SUM(D211:D214)</f>
      </c>
      <c r="E215" s="60">
        <f>SUM(E211:E214)</f>
      </c>
      <c r="F215" s="61">
        <f t="shared" si="293"/>
      </c>
      <c r="G215" s="62">
        <f>SUM(G211:G214)</f>
      </c>
      <c r="H215" s="63">
        <f t="shared" si="255"/>
      </c>
      <c r="I215" s="64">
        <f t="shared" si="46"/>
      </c>
      <c r="J215" s="65">
        <f t="shared" si="8"/>
      </c>
      <c r="K215" s="61">
        <f t="shared" si="122"/>
      </c>
      <c r="L215" s="66">
        <f t="shared" si="84"/>
      </c>
      <c r="M215" s="65">
        <f t="shared" si="217"/>
      </c>
      <c r="N215" s="67">
        <f t="shared" si="160"/>
      </c>
      <c r="O215" s="67">
        <f t="shared" si="179"/>
      </c>
      <c r="P215" s="68">
        <f t="shared" si="312"/>
      </c>
      <c r="Q215" s="68">
        <f t="shared" si="274"/>
      </c>
      <c r="R215" s="69">
        <f t="shared" si="65"/>
      </c>
      <c r="S215" s="70">
        <f t="shared" si="27"/>
      </c>
      <c r="T215" s="68">
        <f t="shared" si="141"/>
      </c>
      <c r="U215" s="68">
        <f t="shared" si="103"/>
      </c>
      <c r="V215" s="68">
        <f t="shared" si="236"/>
      </c>
      <c r="W215" s="68">
        <f t="shared" si="198"/>
      </c>
      <c r="X215" s="68"/>
      <c r="Y215" s="71"/>
      <c r="Z215" s="59">
        <f>SUM(Z211:Z214)</f>
      </c>
      <c r="AA215" s="59">
        <f>SUM(AA211:AA214)</f>
      </c>
      <c r="AB215" s="59">
        <f>SUM(AB211:AB214)</f>
      </c>
      <c r="AC215" s="59">
        <f>SUM(AC211:AC214)</f>
      </c>
      <c r="AD215" s="59">
        <f>SUM(AD211:AD214)</f>
      </c>
      <c r="AE215" s="59">
        <f>SUM(AE211:AE214)</f>
      </c>
      <c r="AF215" s="59">
        <f>SUM(AF211:AF214)</f>
      </c>
      <c r="AG215" s="59">
        <f>SUM(AG211:AG214)</f>
      </c>
      <c r="AH215" s="59">
        <f>SUM(AH211:AH214)</f>
      </c>
      <c r="AI215" s="59">
        <f>SUM(AI211:AI214)</f>
      </c>
      <c r="AJ215" s="24"/>
      <c r="AK215" s="24"/>
      <c r="AL215" s="24"/>
    </row>
    <row r="216">
      <c r="A216" s="25"/>
      <c r="B216" s="89" t="s">
        <v>63</v>
      </c>
      <c r="C216" s="89"/>
      <c r="D216" s="90">
        <f>SUM(D215+D199+D205+D210)</f>
      </c>
      <c r="E216" s="91">
        <f>SUM(E215+E199+E205+E210)</f>
      </c>
      <c r="F216" s="92">
        <f t="shared" si="293"/>
      </c>
      <c r="G216" s="93">
        <f>SUM(G215+G199+G205+G210)</f>
      </c>
      <c r="H216" s="94">
        <f t="shared" si="255"/>
      </c>
      <c r="I216" s="95">
        <f t="shared" si="46"/>
      </c>
      <c r="J216" s="96">
        <f t="shared" si="8"/>
      </c>
      <c r="K216" s="92">
        <f t="shared" si="122"/>
      </c>
      <c r="L216" s="97">
        <f t="shared" si="84"/>
      </c>
      <c r="M216" s="97">
        <f t="shared" si="217"/>
      </c>
      <c r="N216" s="98">
        <f t="shared" si="160"/>
      </c>
      <c r="O216" s="98">
        <f t="shared" si="179"/>
      </c>
      <c r="P216" s="98">
        <f t="shared" si="312"/>
      </c>
      <c r="Q216" s="98">
        <f t="shared" si="274"/>
      </c>
      <c r="R216" s="99">
        <f t="shared" si="65"/>
      </c>
      <c r="S216" s="100">
        <f t="shared" si="27"/>
      </c>
      <c r="T216" s="101">
        <f t="shared" si="141"/>
      </c>
      <c r="U216" s="101">
        <f t="shared" si="103"/>
      </c>
      <c r="V216" s="101">
        <f t="shared" si="236"/>
      </c>
      <c r="W216" s="101">
        <f t="shared" si="198"/>
      </c>
      <c r="X216" s="101"/>
      <c r="Y216" s="102"/>
      <c r="Z216" s="103">
        <f>SUM(Z199+Z215+Z205+Z210)</f>
      </c>
      <c r="AA216" s="103">
        <f>SUM(AA199+AA215+AA205+AA210)</f>
      </c>
      <c r="AB216" s="103">
        <f>SUM(AB199+AB215+AB205+AB210)</f>
      </c>
      <c r="AC216" s="103">
        <f>SUM(AC199+AC215+AC205+AC210)</f>
      </c>
      <c r="AD216" s="103">
        <f>SUM(AD199+AD215+AD205+AD210)</f>
      </c>
      <c r="AE216" s="103">
        <f>SUM(AE199+AE215+AE205+AE210)</f>
      </c>
      <c r="AF216" s="103">
        <f>SUM(AF199+AF215+AF205+AF210)</f>
      </c>
      <c r="AG216" s="103">
        <f>SUM(AG199+AG215+AG205+AG210)</f>
      </c>
      <c r="AH216" s="103">
        <f>SUM(AH199+AH215+AH205+AH210)</f>
      </c>
      <c r="AI216" s="103">
        <f>SUM(AI199+AI215+AI205+AI210)</f>
      </c>
      <c r="AJ216" s="24"/>
      <c r="AK216" s="24"/>
      <c r="AL216" s="24"/>
    </row>
    <row r="217">
      <c r="A217" s="1" t="s">
        <v>1</v>
      </c>
      <c r="B217" s="2" t="s">
        <v>2</v>
      </c>
      <c r="C217" s="3" t="s">
        <v>3</v>
      </c>
      <c r="D217" s="4" t="s">
        <v>4</v>
      </c>
      <c r="E217" s="5" t="s">
        <v>5</v>
      </c>
      <c r="F217" s="6" t="s">
        <v>6</v>
      </c>
      <c r="G217" s="7" t="s">
        <v>7</v>
      </c>
      <c r="H217" s="8" t="s">
        <v>8</v>
      </c>
      <c r="I217" s="9" t="s">
        <v>9</v>
      </c>
      <c r="J217" s="10" t="s">
        <v>10</v>
      </c>
      <c r="K217" s="11" t="s">
        <v>11</v>
      </c>
      <c r="L217" s="12" t="s">
        <v>12</v>
      </c>
      <c r="M217" s="12" t="s">
        <v>13</v>
      </c>
      <c r="N217" s="13" t="s">
        <v>14</v>
      </c>
      <c r="O217" s="13" t="s">
        <v>15</v>
      </c>
      <c r="P217" s="13" t="s">
        <v>16</v>
      </c>
      <c r="Q217" s="13" t="s">
        <v>17</v>
      </c>
      <c r="R217" s="14" t="s">
        <v>18</v>
      </c>
      <c r="S217" s="15" t="s">
        <v>19</v>
      </c>
      <c r="T217" s="16" t="s">
        <v>20</v>
      </c>
      <c r="U217" s="16" t="s">
        <v>21</v>
      </c>
      <c r="V217" s="16" t="s">
        <v>22</v>
      </c>
      <c r="W217" s="16" t="s">
        <v>23</v>
      </c>
      <c r="X217" s="17" t="s">
        <v>24</v>
      </c>
      <c r="Y217" s="18" t="s">
        <v>25</v>
      </c>
      <c r="Z217" s="19" t="s">
        <v>26</v>
      </c>
      <c r="AA217" s="19" t="s">
        <v>27</v>
      </c>
      <c r="AB217" s="19" t="s">
        <v>28</v>
      </c>
      <c r="AC217" s="20" t="s">
        <v>29</v>
      </c>
      <c r="AD217" s="20" t="s">
        <v>30</v>
      </c>
      <c r="AE217" s="21" t="s">
        <v>31</v>
      </c>
      <c r="AF217" s="20" t="s">
        <v>32</v>
      </c>
      <c r="AG217" s="20" t="s">
        <v>33</v>
      </c>
      <c r="AH217" s="22" t="s">
        <v>34</v>
      </c>
      <c r="AI217" s="23" t="s">
        <v>35</v>
      </c>
      <c r="AJ217" s="24"/>
      <c r="AK217" s="24"/>
      <c r="AL217" s="24"/>
    </row>
    <row r="218">
      <c r="A218" s="25">
        <v>46305</v>
      </c>
      <c r="B218" s="72" t="s">
        <v>50</v>
      </c>
      <c r="C218" s="27" t="s">
        <v>37</v>
      </c>
      <c r="D218" s="104">
        <v>510.309</v>
      </c>
      <c r="E218" s="29">
        <v>1</v>
      </c>
      <c r="F218" s="30">
        <f t="shared" ref="F218:F240" si="294">D218/E218</f>
      </c>
      <c r="G218" s="31">
        <v>828</v>
      </c>
      <c r="H218" s="49">
        <f t="shared" ref="H218:H240" si="256">AD218</f>
      </c>
      <c r="I218" s="33">
        <f t="shared" ref="I218:I240" si="47">D218/AD218</f>
      </c>
      <c r="J218" s="34">
        <f t="shared" ref="J218:J240" si="9">G218/E218</f>
      </c>
      <c r="K218" s="35">
        <f t="shared" ref="K218:K240" si="123">G218/D218</f>
      </c>
      <c r="L218" s="36">
        <f t="shared" ref="L218:L240" si="85">D218/AB218</f>
      </c>
      <c r="M218" s="34">
        <f t="shared" ref="M218:M240" si="218">D218/AC218</f>
      </c>
      <c r="N218" s="37">
        <f t="shared" ref="N218:N240" si="161">AC218/AB218</f>
      </c>
      <c r="O218" s="37">
        <f t="shared" ref="O218:O240" si="180">AD218/AC218</f>
      </c>
      <c r="P218" s="37">
        <f t="shared" ref="P218:P240" si="313">AA218/Z218</f>
      </c>
      <c r="Q218" s="37">
        <f t="shared" ref="Q218:Q240" si="275">AD218/AA218</f>
      </c>
      <c r="R218" s="34">
        <f t="shared" ref="R218:R240" si="66">D218/Z218*1000</f>
      </c>
      <c r="S218" s="35">
        <f t="shared" ref="S218:S240" si="28">D218/AA218</f>
      </c>
      <c r="T218" s="37">
        <f t="shared" ref="T218:T240" si="142">AE218/AB218</f>
      </c>
      <c r="U218" s="37">
        <f t="shared" ref="U218:U240" si="104">AF218/AB218</f>
      </c>
      <c r="V218" s="37">
        <f t="shared" ref="V218:V240" si="237">AG218/AB218</f>
      </c>
      <c r="W218" s="37">
        <f t="shared" ref="W218:W240" si="199">AH218/AB218</f>
      </c>
      <c r="X218" s="38" t="s">
        <v>52</v>
      </c>
      <c r="Y218" s="39" t="s">
        <v>54</v>
      </c>
      <c r="Z218" s="40">
        <v>31731</v>
      </c>
      <c r="AA218" s="40">
        <v>1679</v>
      </c>
      <c r="AB218" s="40">
        <v>13521</v>
      </c>
      <c r="AC218" s="40">
        <v>99</v>
      </c>
      <c r="AD218" s="41">
        <v>1</v>
      </c>
      <c r="AE218" s="40">
        <v>1503</v>
      </c>
      <c r="AF218" s="41">
        <v>35</v>
      </c>
      <c r="AG218" s="41">
        <v>0</v>
      </c>
      <c r="AH218" s="41">
        <v>0</v>
      </c>
      <c r="AI218" s="42">
        <v>0</v>
      </c>
      <c r="AJ218" s="24"/>
      <c r="AK218" s="24"/>
      <c r="AL218" s="24"/>
    </row>
    <row r="219">
      <c r="A219" s="25"/>
      <c r="B219" s="72" t="s">
        <v>50</v>
      </c>
      <c r="C219" s="27" t="s">
        <v>40</v>
      </c>
      <c r="D219" s="104">
        <v>2292.294</v>
      </c>
      <c r="E219" s="29">
        <v>2</v>
      </c>
      <c r="F219" s="30">
        <f t="shared" si="294"/>
      </c>
      <c r="G219" s="31">
        <v>424</v>
      </c>
      <c r="H219" s="49">
        <f t="shared" si="256"/>
      </c>
      <c r="I219" s="33">
        <f t="shared" si="47"/>
      </c>
      <c r="J219" s="34">
        <f t="shared" si="9"/>
      </c>
      <c r="K219" s="35">
        <f t="shared" si="123"/>
      </c>
      <c r="L219" s="36">
        <f t="shared" si="85"/>
      </c>
      <c r="M219" s="34">
        <f t="shared" si="218"/>
      </c>
      <c r="N219" s="37">
        <f t="shared" si="161"/>
      </c>
      <c r="O219" s="37">
        <f t="shared" si="180"/>
      </c>
      <c r="P219" s="37">
        <f t="shared" si="313"/>
      </c>
      <c r="Q219" s="37">
        <f t="shared" si="275"/>
      </c>
      <c r="R219" s="34">
        <f t="shared" si="66"/>
      </c>
      <c r="S219" s="35">
        <f t="shared" si="28"/>
      </c>
      <c r="T219" s="37">
        <f t="shared" si="142"/>
      </c>
      <c r="U219" s="37">
        <f t="shared" si="104"/>
      </c>
      <c r="V219" s="37">
        <f t="shared" si="237"/>
      </c>
      <c r="W219" s="37">
        <f t="shared" si="199"/>
      </c>
      <c r="X219" s="38" t="s">
        <v>52</v>
      </c>
      <c r="Y219" s="39" t="s">
        <v>54</v>
      </c>
      <c r="Z219" s="41">
        <v>64066</v>
      </c>
      <c r="AA219" s="40">
        <v>11541</v>
      </c>
      <c r="AB219" s="40">
        <v>120353</v>
      </c>
      <c r="AC219" s="40">
        <v>457</v>
      </c>
      <c r="AD219" s="41">
        <v>2</v>
      </c>
      <c r="AE219" s="40">
        <v>12315</v>
      </c>
      <c r="AF219" s="41">
        <v>156</v>
      </c>
      <c r="AG219" s="41">
        <v>20</v>
      </c>
      <c r="AH219" s="41">
        <v>1</v>
      </c>
      <c r="AI219" s="42">
        <v>0</v>
      </c>
      <c r="AJ219" s="24"/>
      <c r="AK219" s="24"/>
      <c r="AL219" s="24"/>
    </row>
    <row r="220">
      <c r="A220" s="25"/>
      <c r="B220" s="72" t="s">
        <v>50</v>
      </c>
      <c r="C220" s="43" t="s">
        <v>41</v>
      </c>
      <c r="D220" s="84">
        <v>3046.185</v>
      </c>
      <c r="E220" s="45">
        <v>7</v>
      </c>
      <c r="F220" s="30">
        <f t="shared" si="294"/>
      </c>
      <c r="G220" s="45">
        <v>3506.4</v>
      </c>
      <c r="H220" s="49">
        <f t="shared" si="256"/>
      </c>
      <c r="I220" s="33">
        <f t="shared" si="47"/>
      </c>
      <c r="J220" s="34">
        <f t="shared" si="9"/>
      </c>
      <c r="K220" s="35">
        <f t="shared" si="123"/>
      </c>
      <c r="L220" s="36">
        <f t="shared" si="85"/>
      </c>
      <c r="M220" s="34">
        <f t="shared" si="218"/>
      </c>
      <c r="N220" s="37">
        <f t="shared" si="161"/>
      </c>
      <c r="O220" s="37">
        <f t="shared" si="180"/>
      </c>
      <c r="P220" s="37">
        <f t="shared" si="313"/>
      </c>
      <c r="Q220" s="37">
        <f t="shared" si="275"/>
      </c>
      <c r="R220" s="34">
        <f t="shared" si="66"/>
      </c>
      <c r="S220" s="35">
        <f t="shared" si="28"/>
      </c>
      <c r="T220" s="37">
        <f t="shared" si="142"/>
      </c>
      <c r="U220" s="37">
        <f t="shared" si="104"/>
      </c>
      <c r="V220" s="37">
        <f t="shared" si="237"/>
      </c>
      <c r="W220" s="37">
        <f t="shared" si="199"/>
      </c>
      <c r="X220" s="38" t="s">
        <v>52</v>
      </c>
      <c r="Y220" s="39" t="s">
        <v>54</v>
      </c>
      <c r="Z220" s="41">
        <v>74076</v>
      </c>
      <c r="AA220" s="41">
        <v>18807</v>
      </c>
      <c r="AB220" s="41">
        <v>161777</v>
      </c>
      <c r="AC220" s="41">
        <v>690</v>
      </c>
      <c r="AD220" s="41">
        <v>4</v>
      </c>
      <c r="AE220" s="41">
        <v>16984</v>
      </c>
      <c r="AF220" s="41">
        <v>357</v>
      </c>
      <c r="AG220" s="41">
        <v>35</v>
      </c>
      <c r="AH220" s="41">
        <v>7</v>
      </c>
      <c r="AI220" s="42">
        <v>2</v>
      </c>
      <c r="AJ220" s="24"/>
      <c r="AK220" s="24"/>
      <c r="AL220" s="24"/>
    </row>
    <row r="221">
      <c r="A221" s="25"/>
      <c r="B221" s="72" t="s">
        <v>50</v>
      </c>
      <c r="C221" s="46" t="s">
        <v>42</v>
      </c>
      <c r="D221" s="84">
        <v>2756.397</v>
      </c>
      <c r="E221" s="45">
        <v>12</v>
      </c>
      <c r="F221" s="47">
        <f t="shared" si="294"/>
      </c>
      <c r="G221" s="45">
        <v>2636.4</v>
      </c>
      <c r="H221" s="49">
        <f t="shared" si="256"/>
      </c>
      <c r="I221" s="50">
        <f t="shared" si="47"/>
      </c>
      <c r="J221" s="51">
        <f t="shared" si="9"/>
      </c>
      <c r="K221" s="52">
        <f t="shared" si="123"/>
      </c>
      <c r="L221" s="53">
        <f t="shared" si="85"/>
      </c>
      <c r="M221" s="54">
        <f t="shared" si="218"/>
      </c>
      <c r="N221" s="55">
        <f t="shared" si="161"/>
      </c>
      <c r="O221" s="55">
        <f t="shared" si="180"/>
      </c>
      <c r="P221" s="55">
        <f t="shared" si="313"/>
      </c>
      <c r="Q221" s="55">
        <f t="shared" si="275"/>
      </c>
      <c r="R221" s="54">
        <f t="shared" si="66"/>
      </c>
      <c r="S221" s="56">
        <f t="shared" si="28"/>
      </c>
      <c r="T221" s="55">
        <f t="shared" si="142"/>
      </c>
      <c r="U221" s="55">
        <f t="shared" si="104"/>
      </c>
      <c r="V221" s="55">
        <f t="shared" si="237"/>
      </c>
      <c r="W221" s="55">
        <f t="shared" si="199"/>
      </c>
      <c r="X221" s="38" t="s">
        <v>52</v>
      </c>
      <c r="Y221" s="39" t="s">
        <v>54</v>
      </c>
      <c r="Z221" s="40">
        <v>64198</v>
      </c>
      <c r="AA221" s="40">
        <v>16040</v>
      </c>
      <c r="AB221" s="40">
        <v>143083</v>
      </c>
      <c r="AC221" s="40">
        <v>621</v>
      </c>
      <c r="AD221" s="40">
        <v>9</v>
      </c>
      <c r="AE221" s="40">
        <v>14343</v>
      </c>
      <c r="AF221" s="41">
        <v>276</v>
      </c>
      <c r="AG221" s="41">
        <v>39</v>
      </c>
      <c r="AH221" s="41">
        <v>11</v>
      </c>
      <c r="AI221" s="42">
        <v>2</v>
      </c>
      <c r="AJ221" s="24"/>
      <c r="AK221" s="24"/>
      <c r="AL221" s="24"/>
    </row>
    <row r="222">
      <c r="A222" s="25"/>
      <c r="B222" s="72" t="s">
        <v>50</v>
      </c>
      <c r="C222" s="46" t="s">
        <v>43</v>
      </c>
      <c r="D222" s="85">
        <v>2896.132</v>
      </c>
      <c r="E222" s="45">
        <v>6</v>
      </c>
      <c r="F222" s="47">
        <f t="shared" si="294"/>
      </c>
      <c r="G222" s="45">
        <v>1936</v>
      </c>
      <c r="H222" s="49">
        <f t="shared" si="256"/>
      </c>
      <c r="I222" s="50">
        <f t="shared" si="47"/>
      </c>
      <c r="J222" s="51">
        <f t="shared" si="9"/>
      </c>
      <c r="K222" s="52">
        <f t="shared" si="123"/>
      </c>
      <c r="L222" s="53">
        <f t="shared" si="85"/>
      </c>
      <c r="M222" s="54">
        <f t="shared" si="218"/>
      </c>
      <c r="N222" s="55">
        <f t="shared" si="161"/>
      </c>
      <c r="O222" s="55">
        <f t="shared" si="180"/>
      </c>
      <c r="P222" s="55">
        <f t="shared" si="313"/>
      </c>
      <c r="Q222" s="55">
        <f t="shared" si="275"/>
      </c>
      <c r="R222" s="54">
        <f t="shared" si="66"/>
      </c>
      <c r="S222" s="56">
        <f t="shared" si="28"/>
      </c>
      <c r="T222" s="55">
        <f t="shared" si="142"/>
      </c>
      <c r="U222" s="55">
        <f t="shared" si="104"/>
      </c>
      <c r="V222" s="55">
        <f t="shared" si="237"/>
      </c>
      <c r="W222" s="55">
        <f t="shared" si="199"/>
      </c>
      <c r="X222" s="38" t="s">
        <v>52</v>
      </c>
      <c r="Y222" s="39" t="s">
        <v>54</v>
      </c>
      <c r="Z222" s="40">
        <v>62107</v>
      </c>
      <c r="AA222" s="40">
        <v>14046</v>
      </c>
      <c r="AB222" s="40">
        <v>148425</v>
      </c>
      <c r="AC222" s="40">
        <v>593</v>
      </c>
      <c r="AD222" s="40">
        <v>6</v>
      </c>
      <c r="AE222" s="40">
        <v>14339</v>
      </c>
      <c r="AF222" s="41">
        <v>234</v>
      </c>
      <c r="AG222" s="41">
        <v>27</v>
      </c>
      <c r="AH222" s="41">
        <v>6</v>
      </c>
      <c r="AI222" s="42">
        <v>0</v>
      </c>
      <c r="AJ222" s="24"/>
      <c r="AK222" s="24"/>
      <c r="AL222" s="24"/>
    </row>
    <row r="223">
      <c r="A223" s="25"/>
      <c r="B223" s="58" t="s">
        <v>44</v>
      </c>
      <c r="C223" s="58"/>
      <c r="D223" s="59">
        <f>SUM(D218:D222)</f>
      </c>
      <c r="E223" s="60">
        <f>SUM(E218:E222)</f>
      </c>
      <c r="F223" s="61">
        <f t="shared" si="294"/>
      </c>
      <c r="G223" s="62">
        <f>SUM(G218:G222)</f>
      </c>
      <c r="H223" s="63">
        <f t="shared" si="256"/>
      </c>
      <c r="I223" s="64">
        <f t="shared" si="47"/>
      </c>
      <c r="J223" s="65">
        <f t="shared" si="9"/>
      </c>
      <c r="K223" s="61">
        <f t="shared" si="123"/>
      </c>
      <c r="L223" s="66">
        <f t="shared" si="85"/>
      </c>
      <c r="M223" s="65">
        <f t="shared" si="218"/>
      </c>
      <c r="N223" s="67">
        <f t="shared" si="161"/>
      </c>
      <c r="O223" s="67">
        <f t="shared" si="180"/>
      </c>
      <c r="P223" s="68">
        <f t="shared" si="313"/>
      </c>
      <c r="Q223" s="68">
        <f t="shared" si="275"/>
      </c>
      <c r="R223" s="69">
        <f t="shared" si="66"/>
      </c>
      <c r="S223" s="70">
        <f t="shared" si="28"/>
      </c>
      <c r="T223" s="68">
        <f t="shared" si="142"/>
      </c>
      <c r="U223" s="68">
        <f t="shared" si="104"/>
      </c>
      <c r="V223" s="68">
        <f t="shared" si="237"/>
      </c>
      <c r="W223" s="68">
        <f t="shared" si="199"/>
      </c>
      <c r="X223" s="68"/>
      <c r="Y223" s="71"/>
      <c r="Z223" s="59">
        <f>SUM(Z218:Z222)</f>
      </c>
      <c r="AA223" s="59">
        <f>SUM(AA218:AA222)</f>
      </c>
      <c r="AB223" s="59">
        <f>SUM(AB218:AB222)</f>
      </c>
      <c r="AC223" s="59">
        <f>SUM(AC218:AC222)</f>
      </c>
      <c r="AD223" s="59">
        <f>SUM(AD218:AD222)</f>
      </c>
      <c r="AE223" s="59">
        <f>SUM(AE218:AE222)</f>
      </c>
      <c r="AF223" s="59">
        <f>SUM(AF218:AF222)</f>
      </c>
      <c r="AG223" s="59">
        <f>SUM(AG218:AG222)</f>
      </c>
      <c r="AH223" s="59">
        <f>SUM(AH218:AH222)</f>
      </c>
      <c r="AI223" s="59">
        <f>SUM(AI218:AI222)</f>
      </c>
      <c r="AJ223" s="24"/>
      <c r="AK223" s="24"/>
      <c r="AL223" s="24"/>
    </row>
    <row r="224">
      <c r="A224" s="25"/>
      <c r="B224" s="72" t="s">
        <v>36</v>
      </c>
      <c r="C224" s="73" t="s">
        <v>46</v>
      </c>
      <c r="D224" s="105">
        <v>2827.778</v>
      </c>
      <c r="E224" s="75">
        <v>6</v>
      </c>
      <c r="F224" s="47">
        <f t="shared" si="294"/>
      </c>
      <c r="G224" s="45">
        <v>2529.6</v>
      </c>
      <c r="H224" s="49">
        <f t="shared" si="256"/>
      </c>
      <c r="I224" s="50">
        <f t="shared" si="47"/>
      </c>
      <c r="J224" s="51">
        <f t="shared" si="9"/>
      </c>
      <c r="K224" s="52">
        <f t="shared" si="123"/>
      </c>
      <c r="L224" s="76">
        <f t="shared" si="85"/>
      </c>
      <c r="M224" s="34">
        <f t="shared" si="218"/>
      </c>
      <c r="N224" s="37">
        <f t="shared" si="161"/>
      </c>
      <c r="O224" s="37">
        <f t="shared" si="180"/>
      </c>
      <c r="P224" s="37">
        <f t="shared" si="313"/>
      </c>
      <c r="Q224" s="37">
        <f t="shared" si="275"/>
      </c>
      <c r="R224" s="34">
        <f t="shared" si="66"/>
      </c>
      <c r="S224" s="35">
        <f t="shared" si="28"/>
      </c>
      <c r="T224" s="37">
        <f t="shared" si="142"/>
      </c>
      <c r="U224" s="37">
        <f t="shared" si="104"/>
      </c>
      <c r="V224" s="37">
        <f t="shared" si="237"/>
      </c>
      <c r="W224" s="37">
        <f t="shared" si="199"/>
      </c>
      <c r="X224" s="38" t="s">
        <v>52</v>
      </c>
      <c r="Y224" s="39" t="s">
        <v>54</v>
      </c>
      <c r="Z224" s="41">
        <v>54821</v>
      </c>
      <c r="AA224" s="41">
        <v>11809</v>
      </c>
      <c r="AB224" s="41">
        <v>135286</v>
      </c>
      <c r="AC224" s="41">
        <v>443</v>
      </c>
      <c r="AD224" s="41">
        <v>5</v>
      </c>
      <c r="AE224" s="41">
        <v>12586</v>
      </c>
      <c r="AF224" s="41">
        <v>204</v>
      </c>
      <c r="AG224" s="41">
        <v>26</v>
      </c>
      <c r="AH224" s="41">
        <v>13</v>
      </c>
      <c r="AI224" s="42">
        <v>1</v>
      </c>
      <c r="AJ224" s="24"/>
      <c r="AK224" s="24"/>
      <c r="AL224" s="24"/>
    </row>
    <row r="225">
      <c r="A225" s="25"/>
      <c r="B225" s="72" t="s">
        <v>36</v>
      </c>
      <c r="C225" s="77" t="s">
        <v>47</v>
      </c>
      <c r="D225" s="84">
        <v>3895.13</v>
      </c>
      <c r="E225" s="45">
        <v>10</v>
      </c>
      <c r="F225" s="47">
        <f t="shared" si="294"/>
      </c>
      <c r="G225" s="45">
        <v>4445.5</v>
      </c>
      <c r="H225" s="49">
        <f t="shared" si="256"/>
      </c>
      <c r="I225" s="50">
        <f t="shared" si="47"/>
      </c>
      <c r="J225" s="51">
        <f t="shared" si="9"/>
      </c>
      <c r="K225" s="52">
        <f t="shared" si="123"/>
      </c>
      <c r="L225" s="76">
        <f t="shared" si="85"/>
      </c>
      <c r="M225" s="34">
        <f t="shared" si="218"/>
      </c>
      <c r="N225" s="37">
        <f t="shared" si="161"/>
      </c>
      <c r="O225" s="37">
        <f t="shared" si="180"/>
      </c>
      <c r="P225" s="37">
        <f t="shared" si="313"/>
      </c>
      <c r="Q225" s="37">
        <f t="shared" si="275"/>
      </c>
      <c r="R225" s="34">
        <f t="shared" si="66"/>
      </c>
      <c r="S225" s="35">
        <f t="shared" si="28"/>
      </c>
      <c r="T225" s="37">
        <f t="shared" si="142"/>
      </c>
      <c r="U225" s="37">
        <f t="shared" si="104"/>
      </c>
      <c r="V225" s="37">
        <f t="shared" si="237"/>
      </c>
      <c r="W225" s="37">
        <f t="shared" si="199"/>
      </c>
      <c r="X225" s="38" t="s">
        <v>52</v>
      </c>
      <c r="Y225" s="39" t="s">
        <v>54</v>
      </c>
      <c r="Z225" s="41">
        <v>82953</v>
      </c>
      <c r="AA225" s="41">
        <v>12640</v>
      </c>
      <c r="AB225" s="41">
        <v>203674</v>
      </c>
      <c r="AC225" s="41">
        <v>619</v>
      </c>
      <c r="AD225" s="41">
        <v>7</v>
      </c>
      <c r="AE225" s="41">
        <v>14847</v>
      </c>
      <c r="AF225" s="41">
        <v>189</v>
      </c>
      <c r="AG225" s="41">
        <v>31</v>
      </c>
      <c r="AH225" s="41">
        <v>10</v>
      </c>
      <c r="AI225" s="42">
        <v>2</v>
      </c>
      <c r="AJ225" s="24"/>
      <c r="AK225" s="24"/>
      <c r="AL225" s="24"/>
    </row>
    <row r="226">
      <c r="A226" s="25"/>
      <c r="B226" s="72" t="s">
        <v>36</v>
      </c>
      <c r="C226" s="78" t="s">
        <v>48</v>
      </c>
      <c r="D226" s="84">
        <v>3192.134</v>
      </c>
      <c r="E226" s="45">
        <v>9</v>
      </c>
      <c r="F226" s="30">
        <f t="shared" si="294"/>
      </c>
      <c r="G226" s="45">
        <v>3792</v>
      </c>
      <c r="H226" s="49">
        <f t="shared" si="256"/>
      </c>
      <c r="I226" s="33">
        <f t="shared" si="47"/>
      </c>
      <c r="J226" s="34">
        <f t="shared" si="9"/>
      </c>
      <c r="K226" s="35">
        <f t="shared" si="123"/>
      </c>
      <c r="L226" s="79">
        <f t="shared" si="85"/>
      </c>
      <c r="M226" s="54">
        <f t="shared" si="218"/>
      </c>
      <c r="N226" s="55">
        <f t="shared" si="161"/>
      </c>
      <c r="O226" s="55">
        <f t="shared" si="180"/>
      </c>
      <c r="P226" s="55">
        <f t="shared" si="313"/>
      </c>
      <c r="Q226" s="55">
        <f t="shared" si="275"/>
      </c>
      <c r="R226" s="54">
        <f t="shared" si="66"/>
      </c>
      <c r="S226" s="56">
        <f t="shared" si="28"/>
      </c>
      <c r="T226" s="55">
        <f t="shared" si="142"/>
      </c>
      <c r="U226" s="55">
        <f t="shared" si="104"/>
      </c>
      <c r="V226" s="55">
        <f t="shared" si="237"/>
      </c>
      <c r="W226" s="55">
        <f t="shared" si="199"/>
      </c>
      <c r="X226" s="38" t="s">
        <v>52</v>
      </c>
      <c r="Y226" s="39" t="s">
        <v>54</v>
      </c>
      <c r="Z226" s="41">
        <v>74299</v>
      </c>
      <c r="AA226" s="41">
        <v>12182</v>
      </c>
      <c r="AB226" s="41">
        <v>171133</v>
      </c>
      <c r="AC226" s="41">
        <v>597</v>
      </c>
      <c r="AD226" s="41">
        <v>7</v>
      </c>
      <c r="AE226" s="41">
        <v>12684</v>
      </c>
      <c r="AF226" s="41">
        <v>204</v>
      </c>
      <c r="AG226" s="41">
        <v>31</v>
      </c>
      <c r="AH226" s="41">
        <v>13</v>
      </c>
      <c r="AI226" s="42">
        <v>3</v>
      </c>
      <c r="AJ226" s="24"/>
      <c r="AK226" s="24"/>
      <c r="AL226" s="24"/>
    </row>
    <row r="227">
      <c r="A227" s="25"/>
      <c r="B227" s="72" t="s">
        <v>36</v>
      </c>
      <c r="C227" s="78" t="s">
        <v>49</v>
      </c>
      <c r="D227" s="85">
        <v>3688.383</v>
      </c>
      <c r="E227" s="45">
        <v>9</v>
      </c>
      <c r="F227" s="30">
        <f t="shared" si="294"/>
      </c>
      <c r="G227" s="45">
        <v>2548.2</v>
      </c>
      <c r="H227" s="49">
        <f t="shared" si="256"/>
      </c>
      <c r="I227" s="33">
        <f t="shared" si="47"/>
      </c>
      <c r="J227" s="34">
        <f t="shared" si="9"/>
      </c>
      <c r="K227" s="35">
        <f t="shared" si="123"/>
      </c>
      <c r="L227" s="79">
        <f t="shared" si="85"/>
      </c>
      <c r="M227" s="54">
        <f t="shared" si="218"/>
      </c>
      <c r="N227" s="55">
        <f t="shared" si="161"/>
      </c>
      <c r="O227" s="55">
        <f t="shared" si="180"/>
      </c>
      <c r="P227" s="55">
        <f t="shared" si="313"/>
      </c>
      <c r="Q227" s="55">
        <f t="shared" si="275"/>
      </c>
      <c r="R227" s="54">
        <f t="shared" si="66"/>
      </c>
      <c r="S227" s="56">
        <f t="shared" si="28"/>
      </c>
      <c r="T227" s="55">
        <f t="shared" si="142"/>
      </c>
      <c r="U227" s="55">
        <f t="shared" si="104"/>
      </c>
      <c r="V227" s="55">
        <f t="shared" si="237"/>
      </c>
      <c r="W227" s="55">
        <f t="shared" si="199"/>
      </c>
      <c r="X227" s="38" t="s">
        <v>52</v>
      </c>
      <c r="Y227" s="39" t="s">
        <v>54</v>
      </c>
      <c r="Z227" s="41">
        <v>79436</v>
      </c>
      <c r="AA227" s="41">
        <v>10845</v>
      </c>
      <c r="AB227" s="41">
        <v>178926</v>
      </c>
      <c r="AC227" s="41">
        <v>514</v>
      </c>
      <c r="AD227" s="41">
        <v>9</v>
      </c>
      <c r="AE227" s="41">
        <v>12027</v>
      </c>
      <c r="AF227" s="41">
        <v>168</v>
      </c>
      <c r="AG227" s="41">
        <v>32</v>
      </c>
      <c r="AH227" s="41">
        <v>12</v>
      </c>
      <c r="AI227" s="42">
        <v>1</v>
      </c>
      <c r="AJ227" s="24"/>
      <c r="AK227" s="24"/>
      <c r="AL227" s="24"/>
    </row>
    <row r="228">
      <c r="A228" s="25"/>
      <c r="B228" s="72" t="s">
        <v>36</v>
      </c>
      <c r="C228" s="38" t="s">
        <v>51</v>
      </c>
      <c r="D228" s="85">
        <v>3095.942</v>
      </c>
      <c r="E228" s="45">
        <v>5</v>
      </c>
      <c r="F228" s="47">
        <f t="shared" si="294"/>
      </c>
      <c r="G228" s="45">
        <v>2228.4000000000015</v>
      </c>
      <c r="H228" s="49">
        <f t="shared" si="256"/>
      </c>
      <c r="I228" s="50">
        <f t="shared" si="47"/>
      </c>
      <c r="J228" s="51">
        <f t="shared" si="9"/>
      </c>
      <c r="K228" s="52">
        <f t="shared" si="123"/>
      </c>
      <c r="L228" s="53">
        <f t="shared" si="85"/>
      </c>
      <c r="M228" s="54">
        <f t="shared" si="218"/>
      </c>
      <c r="N228" s="55">
        <f t="shared" si="161"/>
      </c>
      <c r="O228" s="55">
        <f t="shared" si="180"/>
      </c>
      <c r="P228" s="55">
        <f t="shared" si="313"/>
      </c>
      <c r="Q228" s="55">
        <f t="shared" si="275"/>
      </c>
      <c r="R228" s="54">
        <f t="shared" si="66"/>
      </c>
      <c r="S228" s="56">
        <f t="shared" si="28"/>
      </c>
      <c r="T228" s="55">
        <f t="shared" si="142"/>
      </c>
      <c r="U228" s="55">
        <f t="shared" si="104"/>
      </c>
      <c r="V228" s="55">
        <f t="shared" si="237"/>
      </c>
      <c r="W228" s="55">
        <f t="shared" si="199"/>
      </c>
      <c r="X228" s="38" t="s">
        <v>52</v>
      </c>
      <c r="Y228" s="39" t="s">
        <v>54</v>
      </c>
      <c r="Z228" s="40">
        <v>75551</v>
      </c>
      <c r="AA228" s="40">
        <v>11858</v>
      </c>
      <c r="AB228" s="40">
        <v>161119</v>
      </c>
      <c r="AC228" s="40">
        <v>300</v>
      </c>
      <c r="AD228" s="40">
        <v>3</v>
      </c>
      <c r="AE228" s="40">
        <v>11009</v>
      </c>
      <c r="AF228" s="41">
        <v>172</v>
      </c>
      <c r="AG228" s="41">
        <v>19</v>
      </c>
      <c r="AH228" s="41">
        <v>8</v>
      </c>
      <c r="AI228" s="42">
        <v>0</v>
      </c>
      <c r="AJ228" s="24"/>
      <c r="AK228" s="24"/>
      <c r="AL228" s="24"/>
    </row>
    <row r="229">
      <c r="A229" s="25"/>
      <c r="B229" s="58" t="s">
        <v>44</v>
      </c>
      <c r="C229" s="58"/>
      <c r="D229" s="59">
        <f>SUM(D224:D228)</f>
      </c>
      <c r="E229" s="60">
        <f>SUM(E224:E228)</f>
      </c>
      <c r="F229" s="61">
        <f t="shared" si="294"/>
      </c>
      <c r="G229" s="62">
        <f>SUM(G224:G228)</f>
      </c>
      <c r="H229" s="63">
        <f t="shared" si="256"/>
      </c>
      <c r="I229" s="64">
        <f t="shared" si="47"/>
      </c>
      <c r="J229" s="65">
        <f t="shared" si="9"/>
      </c>
      <c r="K229" s="61">
        <f t="shared" si="123"/>
      </c>
      <c r="L229" s="66">
        <f t="shared" si="85"/>
      </c>
      <c r="M229" s="65">
        <f t="shared" si="218"/>
      </c>
      <c r="N229" s="67">
        <f t="shared" si="161"/>
      </c>
      <c r="O229" s="67">
        <f t="shared" si="180"/>
      </c>
      <c r="P229" s="68">
        <f t="shared" si="313"/>
      </c>
      <c r="Q229" s="68">
        <f t="shared" si="275"/>
      </c>
      <c r="R229" s="69">
        <f t="shared" si="66"/>
      </c>
      <c r="S229" s="70">
        <f t="shared" si="28"/>
      </c>
      <c r="T229" s="68">
        <f t="shared" si="142"/>
      </c>
      <c r="U229" s="68">
        <f t="shared" si="104"/>
      </c>
      <c r="V229" s="68">
        <f t="shared" si="237"/>
      </c>
      <c r="W229" s="68">
        <f t="shared" si="199"/>
      </c>
      <c r="X229" s="68"/>
      <c r="Y229" s="71"/>
      <c r="Z229" s="59">
        <f>SUM(Z224:Z228)</f>
      </c>
      <c r="AA229" s="59">
        <f>SUM(AA224:AA228)</f>
      </c>
      <c r="AB229" s="59">
        <f>SUM(AB224:AB228)</f>
      </c>
      <c r="AC229" s="59">
        <f>SUM(AC224:AC228)</f>
      </c>
      <c r="AD229" s="59">
        <f>SUM(AD224:AD228)</f>
      </c>
      <c r="AE229" s="59">
        <f>SUM(AE224:AE228)</f>
      </c>
      <c r="AF229" s="59">
        <f>SUM(AF224:AF228)</f>
      </c>
      <c r="AG229" s="59">
        <f>SUM(AG224:AG228)</f>
      </c>
      <c r="AH229" s="59">
        <f>SUM(AH224:AH228)</f>
      </c>
      <c r="AI229" s="59">
        <f>SUM(AI224:AI228)</f>
      </c>
      <c r="AJ229" s="24"/>
      <c r="AK229" s="24"/>
      <c r="AL229" s="24"/>
    </row>
    <row r="230">
      <c r="A230" s="25"/>
      <c r="B230" s="72" t="s">
        <v>64</v>
      </c>
      <c r="C230" s="78" t="s">
        <v>53</v>
      </c>
      <c r="D230" s="84">
        <v>2120.867</v>
      </c>
      <c r="E230" s="45">
        <v>6</v>
      </c>
      <c r="F230" s="30">
        <f t="shared" si="294"/>
      </c>
      <c r="G230" s="45">
        <v>3646.800000000003</v>
      </c>
      <c r="H230" s="49">
        <f t="shared" si="256"/>
      </c>
      <c r="I230" s="33">
        <f t="shared" si="47"/>
      </c>
      <c r="J230" s="34">
        <f t="shared" si="9"/>
      </c>
      <c r="K230" s="35">
        <f t="shared" si="123"/>
      </c>
      <c r="L230" s="79">
        <f t="shared" si="85"/>
      </c>
      <c r="M230" s="54">
        <f t="shared" si="218"/>
      </c>
      <c r="N230" s="55">
        <f t="shared" si="161"/>
      </c>
      <c r="O230" s="55">
        <f t="shared" si="180"/>
      </c>
      <c r="P230" s="55">
        <f t="shared" si="313"/>
      </c>
      <c r="Q230" s="55">
        <f t="shared" si="275"/>
      </c>
      <c r="R230" s="54">
        <f t="shared" si="66"/>
      </c>
      <c r="S230" s="56">
        <f t="shared" si="28"/>
      </c>
      <c r="T230" s="55">
        <f t="shared" si="142"/>
      </c>
      <c r="U230" s="55">
        <f t="shared" si="104"/>
      </c>
      <c r="V230" s="55">
        <f t="shared" si="237"/>
      </c>
      <c r="W230" s="55">
        <f t="shared" si="199"/>
      </c>
      <c r="X230" s="38" t="s">
        <v>52</v>
      </c>
      <c r="Y230" s="39" t="s">
        <v>39</v>
      </c>
      <c r="Z230" s="41">
        <v>52577</v>
      </c>
      <c r="AA230" s="41">
        <v>9583</v>
      </c>
      <c r="AB230" s="41">
        <v>112244</v>
      </c>
      <c r="AC230" s="41">
        <v>218</v>
      </c>
      <c r="AD230" s="41">
        <v>5</v>
      </c>
      <c r="AE230" s="41">
        <v>8858</v>
      </c>
      <c r="AF230" s="41">
        <v>156</v>
      </c>
      <c r="AG230" s="41">
        <v>14</v>
      </c>
      <c r="AH230" s="41">
        <v>3</v>
      </c>
      <c r="AI230" s="42">
        <v>2</v>
      </c>
      <c r="AJ230" s="24"/>
      <c r="AK230" s="24"/>
      <c r="AL230" s="24"/>
    </row>
    <row r="231">
      <c r="A231" s="25"/>
      <c r="B231" s="72" t="s">
        <v>64</v>
      </c>
      <c r="C231" s="78" t="s">
        <v>55</v>
      </c>
      <c r="D231" s="85">
        <v>2245.842</v>
      </c>
      <c r="E231" s="45">
        <v>4</v>
      </c>
      <c r="F231" s="30">
        <f t="shared" si="294"/>
      </c>
      <c r="G231" s="45">
        <v>880</v>
      </c>
      <c r="H231" s="49">
        <f t="shared" si="256"/>
      </c>
      <c r="I231" s="33">
        <f t="shared" si="47"/>
      </c>
      <c r="J231" s="34">
        <f t="shared" si="9"/>
      </c>
      <c r="K231" s="35">
        <f t="shared" si="123"/>
      </c>
      <c r="L231" s="79">
        <f t="shared" si="85"/>
      </c>
      <c r="M231" s="54">
        <f t="shared" si="218"/>
      </c>
      <c r="N231" s="55">
        <f t="shared" si="161"/>
      </c>
      <c r="O231" s="55">
        <f t="shared" si="180"/>
      </c>
      <c r="P231" s="55">
        <f t="shared" si="313"/>
      </c>
      <c r="Q231" s="55">
        <f t="shared" si="275"/>
      </c>
      <c r="R231" s="54">
        <f t="shared" si="66"/>
      </c>
      <c r="S231" s="56">
        <f t="shared" si="28"/>
      </c>
      <c r="T231" s="55">
        <f t="shared" si="142"/>
      </c>
      <c r="U231" s="55">
        <f t="shared" si="104"/>
      </c>
      <c r="V231" s="55">
        <f t="shared" si="237"/>
      </c>
      <c r="W231" s="55">
        <f t="shared" si="199"/>
      </c>
      <c r="X231" s="38" t="s">
        <v>52</v>
      </c>
      <c r="Y231" s="39" t="s">
        <v>39</v>
      </c>
      <c r="Z231" s="41">
        <v>51783</v>
      </c>
      <c r="AA231" s="41">
        <v>10798</v>
      </c>
      <c r="AB231" s="41">
        <v>114498</v>
      </c>
      <c r="AC231" s="41">
        <v>171</v>
      </c>
      <c r="AD231" s="41">
        <v>4</v>
      </c>
      <c r="AE231" s="41">
        <v>10081</v>
      </c>
      <c r="AF231" s="41">
        <v>142</v>
      </c>
      <c r="AG231" s="41">
        <v>10</v>
      </c>
      <c r="AH231" s="41">
        <v>2</v>
      </c>
      <c r="AI231" s="42">
        <v>0</v>
      </c>
      <c r="AJ231" s="24"/>
      <c r="AK231" s="24"/>
      <c r="AL231" s="24"/>
    </row>
    <row r="232">
      <c r="A232" s="25"/>
      <c r="B232" s="72" t="s">
        <v>64</v>
      </c>
      <c r="C232" s="78" t="s">
        <v>56</v>
      </c>
      <c r="D232" s="85">
        <v>1520.189</v>
      </c>
      <c r="E232" s="45">
        <v>2</v>
      </c>
      <c r="F232" s="30">
        <f t="shared" si="294"/>
      </c>
      <c r="G232" s="45">
        <v>413.1999999999971</v>
      </c>
      <c r="H232" s="49">
        <f t="shared" si="256"/>
      </c>
      <c r="I232" s="33">
        <f t="shared" si="47"/>
      </c>
      <c r="J232" s="34">
        <f t="shared" si="9"/>
      </c>
      <c r="K232" s="35">
        <f t="shared" si="123"/>
      </c>
      <c r="L232" s="79">
        <f t="shared" si="85"/>
      </c>
      <c r="M232" s="54">
        <f t="shared" si="218"/>
      </c>
      <c r="N232" s="55">
        <f t="shared" si="161"/>
      </c>
      <c r="O232" s="55">
        <f t="shared" si="180"/>
      </c>
      <c r="P232" s="55">
        <f t="shared" si="313"/>
      </c>
      <c r="Q232" s="55">
        <f t="shared" si="275"/>
      </c>
      <c r="R232" s="54">
        <f t="shared" si="66"/>
      </c>
      <c r="S232" s="56">
        <f t="shared" si="28"/>
      </c>
      <c r="T232" s="55">
        <f t="shared" si="142"/>
      </c>
      <c r="U232" s="55">
        <f t="shared" si="104"/>
      </c>
      <c r="V232" s="55">
        <f t="shared" si="237"/>
      </c>
      <c r="W232" s="55">
        <f t="shared" si="199"/>
      </c>
      <c r="X232" s="38" t="s">
        <v>52</v>
      </c>
      <c r="Y232" s="39" t="s">
        <v>39</v>
      </c>
      <c r="Z232" s="41">
        <v>38280</v>
      </c>
      <c r="AA232" s="41">
        <v>6629</v>
      </c>
      <c r="AB232" s="41">
        <v>76208</v>
      </c>
      <c r="AC232" s="41">
        <v>108</v>
      </c>
      <c r="AD232" s="41">
        <v>2</v>
      </c>
      <c r="AE232" s="41">
        <v>5697</v>
      </c>
      <c r="AF232" s="41">
        <v>121</v>
      </c>
      <c r="AG232" s="41">
        <v>6</v>
      </c>
      <c r="AH232" s="41">
        <v>4</v>
      </c>
      <c r="AI232" s="42">
        <v>1</v>
      </c>
      <c r="AJ232" s="24"/>
      <c r="AK232" s="24"/>
      <c r="AL232" s="24"/>
    </row>
    <row r="233">
      <c r="A233" s="25"/>
      <c r="B233" s="72" t="s">
        <v>64</v>
      </c>
      <c r="C233" s="78" t="s">
        <v>58</v>
      </c>
      <c r="D233" s="85">
        <v>1706.781</v>
      </c>
      <c r="E233" s="45">
        <v>12</v>
      </c>
      <c r="F233" s="30">
        <f t="shared" si="294"/>
      </c>
      <c r="G233" s="45">
        <v>4953.5</v>
      </c>
      <c r="H233" s="49">
        <f t="shared" si="256"/>
      </c>
      <c r="I233" s="33">
        <f t="shared" si="47"/>
      </c>
      <c r="J233" s="34">
        <f t="shared" si="9"/>
      </c>
      <c r="K233" s="35">
        <f t="shared" si="123"/>
      </c>
      <c r="L233" s="79">
        <f t="shared" si="85"/>
      </c>
      <c r="M233" s="54">
        <f t="shared" si="218"/>
      </c>
      <c r="N233" s="55">
        <f t="shared" si="161"/>
      </c>
      <c r="O233" s="55">
        <f t="shared" si="180"/>
      </c>
      <c r="P233" s="55">
        <f t="shared" si="313"/>
      </c>
      <c r="Q233" s="55">
        <f t="shared" si="275"/>
      </c>
      <c r="R233" s="54">
        <f t="shared" si="66"/>
      </c>
      <c r="S233" s="56">
        <f t="shared" si="28"/>
      </c>
      <c r="T233" s="55">
        <f t="shared" si="142"/>
      </c>
      <c r="U233" s="55">
        <f t="shared" si="104"/>
      </c>
      <c r="V233" s="55">
        <f t="shared" si="237"/>
      </c>
      <c r="W233" s="55">
        <f t="shared" si="199"/>
      </c>
      <c r="X233" s="38" t="s">
        <v>52</v>
      </c>
      <c r="Y233" s="39" t="s">
        <v>39</v>
      </c>
      <c r="Z233" s="41">
        <v>44695</v>
      </c>
      <c r="AA233" s="41">
        <v>5674</v>
      </c>
      <c r="AB233" s="41">
        <v>95725</v>
      </c>
      <c r="AC233" s="41">
        <v>165</v>
      </c>
      <c r="AD233" s="41">
        <v>7</v>
      </c>
      <c r="AE233" s="41">
        <v>5769</v>
      </c>
      <c r="AF233" s="41">
        <v>95</v>
      </c>
      <c r="AG233" s="41">
        <v>13</v>
      </c>
      <c r="AH233" s="41">
        <v>6</v>
      </c>
      <c r="AI233" s="42">
        <v>3</v>
      </c>
      <c r="AJ233" s="24"/>
      <c r="AK233" s="24"/>
      <c r="AL233" s="24"/>
    </row>
    <row r="234">
      <c r="A234" s="25"/>
      <c r="B234" s="58" t="s">
        <v>44</v>
      </c>
      <c r="C234" s="58"/>
      <c r="D234" s="59">
        <f>SUM(D230:D233)</f>
      </c>
      <c r="E234" s="60">
        <f>SUM(E230:E233)</f>
      </c>
      <c r="F234" s="70">
        <f t="shared" si="294"/>
      </c>
      <c r="G234" s="80">
        <f>SUM(G230:G233)</f>
      </c>
      <c r="H234" s="81">
        <f t="shared" si="256"/>
      </c>
      <c r="I234" s="82">
        <f t="shared" si="47"/>
      </c>
      <c r="J234" s="69">
        <f t="shared" si="9"/>
      </c>
      <c r="K234" s="70">
        <f t="shared" si="123"/>
      </c>
      <c r="L234" s="83">
        <f t="shared" si="85"/>
      </c>
      <c r="M234" s="69">
        <f t="shared" si="218"/>
      </c>
      <c r="N234" s="68">
        <f t="shared" si="161"/>
      </c>
      <c r="O234" s="68">
        <f t="shared" si="180"/>
      </c>
      <c r="P234" s="68">
        <f t="shared" si="313"/>
      </c>
      <c r="Q234" s="68">
        <f t="shared" si="275"/>
      </c>
      <c r="R234" s="69">
        <f t="shared" si="66"/>
      </c>
      <c r="S234" s="70">
        <f t="shared" si="28"/>
      </c>
      <c r="T234" s="68">
        <f t="shared" si="142"/>
      </c>
      <c r="U234" s="68">
        <f t="shared" si="104"/>
      </c>
      <c r="V234" s="68">
        <f t="shared" si="237"/>
      </c>
      <c r="W234" s="68">
        <f t="shared" si="199"/>
      </c>
      <c r="X234" s="68"/>
      <c r="Y234" s="71"/>
      <c r="Z234" s="59">
        <f>SUM(Z230:Z233)</f>
      </c>
      <c r="AA234" s="59">
        <f>SUM(AA230:AA233)</f>
      </c>
      <c r="AB234" s="59">
        <f>SUM(AB230:AB233)</f>
      </c>
      <c r="AC234" s="59">
        <f>SUM(AC230:AC233)</f>
      </c>
      <c r="AD234" s="59">
        <f>SUM(AD230:AD233)</f>
      </c>
      <c r="AE234" s="59">
        <f>SUM(AE230:AE233)</f>
      </c>
      <c r="AF234" s="59">
        <f>SUM(AF230:AF233)</f>
      </c>
      <c r="AG234" s="59">
        <f>SUM(AG230:AG233)</f>
      </c>
      <c r="AH234" s="59">
        <f>SUM(AH230:AH233)</f>
      </c>
      <c r="AI234" s="59">
        <f>SUM(AI230:AI233)</f>
      </c>
      <c r="AJ234" s="24"/>
      <c r="AK234" s="24"/>
      <c r="AL234" s="24"/>
    </row>
    <row r="235">
      <c r="A235" s="25"/>
      <c r="B235" s="72" t="s">
        <v>45</v>
      </c>
      <c r="C235" s="78" t="s">
        <v>59</v>
      </c>
      <c r="D235" s="85">
        <v>2937.728</v>
      </c>
      <c r="E235" s="45">
        <v>5</v>
      </c>
      <c r="F235" s="30">
        <f t="shared" si="294"/>
      </c>
      <c r="G235" s="45">
        <v>2301.600000000006</v>
      </c>
      <c r="H235" s="49">
        <f t="shared" si="256"/>
      </c>
      <c r="I235" s="33">
        <f t="shared" si="47"/>
      </c>
      <c r="J235" s="34">
        <f t="shared" si="9"/>
      </c>
      <c r="K235" s="35">
        <f t="shared" si="123"/>
      </c>
      <c r="L235" s="79">
        <f t="shared" si="85"/>
      </c>
      <c r="M235" s="54">
        <f t="shared" si="218"/>
      </c>
      <c r="N235" s="55">
        <f t="shared" si="161"/>
      </c>
      <c r="O235" s="55">
        <f t="shared" si="180"/>
      </c>
      <c r="P235" s="55">
        <f t="shared" si="313"/>
      </c>
      <c r="Q235" s="55">
        <f t="shared" si="275"/>
      </c>
      <c r="R235" s="54">
        <f t="shared" si="66"/>
      </c>
      <c r="S235" s="56">
        <f t="shared" si="28"/>
      </c>
      <c r="T235" s="55">
        <f t="shared" si="142"/>
      </c>
      <c r="U235" s="55">
        <f t="shared" si="104"/>
      </c>
      <c r="V235" s="55">
        <f t="shared" si="237"/>
      </c>
      <c r="W235" s="55">
        <f t="shared" si="199"/>
      </c>
      <c r="X235" s="38" t="s">
        <v>52</v>
      </c>
      <c r="Y235" s="39" t="s">
        <v>39</v>
      </c>
      <c r="Z235" s="41">
        <v>80518</v>
      </c>
      <c r="AA235" s="41">
        <v>10165</v>
      </c>
      <c r="AB235" s="41">
        <v>186702</v>
      </c>
      <c r="AC235" s="41">
        <v>466</v>
      </c>
      <c r="AD235" s="41">
        <v>4</v>
      </c>
      <c r="AE235" s="41">
        <v>9413</v>
      </c>
      <c r="AF235" s="41">
        <v>159</v>
      </c>
      <c r="AG235" s="41">
        <v>22</v>
      </c>
      <c r="AH235" s="41">
        <v>7</v>
      </c>
      <c r="AI235" s="42">
        <v>1</v>
      </c>
      <c r="AJ235" s="24"/>
      <c r="AK235" s="24"/>
      <c r="AL235" s="24"/>
    </row>
    <row r="236">
      <c r="A236" s="25"/>
      <c r="B236" s="72" t="s">
        <v>45</v>
      </c>
      <c r="C236" s="78" t="s">
        <v>60</v>
      </c>
      <c r="D236" s="85">
        <v>4421.356</v>
      </c>
      <c r="E236" s="45">
        <v>9</v>
      </c>
      <c r="F236" s="30">
        <f t="shared" si="294"/>
      </c>
      <c r="G236" s="45">
        <v>3809.199999999997</v>
      </c>
      <c r="H236" s="49">
        <f t="shared" si="256"/>
      </c>
      <c r="I236" s="33">
        <f t="shared" si="47"/>
      </c>
      <c r="J236" s="34">
        <f t="shared" si="9"/>
      </c>
      <c r="K236" s="35">
        <f t="shared" si="123"/>
      </c>
      <c r="L236" s="79">
        <f t="shared" si="85"/>
      </c>
      <c r="M236" s="54">
        <f t="shared" si="218"/>
      </c>
      <c r="N236" s="55">
        <f t="shared" si="161"/>
      </c>
      <c r="O236" s="55">
        <f t="shared" si="180"/>
      </c>
      <c r="P236" s="55">
        <f t="shared" si="313"/>
      </c>
      <c r="Q236" s="55">
        <f t="shared" si="275"/>
      </c>
      <c r="R236" s="54">
        <f t="shared" si="66"/>
      </c>
      <c r="S236" s="56">
        <f t="shared" si="28"/>
      </c>
      <c r="T236" s="55">
        <f t="shared" si="142"/>
      </c>
      <c r="U236" s="55">
        <f t="shared" si="104"/>
      </c>
      <c r="V236" s="55">
        <f t="shared" si="237"/>
      </c>
      <c r="W236" s="55">
        <f t="shared" si="199"/>
      </c>
      <c r="X236" s="38" t="s">
        <v>52</v>
      </c>
      <c r="Y236" s="39" t="s">
        <v>39</v>
      </c>
      <c r="Z236" s="41">
        <v>144847</v>
      </c>
      <c r="AA236" s="41">
        <v>18400</v>
      </c>
      <c r="AB236" s="41">
        <v>290972</v>
      </c>
      <c r="AC236" s="41">
        <v>650</v>
      </c>
      <c r="AD236" s="41">
        <v>8</v>
      </c>
      <c r="AE236" s="41">
        <v>15901</v>
      </c>
      <c r="AF236" s="41">
        <v>288</v>
      </c>
      <c r="AG236" s="41">
        <v>51</v>
      </c>
      <c r="AH236" s="41">
        <v>17</v>
      </c>
      <c r="AI236" s="42">
        <v>1</v>
      </c>
      <c r="AJ236" s="24"/>
      <c r="AK236" s="24"/>
      <c r="AL236" s="24"/>
    </row>
    <row r="237">
      <c r="A237" s="25"/>
      <c r="B237" s="72" t="s">
        <v>45</v>
      </c>
      <c r="C237" s="78" t="s">
        <v>61</v>
      </c>
      <c r="D237" s="85">
        <v>2084.206</v>
      </c>
      <c r="E237" s="45">
        <v>13</v>
      </c>
      <c r="F237" s="30">
        <f t="shared" si="294"/>
      </c>
      <c r="G237" s="45">
        <v>4714.800000000003</v>
      </c>
      <c r="H237" s="49">
        <f t="shared" si="256"/>
      </c>
      <c r="I237" s="33">
        <f t="shared" si="47"/>
      </c>
      <c r="J237" s="34">
        <f t="shared" si="9"/>
      </c>
      <c r="K237" s="35">
        <f t="shared" si="123"/>
      </c>
      <c r="L237" s="79">
        <f t="shared" si="85"/>
      </c>
      <c r="M237" s="54">
        <f t="shared" si="218"/>
      </c>
      <c r="N237" s="55">
        <f t="shared" si="161"/>
      </c>
      <c r="O237" s="55">
        <f t="shared" si="180"/>
      </c>
      <c r="P237" s="55">
        <f t="shared" si="313"/>
      </c>
      <c r="Q237" s="55">
        <f t="shared" si="275"/>
      </c>
      <c r="R237" s="54">
        <f t="shared" si="66"/>
      </c>
      <c r="S237" s="56">
        <f t="shared" si="28"/>
      </c>
      <c r="T237" s="55">
        <f t="shared" si="142"/>
      </c>
      <c r="U237" s="55">
        <f t="shared" si="104"/>
      </c>
      <c r="V237" s="55">
        <f t="shared" si="237"/>
      </c>
      <c r="W237" s="55">
        <f t="shared" si="199"/>
      </c>
      <c r="X237" s="38" t="s">
        <v>52</v>
      </c>
      <c r="Y237" s="39" t="s">
        <v>39</v>
      </c>
      <c r="Z237" s="41">
        <v>76519</v>
      </c>
      <c r="AA237" s="41">
        <v>9747</v>
      </c>
      <c r="AB237" s="41">
        <v>127397</v>
      </c>
      <c r="AC237" s="41">
        <v>276</v>
      </c>
      <c r="AD237" s="41">
        <v>11</v>
      </c>
      <c r="AE237" s="41">
        <v>8213</v>
      </c>
      <c r="AF237" s="41">
        <v>204</v>
      </c>
      <c r="AG237" s="41">
        <v>38</v>
      </c>
      <c r="AH237" s="41">
        <v>15</v>
      </c>
      <c r="AI237" s="42">
        <v>2</v>
      </c>
      <c r="AJ237" s="24"/>
      <c r="AK237" s="24"/>
      <c r="AL237" s="24"/>
    </row>
    <row r="238">
      <c r="A238" s="25"/>
      <c r="B238" s="72" t="s">
        <v>45</v>
      </c>
      <c r="C238" s="78" t="s">
        <v>62</v>
      </c>
      <c r="D238" s="85">
        <v>1126.011</v>
      </c>
      <c r="E238" s="45">
        <v>2</v>
      </c>
      <c r="F238" s="47">
        <f t="shared" si="294"/>
      </c>
      <c r="G238" s="45">
        <v>421.1999999999971</v>
      </c>
      <c r="H238" s="49">
        <f t="shared" si="256"/>
      </c>
      <c r="I238" s="50">
        <f t="shared" si="47"/>
      </c>
      <c r="J238" s="51">
        <f t="shared" si="9"/>
      </c>
      <c r="K238" s="52">
        <f t="shared" si="123"/>
      </c>
      <c r="L238" s="53">
        <f t="shared" si="85"/>
      </c>
      <c r="M238" s="54">
        <f t="shared" si="218"/>
      </c>
      <c r="N238" s="55">
        <f t="shared" si="161"/>
      </c>
      <c r="O238" s="55">
        <f t="shared" si="180"/>
      </c>
      <c r="P238" s="55">
        <f t="shared" si="313"/>
      </c>
      <c r="Q238" s="55">
        <f t="shared" si="275"/>
      </c>
      <c r="R238" s="54">
        <f t="shared" si="66"/>
      </c>
      <c r="S238" s="56">
        <f t="shared" si="28"/>
      </c>
      <c r="T238" s="55">
        <f t="shared" si="142"/>
      </c>
      <c r="U238" s="55">
        <f t="shared" si="104"/>
      </c>
      <c r="V238" s="55">
        <f t="shared" si="237"/>
      </c>
      <c r="W238" s="55">
        <f t="shared" si="199"/>
      </c>
      <c r="X238" s="38" t="s">
        <v>52</v>
      </c>
      <c r="Y238" s="39" t="s">
        <v>39</v>
      </c>
      <c r="Z238" s="40">
        <v>51164</v>
      </c>
      <c r="AA238" s="40">
        <v>5357</v>
      </c>
      <c r="AB238" s="40">
        <v>68316</v>
      </c>
      <c r="AC238" s="40">
        <v>98</v>
      </c>
      <c r="AD238" s="40">
        <v>2</v>
      </c>
      <c r="AE238" s="40">
        <v>4246</v>
      </c>
      <c r="AF238" s="41">
        <v>69</v>
      </c>
      <c r="AG238" s="41">
        <v>17</v>
      </c>
      <c r="AH238" s="41">
        <v>2</v>
      </c>
      <c r="AI238" s="42">
        <v>1</v>
      </c>
      <c r="AJ238" s="24"/>
      <c r="AK238" s="24"/>
      <c r="AL238" s="24"/>
    </row>
    <row r="239">
      <c r="A239" s="25"/>
      <c r="B239" s="58" t="s">
        <v>44</v>
      </c>
      <c r="C239" s="58"/>
      <c r="D239" s="59">
        <f>SUM(D235:D238)</f>
      </c>
      <c r="E239" s="60">
        <f>SUM(E235:E238)</f>
      </c>
      <c r="F239" s="61">
        <f t="shared" si="294"/>
      </c>
      <c r="G239" s="62">
        <f>SUM(G235:G238)</f>
      </c>
      <c r="H239" s="63">
        <f t="shared" si="256"/>
      </c>
      <c r="I239" s="64">
        <f t="shared" si="47"/>
      </c>
      <c r="J239" s="65">
        <f t="shared" si="9"/>
      </c>
      <c r="K239" s="61">
        <f t="shared" si="123"/>
      </c>
      <c r="L239" s="66">
        <f t="shared" si="85"/>
      </c>
      <c r="M239" s="65">
        <f t="shared" si="218"/>
      </c>
      <c r="N239" s="67">
        <f t="shared" si="161"/>
      </c>
      <c r="O239" s="67">
        <f t="shared" si="180"/>
      </c>
      <c r="P239" s="68">
        <f t="shared" si="313"/>
      </c>
      <c r="Q239" s="68">
        <f t="shared" si="275"/>
      </c>
      <c r="R239" s="69">
        <f t="shared" si="66"/>
      </c>
      <c r="S239" s="70">
        <f t="shared" si="28"/>
      </c>
      <c r="T239" s="68">
        <f t="shared" si="142"/>
      </c>
      <c r="U239" s="68">
        <f t="shared" si="104"/>
      </c>
      <c r="V239" s="68">
        <f t="shared" si="237"/>
      </c>
      <c r="W239" s="68">
        <f t="shared" si="199"/>
      </c>
      <c r="X239" s="68"/>
      <c r="Y239" s="71"/>
      <c r="Z239" s="59">
        <f>SUM(Z235:Z238)</f>
      </c>
      <c r="AA239" s="59">
        <f>SUM(AA235:AA238)</f>
      </c>
      <c r="AB239" s="59">
        <f>SUM(AB235:AB238)</f>
      </c>
      <c r="AC239" s="59">
        <f>SUM(AC235:AC238)</f>
      </c>
      <c r="AD239" s="59">
        <f>SUM(AD235:AD238)</f>
      </c>
      <c r="AE239" s="59">
        <f>SUM(AE235:AE238)</f>
      </c>
      <c r="AF239" s="59">
        <f>SUM(AF235:AF238)</f>
      </c>
      <c r="AG239" s="59">
        <f>SUM(AG235:AG238)</f>
      </c>
      <c r="AH239" s="59">
        <f>SUM(AH235:AH238)</f>
      </c>
      <c r="AI239" s="59">
        <f>SUM(AI235:AI238)</f>
      </c>
      <c r="AJ239" s="24"/>
      <c r="AK239" s="24"/>
      <c r="AL239" s="24"/>
    </row>
    <row r="240">
      <c r="A240" s="25"/>
      <c r="B240" s="89" t="s">
        <v>63</v>
      </c>
      <c r="C240" s="89"/>
      <c r="D240" s="90">
        <f>SUM(D239+D223+D229+D234)</f>
      </c>
      <c r="E240" s="91">
        <f>SUM(E239+E223+E229+E234)</f>
      </c>
      <c r="F240" s="92">
        <f t="shared" si="294"/>
      </c>
      <c r="G240" s="93">
        <f>SUM(G239+G223+G229+G234)</f>
      </c>
      <c r="H240" s="94">
        <f t="shared" si="256"/>
      </c>
      <c r="I240" s="95">
        <f t="shared" si="47"/>
      </c>
      <c r="J240" s="96">
        <f t="shared" si="9"/>
      </c>
      <c r="K240" s="92">
        <f t="shared" si="123"/>
      </c>
      <c r="L240" s="97">
        <f t="shared" si="85"/>
      </c>
      <c r="M240" s="97">
        <f t="shared" si="218"/>
      </c>
      <c r="N240" s="98">
        <f t="shared" si="161"/>
      </c>
      <c r="O240" s="98">
        <f t="shared" si="180"/>
      </c>
      <c r="P240" s="98">
        <f t="shared" si="313"/>
      </c>
      <c r="Q240" s="98">
        <f t="shared" si="275"/>
      </c>
      <c r="R240" s="99">
        <f t="shared" si="66"/>
      </c>
      <c r="S240" s="100">
        <f t="shared" si="28"/>
      </c>
      <c r="T240" s="101">
        <f t="shared" si="142"/>
      </c>
      <c r="U240" s="101">
        <f t="shared" si="104"/>
      </c>
      <c r="V240" s="101">
        <f t="shared" si="237"/>
      </c>
      <c r="W240" s="101">
        <f t="shared" si="199"/>
      </c>
      <c r="X240" s="101"/>
      <c r="Y240" s="102"/>
      <c r="Z240" s="103">
        <f>SUM(Z223+Z239+Z229+Z234)</f>
      </c>
      <c r="AA240" s="103">
        <f>SUM(AA223+AA239+AA229+AA234)</f>
      </c>
      <c r="AB240" s="103">
        <f>SUM(AB223+AB239+AB229+AB234)</f>
      </c>
      <c r="AC240" s="103">
        <f>SUM(AC223+AC239+AC229+AC234)</f>
      </c>
      <c r="AD240" s="103">
        <f>SUM(AD223+AD239+AD229+AD234)</f>
      </c>
      <c r="AE240" s="103">
        <f>SUM(AE223+AE239+AE229+AE234)</f>
      </c>
      <c r="AF240" s="103">
        <f>SUM(AF223+AF239+AF229+AF234)</f>
      </c>
      <c r="AG240" s="103">
        <f>SUM(AG223+AG239+AG229+AG234)</f>
      </c>
      <c r="AH240" s="103">
        <f>SUM(AH223+AH239+AH229+AH234)</f>
      </c>
      <c r="AI240" s="103">
        <f>SUM(AI223+AI239+AI229+AI234)</f>
      </c>
      <c r="AJ240" s="24"/>
      <c r="AK240" s="24"/>
      <c r="AL240" s="24"/>
    </row>
    <row r="241">
      <c r="A241" s="1" t="s">
        <v>1</v>
      </c>
      <c r="B241" s="2" t="s">
        <v>2</v>
      </c>
      <c r="C241" s="3" t="s">
        <v>3</v>
      </c>
      <c r="D241" s="4" t="s">
        <v>4</v>
      </c>
      <c r="E241" s="5" t="s">
        <v>5</v>
      </c>
      <c r="F241" s="6" t="s">
        <v>6</v>
      </c>
      <c r="G241" s="7" t="s">
        <v>7</v>
      </c>
      <c r="H241" s="8" t="s">
        <v>8</v>
      </c>
      <c r="I241" s="9" t="s">
        <v>9</v>
      </c>
      <c r="J241" s="10" t="s">
        <v>10</v>
      </c>
      <c r="K241" s="11" t="s">
        <v>11</v>
      </c>
      <c r="L241" s="12" t="s">
        <v>12</v>
      </c>
      <c r="M241" s="12" t="s">
        <v>13</v>
      </c>
      <c r="N241" s="13" t="s">
        <v>14</v>
      </c>
      <c r="O241" s="13" t="s">
        <v>15</v>
      </c>
      <c r="P241" s="13" t="s">
        <v>16</v>
      </c>
      <c r="Q241" s="13" t="s">
        <v>17</v>
      </c>
      <c r="R241" s="14" t="s">
        <v>18</v>
      </c>
      <c r="S241" s="15" t="s">
        <v>19</v>
      </c>
      <c r="T241" s="16" t="s">
        <v>20</v>
      </c>
      <c r="U241" s="16" t="s">
        <v>21</v>
      </c>
      <c r="V241" s="16" t="s">
        <v>22</v>
      </c>
      <c r="W241" s="16" t="s">
        <v>23</v>
      </c>
      <c r="X241" s="17" t="s">
        <v>24</v>
      </c>
      <c r="Y241" s="18" t="s">
        <v>25</v>
      </c>
      <c r="Z241" s="19" t="s">
        <v>26</v>
      </c>
      <c r="AA241" s="19" t="s">
        <v>27</v>
      </c>
      <c r="AB241" s="19" t="s">
        <v>28</v>
      </c>
      <c r="AC241" s="20" t="s">
        <v>29</v>
      </c>
      <c r="AD241" s="20" t="s">
        <v>30</v>
      </c>
      <c r="AE241" s="21" t="s">
        <v>31</v>
      </c>
      <c r="AF241" s="20" t="s">
        <v>32</v>
      </c>
      <c r="AG241" s="20" t="s">
        <v>33</v>
      </c>
      <c r="AH241" s="22" t="s">
        <v>34</v>
      </c>
      <c r="AI241" s="23" t="s">
        <v>35</v>
      </c>
      <c r="AJ241" s="24"/>
      <c r="AK241" s="24"/>
      <c r="AL241" s="24"/>
    </row>
    <row r="242">
      <c r="A242" s="25">
        <v>46306</v>
      </c>
      <c r="B242" s="72" t="s">
        <v>36</v>
      </c>
      <c r="C242" s="27" t="s">
        <v>37</v>
      </c>
      <c r="D242" s="104">
        <v>250.926</v>
      </c>
      <c r="E242" s="29">
        <v>0</v>
      </c>
      <c r="F242" s="30">
        <f t="shared" ref="F242:F264" si="295">D242/E242</f>
      </c>
      <c r="G242" s="31">
        <v>0</v>
      </c>
      <c r="H242" s="49">
        <f t="shared" ref="H242:H264" si="257">AD242</f>
      </c>
      <c r="I242" s="33">
        <f t="shared" ref="I242:I264" si="48">D242/AD242</f>
      </c>
      <c r="J242" s="34">
        <f t="shared" ref="J242:J264" si="10">G242/E242</f>
      </c>
      <c r="K242" s="35">
        <f t="shared" ref="K242:K264" si="124">G242/D242</f>
      </c>
      <c r="L242" s="36">
        <f t="shared" ref="L242:L264" si="86">D242/AB242</f>
      </c>
      <c r="M242" s="34">
        <f t="shared" ref="M242:M264" si="219">D242/AC242</f>
      </c>
      <c r="N242" s="37">
        <f t="shared" ref="N242:N264" si="162">AC242/AB242</f>
      </c>
      <c r="O242" s="37">
        <f t="shared" ref="O242:O264" si="181">AD242/AC242</f>
      </c>
      <c r="P242" s="37">
        <f t="shared" ref="P242:P264" si="314">AA242/Z242</f>
      </c>
      <c r="Q242" s="37">
        <f t="shared" ref="Q242:Q264" si="276">AD242/AA242</f>
      </c>
      <c r="R242" s="34">
        <f t="shared" ref="R242:R264" si="67">D242/Z242*1000</f>
      </c>
      <c r="S242" s="35">
        <f t="shared" ref="S242:S264" si="29">D242/AA242</f>
      </c>
      <c r="T242" s="37">
        <f t="shared" ref="T242:T264" si="143">AE242/AB242</f>
      </c>
      <c r="U242" s="37">
        <f t="shared" ref="U242:U264" si="105">AF242/AB242</f>
      </c>
      <c r="V242" s="37">
        <f t="shared" ref="V242:V264" si="238">AG242/AB242</f>
      </c>
      <c r="W242" s="37">
        <f t="shared" ref="W242:W264" si="200">AH242/AB242</f>
      </c>
      <c r="X242" s="38" t="s">
        <v>52</v>
      </c>
      <c r="Y242" s="39" t="s">
        <v>54</v>
      </c>
      <c r="Z242" s="40">
        <v>8443</v>
      </c>
      <c r="AA242" s="40">
        <v>1488</v>
      </c>
      <c r="AB242" s="40">
        <v>9459</v>
      </c>
      <c r="AC242" s="40">
        <v>93</v>
      </c>
      <c r="AD242" s="41">
        <v>0</v>
      </c>
      <c r="AE242" s="40">
        <v>1034</v>
      </c>
      <c r="AF242" s="41">
        <v>48</v>
      </c>
      <c r="AG242" s="41">
        <v>3</v>
      </c>
      <c r="AH242" s="41">
        <v>0</v>
      </c>
      <c r="AI242" s="42">
        <v>0</v>
      </c>
      <c r="AJ242" s="24"/>
      <c r="AK242" s="24"/>
      <c r="AL242" s="24"/>
    </row>
    <row r="243">
      <c r="A243" s="25"/>
      <c r="B243" s="72" t="s">
        <v>36</v>
      </c>
      <c r="C243" s="27" t="s">
        <v>40</v>
      </c>
      <c r="D243" s="104">
        <v>1496.293</v>
      </c>
      <c r="E243" s="29">
        <v>5</v>
      </c>
      <c r="F243" s="30">
        <f t="shared" si="295"/>
      </c>
      <c r="G243" s="31">
        <v>1140</v>
      </c>
      <c r="H243" s="49">
        <f t="shared" si="257"/>
      </c>
      <c r="I243" s="33">
        <f t="shared" si="48"/>
      </c>
      <c r="J243" s="34">
        <f t="shared" si="10"/>
      </c>
      <c r="K243" s="35">
        <f t="shared" si="124"/>
      </c>
      <c r="L243" s="36">
        <f t="shared" si="86"/>
      </c>
      <c r="M243" s="34">
        <f t="shared" si="219"/>
      </c>
      <c r="N243" s="37">
        <f t="shared" si="162"/>
      </c>
      <c r="O243" s="37">
        <f t="shared" si="181"/>
      </c>
      <c r="P243" s="37">
        <f t="shared" si="314"/>
      </c>
      <c r="Q243" s="37">
        <f t="shared" si="276"/>
      </c>
      <c r="R243" s="34">
        <f t="shared" si="67"/>
      </c>
      <c r="S243" s="35">
        <f t="shared" si="29"/>
      </c>
      <c r="T243" s="37">
        <f t="shared" si="143"/>
      </c>
      <c r="U243" s="37">
        <f t="shared" si="105"/>
      </c>
      <c r="V243" s="37">
        <f t="shared" si="238"/>
      </c>
      <c r="W243" s="37">
        <f t="shared" si="200"/>
      </c>
      <c r="X243" s="38" t="s">
        <v>52</v>
      </c>
      <c r="Y243" s="39" t="s">
        <v>54</v>
      </c>
      <c r="Z243" s="41">
        <v>49490</v>
      </c>
      <c r="AA243" s="40">
        <v>14383</v>
      </c>
      <c r="AB243" s="40">
        <v>74828</v>
      </c>
      <c r="AC243" s="40">
        <v>396</v>
      </c>
      <c r="AD243" s="41">
        <v>4</v>
      </c>
      <c r="AE243" s="40">
        <v>9667</v>
      </c>
      <c r="AF243" s="41">
        <v>206</v>
      </c>
      <c r="AG243" s="41">
        <v>39</v>
      </c>
      <c r="AH243" s="41">
        <v>9</v>
      </c>
      <c r="AI243" s="42">
        <v>0</v>
      </c>
      <c r="AJ243" s="24"/>
      <c r="AK243" s="24"/>
      <c r="AL243" s="24"/>
    </row>
    <row r="244">
      <c r="A244" s="25"/>
      <c r="B244" s="72" t="s">
        <v>36</v>
      </c>
      <c r="C244" s="43" t="s">
        <v>41</v>
      </c>
      <c r="D244" s="84">
        <v>3825.748</v>
      </c>
      <c r="E244" s="45">
        <v>7</v>
      </c>
      <c r="F244" s="30">
        <f t="shared" si="295"/>
      </c>
      <c r="G244" s="45">
        <v>2196</v>
      </c>
      <c r="H244" s="49">
        <f t="shared" si="257"/>
      </c>
      <c r="I244" s="33">
        <f t="shared" si="48"/>
      </c>
      <c r="J244" s="34">
        <f t="shared" si="10"/>
      </c>
      <c r="K244" s="35">
        <f t="shared" si="124"/>
      </c>
      <c r="L244" s="36">
        <f t="shared" si="86"/>
      </c>
      <c r="M244" s="34">
        <f t="shared" si="219"/>
      </c>
      <c r="N244" s="37">
        <f t="shared" si="162"/>
      </c>
      <c r="O244" s="37">
        <f t="shared" si="181"/>
      </c>
      <c r="P244" s="37">
        <f t="shared" si="314"/>
      </c>
      <c r="Q244" s="37">
        <f t="shared" si="276"/>
      </c>
      <c r="R244" s="34">
        <f t="shared" si="67"/>
      </c>
      <c r="S244" s="35">
        <f t="shared" si="29"/>
      </c>
      <c r="T244" s="37">
        <f t="shared" si="143"/>
      </c>
      <c r="U244" s="37">
        <f t="shared" si="105"/>
      </c>
      <c r="V244" s="37">
        <f t="shared" si="238"/>
      </c>
      <c r="W244" s="37">
        <f t="shared" si="200"/>
      </c>
      <c r="X244" s="38" t="s">
        <v>52</v>
      </c>
      <c r="Y244" s="39" t="s">
        <v>54</v>
      </c>
      <c r="Z244" s="41">
        <v>90519</v>
      </c>
      <c r="AA244" s="41">
        <v>25115</v>
      </c>
      <c r="AB244" s="41">
        <v>193004</v>
      </c>
      <c r="AC244" s="41">
        <v>605</v>
      </c>
      <c r="AD244" s="41">
        <v>7</v>
      </c>
      <c r="AE244" s="41">
        <v>22057</v>
      </c>
      <c r="AF244" s="41">
        <v>287</v>
      </c>
      <c r="AG244" s="41">
        <v>58</v>
      </c>
      <c r="AH244" s="41">
        <v>17</v>
      </c>
      <c r="AI244" s="42">
        <v>0</v>
      </c>
      <c r="AJ244" s="24"/>
      <c r="AK244" s="24"/>
      <c r="AL244" s="24"/>
    </row>
    <row r="245">
      <c r="A245" s="25"/>
      <c r="B245" s="72" t="s">
        <v>36</v>
      </c>
      <c r="C245" s="46" t="s">
        <v>42</v>
      </c>
      <c r="D245" s="84">
        <v>3996.466</v>
      </c>
      <c r="E245" s="45">
        <v>15</v>
      </c>
      <c r="F245" s="47">
        <f t="shared" si="295"/>
      </c>
      <c r="G245" s="45">
        <v>4431.2</v>
      </c>
      <c r="H245" s="49">
        <f t="shared" si="257"/>
      </c>
      <c r="I245" s="50">
        <f t="shared" si="48"/>
      </c>
      <c r="J245" s="51">
        <f t="shared" si="10"/>
      </c>
      <c r="K245" s="52">
        <f t="shared" si="124"/>
      </c>
      <c r="L245" s="53">
        <f t="shared" si="86"/>
      </c>
      <c r="M245" s="54">
        <f t="shared" si="219"/>
      </c>
      <c r="N245" s="55">
        <f t="shared" si="162"/>
      </c>
      <c r="O245" s="55">
        <f t="shared" si="181"/>
      </c>
      <c r="P245" s="55">
        <f t="shared" si="314"/>
      </c>
      <c r="Q245" s="55">
        <f t="shared" si="276"/>
      </c>
      <c r="R245" s="54">
        <f t="shared" si="67"/>
      </c>
      <c r="S245" s="56">
        <f t="shared" si="29"/>
      </c>
      <c r="T245" s="55">
        <f t="shared" si="143"/>
      </c>
      <c r="U245" s="55">
        <f t="shared" si="105"/>
      </c>
      <c r="V245" s="55">
        <f t="shared" si="238"/>
      </c>
      <c r="W245" s="55">
        <f t="shared" si="200"/>
      </c>
      <c r="X245" s="38" t="s">
        <v>52</v>
      </c>
      <c r="Y245" s="39" t="s">
        <v>54</v>
      </c>
      <c r="Z245" s="40">
        <v>93825</v>
      </c>
      <c r="AA245" s="40">
        <v>24951</v>
      </c>
      <c r="AB245" s="40">
        <v>207105</v>
      </c>
      <c r="AC245" s="40">
        <v>656</v>
      </c>
      <c r="AD245" s="40">
        <v>12</v>
      </c>
      <c r="AE245" s="40">
        <v>21966</v>
      </c>
      <c r="AF245" s="41">
        <v>348</v>
      </c>
      <c r="AG245" s="41">
        <v>51</v>
      </c>
      <c r="AH245" s="41">
        <v>11</v>
      </c>
      <c r="AI245" s="42">
        <v>2</v>
      </c>
      <c r="AJ245" s="24"/>
      <c r="AK245" s="24"/>
      <c r="AL245" s="24"/>
    </row>
    <row r="246">
      <c r="A246" s="25"/>
      <c r="B246" s="72" t="s">
        <v>36</v>
      </c>
      <c r="C246" s="46" t="s">
        <v>43</v>
      </c>
      <c r="D246" s="85">
        <v>4354.94</v>
      </c>
      <c r="E246" s="45">
        <v>12</v>
      </c>
      <c r="F246" s="47">
        <f t="shared" si="295"/>
      </c>
      <c r="G246" s="45">
        <v>3862</v>
      </c>
      <c r="H246" s="49">
        <f t="shared" si="257"/>
      </c>
      <c r="I246" s="50">
        <f t="shared" si="48"/>
      </c>
      <c r="J246" s="51">
        <f t="shared" si="10"/>
      </c>
      <c r="K246" s="52">
        <f t="shared" si="124"/>
      </c>
      <c r="L246" s="53">
        <f t="shared" si="86"/>
      </c>
      <c r="M246" s="54">
        <f t="shared" si="219"/>
      </c>
      <c r="N246" s="55">
        <f t="shared" si="162"/>
      </c>
      <c r="O246" s="55">
        <f t="shared" si="181"/>
      </c>
      <c r="P246" s="55">
        <f t="shared" si="314"/>
      </c>
      <c r="Q246" s="55">
        <f t="shared" si="276"/>
      </c>
      <c r="R246" s="54">
        <f t="shared" si="67"/>
      </c>
      <c r="S246" s="56">
        <f t="shared" si="29"/>
      </c>
      <c r="T246" s="55">
        <f t="shared" si="143"/>
      </c>
      <c r="U246" s="55">
        <f t="shared" si="105"/>
      </c>
      <c r="V246" s="55">
        <f t="shared" si="238"/>
      </c>
      <c r="W246" s="55">
        <f t="shared" si="200"/>
      </c>
      <c r="X246" s="38" t="s">
        <v>52</v>
      </c>
      <c r="Y246" s="39" t="s">
        <v>54</v>
      </c>
      <c r="Z246" s="40">
        <v>95487</v>
      </c>
      <c r="AA246" s="40">
        <v>19991</v>
      </c>
      <c r="AB246" s="40">
        <v>236366</v>
      </c>
      <c r="AC246" s="40">
        <v>589</v>
      </c>
      <c r="AD246" s="40">
        <v>9</v>
      </c>
      <c r="AE246" s="40">
        <v>22769</v>
      </c>
      <c r="AF246" s="41">
        <v>211</v>
      </c>
      <c r="AG246" s="41">
        <v>41</v>
      </c>
      <c r="AH246" s="41">
        <v>10</v>
      </c>
      <c r="AI246" s="42">
        <v>2</v>
      </c>
      <c r="AJ246" s="24"/>
      <c r="AK246" s="24"/>
      <c r="AL246" s="24"/>
    </row>
    <row r="247">
      <c r="A247" s="25"/>
      <c r="B247" s="58" t="s">
        <v>44</v>
      </c>
      <c r="C247" s="58"/>
      <c r="D247" s="59">
        <f>SUM(D242:D246)</f>
      </c>
      <c r="E247" s="60">
        <f>SUM(E242:E246)</f>
      </c>
      <c r="F247" s="61">
        <f t="shared" si="295"/>
      </c>
      <c r="G247" s="62">
        <f>SUM(G242:G246)</f>
      </c>
      <c r="H247" s="63">
        <f t="shared" si="257"/>
      </c>
      <c r="I247" s="64">
        <f t="shared" si="48"/>
      </c>
      <c r="J247" s="65">
        <f t="shared" si="10"/>
      </c>
      <c r="K247" s="61">
        <f t="shared" si="124"/>
      </c>
      <c r="L247" s="66">
        <f t="shared" si="86"/>
      </c>
      <c r="M247" s="65">
        <f t="shared" si="219"/>
      </c>
      <c r="N247" s="67">
        <f t="shared" si="162"/>
      </c>
      <c r="O247" s="67">
        <f t="shared" si="181"/>
      </c>
      <c r="P247" s="68">
        <f t="shared" si="314"/>
      </c>
      <c r="Q247" s="68">
        <f t="shared" si="276"/>
      </c>
      <c r="R247" s="69">
        <f t="shared" si="67"/>
      </c>
      <c r="S247" s="70">
        <f t="shared" si="29"/>
      </c>
      <c r="T247" s="68">
        <f t="shared" si="143"/>
      </c>
      <c r="U247" s="68">
        <f t="shared" si="105"/>
      </c>
      <c r="V247" s="68">
        <f t="shared" si="238"/>
      </c>
      <c r="W247" s="68">
        <f t="shared" si="200"/>
      </c>
      <c r="X247" s="68"/>
      <c r="Y247" s="71"/>
      <c r="Z247" s="59">
        <f>SUM(Z242:Z246)</f>
      </c>
      <c r="AA247" s="59">
        <f>SUM(AA242:AA246)</f>
      </c>
      <c r="AB247" s="59">
        <f>SUM(AB242:AB246)</f>
      </c>
      <c r="AC247" s="59">
        <f>SUM(AC242:AC246)</f>
      </c>
      <c r="AD247" s="59">
        <f>SUM(AD242:AD246)</f>
      </c>
      <c r="AE247" s="59">
        <f>SUM(AE242:AE246)</f>
      </c>
      <c r="AF247" s="59">
        <f>SUM(AF242:AF246)</f>
      </c>
      <c r="AG247" s="59">
        <f>SUM(AG242:AG246)</f>
      </c>
      <c r="AH247" s="59">
        <f>SUM(AH242:AH246)</f>
      </c>
      <c r="AI247" s="59">
        <f>SUM(AI242:AI246)</f>
      </c>
      <c r="AJ247" s="24"/>
      <c r="AK247" s="24"/>
      <c r="AL247" s="24"/>
    </row>
    <row r="248">
      <c r="A248" s="25"/>
      <c r="B248" s="72" t="s">
        <v>57</v>
      </c>
      <c r="C248" s="73" t="s">
        <v>46</v>
      </c>
      <c r="D248" s="105">
        <v>3246.155</v>
      </c>
      <c r="E248" s="75">
        <v>3</v>
      </c>
      <c r="F248" s="47">
        <f t="shared" si="295"/>
      </c>
      <c r="G248" s="45">
        <v>1884</v>
      </c>
      <c r="H248" s="49">
        <f t="shared" si="257"/>
      </c>
      <c r="I248" s="50">
        <f t="shared" si="48"/>
      </c>
      <c r="J248" s="51">
        <f t="shared" si="10"/>
      </c>
      <c r="K248" s="52">
        <f t="shared" si="124"/>
      </c>
      <c r="L248" s="76">
        <f t="shared" si="86"/>
      </c>
      <c r="M248" s="34">
        <f t="shared" si="219"/>
      </c>
      <c r="N248" s="37">
        <f t="shared" si="162"/>
      </c>
      <c r="O248" s="37">
        <f t="shared" si="181"/>
      </c>
      <c r="P248" s="37">
        <f t="shared" si="314"/>
      </c>
      <c r="Q248" s="37">
        <f t="shared" si="276"/>
      </c>
      <c r="R248" s="34">
        <f t="shared" si="67"/>
      </c>
      <c r="S248" s="35">
        <f t="shared" si="29"/>
      </c>
      <c r="T248" s="37">
        <f t="shared" si="143"/>
      </c>
      <c r="U248" s="37">
        <f t="shared" si="105"/>
      </c>
      <c r="V248" s="37">
        <f t="shared" si="238"/>
      </c>
      <c r="W248" s="37">
        <f t="shared" si="200"/>
      </c>
      <c r="X248" s="38" t="s">
        <v>52</v>
      </c>
      <c r="Y248" s="39" t="s">
        <v>54</v>
      </c>
      <c r="Z248" s="41">
        <v>73640</v>
      </c>
      <c r="AA248" s="41">
        <v>17335</v>
      </c>
      <c r="AB248" s="41">
        <v>169511</v>
      </c>
      <c r="AC248" s="41">
        <v>466</v>
      </c>
      <c r="AD248" s="41">
        <v>4</v>
      </c>
      <c r="AE248" s="41">
        <v>16854</v>
      </c>
      <c r="AF248" s="41">
        <v>161</v>
      </c>
      <c r="AG248" s="41">
        <v>22</v>
      </c>
      <c r="AH248" s="41">
        <v>10</v>
      </c>
      <c r="AI248" s="42">
        <v>0</v>
      </c>
      <c r="AJ248" s="24"/>
      <c r="AK248" s="24"/>
      <c r="AL248" s="24"/>
    </row>
    <row r="249">
      <c r="A249" s="25"/>
      <c r="B249" s="72" t="s">
        <v>57</v>
      </c>
      <c r="C249" s="77" t="s">
        <v>47</v>
      </c>
      <c r="D249" s="84">
        <v>2250.214</v>
      </c>
      <c r="E249" s="45">
        <v>5</v>
      </c>
      <c r="F249" s="47">
        <f t="shared" si="295"/>
      </c>
      <c r="G249" s="45">
        <v>2236.2</v>
      </c>
      <c r="H249" s="49">
        <f t="shared" si="257"/>
      </c>
      <c r="I249" s="50">
        <f t="shared" si="48"/>
      </c>
      <c r="J249" s="51">
        <f t="shared" si="10"/>
      </c>
      <c r="K249" s="52">
        <f t="shared" si="124"/>
      </c>
      <c r="L249" s="76">
        <f t="shared" si="86"/>
      </c>
      <c r="M249" s="34">
        <f t="shared" si="219"/>
      </c>
      <c r="N249" s="37">
        <f t="shared" si="162"/>
      </c>
      <c r="O249" s="37">
        <f t="shared" si="181"/>
      </c>
      <c r="P249" s="37">
        <f t="shared" si="314"/>
      </c>
      <c r="Q249" s="37">
        <f t="shared" si="276"/>
      </c>
      <c r="R249" s="34">
        <f t="shared" si="67"/>
      </c>
      <c r="S249" s="35">
        <f t="shared" si="29"/>
      </c>
      <c r="T249" s="37">
        <f t="shared" si="143"/>
      </c>
      <c r="U249" s="37">
        <f t="shared" si="105"/>
      </c>
      <c r="V249" s="37">
        <f t="shared" si="238"/>
      </c>
      <c r="W249" s="37">
        <f t="shared" si="200"/>
      </c>
      <c r="X249" s="38" t="s">
        <v>52</v>
      </c>
      <c r="Y249" s="39" t="s">
        <v>54</v>
      </c>
      <c r="Z249" s="41">
        <v>61061</v>
      </c>
      <c r="AA249" s="41">
        <v>11585</v>
      </c>
      <c r="AB249" s="41">
        <v>124142</v>
      </c>
      <c r="AC249" s="41">
        <v>498</v>
      </c>
      <c r="AD249" s="41">
        <v>3</v>
      </c>
      <c r="AE249" s="41">
        <v>10696</v>
      </c>
      <c r="AF249" s="41">
        <v>184</v>
      </c>
      <c r="AG249" s="41">
        <v>18</v>
      </c>
      <c r="AH249" s="41">
        <v>8</v>
      </c>
      <c r="AI249" s="42">
        <v>1</v>
      </c>
      <c r="AJ249" s="24"/>
      <c r="AK249" s="24"/>
      <c r="AL249" s="24"/>
    </row>
    <row r="250">
      <c r="A250" s="25"/>
      <c r="B250" s="72" t="s">
        <v>57</v>
      </c>
      <c r="C250" s="78" t="s">
        <v>48</v>
      </c>
      <c r="D250" s="84">
        <v>116</v>
      </c>
      <c r="E250" s="45">
        <v>0</v>
      </c>
      <c r="F250" s="30">
        <f t="shared" si="295"/>
      </c>
      <c r="G250" s="45">
        <v>0</v>
      </c>
      <c r="H250" s="49">
        <f t="shared" si="257"/>
      </c>
      <c r="I250" s="33">
        <f t="shared" si="48"/>
      </c>
      <c r="J250" s="34">
        <f t="shared" si="10"/>
      </c>
      <c r="K250" s="35">
        <f t="shared" si="124"/>
      </c>
      <c r="L250" s="79">
        <f t="shared" si="86"/>
      </c>
      <c r="M250" s="54">
        <f t="shared" si="219"/>
      </c>
      <c r="N250" s="55">
        <f t="shared" si="162"/>
      </c>
      <c r="O250" s="55">
        <f t="shared" si="181"/>
      </c>
      <c r="P250" s="55">
        <f t="shared" si="314"/>
      </c>
      <c r="Q250" s="55">
        <f t="shared" si="276"/>
      </c>
      <c r="R250" s="54">
        <f t="shared" si="67"/>
      </c>
      <c r="S250" s="56">
        <f t="shared" si="29"/>
      </c>
      <c r="T250" s="55">
        <f t="shared" si="143"/>
      </c>
      <c r="U250" s="55">
        <f t="shared" si="105"/>
      </c>
      <c r="V250" s="55">
        <f t="shared" si="238"/>
      </c>
      <c r="W250" s="55">
        <f t="shared" si="200"/>
      </c>
      <c r="X250" s="38" t="s">
        <v>52</v>
      </c>
      <c r="Y250" s="39" t="s">
        <v>54</v>
      </c>
      <c r="Z250" s="41">
        <v>6965</v>
      </c>
      <c r="AA250" s="41">
        <v>402</v>
      </c>
      <c r="AB250" s="41">
        <v>3886</v>
      </c>
      <c r="AC250" s="41">
        <v>23</v>
      </c>
      <c r="AD250" s="41">
        <v>1</v>
      </c>
      <c r="AE250" s="41">
        <v>426</v>
      </c>
      <c r="AF250" s="41">
        <v>12</v>
      </c>
      <c r="AG250" s="41">
        <v>2</v>
      </c>
      <c r="AH250" s="41">
        <v>0</v>
      </c>
      <c r="AI250" s="42">
        <v>0</v>
      </c>
      <c r="AJ250" s="24"/>
      <c r="AK250" s="24"/>
      <c r="AL250" s="24"/>
    </row>
    <row r="251">
      <c r="A251" s="25"/>
      <c r="B251" s="72" t="s">
        <v>57</v>
      </c>
      <c r="C251" s="78" t="s">
        <v>49</v>
      </c>
      <c r="D251" s="85">
        <v>408.23800000000006</v>
      </c>
      <c r="E251" s="45">
        <v>0</v>
      </c>
      <c r="F251" s="30">
        <f t="shared" si="295"/>
      </c>
      <c r="G251" s="45">
        <v>0</v>
      </c>
      <c r="H251" s="49">
        <f t="shared" si="257"/>
      </c>
      <c r="I251" s="33">
        <f t="shared" si="48"/>
      </c>
      <c r="J251" s="34">
        <f t="shared" si="10"/>
      </c>
      <c r="K251" s="35">
        <f t="shared" si="124"/>
      </c>
      <c r="L251" s="79">
        <f t="shared" si="86"/>
      </c>
      <c r="M251" s="54">
        <f t="shared" si="219"/>
      </c>
      <c r="N251" s="55">
        <f t="shared" si="162"/>
      </c>
      <c r="O251" s="55">
        <f t="shared" si="181"/>
      </c>
      <c r="P251" s="55">
        <f t="shared" si="314"/>
      </c>
      <c r="Q251" s="55">
        <f t="shared" si="276"/>
      </c>
      <c r="R251" s="54">
        <f t="shared" si="67"/>
      </c>
      <c r="S251" s="56">
        <f t="shared" si="29"/>
      </c>
      <c r="T251" s="55">
        <f t="shared" si="143"/>
      </c>
      <c r="U251" s="55">
        <f t="shared" si="105"/>
      </c>
      <c r="V251" s="55">
        <f t="shared" si="238"/>
      </c>
      <c r="W251" s="55">
        <f t="shared" si="200"/>
      </c>
      <c r="X251" s="38" t="s">
        <v>52</v>
      </c>
      <c r="Y251" s="39" t="s">
        <v>54</v>
      </c>
      <c r="Z251" s="41">
        <v>17384</v>
      </c>
      <c r="AA251" s="41">
        <v>1342</v>
      </c>
      <c r="AB251" s="41">
        <v>17644</v>
      </c>
      <c r="AC251" s="41">
        <v>60</v>
      </c>
      <c r="AD251" s="41">
        <v>0</v>
      </c>
      <c r="AE251" s="41">
        <v>1025</v>
      </c>
      <c r="AF251" s="41">
        <v>17</v>
      </c>
      <c r="AG251" s="41">
        <v>1</v>
      </c>
      <c r="AH251" s="41">
        <v>0</v>
      </c>
      <c r="AI251" s="42">
        <v>0</v>
      </c>
      <c r="AJ251" s="24"/>
      <c r="AK251" s="24"/>
      <c r="AL251" s="24"/>
    </row>
    <row r="252">
      <c r="A252" s="25"/>
      <c r="B252" s="72" t="s">
        <v>57</v>
      </c>
      <c r="C252" s="38" t="s">
        <v>51</v>
      </c>
      <c r="D252" s="85">
        <v>2066.615</v>
      </c>
      <c r="E252" s="45">
        <v>9</v>
      </c>
      <c r="F252" s="47">
        <f t="shared" si="295"/>
      </c>
      <c r="G252" s="45">
        <v>1940.800000000003</v>
      </c>
      <c r="H252" s="49">
        <f t="shared" si="257"/>
      </c>
      <c r="I252" s="50">
        <f t="shared" si="48"/>
      </c>
      <c r="J252" s="51">
        <f t="shared" si="10"/>
      </c>
      <c r="K252" s="52">
        <f t="shared" si="124"/>
      </c>
      <c r="L252" s="53">
        <f t="shared" si="86"/>
      </c>
      <c r="M252" s="54">
        <f t="shared" si="219"/>
      </c>
      <c r="N252" s="55">
        <f t="shared" si="162"/>
      </c>
      <c r="O252" s="55">
        <f t="shared" si="181"/>
      </c>
      <c r="P252" s="55">
        <f t="shared" si="314"/>
      </c>
      <c r="Q252" s="55">
        <f t="shared" si="276"/>
      </c>
      <c r="R252" s="54">
        <f t="shared" si="67"/>
      </c>
      <c r="S252" s="56">
        <f t="shared" si="29"/>
      </c>
      <c r="T252" s="55">
        <f t="shared" si="143"/>
      </c>
      <c r="U252" s="55">
        <f t="shared" si="105"/>
      </c>
      <c r="V252" s="55">
        <f t="shared" si="238"/>
      </c>
      <c r="W252" s="55">
        <f t="shared" si="200"/>
      </c>
      <c r="X252" s="38" t="s">
        <v>52</v>
      </c>
      <c r="Y252" s="39" t="s">
        <v>54</v>
      </c>
      <c r="Z252" s="40">
        <v>58849</v>
      </c>
      <c r="AA252" s="40">
        <v>8978</v>
      </c>
      <c r="AB252" s="40">
        <v>116550</v>
      </c>
      <c r="AC252" s="40">
        <v>262</v>
      </c>
      <c r="AD252" s="40">
        <v>3</v>
      </c>
      <c r="AE252" s="40">
        <v>8435</v>
      </c>
      <c r="AF252" s="41">
        <v>106</v>
      </c>
      <c r="AG252" s="41">
        <v>26</v>
      </c>
      <c r="AH252" s="41">
        <v>11</v>
      </c>
      <c r="AI252" s="42">
        <v>3</v>
      </c>
      <c r="AJ252" s="24"/>
      <c r="AK252" s="24"/>
      <c r="AL252" s="24"/>
    </row>
    <row r="253">
      <c r="A253" s="25"/>
      <c r="B253" s="58" t="s">
        <v>44</v>
      </c>
      <c r="C253" s="58"/>
      <c r="D253" s="59">
        <f>SUM(D248:D252)</f>
      </c>
      <c r="E253" s="60">
        <f>SUM(E248:E252)</f>
      </c>
      <c r="F253" s="61">
        <f t="shared" si="295"/>
      </c>
      <c r="G253" s="62">
        <f>SUM(G248:G252)</f>
      </c>
      <c r="H253" s="63">
        <f t="shared" si="257"/>
      </c>
      <c r="I253" s="64">
        <f t="shared" si="48"/>
      </c>
      <c r="J253" s="65">
        <f t="shared" si="10"/>
      </c>
      <c r="K253" s="61">
        <f t="shared" si="124"/>
      </c>
      <c r="L253" s="66">
        <f t="shared" si="86"/>
      </c>
      <c r="M253" s="65">
        <f t="shared" si="219"/>
      </c>
      <c r="N253" s="67">
        <f t="shared" si="162"/>
      </c>
      <c r="O253" s="67">
        <f t="shared" si="181"/>
      </c>
      <c r="P253" s="68">
        <f t="shared" si="314"/>
      </c>
      <c r="Q253" s="68">
        <f t="shared" si="276"/>
      </c>
      <c r="R253" s="69">
        <f t="shared" si="67"/>
      </c>
      <c r="S253" s="70">
        <f t="shared" si="29"/>
      </c>
      <c r="T253" s="68">
        <f t="shared" si="143"/>
      </c>
      <c r="U253" s="68">
        <f t="shared" si="105"/>
      </c>
      <c r="V253" s="68">
        <f t="shared" si="238"/>
      </c>
      <c r="W253" s="68">
        <f t="shared" si="200"/>
      </c>
      <c r="X253" s="68"/>
      <c r="Y253" s="71"/>
      <c r="Z253" s="59">
        <f>SUM(Z248:Z252)</f>
      </c>
      <c r="AA253" s="59">
        <f>SUM(AA248:AA252)</f>
      </c>
      <c r="AB253" s="59">
        <f>SUM(AB248:AB252)</f>
      </c>
      <c r="AC253" s="59">
        <f>SUM(AC248:AC252)</f>
      </c>
      <c r="AD253" s="59">
        <f>SUM(AD248:AD252)</f>
      </c>
      <c r="AE253" s="59">
        <f>SUM(AE248:AE252)</f>
      </c>
      <c r="AF253" s="59">
        <f>SUM(AF248:AF252)</f>
      </c>
      <c r="AG253" s="59">
        <f>SUM(AG248:AG252)</f>
      </c>
      <c r="AH253" s="59">
        <f>SUM(AH248:AH252)</f>
      </c>
      <c r="AI253" s="59">
        <f>SUM(AI248:AI252)</f>
      </c>
      <c r="AJ253" s="24"/>
      <c r="AK253" s="24"/>
      <c r="AL253" s="24"/>
    </row>
    <row r="254">
      <c r="A254" s="25"/>
      <c r="B254" s="72" t="s">
        <v>45</v>
      </c>
      <c r="C254" s="78" t="s">
        <v>53</v>
      </c>
      <c r="D254" s="84">
        <v>1873.8519999999999</v>
      </c>
      <c r="E254" s="45">
        <v>9</v>
      </c>
      <c r="F254" s="30">
        <f t="shared" si="295"/>
      </c>
      <c r="G254" s="45">
        <v>3177.199999999997</v>
      </c>
      <c r="H254" s="49">
        <f t="shared" si="257"/>
      </c>
      <c r="I254" s="33">
        <f t="shared" si="48"/>
      </c>
      <c r="J254" s="34">
        <f t="shared" si="10"/>
      </c>
      <c r="K254" s="35">
        <f t="shared" si="124"/>
      </c>
      <c r="L254" s="79">
        <f t="shared" si="86"/>
      </c>
      <c r="M254" s="54">
        <f t="shared" si="219"/>
      </c>
      <c r="N254" s="55">
        <f t="shared" si="162"/>
      </c>
      <c r="O254" s="55">
        <f t="shared" si="181"/>
      </c>
      <c r="P254" s="55">
        <f t="shared" si="314"/>
      </c>
      <c r="Q254" s="55">
        <f t="shared" si="276"/>
      </c>
      <c r="R254" s="54">
        <f t="shared" si="67"/>
      </c>
      <c r="S254" s="56">
        <f t="shared" si="29"/>
      </c>
      <c r="T254" s="55">
        <f t="shared" si="143"/>
      </c>
      <c r="U254" s="55">
        <f t="shared" si="105"/>
      </c>
      <c r="V254" s="55">
        <f t="shared" si="238"/>
      </c>
      <c r="W254" s="55">
        <f t="shared" si="200"/>
      </c>
      <c r="X254" s="38" t="s">
        <v>52</v>
      </c>
      <c r="Y254" s="39" t="s">
        <v>39</v>
      </c>
      <c r="Z254" s="41">
        <v>54460</v>
      </c>
      <c r="AA254" s="41">
        <v>10111</v>
      </c>
      <c r="AB254" s="41">
        <v>109058</v>
      </c>
      <c r="AC254" s="41">
        <v>272</v>
      </c>
      <c r="AD254" s="41">
        <v>9</v>
      </c>
      <c r="AE254" s="41">
        <v>8841</v>
      </c>
      <c r="AF254" s="41">
        <v>171</v>
      </c>
      <c r="AG254" s="41">
        <v>22</v>
      </c>
      <c r="AH254" s="41">
        <v>1</v>
      </c>
      <c r="AI254" s="42">
        <v>1</v>
      </c>
      <c r="AJ254" s="24"/>
      <c r="AK254" s="24"/>
      <c r="AL254" s="24"/>
    </row>
    <row r="255">
      <c r="A255" s="25"/>
      <c r="B255" s="72" t="s">
        <v>45</v>
      </c>
      <c r="C255" s="78" t="s">
        <v>55</v>
      </c>
      <c r="D255" s="85">
        <v>2110.521</v>
      </c>
      <c r="E255" s="45">
        <v>5</v>
      </c>
      <c r="F255" s="30">
        <f t="shared" si="295"/>
      </c>
      <c r="G255" s="45">
        <v>2275.5999999999985</v>
      </c>
      <c r="H255" s="49">
        <f t="shared" si="257"/>
      </c>
      <c r="I255" s="33">
        <f t="shared" si="48"/>
      </c>
      <c r="J255" s="34">
        <f t="shared" si="10"/>
      </c>
      <c r="K255" s="35">
        <f t="shared" si="124"/>
      </c>
      <c r="L255" s="79">
        <f t="shared" si="86"/>
      </c>
      <c r="M255" s="54">
        <f t="shared" si="219"/>
      </c>
      <c r="N255" s="55">
        <f t="shared" si="162"/>
      </c>
      <c r="O255" s="55">
        <f t="shared" si="181"/>
      </c>
      <c r="P255" s="55">
        <f t="shared" si="314"/>
      </c>
      <c r="Q255" s="55">
        <f t="shared" si="276"/>
      </c>
      <c r="R255" s="54">
        <f t="shared" si="67"/>
      </c>
      <c r="S255" s="56">
        <f t="shared" si="29"/>
      </c>
      <c r="T255" s="55">
        <f t="shared" si="143"/>
      </c>
      <c r="U255" s="55">
        <f t="shared" si="105"/>
      </c>
      <c r="V255" s="55">
        <f t="shared" si="238"/>
      </c>
      <c r="W255" s="55">
        <f t="shared" si="200"/>
      </c>
      <c r="X255" s="38" t="s">
        <v>52</v>
      </c>
      <c r="Y255" s="39" t="s">
        <v>39</v>
      </c>
      <c r="Z255" s="41">
        <v>65691</v>
      </c>
      <c r="AA255" s="41">
        <v>11569</v>
      </c>
      <c r="AB255" s="41">
        <v>138911</v>
      </c>
      <c r="AC255" s="41">
        <v>318</v>
      </c>
      <c r="AD255" s="41">
        <v>4</v>
      </c>
      <c r="AE255" s="41">
        <v>11438</v>
      </c>
      <c r="AF255" s="41">
        <v>178</v>
      </c>
      <c r="AG255" s="41">
        <v>28</v>
      </c>
      <c r="AH255" s="41">
        <v>4</v>
      </c>
      <c r="AI255" s="42">
        <v>2</v>
      </c>
      <c r="AJ255" s="24"/>
      <c r="AK255" s="24"/>
      <c r="AL255" s="24"/>
    </row>
    <row r="256">
      <c r="A256" s="25"/>
      <c r="B256" s="72" t="s">
        <v>45</v>
      </c>
      <c r="C256" s="78" t="s">
        <v>56</v>
      </c>
      <c r="D256" s="85">
        <v>2317.634</v>
      </c>
      <c r="E256" s="45">
        <v>9</v>
      </c>
      <c r="F256" s="30">
        <f t="shared" si="295"/>
      </c>
      <c r="G256" s="45">
        <v>3142.800000000003</v>
      </c>
      <c r="H256" s="49">
        <f t="shared" si="257"/>
      </c>
      <c r="I256" s="33">
        <f t="shared" si="48"/>
      </c>
      <c r="J256" s="34">
        <f t="shared" si="10"/>
      </c>
      <c r="K256" s="35">
        <f t="shared" si="124"/>
      </c>
      <c r="L256" s="79">
        <f t="shared" si="86"/>
      </c>
      <c r="M256" s="54">
        <f t="shared" si="219"/>
      </c>
      <c r="N256" s="55">
        <f t="shared" si="162"/>
      </c>
      <c r="O256" s="55">
        <f t="shared" si="181"/>
      </c>
      <c r="P256" s="55">
        <f t="shared" si="314"/>
      </c>
      <c r="Q256" s="55">
        <f t="shared" si="276"/>
      </c>
      <c r="R256" s="54">
        <f t="shared" si="67"/>
      </c>
      <c r="S256" s="56">
        <f t="shared" si="29"/>
      </c>
      <c r="T256" s="55">
        <f t="shared" si="143"/>
      </c>
      <c r="U256" s="55">
        <f t="shared" si="105"/>
      </c>
      <c r="V256" s="55">
        <f t="shared" si="238"/>
      </c>
      <c r="W256" s="55">
        <f t="shared" si="200"/>
      </c>
      <c r="X256" s="38" t="s">
        <v>52</v>
      </c>
      <c r="Y256" s="39" t="s">
        <v>39</v>
      </c>
      <c r="Z256" s="41">
        <v>71396</v>
      </c>
      <c r="AA256" s="41">
        <v>13135</v>
      </c>
      <c r="AB256" s="41">
        <v>150845</v>
      </c>
      <c r="AC256" s="41">
        <v>398</v>
      </c>
      <c r="AD256" s="41">
        <v>8</v>
      </c>
      <c r="AE256" s="41">
        <v>11270</v>
      </c>
      <c r="AF256" s="41">
        <v>226</v>
      </c>
      <c r="AG256" s="41">
        <v>27</v>
      </c>
      <c r="AH256" s="41">
        <v>7</v>
      </c>
      <c r="AI256" s="42">
        <v>2</v>
      </c>
      <c r="AJ256" s="24"/>
      <c r="AK256" s="24"/>
      <c r="AL256" s="24"/>
    </row>
    <row r="257">
      <c r="A257" s="25"/>
      <c r="B257" s="72" t="s">
        <v>45</v>
      </c>
      <c r="C257" s="78" t="s">
        <v>58</v>
      </c>
      <c r="D257" s="85">
        <v>2566.14</v>
      </c>
      <c r="E257" s="45">
        <v>1</v>
      </c>
      <c r="F257" s="30">
        <f t="shared" si="295"/>
      </c>
      <c r="G257" s="45">
        <v>789.5999999999985</v>
      </c>
      <c r="H257" s="49">
        <f t="shared" si="257"/>
      </c>
      <c r="I257" s="33">
        <f t="shared" si="48"/>
      </c>
      <c r="J257" s="34">
        <f t="shared" si="10"/>
      </c>
      <c r="K257" s="35">
        <f t="shared" si="124"/>
      </c>
      <c r="L257" s="79">
        <f t="shared" si="86"/>
      </c>
      <c r="M257" s="54">
        <f t="shared" si="219"/>
      </c>
      <c r="N257" s="55">
        <f t="shared" si="162"/>
      </c>
      <c r="O257" s="55">
        <f t="shared" si="181"/>
      </c>
      <c r="P257" s="55">
        <f t="shared" si="314"/>
      </c>
      <c r="Q257" s="55">
        <f t="shared" si="276"/>
      </c>
      <c r="R257" s="54">
        <f t="shared" si="67"/>
      </c>
      <c r="S257" s="56">
        <f t="shared" si="29"/>
      </c>
      <c r="T257" s="55">
        <f t="shared" si="143"/>
      </c>
      <c r="U257" s="55">
        <f t="shared" si="105"/>
      </c>
      <c r="V257" s="55">
        <f t="shared" si="238"/>
      </c>
      <c r="W257" s="55">
        <f t="shared" si="200"/>
      </c>
      <c r="X257" s="38" t="s">
        <v>52</v>
      </c>
      <c r="Y257" s="39" t="s">
        <v>39</v>
      </c>
      <c r="Z257" s="41">
        <v>87101</v>
      </c>
      <c r="AA257" s="41">
        <v>17140</v>
      </c>
      <c r="AB257" s="41">
        <v>179190</v>
      </c>
      <c r="AC257" s="41">
        <v>294</v>
      </c>
      <c r="AD257" s="41">
        <v>1</v>
      </c>
      <c r="AE257" s="41">
        <v>11363</v>
      </c>
      <c r="AF257" s="41">
        <v>148</v>
      </c>
      <c r="AG257" s="41">
        <v>29</v>
      </c>
      <c r="AH257" s="41">
        <v>4</v>
      </c>
      <c r="AI257" s="42">
        <v>1</v>
      </c>
      <c r="AJ257" s="24"/>
      <c r="AK257" s="24"/>
      <c r="AL257" s="24"/>
    </row>
    <row r="258">
      <c r="A258" s="25"/>
      <c r="B258" s="58" t="s">
        <v>44</v>
      </c>
      <c r="C258" s="58"/>
      <c r="D258" s="59">
        <f>SUM(D254:D257)</f>
      </c>
      <c r="E258" s="60">
        <f>SUM(E254:E257)</f>
      </c>
      <c r="F258" s="70">
        <f t="shared" si="295"/>
      </c>
      <c r="G258" s="80">
        <f>SUM(G254:G257)</f>
      </c>
      <c r="H258" s="81">
        <f t="shared" si="257"/>
      </c>
      <c r="I258" s="82">
        <f t="shared" si="48"/>
      </c>
      <c r="J258" s="69">
        <f t="shared" si="10"/>
      </c>
      <c r="K258" s="70">
        <f t="shared" si="124"/>
      </c>
      <c r="L258" s="83">
        <f t="shared" si="86"/>
      </c>
      <c r="M258" s="69">
        <f t="shared" si="219"/>
      </c>
      <c r="N258" s="68">
        <f t="shared" si="162"/>
      </c>
      <c r="O258" s="68">
        <f t="shared" si="181"/>
      </c>
      <c r="P258" s="68">
        <f t="shared" si="314"/>
      </c>
      <c r="Q258" s="68">
        <f t="shared" si="276"/>
      </c>
      <c r="R258" s="69">
        <f t="shared" si="67"/>
      </c>
      <c r="S258" s="70">
        <f t="shared" si="29"/>
      </c>
      <c r="T258" s="68">
        <f t="shared" si="143"/>
      </c>
      <c r="U258" s="68">
        <f t="shared" si="105"/>
      </c>
      <c r="V258" s="68">
        <f t="shared" si="238"/>
      </c>
      <c r="W258" s="68">
        <f t="shared" si="200"/>
      </c>
      <c r="X258" s="68"/>
      <c r="Y258" s="71"/>
      <c r="Z258" s="59">
        <f>SUM(Z254:Z257)</f>
      </c>
      <c r="AA258" s="59">
        <f>SUM(AA254:AA257)</f>
      </c>
      <c r="AB258" s="59">
        <f>SUM(AB254:AB257)</f>
      </c>
      <c r="AC258" s="59">
        <f>SUM(AC254:AC257)</f>
      </c>
      <c r="AD258" s="59">
        <f>SUM(AD254:AD257)</f>
      </c>
      <c r="AE258" s="59">
        <f>SUM(AE254:AE257)</f>
      </c>
      <c r="AF258" s="59">
        <f>SUM(AF254:AF257)</f>
      </c>
      <c r="AG258" s="59">
        <f>SUM(AG254:AG257)</f>
      </c>
      <c r="AH258" s="59">
        <f>SUM(AH254:AH257)</f>
      </c>
      <c r="AI258" s="59">
        <f>SUM(AI254:AI257)</f>
      </c>
      <c r="AJ258" s="24"/>
      <c r="AK258" s="24"/>
      <c r="AL258" s="24"/>
    </row>
    <row r="259">
      <c r="A259" s="25"/>
      <c r="B259" s="72" t="s">
        <v>64</v>
      </c>
      <c r="C259" s="78" t="s">
        <v>59</v>
      </c>
      <c r="D259" s="85">
        <v>5003.763</v>
      </c>
      <c r="E259" s="45">
        <v>7</v>
      </c>
      <c r="F259" s="30">
        <f t="shared" si="295"/>
      </c>
      <c r="G259" s="45">
        <v>1596</v>
      </c>
      <c r="H259" s="49">
        <f t="shared" si="257"/>
      </c>
      <c r="I259" s="33">
        <f t="shared" si="48"/>
      </c>
      <c r="J259" s="34">
        <f t="shared" si="10"/>
      </c>
      <c r="K259" s="35">
        <f t="shared" si="124"/>
      </c>
      <c r="L259" s="79">
        <f t="shared" si="86"/>
      </c>
      <c r="M259" s="54">
        <f t="shared" si="219"/>
      </c>
      <c r="N259" s="55">
        <f t="shared" si="162"/>
      </c>
      <c r="O259" s="55">
        <f t="shared" si="181"/>
      </c>
      <c r="P259" s="55">
        <f t="shared" si="314"/>
      </c>
      <c r="Q259" s="55">
        <f t="shared" si="276"/>
      </c>
      <c r="R259" s="54">
        <f t="shared" si="67"/>
      </c>
      <c r="S259" s="56">
        <f t="shared" si="29"/>
      </c>
      <c r="T259" s="55">
        <f t="shared" si="143"/>
      </c>
      <c r="U259" s="55">
        <f t="shared" si="105"/>
      </c>
      <c r="V259" s="55">
        <f t="shared" si="238"/>
      </c>
      <c r="W259" s="55">
        <f t="shared" si="200"/>
      </c>
      <c r="X259" s="38" t="s">
        <v>52</v>
      </c>
      <c r="Y259" s="39" t="s">
        <v>39</v>
      </c>
      <c r="Z259" s="41">
        <v>189949</v>
      </c>
      <c r="AA259" s="41">
        <v>32881</v>
      </c>
      <c r="AB259" s="41">
        <v>393537</v>
      </c>
      <c r="AC259" s="41">
        <v>631</v>
      </c>
      <c r="AD259" s="41">
        <v>7</v>
      </c>
      <c r="AE259" s="41">
        <v>24103</v>
      </c>
      <c r="AF259" s="41">
        <v>308</v>
      </c>
      <c r="AG259" s="41">
        <v>85</v>
      </c>
      <c r="AH259" s="41">
        <v>19</v>
      </c>
      <c r="AI259" s="42">
        <v>0</v>
      </c>
      <c r="AJ259" s="24"/>
      <c r="AK259" s="24"/>
      <c r="AL259" s="24"/>
    </row>
    <row r="260">
      <c r="A260" s="25"/>
      <c r="B260" s="72" t="s">
        <v>64</v>
      </c>
      <c r="C260" s="78" t="s">
        <v>60</v>
      </c>
      <c r="D260" s="85">
        <v>4498.189</v>
      </c>
      <c r="E260" s="45">
        <v>7</v>
      </c>
      <c r="F260" s="30">
        <f t="shared" si="295"/>
      </c>
      <c r="G260" s="45">
        <v>2185.2000000000044</v>
      </c>
      <c r="H260" s="49">
        <f t="shared" si="257"/>
      </c>
      <c r="I260" s="33">
        <f t="shared" si="48"/>
      </c>
      <c r="J260" s="34">
        <f t="shared" si="10"/>
      </c>
      <c r="K260" s="35">
        <f t="shared" si="124"/>
      </c>
      <c r="L260" s="79">
        <f t="shared" si="86"/>
      </c>
      <c r="M260" s="54">
        <f t="shared" si="219"/>
      </c>
      <c r="N260" s="55">
        <f t="shared" si="162"/>
      </c>
      <c r="O260" s="55">
        <f t="shared" si="181"/>
      </c>
      <c r="P260" s="55">
        <f t="shared" si="314"/>
      </c>
      <c r="Q260" s="55">
        <f t="shared" si="276"/>
      </c>
      <c r="R260" s="54">
        <f t="shared" si="67"/>
      </c>
      <c r="S260" s="56">
        <f t="shared" si="29"/>
      </c>
      <c r="T260" s="55">
        <f t="shared" si="143"/>
      </c>
      <c r="U260" s="55">
        <f t="shared" si="105"/>
      </c>
      <c r="V260" s="55">
        <f t="shared" si="238"/>
      </c>
      <c r="W260" s="55">
        <f t="shared" si="200"/>
      </c>
      <c r="X260" s="38" t="s">
        <v>52</v>
      </c>
      <c r="Y260" s="39" t="s">
        <v>39</v>
      </c>
      <c r="Z260" s="41">
        <v>166232</v>
      </c>
      <c r="AA260" s="41">
        <v>29453</v>
      </c>
      <c r="AB260" s="41">
        <v>347725</v>
      </c>
      <c r="AC260" s="41">
        <v>496</v>
      </c>
      <c r="AD260" s="41">
        <v>7</v>
      </c>
      <c r="AE260" s="41">
        <v>21878</v>
      </c>
      <c r="AF260" s="41">
        <v>277</v>
      </c>
      <c r="AG260" s="41">
        <v>68</v>
      </c>
      <c r="AH260" s="41">
        <v>13</v>
      </c>
      <c r="AI260" s="42">
        <v>1</v>
      </c>
      <c r="AJ260" s="24"/>
      <c r="AK260" s="24"/>
      <c r="AL260" s="24"/>
    </row>
    <row r="261">
      <c r="A261" s="25"/>
      <c r="B261" s="72" t="s">
        <v>64</v>
      </c>
      <c r="C261" s="78" t="s">
        <v>61</v>
      </c>
      <c r="D261" s="85">
        <v>2379.784</v>
      </c>
      <c r="E261" s="45">
        <v>2</v>
      </c>
      <c r="F261" s="30">
        <f t="shared" si="295"/>
      </c>
      <c r="G261" s="45">
        <v>456</v>
      </c>
      <c r="H261" s="49">
        <f t="shared" si="257"/>
      </c>
      <c r="I261" s="33">
        <f t="shared" si="48"/>
      </c>
      <c r="J261" s="34">
        <f t="shared" si="10"/>
      </c>
      <c r="K261" s="35">
        <f t="shared" si="124"/>
      </c>
      <c r="L261" s="79">
        <f t="shared" si="86"/>
      </c>
      <c r="M261" s="54">
        <f t="shared" si="219"/>
      </c>
      <c r="N261" s="55">
        <f t="shared" si="162"/>
      </c>
      <c r="O261" s="55">
        <f t="shared" si="181"/>
      </c>
      <c r="P261" s="55">
        <f t="shared" si="314"/>
      </c>
      <c r="Q261" s="55">
        <f t="shared" si="276"/>
      </c>
      <c r="R261" s="54">
        <f t="shared" si="67"/>
      </c>
      <c r="S261" s="56">
        <f t="shared" si="29"/>
      </c>
      <c r="T261" s="55">
        <f t="shared" si="143"/>
      </c>
      <c r="U261" s="55">
        <f t="shared" si="105"/>
      </c>
      <c r="V261" s="55">
        <f t="shared" si="238"/>
      </c>
      <c r="W261" s="55">
        <f t="shared" si="200"/>
      </c>
      <c r="X261" s="38" t="s">
        <v>52</v>
      </c>
      <c r="Y261" s="39" t="s">
        <v>39</v>
      </c>
      <c r="Z261" s="41">
        <v>91779</v>
      </c>
      <c r="AA261" s="41">
        <v>16720</v>
      </c>
      <c r="AB261" s="41">
        <v>180231</v>
      </c>
      <c r="AC261" s="41">
        <v>269</v>
      </c>
      <c r="AD261" s="41">
        <v>2</v>
      </c>
      <c r="AE261" s="41">
        <v>11435</v>
      </c>
      <c r="AF261" s="41">
        <v>163</v>
      </c>
      <c r="AG261" s="41">
        <v>38</v>
      </c>
      <c r="AH261" s="41">
        <v>12</v>
      </c>
      <c r="AI261" s="42">
        <v>0</v>
      </c>
      <c r="AJ261" s="24"/>
      <c r="AK261" s="24"/>
      <c r="AL261" s="24"/>
    </row>
    <row r="262">
      <c r="A262" s="25"/>
      <c r="B262" s="72" t="s">
        <v>64</v>
      </c>
      <c r="C262" s="78" t="s">
        <v>62</v>
      </c>
      <c r="D262" s="85">
        <v>960.9010000000001</v>
      </c>
      <c r="E262" s="45">
        <v>0</v>
      </c>
      <c r="F262" s="47">
        <f t="shared" si="295"/>
      </c>
      <c r="G262" s="45">
        <v>0</v>
      </c>
      <c r="H262" s="49">
        <f t="shared" si="257"/>
      </c>
      <c r="I262" s="50">
        <f t="shared" si="48"/>
      </c>
      <c r="J262" s="51">
        <f t="shared" si="10"/>
      </c>
      <c r="K262" s="52">
        <f t="shared" si="124"/>
      </c>
      <c r="L262" s="53">
        <f t="shared" si="86"/>
      </c>
      <c r="M262" s="54">
        <f t="shared" si="219"/>
      </c>
      <c r="N262" s="55">
        <f t="shared" si="162"/>
      </c>
      <c r="O262" s="55">
        <f t="shared" si="181"/>
      </c>
      <c r="P262" s="55">
        <f t="shared" si="314"/>
      </c>
      <c r="Q262" s="55">
        <f t="shared" si="276"/>
      </c>
      <c r="R262" s="54">
        <f t="shared" si="67"/>
      </c>
      <c r="S262" s="56">
        <f t="shared" si="29"/>
      </c>
      <c r="T262" s="55">
        <f t="shared" si="143"/>
      </c>
      <c r="U262" s="55">
        <f t="shared" si="105"/>
      </c>
      <c r="V262" s="55">
        <f t="shared" si="238"/>
      </c>
      <c r="W262" s="55">
        <f t="shared" si="200"/>
      </c>
      <c r="X262" s="38" t="s">
        <v>52</v>
      </c>
      <c r="Y262" s="39" t="s">
        <v>39</v>
      </c>
      <c r="Z262" s="40">
        <v>45039</v>
      </c>
      <c r="AA262" s="40">
        <v>8295</v>
      </c>
      <c r="AB262" s="40">
        <v>69069</v>
      </c>
      <c r="AC262" s="40">
        <v>110</v>
      </c>
      <c r="AD262" s="40">
        <v>0</v>
      </c>
      <c r="AE262" s="40">
        <v>4552</v>
      </c>
      <c r="AF262" s="41">
        <v>82</v>
      </c>
      <c r="AG262" s="41">
        <v>22</v>
      </c>
      <c r="AH262" s="41">
        <v>7</v>
      </c>
      <c r="AI262" s="42">
        <v>0</v>
      </c>
      <c r="AJ262" s="24"/>
      <c r="AK262" s="24"/>
      <c r="AL262" s="24"/>
    </row>
    <row r="263">
      <c r="A263" s="25"/>
      <c r="B263" s="58" t="s">
        <v>44</v>
      </c>
      <c r="C263" s="58"/>
      <c r="D263" s="59">
        <f>SUM(D259:D262)</f>
      </c>
      <c r="E263" s="60">
        <f>SUM(E259:E262)</f>
      </c>
      <c r="F263" s="61">
        <f t="shared" si="295"/>
      </c>
      <c r="G263" s="62">
        <f>SUM(G259:G262)</f>
      </c>
      <c r="H263" s="63">
        <f t="shared" si="257"/>
      </c>
      <c r="I263" s="64">
        <f t="shared" si="48"/>
      </c>
      <c r="J263" s="65">
        <f t="shared" si="10"/>
      </c>
      <c r="K263" s="61">
        <f t="shared" si="124"/>
      </c>
      <c r="L263" s="66">
        <f t="shared" si="86"/>
      </c>
      <c r="M263" s="65">
        <f t="shared" si="219"/>
      </c>
      <c r="N263" s="67">
        <f t="shared" si="162"/>
      </c>
      <c r="O263" s="67">
        <f t="shared" si="181"/>
      </c>
      <c r="P263" s="68">
        <f t="shared" si="314"/>
      </c>
      <c r="Q263" s="68">
        <f t="shared" si="276"/>
      </c>
      <c r="R263" s="69">
        <f t="shared" si="67"/>
      </c>
      <c r="S263" s="70">
        <f t="shared" si="29"/>
      </c>
      <c r="T263" s="68">
        <f t="shared" si="143"/>
      </c>
      <c r="U263" s="68">
        <f t="shared" si="105"/>
      </c>
      <c r="V263" s="68">
        <f t="shared" si="238"/>
      </c>
      <c r="W263" s="68">
        <f t="shared" si="200"/>
      </c>
      <c r="X263" s="68"/>
      <c r="Y263" s="71"/>
      <c r="Z263" s="59">
        <f>SUM(Z259:Z262)</f>
      </c>
      <c r="AA263" s="59">
        <f>SUM(AA259:AA262)</f>
      </c>
      <c r="AB263" s="59">
        <f>SUM(AB259:AB262)</f>
      </c>
      <c r="AC263" s="59">
        <f>SUM(AC259:AC262)</f>
      </c>
      <c r="AD263" s="59">
        <f>SUM(AD259:AD262)</f>
      </c>
      <c r="AE263" s="59">
        <f>SUM(AE259:AE262)</f>
      </c>
      <c r="AF263" s="59">
        <f>SUM(AF259:AF262)</f>
      </c>
      <c r="AG263" s="59">
        <f>SUM(AG259:AG262)</f>
      </c>
      <c r="AH263" s="59">
        <f>SUM(AH259:AH262)</f>
      </c>
      <c r="AI263" s="59">
        <f>SUM(AI259:AI262)</f>
      </c>
      <c r="AJ263" s="24"/>
      <c r="AK263" s="24"/>
      <c r="AL263" s="24"/>
    </row>
    <row r="264">
      <c r="A264" s="25"/>
      <c r="B264" s="89" t="s">
        <v>63</v>
      </c>
      <c r="C264" s="89"/>
      <c r="D264" s="90">
        <f>SUM(D263+D247+D253+D258)</f>
      </c>
      <c r="E264" s="91">
        <f>SUM(E263+E247+E253+E258)</f>
      </c>
      <c r="F264" s="92">
        <f t="shared" si="295"/>
      </c>
      <c r="G264" s="93">
        <f>SUM(G263+G247+G253+G258)</f>
      </c>
      <c r="H264" s="94">
        <f t="shared" si="257"/>
      </c>
      <c r="I264" s="95">
        <f t="shared" si="48"/>
      </c>
      <c r="J264" s="96">
        <f t="shared" si="10"/>
      </c>
      <c r="K264" s="92">
        <f t="shared" si="124"/>
      </c>
      <c r="L264" s="97">
        <f t="shared" si="86"/>
      </c>
      <c r="M264" s="97">
        <f t="shared" si="219"/>
      </c>
      <c r="N264" s="98">
        <f t="shared" si="162"/>
      </c>
      <c r="O264" s="98">
        <f t="shared" si="181"/>
      </c>
      <c r="P264" s="98">
        <f t="shared" si="314"/>
      </c>
      <c r="Q264" s="98">
        <f t="shared" si="276"/>
      </c>
      <c r="R264" s="99">
        <f t="shared" si="67"/>
      </c>
      <c r="S264" s="100">
        <f t="shared" si="29"/>
      </c>
      <c r="T264" s="101">
        <f t="shared" si="143"/>
      </c>
      <c r="U264" s="101">
        <f t="shared" si="105"/>
      </c>
      <c r="V264" s="101">
        <f t="shared" si="238"/>
      </c>
      <c r="W264" s="101">
        <f t="shared" si="200"/>
      </c>
      <c r="X264" s="101"/>
      <c r="Y264" s="102"/>
      <c r="Z264" s="103">
        <f>SUM(Z247+Z263+Z253+Z258)</f>
      </c>
      <c r="AA264" s="103">
        <f>SUM(AA247+AA263+AA253+AA258)</f>
      </c>
      <c r="AB264" s="103">
        <f>SUM(AB247+AB263+AB253+AB258)</f>
      </c>
      <c r="AC264" s="103">
        <f>SUM(AC247+AC263+AC253+AC258)</f>
      </c>
      <c r="AD264" s="103">
        <f>SUM(AD247+AD263+AD253+AD258)</f>
      </c>
      <c r="AE264" s="103">
        <f>SUM(AE247+AE263+AE253+AE258)</f>
      </c>
      <c r="AF264" s="103">
        <f>SUM(AF247+AF263+AF253+AF258)</f>
      </c>
      <c r="AG264" s="103">
        <f>SUM(AG247+AG263+AG253+AG258)</f>
      </c>
      <c r="AH264" s="103">
        <f>SUM(AH247+AH263+AH253+AH258)</f>
      </c>
      <c r="AI264" s="103">
        <f>SUM(AI247+AI263+AI253+AI258)</f>
      </c>
      <c r="AJ264" s="24"/>
      <c r="AK264" s="24"/>
      <c r="AL264" s="24"/>
    </row>
    <row r="265">
      <c r="A265" s="1" t="s">
        <v>1</v>
      </c>
      <c r="B265" s="2" t="s">
        <v>2</v>
      </c>
      <c r="C265" s="3" t="s">
        <v>3</v>
      </c>
      <c r="D265" s="4" t="s">
        <v>4</v>
      </c>
      <c r="E265" s="5" t="s">
        <v>5</v>
      </c>
      <c r="F265" s="6" t="s">
        <v>6</v>
      </c>
      <c r="G265" s="7" t="s">
        <v>7</v>
      </c>
      <c r="H265" s="8" t="s">
        <v>8</v>
      </c>
      <c r="I265" s="9" t="s">
        <v>9</v>
      </c>
      <c r="J265" s="10" t="s">
        <v>10</v>
      </c>
      <c r="K265" s="11" t="s">
        <v>11</v>
      </c>
      <c r="L265" s="12" t="s">
        <v>12</v>
      </c>
      <c r="M265" s="12" t="s">
        <v>13</v>
      </c>
      <c r="N265" s="13" t="s">
        <v>14</v>
      </c>
      <c r="O265" s="13" t="s">
        <v>15</v>
      </c>
      <c r="P265" s="13" t="s">
        <v>16</v>
      </c>
      <c r="Q265" s="13" t="s">
        <v>17</v>
      </c>
      <c r="R265" s="14" t="s">
        <v>18</v>
      </c>
      <c r="S265" s="15" t="s">
        <v>19</v>
      </c>
      <c r="T265" s="16" t="s">
        <v>20</v>
      </c>
      <c r="U265" s="16" t="s">
        <v>21</v>
      </c>
      <c r="V265" s="16" t="s">
        <v>22</v>
      </c>
      <c r="W265" s="16" t="s">
        <v>23</v>
      </c>
      <c r="X265" s="17" t="s">
        <v>24</v>
      </c>
      <c r="Y265" s="18" t="s">
        <v>25</v>
      </c>
      <c r="Z265" s="19" t="s">
        <v>26</v>
      </c>
      <c r="AA265" s="19" t="s">
        <v>27</v>
      </c>
      <c r="AB265" s="19" t="s">
        <v>28</v>
      </c>
      <c r="AC265" s="20" t="s">
        <v>29</v>
      </c>
      <c r="AD265" s="20" t="s">
        <v>30</v>
      </c>
      <c r="AE265" s="21" t="s">
        <v>31</v>
      </c>
      <c r="AF265" s="20" t="s">
        <v>32</v>
      </c>
      <c r="AG265" s="20" t="s">
        <v>33</v>
      </c>
      <c r="AH265" s="22" t="s">
        <v>34</v>
      </c>
      <c r="AI265" s="23" t="s">
        <v>35</v>
      </c>
      <c r="AJ265" s="24"/>
      <c r="AK265" s="24"/>
      <c r="AL265" s="24"/>
    </row>
    <row r="266">
      <c r="A266" s="25">
        <v>46307</v>
      </c>
      <c r="B266" s="72" t="s">
        <v>50</v>
      </c>
      <c r="C266" s="27" t="s">
        <v>37</v>
      </c>
      <c r="D266" s="104">
        <v>169.107</v>
      </c>
      <c r="E266" s="29">
        <v>1</v>
      </c>
      <c r="F266" s="30">
        <f t="shared" ref="F266:F288" si="296">D266/E266</f>
      </c>
      <c r="G266" s="31">
        <v>228</v>
      </c>
      <c r="H266" s="49">
        <f t="shared" ref="H266:H288" si="258">AD266</f>
      </c>
      <c r="I266" s="33">
        <f t="shared" ref="I266:I288" si="49">D266/AD266</f>
      </c>
      <c r="J266" s="34">
        <f t="shared" ref="J266:J288" si="11">G266/E266</f>
      </c>
      <c r="K266" s="35">
        <f t="shared" ref="K266:K288" si="125">G266/D266</f>
      </c>
      <c r="L266" s="36">
        <f t="shared" ref="L266:L288" si="87">D266/AB266</f>
      </c>
      <c r="M266" s="34">
        <f t="shared" ref="M266:M288" si="220">D266/AC266</f>
      </c>
      <c r="N266" s="37">
        <f t="shared" ref="N266:N288" si="163">AC266/AB266</f>
      </c>
      <c r="O266" s="37">
        <f t="shared" ref="O266:O288" si="182">AD266/AC266</f>
      </c>
      <c r="P266" s="37">
        <f t="shared" ref="P266:P288" si="315">AA266/Z266</f>
      </c>
      <c r="Q266" s="37">
        <f t="shared" ref="Q266:Q288" si="277">AD266/AA266</f>
      </c>
      <c r="R266" s="34">
        <f t="shared" ref="R266:R288" si="68">D266/Z266*1000</f>
      </c>
      <c r="S266" s="35">
        <f t="shared" ref="S266:S288" si="30">D266/AA266</f>
      </c>
      <c r="T266" s="37">
        <f t="shared" ref="T266:T288" si="144">AE266/AB266</f>
      </c>
      <c r="U266" s="37">
        <f t="shared" ref="U266:U288" si="106">AF266/AB266</f>
      </c>
      <c r="V266" s="37">
        <f t="shared" ref="V266:V288" si="239">AG266/AB266</f>
      </c>
      <c r="W266" s="37">
        <f t="shared" ref="W266:W288" si="201">AH266/AB266</f>
      </c>
      <c r="X266" s="38" t="s">
        <v>52</v>
      </c>
      <c r="Y266" s="39" t="s">
        <v>54</v>
      </c>
      <c r="Z266" s="40">
        <v>8806</v>
      </c>
      <c r="AA266" s="40">
        <v>1067</v>
      </c>
      <c r="AB266" s="40">
        <v>5154</v>
      </c>
      <c r="AC266" s="40">
        <v>26</v>
      </c>
      <c r="AD266" s="41">
        <v>1</v>
      </c>
      <c r="AE266" s="40">
        <v>627</v>
      </c>
      <c r="AF266" s="41">
        <v>30</v>
      </c>
      <c r="AG266" s="41">
        <v>2</v>
      </c>
      <c r="AH266" s="41">
        <v>0</v>
      </c>
      <c r="AI266" s="42">
        <v>0</v>
      </c>
      <c r="AJ266" s="24"/>
      <c r="AK266" s="24"/>
      <c r="AL266" s="24"/>
    </row>
    <row r="267">
      <c r="A267" s="25"/>
      <c r="B267" s="72" t="s">
        <v>50</v>
      </c>
      <c r="C267" s="27" t="s">
        <v>40</v>
      </c>
      <c r="D267" s="104">
        <v>945.046</v>
      </c>
      <c r="E267" s="29">
        <v>0</v>
      </c>
      <c r="F267" s="30">
        <f t="shared" si="296"/>
      </c>
      <c r="G267" s="31">
        <v>0</v>
      </c>
      <c r="H267" s="49">
        <f t="shared" si="258"/>
      </c>
      <c r="I267" s="33">
        <f t="shared" si="49"/>
      </c>
      <c r="J267" s="34">
        <f t="shared" si="11"/>
      </c>
      <c r="K267" s="35">
        <f t="shared" si="125"/>
      </c>
      <c r="L267" s="36">
        <f t="shared" si="87"/>
      </c>
      <c r="M267" s="34">
        <f t="shared" si="220"/>
      </c>
      <c r="N267" s="37">
        <f t="shared" si="163"/>
      </c>
      <c r="O267" s="37">
        <f t="shared" si="182"/>
      </c>
      <c r="P267" s="37">
        <f t="shared" si="315"/>
      </c>
      <c r="Q267" s="37">
        <f t="shared" si="277"/>
      </c>
      <c r="R267" s="34">
        <f t="shared" si="68"/>
      </c>
      <c r="S267" s="35">
        <f t="shared" si="30"/>
      </c>
      <c r="T267" s="37">
        <f t="shared" si="144"/>
      </c>
      <c r="U267" s="37">
        <f t="shared" si="106"/>
      </c>
      <c r="V267" s="37">
        <f t="shared" si="239"/>
      </c>
      <c r="W267" s="37">
        <f t="shared" si="201"/>
      </c>
      <c r="X267" s="38" t="s">
        <v>52</v>
      </c>
      <c r="Y267" s="39" t="s">
        <v>54</v>
      </c>
      <c r="Z267" s="41">
        <v>36320</v>
      </c>
      <c r="AA267" s="40">
        <v>7048</v>
      </c>
      <c r="AB267" s="40">
        <v>42889</v>
      </c>
      <c r="AC267" s="40">
        <v>128</v>
      </c>
      <c r="AD267" s="41">
        <v>0</v>
      </c>
      <c r="AE267" s="40">
        <v>4991</v>
      </c>
      <c r="AF267" s="41">
        <v>108</v>
      </c>
      <c r="AG267" s="41">
        <v>15</v>
      </c>
      <c r="AH267" s="41">
        <v>2</v>
      </c>
      <c r="AI267" s="42">
        <v>0</v>
      </c>
      <c r="AJ267" s="24"/>
      <c r="AK267" s="24"/>
      <c r="AL267" s="24"/>
    </row>
    <row r="268">
      <c r="A268" s="25"/>
      <c r="B268" s="72" t="s">
        <v>50</v>
      </c>
      <c r="C268" s="43" t="s">
        <v>41</v>
      </c>
      <c r="D268" s="84">
        <v>2159.45</v>
      </c>
      <c r="E268" s="45">
        <v>6</v>
      </c>
      <c r="F268" s="30">
        <f t="shared" si="296"/>
      </c>
      <c r="G268" s="45">
        <v>1290</v>
      </c>
      <c r="H268" s="49">
        <f t="shared" si="258"/>
      </c>
      <c r="I268" s="33">
        <f t="shared" si="49"/>
      </c>
      <c r="J268" s="34">
        <f t="shared" si="11"/>
      </c>
      <c r="K268" s="35">
        <f t="shared" si="125"/>
      </c>
      <c r="L268" s="36">
        <f t="shared" si="87"/>
      </c>
      <c r="M268" s="34">
        <f t="shared" si="220"/>
      </c>
      <c r="N268" s="37">
        <f t="shared" si="163"/>
      </c>
      <c r="O268" s="37">
        <f t="shared" si="182"/>
      </c>
      <c r="P268" s="37">
        <f t="shared" si="315"/>
      </c>
      <c r="Q268" s="37">
        <f t="shared" si="277"/>
      </c>
      <c r="R268" s="34">
        <f t="shared" si="68"/>
      </c>
      <c r="S268" s="35">
        <f t="shared" si="30"/>
      </c>
      <c r="T268" s="37">
        <f t="shared" si="144"/>
      </c>
      <c r="U268" s="37">
        <f t="shared" si="106"/>
      </c>
      <c r="V268" s="37">
        <f t="shared" si="239"/>
      </c>
      <c r="W268" s="37">
        <f t="shared" si="201"/>
      </c>
      <c r="X268" s="38" t="s">
        <v>52</v>
      </c>
      <c r="Y268" s="39" t="s">
        <v>54</v>
      </c>
      <c r="Z268" s="41">
        <v>80591</v>
      </c>
      <c r="AA268" s="41">
        <v>23414</v>
      </c>
      <c r="AB268" s="41">
        <v>128398</v>
      </c>
      <c r="AC268" s="41">
        <v>358</v>
      </c>
      <c r="AD268" s="41">
        <v>2</v>
      </c>
      <c r="AE268" s="41">
        <v>15799</v>
      </c>
      <c r="AF268" s="41">
        <v>252</v>
      </c>
      <c r="AG268" s="41">
        <v>64</v>
      </c>
      <c r="AH268" s="41">
        <v>10</v>
      </c>
      <c r="AI268" s="42">
        <v>2</v>
      </c>
      <c r="AJ268" s="24"/>
      <c r="AK268" s="24"/>
      <c r="AL268" s="24"/>
    </row>
    <row r="269">
      <c r="A269" s="25"/>
      <c r="B269" s="72" t="s">
        <v>50</v>
      </c>
      <c r="C269" s="46" t="s">
        <v>42</v>
      </c>
      <c r="D269" s="84">
        <v>1795.328</v>
      </c>
      <c r="E269" s="45">
        <v>5</v>
      </c>
      <c r="F269" s="47">
        <f t="shared" si="296"/>
      </c>
      <c r="G269" s="45">
        <v>2901.6</v>
      </c>
      <c r="H269" s="49">
        <f t="shared" si="258"/>
      </c>
      <c r="I269" s="50">
        <f t="shared" si="49"/>
      </c>
      <c r="J269" s="51">
        <f t="shared" si="11"/>
      </c>
      <c r="K269" s="52">
        <f t="shared" si="125"/>
      </c>
      <c r="L269" s="53">
        <f t="shared" si="87"/>
      </c>
      <c r="M269" s="54">
        <f t="shared" si="220"/>
      </c>
      <c r="N269" s="55">
        <f t="shared" si="163"/>
      </c>
      <c r="O269" s="55">
        <f t="shared" si="182"/>
      </c>
      <c r="P269" s="55">
        <f t="shared" si="315"/>
      </c>
      <c r="Q269" s="55">
        <f t="shared" si="277"/>
      </c>
      <c r="R269" s="54">
        <f t="shared" si="68"/>
      </c>
      <c r="S269" s="56">
        <f t="shared" si="30"/>
      </c>
      <c r="T269" s="55">
        <f t="shared" si="144"/>
      </c>
      <c r="U269" s="55">
        <f t="shared" si="106"/>
      </c>
      <c r="V269" s="55">
        <f t="shared" si="239"/>
      </c>
      <c r="W269" s="55">
        <f t="shared" si="201"/>
      </c>
      <c r="X269" s="38" t="s">
        <v>52</v>
      </c>
      <c r="Y269" s="39" t="s">
        <v>54</v>
      </c>
      <c r="Z269" s="40">
        <v>53478</v>
      </c>
      <c r="AA269" s="40">
        <v>11326</v>
      </c>
      <c r="AB269" s="40">
        <v>87544</v>
      </c>
      <c r="AC269" s="40">
        <v>297</v>
      </c>
      <c r="AD269" s="40">
        <v>4</v>
      </c>
      <c r="AE269" s="40">
        <v>9059</v>
      </c>
      <c r="AF269" s="41">
        <v>120</v>
      </c>
      <c r="AG269" s="41">
        <v>19</v>
      </c>
      <c r="AH269" s="41">
        <v>5</v>
      </c>
      <c r="AI269" s="42">
        <v>1</v>
      </c>
      <c r="AJ269" s="24"/>
      <c r="AK269" s="24"/>
      <c r="AL269" s="24"/>
    </row>
    <row r="270">
      <c r="A270" s="25"/>
      <c r="B270" s="72" t="s">
        <v>50</v>
      </c>
      <c r="C270" s="46" t="s">
        <v>43</v>
      </c>
      <c r="D270" s="85">
        <v>1354.689</v>
      </c>
      <c r="E270" s="45">
        <v>1</v>
      </c>
      <c r="F270" s="47">
        <f t="shared" si="296"/>
      </c>
      <c r="G270" s="45">
        <v>228</v>
      </c>
      <c r="H270" s="49">
        <f t="shared" si="258"/>
      </c>
      <c r="I270" s="50">
        <f t="shared" si="49"/>
      </c>
      <c r="J270" s="51">
        <f t="shared" si="11"/>
      </c>
      <c r="K270" s="52">
        <f t="shared" si="125"/>
      </c>
      <c r="L270" s="53">
        <f t="shared" si="87"/>
      </c>
      <c r="M270" s="54">
        <f t="shared" si="220"/>
      </c>
      <c r="N270" s="55">
        <f t="shared" si="163"/>
      </c>
      <c r="O270" s="55">
        <f t="shared" si="182"/>
      </c>
      <c r="P270" s="55">
        <f t="shared" si="315"/>
      </c>
      <c r="Q270" s="55">
        <f t="shared" si="277"/>
      </c>
      <c r="R270" s="54">
        <f t="shared" si="68"/>
      </c>
      <c r="S270" s="56">
        <f t="shared" si="30"/>
      </c>
      <c r="T270" s="55">
        <f t="shared" si="144"/>
      </c>
      <c r="U270" s="55">
        <f t="shared" si="106"/>
      </c>
      <c r="V270" s="55">
        <f t="shared" si="239"/>
      </c>
      <c r="W270" s="55">
        <f t="shared" si="201"/>
      </c>
      <c r="X270" s="38" t="s">
        <v>52</v>
      </c>
      <c r="Y270" s="39" t="s">
        <v>54</v>
      </c>
      <c r="Z270" s="40">
        <v>38965</v>
      </c>
      <c r="AA270" s="40">
        <v>7314</v>
      </c>
      <c r="AB270" s="40">
        <v>69809</v>
      </c>
      <c r="AC270" s="40">
        <v>168</v>
      </c>
      <c r="AD270" s="40">
        <v>1</v>
      </c>
      <c r="AE270" s="40">
        <v>6390</v>
      </c>
      <c r="AF270" s="41">
        <v>132</v>
      </c>
      <c r="AG270" s="41">
        <v>9</v>
      </c>
      <c r="AH270" s="41">
        <v>6</v>
      </c>
      <c r="AI270" s="42">
        <v>0</v>
      </c>
      <c r="AJ270" s="24"/>
      <c r="AK270" s="24"/>
      <c r="AL270" s="24"/>
    </row>
    <row r="271">
      <c r="A271" s="25"/>
      <c r="B271" s="58" t="s">
        <v>44</v>
      </c>
      <c r="C271" s="58"/>
      <c r="D271" s="59">
        <f>SUM(D266:D270)</f>
      </c>
      <c r="E271" s="60">
        <f>SUM(E266:E270)</f>
      </c>
      <c r="F271" s="61">
        <f t="shared" si="296"/>
      </c>
      <c r="G271" s="62">
        <f>SUM(G266:G270)</f>
      </c>
      <c r="H271" s="63">
        <f t="shared" si="258"/>
      </c>
      <c r="I271" s="64">
        <f t="shared" si="49"/>
      </c>
      <c r="J271" s="65">
        <f t="shared" si="11"/>
      </c>
      <c r="K271" s="61">
        <f t="shared" si="125"/>
      </c>
      <c r="L271" s="66">
        <f t="shared" si="87"/>
      </c>
      <c r="M271" s="65">
        <f t="shared" si="220"/>
      </c>
      <c r="N271" s="67">
        <f t="shared" si="163"/>
      </c>
      <c r="O271" s="67">
        <f t="shared" si="182"/>
      </c>
      <c r="P271" s="68">
        <f t="shared" si="315"/>
      </c>
      <c r="Q271" s="68">
        <f t="shared" si="277"/>
      </c>
      <c r="R271" s="69">
        <f t="shared" si="68"/>
      </c>
      <c r="S271" s="70">
        <f t="shared" si="30"/>
      </c>
      <c r="T271" s="68">
        <f t="shared" si="144"/>
      </c>
      <c r="U271" s="68">
        <f t="shared" si="106"/>
      </c>
      <c r="V271" s="68">
        <f t="shared" si="239"/>
      </c>
      <c r="W271" s="68">
        <f t="shared" si="201"/>
      </c>
      <c r="X271" s="68"/>
      <c r="Y271" s="71"/>
      <c r="Z271" s="59">
        <f>SUM(Z266:Z270)</f>
      </c>
      <c r="AA271" s="59">
        <f>SUM(AA266:AA270)</f>
      </c>
      <c r="AB271" s="59">
        <f>SUM(AB266:AB270)</f>
      </c>
      <c r="AC271" s="59">
        <f>SUM(AC266:AC270)</f>
      </c>
      <c r="AD271" s="59">
        <f>SUM(AD266:AD270)</f>
      </c>
      <c r="AE271" s="59">
        <f>SUM(AE266:AE270)</f>
      </c>
      <c r="AF271" s="59">
        <f>SUM(AF266:AF270)</f>
      </c>
      <c r="AG271" s="59">
        <f>SUM(AG266:AG270)</f>
      </c>
      <c r="AH271" s="59">
        <f>SUM(AH266:AH270)</f>
      </c>
      <c r="AI271" s="59">
        <f>SUM(AI266:AI270)</f>
      </c>
      <c r="AJ271" s="24"/>
      <c r="AK271" s="24"/>
      <c r="AL271" s="24"/>
    </row>
    <row r="272">
      <c r="A272" s="25"/>
      <c r="B272" s="72" t="s">
        <v>45</v>
      </c>
      <c r="C272" s="73" t="s">
        <v>46</v>
      </c>
      <c r="D272" s="105">
        <v>1168.012</v>
      </c>
      <c r="E272" s="75">
        <v>1</v>
      </c>
      <c r="F272" s="47">
        <f t="shared" si="296"/>
      </c>
      <c r="G272" s="45">
        <v>228</v>
      </c>
      <c r="H272" s="49">
        <f t="shared" si="258"/>
      </c>
      <c r="I272" s="50">
        <f t="shared" si="49"/>
      </c>
      <c r="J272" s="51">
        <f t="shared" si="11"/>
      </c>
      <c r="K272" s="52">
        <f t="shared" si="125"/>
      </c>
      <c r="L272" s="76">
        <f t="shared" si="87"/>
      </c>
      <c r="M272" s="34">
        <f t="shared" si="220"/>
      </c>
      <c r="N272" s="37">
        <f t="shared" si="163"/>
      </c>
      <c r="O272" s="37">
        <f t="shared" si="182"/>
      </c>
      <c r="P272" s="37">
        <f t="shared" si="315"/>
      </c>
      <c r="Q272" s="37">
        <f t="shared" si="277"/>
      </c>
      <c r="R272" s="34">
        <f t="shared" si="68"/>
      </c>
      <c r="S272" s="35">
        <f t="shared" si="30"/>
      </c>
      <c r="T272" s="37">
        <f t="shared" si="144"/>
      </c>
      <c r="U272" s="37">
        <f t="shared" si="106"/>
      </c>
      <c r="V272" s="37">
        <f t="shared" si="239"/>
      </c>
      <c r="W272" s="37">
        <f t="shared" si="201"/>
      </c>
      <c r="X272" s="38" t="s">
        <v>52</v>
      </c>
      <c r="Y272" s="39" t="s">
        <v>54</v>
      </c>
      <c r="Z272" s="41">
        <v>33254</v>
      </c>
      <c r="AA272" s="41">
        <v>5411</v>
      </c>
      <c r="AB272" s="41">
        <v>59202</v>
      </c>
      <c r="AC272" s="41">
        <v>171</v>
      </c>
      <c r="AD272" s="41">
        <v>1</v>
      </c>
      <c r="AE272" s="41">
        <v>5197</v>
      </c>
      <c r="AF272" s="41">
        <v>57</v>
      </c>
      <c r="AG272" s="41">
        <v>11</v>
      </c>
      <c r="AH272" s="41">
        <v>2</v>
      </c>
      <c r="AI272" s="42">
        <v>0</v>
      </c>
      <c r="AJ272" s="24"/>
      <c r="AK272" s="24"/>
      <c r="AL272" s="24"/>
    </row>
    <row r="273">
      <c r="A273" s="25"/>
      <c r="B273" s="72" t="s">
        <v>45</v>
      </c>
      <c r="C273" s="77" t="s">
        <v>47</v>
      </c>
      <c r="D273" s="84">
        <v>1584.373</v>
      </c>
      <c r="E273" s="45">
        <v>5</v>
      </c>
      <c r="F273" s="47">
        <f t="shared" si="296"/>
      </c>
      <c r="G273" s="45">
        <v>1076</v>
      </c>
      <c r="H273" s="49">
        <f t="shared" si="258"/>
      </c>
      <c r="I273" s="50">
        <f t="shared" si="49"/>
      </c>
      <c r="J273" s="51">
        <f t="shared" si="11"/>
      </c>
      <c r="K273" s="52">
        <f t="shared" si="125"/>
      </c>
      <c r="L273" s="76">
        <f t="shared" si="87"/>
      </c>
      <c r="M273" s="34">
        <f t="shared" si="220"/>
      </c>
      <c r="N273" s="37">
        <f t="shared" si="163"/>
      </c>
      <c r="O273" s="37">
        <f t="shared" si="182"/>
      </c>
      <c r="P273" s="37">
        <f t="shared" si="315"/>
      </c>
      <c r="Q273" s="37">
        <f t="shared" si="277"/>
      </c>
      <c r="R273" s="34">
        <f t="shared" si="68"/>
      </c>
      <c r="S273" s="35">
        <f t="shared" si="30"/>
      </c>
      <c r="T273" s="37">
        <f t="shared" si="144"/>
      </c>
      <c r="U273" s="37">
        <f t="shared" si="106"/>
      </c>
      <c r="V273" s="37">
        <f t="shared" si="239"/>
      </c>
      <c r="W273" s="37">
        <f t="shared" si="201"/>
      </c>
      <c r="X273" s="38" t="s">
        <v>52</v>
      </c>
      <c r="Y273" s="39" t="s">
        <v>54</v>
      </c>
      <c r="Z273" s="41">
        <v>48817</v>
      </c>
      <c r="AA273" s="41">
        <v>4939</v>
      </c>
      <c r="AB273" s="41">
        <v>84714</v>
      </c>
      <c r="AC273" s="41">
        <v>225</v>
      </c>
      <c r="AD273" s="41">
        <v>5</v>
      </c>
      <c r="AE273" s="41">
        <v>5361</v>
      </c>
      <c r="AF273" s="41">
        <v>70</v>
      </c>
      <c r="AG273" s="41">
        <v>11</v>
      </c>
      <c r="AH273" s="41">
        <v>5</v>
      </c>
      <c r="AI273" s="42">
        <v>0</v>
      </c>
      <c r="AJ273" s="24"/>
      <c r="AK273" s="24"/>
      <c r="AL273" s="24"/>
    </row>
    <row r="274">
      <c r="A274" s="25"/>
      <c r="B274" s="72" t="s">
        <v>45</v>
      </c>
      <c r="C274" s="78" t="s">
        <v>48</v>
      </c>
      <c r="D274" s="84">
        <v>1466.208</v>
      </c>
      <c r="E274" s="45">
        <v>7</v>
      </c>
      <c r="F274" s="30">
        <f t="shared" si="296"/>
      </c>
      <c r="G274" s="45">
        <v>3166.8</v>
      </c>
      <c r="H274" s="49">
        <f t="shared" si="258"/>
      </c>
      <c r="I274" s="33">
        <f t="shared" si="49"/>
      </c>
      <c r="J274" s="34">
        <f t="shared" si="11"/>
      </c>
      <c r="K274" s="35">
        <f t="shared" si="125"/>
      </c>
      <c r="L274" s="79">
        <f t="shared" si="87"/>
      </c>
      <c r="M274" s="54">
        <f t="shared" si="220"/>
      </c>
      <c r="N274" s="55">
        <f t="shared" si="163"/>
      </c>
      <c r="O274" s="55">
        <f t="shared" si="182"/>
      </c>
      <c r="P274" s="55">
        <f t="shared" si="315"/>
      </c>
      <c r="Q274" s="55">
        <f t="shared" si="277"/>
      </c>
      <c r="R274" s="54">
        <f t="shared" si="68"/>
      </c>
      <c r="S274" s="56">
        <f t="shared" si="30"/>
      </c>
      <c r="T274" s="55">
        <f t="shared" si="144"/>
      </c>
      <c r="U274" s="55">
        <f t="shared" si="106"/>
      </c>
      <c r="V274" s="55">
        <f t="shared" si="239"/>
      </c>
      <c r="W274" s="55">
        <f t="shared" si="201"/>
      </c>
      <c r="X274" s="38" t="s">
        <v>52</v>
      </c>
      <c r="Y274" s="39" t="s">
        <v>54</v>
      </c>
      <c r="Z274" s="41">
        <v>43497</v>
      </c>
      <c r="AA274" s="41">
        <v>4218</v>
      </c>
      <c r="AB274" s="41">
        <v>68871</v>
      </c>
      <c r="AC274" s="41">
        <v>227</v>
      </c>
      <c r="AD274" s="41">
        <v>4</v>
      </c>
      <c r="AE274" s="41">
        <v>4174</v>
      </c>
      <c r="AF274" s="41">
        <v>76</v>
      </c>
      <c r="AG274" s="41">
        <v>8</v>
      </c>
      <c r="AH274" s="41">
        <v>5</v>
      </c>
      <c r="AI274" s="42">
        <v>1</v>
      </c>
      <c r="AJ274" s="24"/>
      <c r="AK274" s="24"/>
      <c r="AL274" s="24"/>
    </row>
    <row r="275">
      <c r="A275" s="25"/>
      <c r="B275" s="72" t="s">
        <v>45</v>
      </c>
      <c r="C275" s="78" t="s">
        <v>49</v>
      </c>
      <c r="D275" s="85">
        <v>1087.097</v>
      </c>
      <c r="E275" s="45">
        <v>2</v>
      </c>
      <c r="F275" s="30">
        <f t="shared" si="296"/>
      </c>
      <c r="G275" s="45">
        <v>424</v>
      </c>
      <c r="H275" s="49">
        <f t="shared" si="258"/>
      </c>
      <c r="I275" s="33">
        <f t="shared" si="49"/>
      </c>
      <c r="J275" s="34">
        <f t="shared" si="11"/>
      </c>
      <c r="K275" s="35">
        <f t="shared" si="125"/>
      </c>
      <c r="L275" s="79">
        <f t="shared" si="87"/>
      </c>
      <c r="M275" s="54">
        <f t="shared" si="220"/>
      </c>
      <c r="N275" s="55">
        <f t="shared" si="163"/>
      </c>
      <c r="O275" s="55">
        <f t="shared" si="182"/>
      </c>
      <c r="P275" s="55">
        <f t="shared" si="315"/>
      </c>
      <c r="Q275" s="55">
        <f t="shared" si="277"/>
      </c>
      <c r="R275" s="54">
        <f t="shared" si="68"/>
      </c>
      <c r="S275" s="56">
        <f t="shared" si="30"/>
      </c>
      <c r="T275" s="55">
        <f t="shared" si="144"/>
      </c>
      <c r="U275" s="55">
        <f t="shared" si="106"/>
      </c>
      <c r="V275" s="55">
        <f t="shared" si="239"/>
      </c>
      <c r="W275" s="55">
        <f t="shared" si="201"/>
      </c>
      <c r="X275" s="38" t="s">
        <v>52</v>
      </c>
      <c r="Y275" s="39" t="s">
        <v>54</v>
      </c>
      <c r="Z275" s="41">
        <v>35370</v>
      </c>
      <c r="AA275" s="41">
        <v>4539</v>
      </c>
      <c r="AB275" s="41">
        <v>51685</v>
      </c>
      <c r="AC275" s="41">
        <v>242</v>
      </c>
      <c r="AD275" s="41">
        <v>2</v>
      </c>
      <c r="AE275" s="41">
        <v>3265</v>
      </c>
      <c r="AF275" s="41">
        <v>103</v>
      </c>
      <c r="AG275" s="41">
        <v>7</v>
      </c>
      <c r="AH275" s="41">
        <v>6</v>
      </c>
      <c r="AI275" s="42">
        <v>0</v>
      </c>
      <c r="AJ275" s="24"/>
      <c r="AK275" s="24"/>
      <c r="AL275" s="24"/>
    </row>
    <row r="276">
      <c r="A276" s="25"/>
      <c r="B276" s="58" t="s">
        <v>44</v>
      </c>
      <c r="C276" s="58"/>
      <c r="D276" s="59">
        <f>SUM(D272:D275)</f>
      </c>
      <c r="E276" s="60">
        <f>SUM(E272:E275)</f>
      </c>
      <c r="F276" s="61">
        <f t="shared" si="296"/>
      </c>
      <c r="G276" s="62">
        <f>SUM(G272:G275)</f>
      </c>
      <c r="H276" s="63">
        <f t="shared" si="258"/>
      </c>
      <c r="I276" s="64">
        <f t="shared" si="49"/>
      </c>
      <c r="J276" s="65">
        <f t="shared" si="11"/>
      </c>
      <c r="K276" s="61">
        <f t="shared" si="125"/>
      </c>
      <c r="L276" s="66">
        <f t="shared" si="87"/>
      </c>
      <c r="M276" s="65">
        <f t="shared" si="220"/>
      </c>
      <c r="N276" s="67">
        <f t="shared" si="163"/>
      </c>
      <c r="O276" s="67">
        <f t="shared" si="182"/>
      </c>
      <c r="P276" s="68">
        <f t="shared" si="315"/>
      </c>
      <c r="Q276" s="68">
        <f t="shared" si="277"/>
      </c>
      <c r="R276" s="69">
        <f t="shared" si="68"/>
      </c>
      <c r="S276" s="70">
        <f t="shared" si="30"/>
      </c>
      <c r="T276" s="68">
        <f t="shared" si="144"/>
      </c>
      <c r="U276" s="68">
        <f t="shared" si="106"/>
      </c>
      <c r="V276" s="68">
        <f t="shared" si="239"/>
      </c>
      <c r="W276" s="68">
        <f t="shared" si="201"/>
      </c>
      <c r="X276" s="68"/>
      <c r="Y276" s="71"/>
      <c r="Z276" s="59">
        <f>SUM(Z272:Z275)</f>
      </c>
      <c r="AA276" s="59">
        <f>SUM(AA272:AA275)</f>
      </c>
      <c r="AB276" s="59">
        <f>SUM(AB272:AB275)</f>
      </c>
      <c r="AC276" s="59">
        <f>SUM(AC272:AC275)</f>
      </c>
      <c r="AD276" s="59">
        <f>SUM(AD272:AD275)</f>
      </c>
      <c r="AE276" s="59">
        <f>SUM(AE272:AE275)</f>
      </c>
      <c r="AF276" s="59">
        <f>SUM(AF272:AF275)</f>
      </c>
      <c r="AG276" s="59">
        <f>SUM(AG272:AG275)</f>
      </c>
      <c r="AH276" s="59">
        <f>SUM(AH272:AH275)</f>
      </c>
      <c r="AI276" s="59">
        <f>SUM(AI272:AI275)</f>
      </c>
      <c r="AJ276" s="24"/>
      <c r="AK276" s="24"/>
      <c r="AL276" s="24"/>
    </row>
    <row customHeight="true" ht="16.071428571428573" r="277">
      <c r="A277" s="25"/>
      <c r="B277" s="72" t="s">
        <v>64</v>
      </c>
      <c r="C277" s="38" t="s">
        <v>51</v>
      </c>
      <c r="D277" s="57">
        <v>1624.248</v>
      </c>
      <c r="E277" s="45">
        <v>2</v>
      </c>
      <c r="F277" s="47">
        <f t="shared" si="296"/>
      </c>
      <c r="G277" s="23">
        <v>456</v>
      </c>
      <c r="H277" s="49">
        <f t="shared" si="258"/>
      </c>
      <c r="I277" s="50">
        <f t="shared" si="49"/>
      </c>
      <c r="J277" s="51">
        <f t="shared" si="11"/>
      </c>
      <c r="K277" s="52">
        <f t="shared" si="125"/>
      </c>
      <c r="L277" s="53">
        <f t="shared" si="87"/>
      </c>
      <c r="M277" s="54">
        <f t="shared" si="220"/>
      </c>
      <c r="N277" s="55">
        <f t="shared" si="163"/>
      </c>
      <c r="O277" s="55">
        <f t="shared" si="182"/>
      </c>
      <c r="P277" s="55">
        <f t="shared" si="315"/>
      </c>
      <c r="Q277" s="55">
        <f t="shared" si="277"/>
      </c>
      <c r="R277" s="54">
        <f t="shared" si="68"/>
      </c>
      <c r="S277" s="56">
        <f t="shared" si="30"/>
      </c>
      <c r="T277" s="55">
        <f t="shared" si="144"/>
      </c>
      <c r="U277" s="55">
        <f t="shared" si="106"/>
      </c>
      <c r="V277" s="55">
        <f t="shared" si="239"/>
      </c>
      <c r="W277" s="55">
        <f t="shared" si="201"/>
      </c>
      <c r="X277" s="38" t="s">
        <v>52</v>
      </c>
      <c r="Y277" s="86" t="s">
        <v>54</v>
      </c>
      <c r="Z277" s="40">
        <v>57439</v>
      </c>
      <c r="AA277" s="40">
        <v>6691</v>
      </c>
      <c r="AB277" s="40">
        <v>88269</v>
      </c>
      <c r="AC277" s="40">
        <v>225</v>
      </c>
      <c r="AD277" s="40">
        <v>2</v>
      </c>
      <c r="AE277" s="40">
        <v>5389</v>
      </c>
      <c r="AF277" s="41">
        <v>111</v>
      </c>
      <c r="AG277" s="41">
        <v>12</v>
      </c>
      <c r="AH277" s="41">
        <v>8</v>
      </c>
      <c r="AI277" s="42">
        <v>0</v>
      </c>
      <c r="AJ277" s="24"/>
      <c r="AK277" s="24"/>
      <c r="AL277" s="24"/>
    </row>
    <row r="278">
      <c r="A278" s="25"/>
      <c r="B278" s="72" t="s">
        <v>64</v>
      </c>
      <c r="C278" s="78" t="s">
        <v>53</v>
      </c>
      <c r="D278" s="84">
        <v>1536.554</v>
      </c>
      <c r="E278" s="45">
        <v>4</v>
      </c>
      <c r="F278" s="30">
        <f t="shared" si="296"/>
      </c>
      <c r="G278" s="45">
        <v>2637.5999999999985</v>
      </c>
      <c r="H278" s="49">
        <f t="shared" si="258"/>
      </c>
      <c r="I278" s="33">
        <f t="shared" si="49"/>
      </c>
      <c r="J278" s="34">
        <f t="shared" si="11"/>
      </c>
      <c r="K278" s="35">
        <f t="shared" si="125"/>
      </c>
      <c r="L278" s="79">
        <f t="shared" si="87"/>
      </c>
      <c r="M278" s="54">
        <f t="shared" si="220"/>
      </c>
      <c r="N278" s="55">
        <f t="shared" si="163"/>
      </c>
      <c r="O278" s="55">
        <f t="shared" si="182"/>
      </c>
      <c r="P278" s="55">
        <f t="shared" si="315"/>
      </c>
      <c r="Q278" s="55">
        <f t="shared" si="277"/>
      </c>
      <c r="R278" s="54">
        <f t="shared" si="68"/>
      </c>
      <c r="S278" s="56">
        <f t="shared" si="30"/>
      </c>
      <c r="T278" s="55">
        <f t="shared" si="144"/>
      </c>
      <c r="U278" s="55">
        <f t="shared" si="106"/>
      </c>
      <c r="V278" s="55">
        <f t="shared" si="239"/>
      </c>
      <c r="W278" s="55">
        <f t="shared" si="201"/>
      </c>
      <c r="X278" s="38" t="s">
        <v>52</v>
      </c>
      <c r="Y278" s="39" t="s">
        <v>39</v>
      </c>
      <c r="Z278" s="41">
        <v>59321</v>
      </c>
      <c r="AA278" s="41">
        <v>7700</v>
      </c>
      <c r="AB278" s="41">
        <v>83692</v>
      </c>
      <c r="AC278" s="41">
        <v>285</v>
      </c>
      <c r="AD278" s="41">
        <v>3</v>
      </c>
      <c r="AE278" s="41">
        <v>5431</v>
      </c>
      <c r="AF278" s="41">
        <v>132</v>
      </c>
      <c r="AG278" s="41">
        <v>14</v>
      </c>
      <c r="AH278" s="41">
        <v>3</v>
      </c>
      <c r="AI278" s="42">
        <v>0</v>
      </c>
      <c r="AJ278" s="24"/>
      <c r="AK278" s="24"/>
      <c r="AL278" s="24"/>
    </row>
    <row r="279">
      <c r="A279" s="25"/>
      <c r="B279" s="72" t="s">
        <v>64</v>
      </c>
      <c r="C279" s="78" t="s">
        <v>55</v>
      </c>
      <c r="D279" s="85">
        <v>2293.913</v>
      </c>
      <c r="E279" s="45">
        <v>4</v>
      </c>
      <c r="F279" s="30">
        <f t="shared" si="296"/>
      </c>
      <c r="G279" s="45">
        <v>1512.0000000000018</v>
      </c>
      <c r="H279" s="49">
        <f t="shared" si="258"/>
      </c>
      <c r="I279" s="33">
        <f t="shared" si="49"/>
      </c>
      <c r="J279" s="34">
        <f t="shared" si="11"/>
      </c>
      <c r="K279" s="35">
        <f t="shared" si="125"/>
      </c>
      <c r="L279" s="79">
        <f t="shared" si="87"/>
      </c>
      <c r="M279" s="54">
        <f t="shared" si="220"/>
      </c>
      <c r="N279" s="55">
        <f t="shared" si="163"/>
      </c>
      <c r="O279" s="55">
        <f t="shared" si="182"/>
      </c>
      <c r="P279" s="55">
        <f t="shared" si="315"/>
      </c>
      <c r="Q279" s="55">
        <f t="shared" si="277"/>
      </c>
      <c r="R279" s="54">
        <f t="shared" si="68"/>
      </c>
      <c r="S279" s="56">
        <f t="shared" si="30"/>
      </c>
      <c r="T279" s="55">
        <f t="shared" si="144"/>
      </c>
      <c r="U279" s="55">
        <f t="shared" si="106"/>
      </c>
      <c r="V279" s="55">
        <f t="shared" si="239"/>
      </c>
      <c r="W279" s="55">
        <f t="shared" si="201"/>
      </c>
      <c r="X279" s="38" t="s">
        <v>52</v>
      </c>
      <c r="Y279" s="39" t="s">
        <v>39</v>
      </c>
      <c r="Z279" s="41">
        <v>73938</v>
      </c>
      <c r="AA279" s="41">
        <v>11607</v>
      </c>
      <c r="AB279" s="41">
        <v>130196</v>
      </c>
      <c r="AC279" s="41">
        <v>371</v>
      </c>
      <c r="AD279" s="41">
        <v>3</v>
      </c>
      <c r="AE279" s="41">
        <v>9407</v>
      </c>
      <c r="AF279" s="41">
        <v>171</v>
      </c>
      <c r="AG279" s="41">
        <v>25</v>
      </c>
      <c r="AH279" s="41">
        <v>1</v>
      </c>
      <c r="AI279" s="42">
        <v>0</v>
      </c>
      <c r="AJ279" s="24"/>
      <c r="AK279" s="24"/>
      <c r="AL279" s="24"/>
    </row>
    <row r="280">
      <c r="A280" s="25"/>
      <c r="B280" s="72" t="s">
        <v>64</v>
      </c>
      <c r="C280" s="78" t="s">
        <v>56</v>
      </c>
      <c r="D280" s="85">
        <v>2423.381</v>
      </c>
      <c r="E280" s="45">
        <v>2</v>
      </c>
      <c r="F280" s="30">
        <f t="shared" si="296"/>
      </c>
      <c r="G280" s="45">
        <v>392</v>
      </c>
      <c r="H280" s="49">
        <f t="shared" si="258"/>
      </c>
      <c r="I280" s="33">
        <f t="shared" si="49"/>
      </c>
      <c r="J280" s="34">
        <f t="shared" si="11"/>
      </c>
      <c r="K280" s="35">
        <f t="shared" si="125"/>
      </c>
      <c r="L280" s="79">
        <f t="shared" si="87"/>
      </c>
      <c r="M280" s="54">
        <f t="shared" si="220"/>
      </c>
      <c r="N280" s="55">
        <f t="shared" si="163"/>
      </c>
      <c r="O280" s="55">
        <f t="shared" si="182"/>
      </c>
      <c r="P280" s="55">
        <f t="shared" si="315"/>
      </c>
      <c r="Q280" s="55">
        <f t="shared" si="277"/>
      </c>
      <c r="R280" s="54">
        <f t="shared" si="68"/>
      </c>
      <c r="S280" s="56">
        <f t="shared" si="30"/>
      </c>
      <c r="T280" s="55">
        <f t="shared" si="144"/>
      </c>
      <c r="U280" s="55">
        <f t="shared" si="106"/>
      </c>
      <c r="V280" s="55">
        <f t="shared" si="239"/>
      </c>
      <c r="W280" s="55">
        <f t="shared" si="201"/>
      </c>
      <c r="X280" s="38" t="s">
        <v>52</v>
      </c>
      <c r="Y280" s="39" t="s">
        <v>39</v>
      </c>
      <c r="Z280" s="41">
        <v>86581</v>
      </c>
      <c r="AA280" s="41">
        <v>11546</v>
      </c>
      <c r="AB280" s="41">
        <v>148267</v>
      </c>
      <c r="AC280" s="41">
        <v>497</v>
      </c>
      <c r="AD280" s="41">
        <v>2</v>
      </c>
      <c r="AE280" s="41">
        <v>9724</v>
      </c>
      <c r="AF280" s="41">
        <v>172</v>
      </c>
      <c r="AG280" s="41">
        <v>21</v>
      </c>
      <c r="AH280" s="41">
        <v>5</v>
      </c>
      <c r="AI280" s="42">
        <v>0</v>
      </c>
      <c r="AJ280" s="24"/>
      <c r="AK280" s="24"/>
      <c r="AL280" s="24"/>
    </row>
    <row r="281">
      <c r="A281" s="25"/>
      <c r="B281" s="58" t="s">
        <v>44</v>
      </c>
      <c r="C281" s="58"/>
      <c r="D281" s="59">
        <f>SUM(D277:D280)</f>
      </c>
      <c r="E281" s="59">
        <f>SUM(E277:E280)</f>
      </c>
      <c r="F281" s="70">
        <f t="shared" si="296"/>
      </c>
      <c r="G281" s="80">
        <f>SUM(G277:G280)</f>
      </c>
      <c r="H281" s="81">
        <f t="shared" si="258"/>
      </c>
      <c r="I281" s="82">
        <f t="shared" si="49"/>
      </c>
      <c r="J281" s="69">
        <f t="shared" si="11"/>
      </c>
      <c r="K281" s="70">
        <f t="shared" si="125"/>
      </c>
      <c r="L281" s="83">
        <f t="shared" si="87"/>
      </c>
      <c r="M281" s="69">
        <f t="shared" si="220"/>
      </c>
      <c r="N281" s="68">
        <f t="shared" si="163"/>
      </c>
      <c r="O281" s="68">
        <f t="shared" si="182"/>
      </c>
      <c r="P281" s="68">
        <f t="shared" si="315"/>
      </c>
      <c r="Q281" s="68">
        <f t="shared" si="277"/>
      </c>
      <c r="R281" s="69">
        <f t="shared" si="68"/>
      </c>
      <c r="S281" s="70">
        <f t="shared" si="30"/>
      </c>
      <c r="T281" s="68">
        <f t="shared" si="144"/>
      </c>
      <c r="U281" s="68">
        <f t="shared" si="106"/>
      </c>
      <c r="V281" s="68">
        <f t="shared" si="239"/>
      </c>
      <c r="W281" s="68">
        <f t="shared" si="201"/>
      </c>
      <c r="X281" s="68"/>
      <c r="Y281" s="71"/>
      <c r="Z281" s="59">
        <f>SUM(Z277:Z280)</f>
      </c>
      <c r="AA281" s="59">
        <f>SUM(AA277:AA280)</f>
      </c>
      <c r="AB281" s="59">
        <f>SUM(AB277:AB280)</f>
      </c>
      <c r="AC281" s="59">
        <f>SUM(AC277:AC280)</f>
      </c>
      <c r="AD281" s="59">
        <f>SUM(AD277:AD280)</f>
      </c>
      <c r="AE281" s="59">
        <f>SUM(AE277:AE280)</f>
      </c>
      <c r="AF281" s="59">
        <f>SUM(AF277:AF280)</f>
      </c>
      <c r="AG281" s="59">
        <f>SUM(AG277:AG280)</f>
      </c>
      <c r="AH281" s="59">
        <f>SUM(AH277:AH280)</f>
      </c>
      <c r="AI281" s="59">
        <f>SUM(AI277:AI280)</f>
      </c>
      <c r="AJ281" s="24"/>
      <c r="AK281" s="24"/>
      <c r="AL281" s="24"/>
    </row>
    <row customHeight="true" ht="16.071428571428573" r="282">
      <c r="A282" s="25"/>
      <c r="B282" s="72" t="s">
        <v>57</v>
      </c>
      <c r="C282" s="78" t="s">
        <v>58</v>
      </c>
      <c r="D282" s="57">
        <v>2290.894</v>
      </c>
      <c r="E282" s="45">
        <v>6</v>
      </c>
      <c r="F282" s="30">
        <f t="shared" si="296"/>
      </c>
      <c r="G282" s="23">
        <v>1935.9999999999982</v>
      </c>
      <c r="H282" s="49">
        <f t="shared" si="258"/>
      </c>
      <c r="I282" s="33">
        <f t="shared" si="49"/>
      </c>
      <c r="J282" s="34">
        <f t="shared" si="11"/>
      </c>
      <c r="K282" s="35">
        <f t="shared" si="125"/>
      </c>
      <c r="L282" s="79">
        <f t="shared" si="87"/>
      </c>
      <c r="M282" s="54">
        <f t="shared" si="220"/>
      </c>
      <c r="N282" s="55">
        <f t="shared" si="163"/>
      </c>
      <c r="O282" s="55">
        <f t="shared" si="182"/>
      </c>
      <c r="P282" s="55">
        <f t="shared" si="315"/>
      </c>
      <c r="Q282" s="55">
        <f t="shared" si="277"/>
      </c>
      <c r="R282" s="54">
        <f t="shared" si="68"/>
      </c>
      <c r="S282" s="56">
        <f t="shared" si="30"/>
      </c>
      <c r="T282" s="55">
        <f t="shared" si="144"/>
      </c>
      <c r="U282" s="55">
        <f t="shared" si="106"/>
      </c>
      <c r="V282" s="55">
        <f t="shared" si="239"/>
      </c>
      <c r="W282" s="55">
        <f t="shared" si="201"/>
      </c>
      <c r="X282" s="38" t="s">
        <v>52</v>
      </c>
      <c r="Y282" s="86" t="s">
        <v>39</v>
      </c>
      <c r="Z282" s="41">
        <v>68380</v>
      </c>
      <c r="AA282" s="41">
        <v>3192</v>
      </c>
      <c r="AB282" s="41">
        <v>138024</v>
      </c>
      <c r="AC282" s="41">
        <v>378</v>
      </c>
      <c r="AD282" s="41">
        <v>7</v>
      </c>
      <c r="AE282" s="41">
        <v>6063</v>
      </c>
      <c r="AF282" s="41">
        <v>97</v>
      </c>
      <c r="AG282" s="41">
        <v>17</v>
      </c>
      <c r="AH282" s="41">
        <v>6</v>
      </c>
      <c r="AI282" s="42">
        <v>0</v>
      </c>
      <c r="AJ282" s="24"/>
      <c r="AK282" s="24"/>
      <c r="AL282" s="24"/>
    </row>
    <row r="283">
      <c r="A283" s="25"/>
      <c r="B283" s="72" t="s">
        <v>57</v>
      </c>
      <c r="C283" s="78" t="s">
        <v>59</v>
      </c>
      <c r="D283" s="85">
        <v>4216.902</v>
      </c>
      <c r="E283" s="45">
        <v>8</v>
      </c>
      <c r="F283" s="30">
        <f t="shared" si="296"/>
      </c>
      <c r="G283" s="45">
        <v>2385.600000000002</v>
      </c>
      <c r="H283" s="49">
        <f t="shared" si="258"/>
      </c>
      <c r="I283" s="33">
        <f t="shared" si="49"/>
      </c>
      <c r="J283" s="34">
        <f t="shared" si="11"/>
      </c>
      <c r="K283" s="35">
        <f t="shared" si="125"/>
      </c>
      <c r="L283" s="79">
        <f t="shared" si="87"/>
      </c>
      <c r="M283" s="54">
        <f t="shared" si="220"/>
      </c>
      <c r="N283" s="55">
        <f t="shared" si="163"/>
      </c>
      <c r="O283" s="55">
        <f t="shared" si="182"/>
      </c>
      <c r="P283" s="55">
        <f t="shared" si="315"/>
      </c>
      <c r="Q283" s="55">
        <f t="shared" si="277"/>
      </c>
      <c r="R283" s="54">
        <f t="shared" si="68"/>
      </c>
      <c r="S283" s="56">
        <f t="shared" si="30"/>
      </c>
      <c r="T283" s="55">
        <f t="shared" si="144"/>
      </c>
      <c r="U283" s="55">
        <f t="shared" si="106"/>
      </c>
      <c r="V283" s="55">
        <f t="shared" si="239"/>
      </c>
      <c r="W283" s="55">
        <f t="shared" si="201"/>
      </c>
      <c r="X283" s="38" t="s">
        <v>52</v>
      </c>
      <c r="Y283" s="39" t="s">
        <v>39</v>
      </c>
      <c r="Z283" s="41">
        <v>130184</v>
      </c>
      <c r="AA283" s="41">
        <v>5424</v>
      </c>
      <c r="AB283" s="41">
        <v>303326</v>
      </c>
      <c r="AC283" s="41">
        <v>527</v>
      </c>
      <c r="AD283" s="41">
        <v>5</v>
      </c>
      <c r="AE283" s="41">
        <v>12003</v>
      </c>
      <c r="AF283" s="41">
        <v>109</v>
      </c>
      <c r="AG283" s="41">
        <v>29</v>
      </c>
      <c r="AH283" s="41">
        <v>14</v>
      </c>
      <c r="AI283" s="42">
        <v>1</v>
      </c>
      <c r="AJ283" s="24"/>
      <c r="AK283" s="24"/>
      <c r="AL283" s="24"/>
    </row>
    <row r="284">
      <c r="A284" s="25"/>
      <c r="B284" s="72" t="s">
        <v>57</v>
      </c>
      <c r="C284" s="78" t="s">
        <v>60</v>
      </c>
      <c r="D284" s="85">
        <v>4006.141</v>
      </c>
      <c r="E284" s="45">
        <v>13</v>
      </c>
      <c r="F284" s="30">
        <f t="shared" si="296"/>
      </c>
      <c r="G284" s="45">
        <v>4699.600000000006</v>
      </c>
      <c r="H284" s="49">
        <f t="shared" si="258"/>
      </c>
      <c r="I284" s="33">
        <f t="shared" si="49"/>
      </c>
      <c r="J284" s="34">
        <f t="shared" si="11"/>
      </c>
      <c r="K284" s="35">
        <f t="shared" si="125"/>
      </c>
      <c r="L284" s="79">
        <f t="shared" si="87"/>
      </c>
      <c r="M284" s="54">
        <f t="shared" si="220"/>
      </c>
      <c r="N284" s="55">
        <f t="shared" si="163"/>
      </c>
      <c r="O284" s="55">
        <f t="shared" si="182"/>
      </c>
      <c r="P284" s="55">
        <f t="shared" si="315"/>
      </c>
      <c r="Q284" s="55">
        <f t="shared" si="277"/>
      </c>
      <c r="R284" s="54">
        <f t="shared" si="68"/>
      </c>
      <c r="S284" s="56">
        <f t="shared" si="30"/>
      </c>
      <c r="T284" s="55">
        <f t="shared" si="144"/>
      </c>
      <c r="U284" s="55">
        <f t="shared" si="106"/>
      </c>
      <c r="V284" s="55">
        <f t="shared" si="239"/>
      </c>
      <c r="W284" s="55">
        <f t="shared" si="201"/>
      </c>
      <c r="X284" s="38" t="s">
        <v>52</v>
      </c>
      <c r="Y284" s="39" t="s">
        <v>39</v>
      </c>
      <c r="Z284" s="41">
        <v>132067</v>
      </c>
      <c r="AA284" s="41">
        <v>5078</v>
      </c>
      <c r="AB284" s="41">
        <v>277418</v>
      </c>
      <c r="AC284" s="41">
        <v>477</v>
      </c>
      <c r="AD284" s="41">
        <v>10</v>
      </c>
      <c r="AE284" s="41">
        <v>11368</v>
      </c>
      <c r="AF284" s="41">
        <v>116</v>
      </c>
      <c r="AG284" s="41">
        <v>38</v>
      </c>
      <c r="AH284" s="41">
        <v>6</v>
      </c>
      <c r="AI284" s="42">
        <v>3</v>
      </c>
      <c r="AJ284" s="24"/>
      <c r="AK284" s="24"/>
      <c r="AL284" s="24"/>
    </row>
    <row r="285">
      <c r="A285" s="25"/>
      <c r="B285" s="72" t="s">
        <v>57</v>
      </c>
      <c r="C285" s="78" t="s">
        <v>61</v>
      </c>
      <c r="D285" s="85">
        <v>5091.583</v>
      </c>
      <c r="E285" s="45">
        <v>22</v>
      </c>
      <c r="F285" s="30">
        <f t="shared" si="296"/>
      </c>
      <c r="G285" s="45">
        <v>7712</v>
      </c>
      <c r="H285" s="49">
        <f t="shared" si="258"/>
      </c>
      <c r="I285" s="33">
        <f t="shared" si="49"/>
      </c>
      <c r="J285" s="34">
        <f t="shared" si="11"/>
      </c>
      <c r="K285" s="35">
        <f t="shared" si="125"/>
      </c>
      <c r="L285" s="79">
        <f t="shared" si="87"/>
      </c>
      <c r="M285" s="54">
        <f t="shared" si="220"/>
      </c>
      <c r="N285" s="55">
        <f t="shared" si="163"/>
      </c>
      <c r="O285" s="55">
        <f t="shared" si="182"/>
      </c>
      <c r="P285" s="55">
        <f t="shared" si="315"/>
      </c>
      <c r="Q285" s="55">
        <f t="shared" si="277"/>
      </c>
      <c r="R285" s="54">
        <f t="shared" si="68"/>
      </c>
      <c r="S285" s="56">
        <f t="shared" si="30"/>
      </c>
      <c r="T285" s="55">
        <f t="shared" si="144"/>
      </c>
      <c r="U285" s="55">
        <f t="shared" si="106"/>
      </c>
      <c r="V285" s="55">
        <f t="shared" si="239"/>
      </c>
      <c r="W285" s="55">
        <f t="shared" si="201"/>
      </c>
      <c r="X285" s="38" t="s">
        <v>52</v>
      </c>
      <c r="Y285" s="39" t="s">
        <v>39</v>
      </c>
      <c r="Z285" s="41">
        <v>164112</v>
      </c>
      <c r="AA285" s="41">
        <v>7524</v>
      </c>
      <c r="AB285" s="41">
        <v>383649</v>
      </c>
      <c r="AC285" s="41">
        <v>666</v>
      </c>
      <c r="AD285" s="41">
        <v>15</v>
      </c>
      <c r="AE285" s="41">
        <v>16420</v>
      </c>
      <c r="AF285" s="41">
        <v>100</v>
      </c>
      <c r="AG285" s="41">
        <v>55</v>
      </c>
      <c r="AH285" s="41">
        <v>19</v>
      </c>
      <c r="AI285" s="42">
        <v>7</v>
      </c>
      <c r="AJ285" s="24"/>
      <c r="AK285" s="24"/>
      <c r="AL285" s="24"/>
    </row>
    <row r="286">
      <c r="A286" s="25"/>
      <c r="B286" s="72" t="s">
        <v>57</v>
      </c>
      <c r="C286" s="78" t="s">
        <v>62</v>
      </c>
      <c r="D286" s="85">
        <v>681.682</v>
      </c>
      <c r="E286" s="45">
        <v>2</v>
      </c>
      <c r="F286" s="47">
        <f t="shared" si="296"/>
      </c>
      <c r="G286" s="45">
        <v>456</v>
      </c>
      <c r="H286" s="49">
        <f t="shared" si="258"/>
      </c>
      <c r="I286" s="50">
        <f t="shared" si="49"/>
      </c>
      <c r="J286" s="51">
        <f t="shared" si="11"/>
      </c>
      <c r="K286" s="52">
        <f t="shared" si="125"/>
      </c>
      <c r="L286" s="53">
        <f t="shared" si="87"/>
      </c>
      <c r="M286" s="54">
        <f t="shared" si="220"/>
      </c>
      <c r="N286" s="55">
        <f t="shared" si="163"/>
      </c>
      <c r="O286" s="55">
        <f t="shared" si="182"/>
      </c>
      <c r="P286" s="55">
        <f t="shared" si="315"/>
      </c>
      <c r="Q286" s="55">
        <f t="shared" si="277"/>
      </c>
      <c r="R286" s="54">
        <f t="shared" si="68"/>
      </c>
      <c r="S286" s="56">
        <f t="shared" si="30"/>
      </c>
      <c r="T286" s="55">
        <f t="shared" si="144"/>
      </c>
      <c r="U286" s="55">
        <f t="shared" si="106"/>
      </c>
      <c r="V286" s="55">
        <f t="shared" si="239"/>
      </c>
      <c r="W286" s="55">
        <f t="shared" si="201"/>
      </c>
      <c r="X286" s="38" t="s">
        <v>52</v>
      </c>
      <c r="Y286" s="39" t="s">
        <v>39</v>
      </c>
      <c r="Z286" s="40">
        <v>30541</v>
      </c>
      <c r="AA286" s="40">
        <v>3271</v>
      </c>
      <c r="AB286" s="40">
        <v>51821</v>
      </c>
      <c r="AC286" s="40">
        <v>52</v>
      </c>
      <c r="AD286" s="40">
        <v>2</v>
      </c>
      <c r="AE286" s="40">
        <v>2565</v>
      </c>
      <c r="AF286" s="41">
        <v>39</v>
      </c>
      <c r="AG286" s="41">
        <v>13</v>
      </c>
      <c r="AH286" s="41">
        <v>3</v>
      </c>
      <c r="AI286" s="42">
        <v>0</v>
      </c>
      <c r="AJ286" s="24"/>
      <c r="AK286" s="24"/>
      <c r="AL286" s="24"/>
    </row>
    <row r="287">
      <c r="A287" s="25"/>
      <c r="B287" s="58" t="s">
        <v>44</v>
      </c>
      <c r="C287" s="58"/>
      <c r="D287" s="59">
        <f>SUM(D282:D286)</f>
      </c>
      <c r="E287" s="59">
        <f>SUM(E282:E286)</f>
      </c>
      <c r="F287" s="61">
        <f t="shared" si="296"/>
      </c>
      <c r="G287" s="62">
        <f>SUM(G282:G286)</f>
      </c>
      <c r="H287" s="63">
        <f t="shared" si="258"/>
      </c>
      <c r="I287" s="64">
        <f t="shared" si="49"/>
      </c>
      <c r="J287" s="65">
        <f t="shared" si="11"/>
      </c>
      <c r="K287" s="61">
        <f t="shared" si="125"/>
      </c>
      <c r="L287" s="66">
        <f t="shared" si="87"/>
      </c>
      <c r="M287" s="65">
        <f t="shared" si="220"/>
      </c>
      <c r="N287" s="67">
        <f t="shared" si="163"/>
      </c>
      <c r="O287" s="67">
        <f t="shared" si="182"/>
      </c>
      <c r="P287" s="68">
        <f t="shared" si="315"/>
      </c>
      <c r="Q287" s="68">
        <f t="shared" si="277"/>
      </c>
      <c r="R287" s="69">
        <f t="shared" si="68"/>
      </c>
      <c r="S287" s="70">
        <f t="shared" si="30"/>
      </c>
      <c r="T287" s="68">
        <f t="shared" si="144"/>
      </c>
      <c r="U287" s="68">
        <f t="shared" si="106"/>
      </c>
      <c r="V287" s="68">
        <f t="shared" si="239"/>
      </c>
      <c r="W287" s="68">
        <f t="shared" si="201"/>
      </c>
      <c r="X287" s="68"/>
      <c r="Y287" s="71"/>
      <c r="Z287" s="59">
        <f>SUM(Z282:Z286)</f>
      </c>
      <c r="AA287" s="59">
        <f>SUM(AA282:AA286)</f>
      </c>
      <c r="AB287" s="59">
        <f>SUM(AB282:AB286)</f>
      </c>
      <c r="AC287" s="59">
        <f>SUM(AC282:AC286)</f>
      </c>
      <c r="AD287" s="59">
        <f>SUM(AD282:AD286)</f>
      </c>
      <c r="AE287" s="59">
        <f>SUM(AE282:AE286)</f>
      </c>
      <c r="AF287" s="59">
        <f>SUM(AF282:AF286)</f>
      </c>
      <c r="AG287" s="59">
        <f>SUM(AG282:AG286)</f>
      </c>
      <c r="AH287" s="59">
        <f>SUM(AH282:AH286)</f>
      </c>
      <c r="AI287" s="59">
        <f>SUM(AI282:AI286)</f>
      </c>
      <c r="AJ287" s="24"/>
      <c r="AK287" s="24"/>
      <c r="AL287" s="24"/>
    </row>
    <row r="288">
      <c r="A288" s="25"/>
      <c r="B288" s="89" t="s">
        <v>63</v>
      </c>
      <c r="C288" s="89"/>
      <c r="D288" s="90">
        <f>SUM(D287+D271+D276+D281)</f>
      </c>
      <c r="E288" s="91">
        <f>SUM(E287+E271+E276+E281)</f>
      </c>
      <c r="F288" s="92">
        <f t="shared" si="296"/>
      </c>
      <c r="G288" s="93">
        <f>SUM(G287+G271+G276+G281)</f>
      </c>
      <c r="H288" s="94">
        <f t="shared" si="258"/>
      </c>
      <c r="I288" s="95">
        <f t="shared" si="49"/>
      </c>
      <c r="J288" s="96">
        <f t="shared" si="11"/>
      </c>
      <c r="K288" s="92">
        <f t="shared" si="125"/>
      </c>
      <c r="L288" s="97">
        <f t="shared" si="87"/>
      </c>
      <c r="M288" s="97">
        <f t="shared" si="220"/>
      </c>
      <c r="N288" s="98">
        <f t="shared" si="163"/>
      </c>
      <c r="O288" s="98">
        <f t="shared" si="182"/>
      </c>
      <c r="P288" s="98">
        <f t="shared" si="315"/>
      </c>
      <c r="Q288" s="98">
        <f t="shared" si="277"/>
      </c>
      <c r="R288" s="99">
        <f t="shared" si="68"/>
      </c>
      <c r="S288" s="100">
        <f t="shared" si="30"/>
      </c>
      <c r="T288" s="101">
        <f t="shared" si="144"/>
      </c>
      <c r="U288" s="101">
        <f t="shared" si="106"/>
      </c>
      <c r="V288" s="101">
        <f t="shared" si="239"/>
      </c>
      <c r="W288" s="101">
        <f t="shared" si="201"/>
      </c>
      <c r="X288" s="101"/>
      <c r="Y288" s="102"/>
      <c r="Z288" s="103">
        <f>SUM(Z271+Z287+Z276+Z281)</f>
      </c>
      <c r="AA288" s="103">
        <f>SUM(AA271+AA287+AA276+AA281)</f>
      </c>
      <c r="AB288" s="103">
        <f>SUM(AB271+AB287+AB276+AB281)</f>
      </c>
      <c r="AC288" s="103">
        <f>SUM(AC271+AC287+AC276+AC281)</f>
      </c>
      <c r="AD288" s="103">
        <f>SUM(AD271+AD287+AD276+AD281)</f>
      </c>
      <c r="AE288" s="103">
        <f>SUM(AE271+AE287+AE276+AE281)</f>
      </c>
      <c r="AF288" s="103">
        <f>SUM(AF271+AF287+AF276+AF281)</f>
      </c>
      <c r="AG288" s="103">
        <f>SUM(AG271+AG287+AG276+AG281)</f>
      </c>
      <c r="AH288" s="103">
        <f>SUM(AH271+AH287+AH276+AH281)</f>
      </c>
      <c r="AI288" s="103">
        <f>SUM(AI271+AI287+AI276+AI281)</f>
      </c>
      <c r="AJ288" s="24"/>
      <c r="AK288" s="24"/>
      <c r="AL288" s="24"/>
    </row>
    <row r="289">
      <c r="A289" s="1" t="s">
        <v>1</v>
      </c>
      <c r="B289" s="2" t="s">
        <v>2</v>
      </c>
      <c r="C289" s="3" t="s">
        <v>3</v>
      </c>
      <c r="D289" s="4" t="s">
        <v>4</v>
      </c>
      <c r="E289" s="5" t="s">
        <v>5</v>
      </c>
      <c r="F289" s="6" t="s">
        <v>6</v>
      </c>
      <c r="G289" s="7" t="s">
        <v>7</v>
      </c>
      <c r="H289" s="8" t="s">
        <v>8</v>
      </c>
      <c r="I289" s="9" t="s">
        <v>9</v>
      </c>
      <c r="J289" s="10" t="s">
        <v>10</v>
      </c>
      <c r="K289" s="11" t="s">
        <v>11</v>
      </c>
      <c r="L289" s="12" t="s">
        <v>12</v>
      </c>
      <c r="M289" s="12" t="s">
        <v>13</v>
      </c>
      <c r="N289" s="13" t="s">
        <v>14</v>
      </c>
      <c r="O289" s="13" t="s">
        <v>15</v>
      </c>
      <c r="P289" s="13" t="s">
        <v>16</v>
      </c>
      <c r="Q289" s="13" t="s">
        <v>17</v>
      </c>
      <c r="R289" s="14" t="s">
        <v>18</v>
      </c>
      <c r="S289" s="15" t="s">
        <v>19</v>
      </c>
      <c r="T289" s="16" t="s">
        <v>20</v>
      </c>
      <c r="U289" s="16" t="s">
        <v>21</v>
      </c>
      <c r="V289" s="16" t="s">
        <v>22</v>
      </c>
      <c r="W289" s="16" t="s">
        <v>23</v>
      </c>
      <c r="X289" s="17" t="s">
        <v>24</v>
      </c>
      <c r="Y289" s="18" t="s">
        <v>25</v>
      </c>
      <c r="Z289" s="19" t="s">
        <v>26</v>
      </c>
      <c r="AA289" s="19" t="s">
        <v>27</v>
      </c>
      <c r="AB289" s="19" t="s">
        <v>28</v>
      </c>
      <c r="AC289" s="20" t="s">
        <v>29</v>
      </c>
      <c r="AD289" s="20" t="s">
        <v>30</v>
      </c>
      <c r="AE289" s="21" t="s">
        <v>31</v>
      </c>
      <c r="AF289" s="20" t="s">
        <v>32</v>
      </c>
      <c r="AG289" s="20" t="s">
        <v>33</v>
      </c>
      <c r="AH289" s="22" t="s">
        <v>34</v>
      </c>
      <c r="AI289" s="23" t="s">
        <v>35</v>
      </c>
      <c r="AJ289" s="24"/>
      <c r="AK289" s="24"/>
      <c r="AL289" s="24"/>
    </row>
    <row r="290">
      <c r="A290" s="25">
        <v>46308</v>
      </c>
      <c r="B290" s="72" t="s">
        <v>50</v>
      </c>
      <c r="C290" s="27" t="s">
        <v>37</v>
      </c>
      <c r="D290" s="104">
        <v>204.515</v>
      </c>
      <c r="E290" s="29">
        <v>1</v>
      </c>
      <c r="F290" s="30">
        <f t="shared" ref="F290:F312" si="297">D290/E290</f>
      </c>
      <c r="G290" s="31">
        <v>228</v>
      </c>
      <c r="H290" s="49">
        <f t="shared" ref="H290:H312" si="259">AD290</f>
      </c>
      <c r="I290" s="33">
        <f t="shared" ref="I290:I312" si="50">D290/AD290</f>
      </c>
      <c r="J290" s="34">
        <f t="shared" ref="J290:J312" si="12">G290/E290</f>
      </c>
      <c r="K290" s="35">
        <f t="shared" ref="K290:K312" si="126">G290/D290</f>
      </c>
      <c r="L290" s="36">
        <f t="shared" ref="L290:L312" si="88">D290/AB290</f>
      </c>
      <c r="M290" s="34">
        <f t="shared" ref="M290:M312" si="221">D290/AC290</f>
      </c>
      <c r="N290" s="37">
        <f t="shared" ref="N290:N312" si="164">AC290/AB290</f>
      </c>
      <c r="O290" s="37">
        <f t="shared" ref="O290:O312" si="183">AD290/AC290</f>
      </c>
      <c r="P290" s="37">
        <f t="shared" ref="P290:P312" si="316">AA290/Z290</f>
      </c>
      <c r="Q290" s="37">
        <f t="shared" ref="Q290:Q312" si="278">AD290/AA290</f>
      </c>
      <c r="R290" s="34">
        <f t="shared" ref="R290:R312" si="69">D290/Z290*1000</f>
      </c>
      <c r="S290" s="35">
        <f t="shared" ref="S290:S312" si="31">D290/AA290</f>
      </c>
      <c r="T290" s="37">
        <f t="shared" ref="T290:T312" si="145">AE290/AB290</f>
      </c>
      <c r="U290" s="37">
        <f t="shared" ref="U290:U312" si="107">AF290/AB290</f>
      </c>
      <c r="V290" s="37">
        <f t="shared" ref="V290:V312" si="240">AG290/AB290</f>
      </c>
      <c r="W290" s="37">
        <f t="shared" ref="W290:W312" si="202">AH290/AB290</f>
      </c>
      <c r="X290" s="38" t="s">
        <v>52</v>
      </c>
      <c r="Y290" s="39" t="s">
        <v>54</v>
      </c>
      <c r="Z290" s="40">
        <v>7434</v>
      </c>
      <c r="AA290" s="40">
        <v>1135</v>
      </c>
      <c r="AB290" s="40">
        <v>8367</v>
      </c>
      <c r="AC290" s="40">
        <v>68</v>
      </c>
      <c r="AD290" s="41">
        <v>1</v>
      </c>
      <c r="AE290" s="40">
        <v>907</v>
      </c>
      <c r="AF290" s="41">
        <v>36</v>
      </c>
      <c r="AG290" s="41">
        <v>2</v>
      </c>
      <c r="AH290" s="41">
        <v>3</v>
      </c>
      <c r="AI290" s="42">
        <v>0</v>
      </c>
      <c r="AJ290" s="24"/>
      <c r="AK290" s="24"/>
      <c r="AL290" s="24"/>
    </row>
    <row r="291">
      <c r="A291" s="25"/>
      <c r="B291" s="72" t="s">
        <v>50</v>
      </c>
      <c r="C291" s="27" t="s">
        <v>40</v>
      </c>
      <c r="D291" s="104">
        <v>1710.695</v>
      </c>
      <c r="E291" s="29">
        <v>0</v>
      </c>
      <c r="F291" s="30">
        <f t="shared" si="297"/>
      </c>
      <c r="G291" s="31">
        <v>0</v>
      </c>
      <c r="H291" s="49">
        <f t="shared" si="259"/>
      </c>
      <c r="I291" s="33">
        <f t="shared" si="50"/>
      </c>
      <c r="J291" s="34">
        <f t="shared" si="12"/>
      </c>
      <c r="K291" s="35">
        <f t="shared" si="126"/>
      </c>
      <c r="L291" s="36">
        <f t="shared" si="88"/>
      </c>
      <c r="M291" s="34">
        <f t="shared" si="221"/>
      </c>
      <c r="N291" s="37">
        <f t="shared" si="164"/>
      </c>
      <c r="O291" s="37">
        <f t="shared" si="183"/>
      </c>
      <c r="P291" s="37">
        <f t="shared" si="316"/>
      </c>
      <c r="Q291" s="37">
        <f t="shared" si="278"/>
      </c>
      <c r="R291" s="34">
        <f t="shared" si="69"/>
      </c>
      <c r="S291" s="35">
        <f t="shared" si="31"/>
      </c>
      <c r="T291" s="37">
        <f t="shared" si="145"/>
      </c>
      <c r="U291" s="37">
        <f t="shared" si="107"/>
      </c>
      <c r="V291" s="37">
        <f t="shared" si="240"/>
      </c>
      <c r="W291" s="37">
        <f t="shared" si="202"/>
      </c>
      <c r="X291" s="38" t="s">
        <v>52</v>
      </c>
      <c r="Y291" s="39" t="s">
        <v>54</v>
      </c>
      <c r="Z291" s="41">
        <v>54449</v>
      </c>
      <c r="AA291" s="40">
        <v>9120</v>
      </c>
      <c r="AB291" s="40">
        <v>92174</v>
      </c>
      <c r="AC291" s="40">
        <v>278</v>
      </c>
      <c r="AD291" s="41">
        <v>0</v>
      </c>
      <c r="AE291" s="40">
        <v>8098</v>
      </c>
      <c r="AF291" s="41">
        <v>128</v>
      </c>
      <c r="AG291" s="41">
        <v>17</v>
      </c>
      <c r="AH291" s="41">
        <v>6</v>
      </c>
      <c r="AI291" s="42">
        <v>0</v>
      </c>
      <c r="AJ291" s="24"/>
      <c r="AK291" s="24"/>
      <c r="AL291" s="24"/>
    </row>
    <row r="292">
      <c r="A292" s="25"/>
      <c r="B292" s="72" t="s">
        <v>50</v>
      </c>
      <c r="C292" s="43" t="s">
        <v>41</v>
      </c>
      <c r="D292" s="84">
        <v>2400.171</v>
      </c>
      <c r="E292" s="45">
        <v>6</v>
      </c>
      <c r="F292" s="30">
        <f t="shared" si="297"/>
      </c>
      <c r="G292" s="45">
        <v>1261.2</v>
      </c>
      <c r="H292" s="49">
        <f t="shared" si="259"/>
      </c>
      <c r="I292" s="33">
        <f t="shared" si="50"/>
      </c>
      <c r="J292" s="34">
        <f t="shared" si="12"/>
      </c>
      <c r="K292" s="35">
        <f t="shared" si="126"/>
      </c>
      <c r="L292" s="36">
        <f t="shared" si="88"/>
      </c>
      <c r="M292" s="34">
        <f t="shared" si="221"/>
      </c>
      <c r="N292" s="37">
        <f t="shared" si="164"/>
      </c>
      <c r="O292" s="37">
        <f t="shared" si="183"/>
      </c>
      <c r="P292" s="37">
        <f t="shared" si="316"/>
      </c>
      <c r="Q292" s="37">
        <f t="shared" si="278"/>
      </c>
      <c r="R292" s="34">
        <f t="shared" si="69"/>
      </c>
      <c r="S292" s="35">
        <f t="shared" si="31"/>
      </c>
      <c r="T292" s="37">
        <f t="shared" si="145"/>
      </c>
      <c r="U292" s="37">
        <f t="shared" si="107"/>
      </c>
      <c r="V292" s="37">
        <f t="shared" si="240"/>
      </c>
      <c r="W292" s="37">
        <f t="shared" si="202"/>
      </c>
      <c r="X292" s="38" t="s">
        <v>52</v>
      </c>
      <c r="Y292" s="39" t="s">
        <v>54</v>
      </c>
      <c r="Z292" s="41">
        <v>80086</v>
      </c>
      <c r="AA292" s="41">
        <v>15746</v>
      </c>
      <c r="AB292" s="41">
        <v>147424</v>
      </c>
      <c r="AC292" s="41">
        <v>414</v>
      </c>
      <c r="AD292" s="41">
        <v>5</v>
      </c>
      <c r="AE292" s="41">
        <v>13800</v>
      </c>
      <c r="AF292" s="41">
        <v>261</v>
      </c>
      <c r="AG292" s="41">
        <v>43</v>
      </c>
      <c r="AH292" s="41">
        <v>6</v>
      </c>
      <c r="AI292" s="42">
        <v>1</v>
      </c>
      <c r="AJ292" s="24"/>
      <c r="AK292" s="24"/>
      <c r="AL292" s="24"/>
    </row>
    <row r="293">
      <c r="A293" s="25"/>
      <c r="B293" s="72" t="s">
        <v>50</v>
      </c>
      <c r="C293" s="46" t="s">
        <v>42</v>
      </c>
      <c r="D293" s="84">
        <v>1696.019</v>
      </c>
      <c r="E293" s="45">
        <v>1</v>
      </c>
      <c r="F293" s="47">
        <f t="shared" si="297"/>
      </c>
      <c r="G293" s="45">
        <v>228</v>
      </c>
      <c r="H293" s="49">
        <f t="shared" si="259"/>
      </c>
      <c r="I293" s="50">
        <f t="shared" si="50"/>
      </c>
      <c r="J293" s="51">
        <f t="shared" si="12"/>
      </c>
      <c r="K293" s="52">
        <f t="shared" si="126"/>
      </c>
      <c r="L293" s="53">
        <f t="shared" si="88"/>
      </c>
      <c r="M293" s="54">
        <f t="shared" si="221"/>
      </c>
      <c r="N293" s="55">
        <f t="shared" si="164"/>
      </c>
      <c r="O293" s="55">
        <f t="shared" si="183"/>
      </c>
      <c r="P293" s="55">
        <f t="shared" si="316"/>
      </c>
      <c r="Q293" s="55">
        <f t="shared" si="278"/>
      </c>
      <c r="R293" s="54">
        <f t="shared" si="69"/>
      </c>
      <c r="S293" s="56">
        <f t="shared" si="31"/>
      </c>
      <c r="T293" s="55">
        <f t="shared" si="145"/>
      </c>
      <c r="U293" s="55">
        <f t="shared" si="107"/>
      </c>
      <c r="V293" s="55">
        <f t="shared" si="240"/>
      </c>
      <c r="W293" s="55">
        <f t="shared" si="202"/>
      </c>
      <c r="X293" s="38" t="s">
        <v>52</v>
      </c>
      <c r="Y293" s="39" t="s">
        <v>54</v>
      </c>
      <c r="Z293" s="40">
        <v>52596</v>
      </c>
      <c r="AA293" s="40">
        <v>9880</v>
      </c>
      <c r="AB293" s="40">
        <v>94631</v>
      </c>
      <c r="AC293" s="40">
        <v>349</v>
      </c>
      <c r="AD293" s="40">
        <v>1</v>
      </c>
      <c r="AE293" s="40">
        <v>8770</v>
      </c>
      <c r="AF293" s="41">
        <v>160</v>
      </c>
      <c r="AG293" s="41">
        <v>18</v>
      </c>
      <c r="AH293" s="41">
        <v>3</v>
      </c>
      <c r="AI293" s="42">
        <v>0</v>
      </c>
      <c r="AJ293" s="24"/>
      <c r="AK293" s="24"/>
      <c r="AL293" s="24"/>
    </row>
    <row r="294">
      <c r="A294" s="25"/>
      <c r="B294" s="72" t="s">
        <v>50</v>
      </c>
      <c r="C294" s="46" t="s">
        <v>43</v>
      </c>
      <c r="D294" s="85">
        <v>1315.429</v>
      </c>
      <c r="E294" s="45">
        <v>3</v>
      </c>
      <c r="F294" s="47">
        <f t="shared" si="297"/>
      </c>
      <c r="G294" s="45">
        <v>1273.2</v>
      </c>
      <c r="H294" s="49">
        <f t="shared" si="259"/>
      </c>
      <c r="I294" s="50">
        <f t="shared" si="50"/>
      </c>
      <c r="J294" s="51">
        <f t="shared" si="12"/>
      </c>
      <c r="K294" s="52">
        <f t="shared" si="126"/>
      </c>
      <c r="L294" s="53">
        <f t="shared" si="88"/>
      </c>
      <c r="M294" s="54">
        <f t="shared" si="221"/>
      </c>
      <c r="N294" s="55">
        <f t="shared" si="164"/>
      </c>
      <c r="O294" s="55">
        <f t="shared" si="183"/>
      </c>
      <c r="P294" s="55">
        <f t="shared" si="316"/>
      </c>
      <c r="Q294" s="55">
        <f t="shared" si="278"/>
      </c>
      <c r="R294" s="54">
        <f t="shared" si="69"/>
      </c>
      <c r="S294" s="56">
        <f t="shared" si="31"/>
      </c>
      <c r="T294" s="55">
        <f t="shared" si="145"/>
      </c>
      <c r="U294" s="55">
        <f t="shared" si="107"/>
      </c>
      <c r="V294" s="55">
        <f t="shared" si="240"/>
      </c>
      <c r="W294" s="55">
        <f t="shared" si="202"/>
      </c>
      <c r="X294" s="38" t="s">
        <v>52</v>
      </c>
      <c r="Y294" s="39" t="s">
        <v>54</v>
      </c>
      <c r="Z294" s="40">
        <v>39940</v>
      </c>
      <c r="AA294" s="40">
        <v>6606</v>
      </c>
      <c r="AB294" s="40">
        <v>64931</v>
      </c>
      <c r="AC294" s="40">
        <v>244</v>
      </c>
      <c r="AD294" s="40">
        <v>3</v>
      </c>
      <c r="AE294" s="40">
        <v>5682</v>
      </c>
      <c r="AF294" s="41">
        <v>139</v>
      </c>
      <c r="AG294" s="41">
        <v>12</v>
      </c>
      <c r="AH294" s="41">
        <v>4</v>
      </c>
      <c r="AI294" s="42">
        <v>0</v>
      </c>
      <c r="AJ294" s="24"/>
      <c r="AK294" s="24"/>
      <c r="AL294" s="24"/>
    </row>
    <row r="295">
      <c r="A295" s="25"/>
      <c r="B295" s="58" t="s">
        <v>44</v>
      </c>
      <c r="C295" s="58"/>
      <c r="D295" s="59">
        <f>SUM(D290:D294)</f>
      </c>
      <c r="E295" s="60">
        <f>SUM(E290:E294)</f>
      </c>
      <c r="F295" s="61">
        <f t="shared" si="297"/>
      </c>
      <c r="G295" s="62">
        <f>SUM(G290:G294)</f>
      </c>
      <c r="H295" s="63">
        <f t="shared" si="259"/>
      </c>
      <c r="I295" s="64">
        <f t="shared" si="50"/>
      </c>
      <c r="J295" s="65">
        <f t="shared" si="12"/>
      </c>
      <c r="K295" s="61">
        <f t="shared" si="126"/>
      </c>
      <c r="L295" s="66">
        <f t="shared" si="88"/>
      </c>
      <c r="M295" s="65">
        <f t="shared" si="221"/>
      </c>
      <c r="N295" s="67">
        <f t="shared" si="164"/>
      </c>
      <c r="O295" s="67">
        <f t="shared" si="183"/>
      </c>
      <c r="P295" s="68">
        <f t="shared" si="316"/>
      </c>
      <c r="Q295" s="68">
        <f t="shared" si="278"/>
      </c>
      <c r="R295" s="69">
        <f t="shared" si="69"/>
      </c>
      <c r="S295" s="70">
        <f t="shared" si="31"/>
      </c>
      <c r="T295" s="68">
        <f t="shared" si="145"/>
      </c>
      <c r="U295" s="68">
        <f t="shared" si="107"/>
      </c>
      <c r="V295" s="68">
        <f t="shared" si="240"/>
      </c>
      <c r="W295" s="68">
        <f t="shared" si="202"/>
      </c>
      <c r="X295" s="68"/>
      <c r="Y295" s="71"/>
      <c r="Z295" s="59">
        <f>SUM(Z290:Z294)</f>
      </c>
      <c r="AA295" s="59">
        <f>SUM(AA290:AA294)</f>
      </c>
      <c r="AB295" s="59">
        <f>SUM(AB290:AB294)</f>
      </c>
      <c r="AC295" s="59">
        <f>SUM(AC290:AC294)</f>
      </c>
      <c r="AD295" s="59">
        <f>SUM(AD290:AD294)</f>
      </c>
      <c r="AE295" s="59">
        <f>SUM(AE290:AE294)</f>
      </c>
      <c r="AF295" s="59">
        <f>SUM(AF290:AF294)</f>
      </c>
      <c r="AG295" s="59">
        <f>SUM(AG290:AG294)</f>
      </c>
      <c r="AH295" s="59">
        <f>SUM(AH290:AH294)</f>
      </c>
      <c r="AI295" s="59">
        <f>SUM(AI290:AI294)</f>
      </c>
      <c r="AJ295" s="24"/>
      <c r="AK295" s="24"/>
      <c r="AL295" s="24"/>
    </row>
    <row r="296">
      <c r="A296" s="25"/>
      <c r="B296" s="72" t="s">
        <v>36</v>
      </c>
      <c r="C296" s="73" t="s">
        <v>46</v>
      </c>
      <c r="D296" s="105">
        <v>1019.862</v>
      </c>
      <c r="E296" s="75">
        <v>4</v>
      </c>
      <c r="F296" s="47">
        <f t="shared" si="297"/>
      </c>
      <c r="G296" s="45">
        <v>695.8</v>
      </c>
      <c r="H296" s="49">
        <f t="shared" si="259"/>
      </c>
      <c r="I296" s="50">
        <f t="shared" si="50"/>
      </c>
      <c r="J296" s="51">
        <f t="shared" si="12"/>
      </c>
      <c r="K296" s="52">
        <f t="shared" si="126"/>
      </c>
      <c r="L296" s="76">
        <f t="shared" si="88"/>
      </c>
      <c r="M296" s="34">
        <f t="shared" si="221"/>
      </c>
      <c r="N296" s="37">
        <f t="shared" si="164"/>
      </c>
      <c r="O296" s="37">
        <f t="shared" si="183"/>
      </c>
      <c r="P296" s="37">
        <f t="shared" si="316"/>
      </c>
      <c r="Q296" s="37">
        <f t="shared" si="278"/>
      </c>
      <c r="R296" s="34">
        <f t="shared" si="69"/>
      </c>
      <c r="S296" s="35">
        <f t="shared" si="31"/>
      </c>
      <c r="T296" s="37">
        <f t="shared" si="145"/>
      </c>
      <c r="U296" s="37">
        <f t="shared" si="107"/>
      </c>
      <c r="V296" s="37">
        <f t="shared" si="240"/>
      </c>
      <c r="W296" s="37">
        <f t="shared" si="202"/>
      </c>
      <c r="X296" s="38" t="s">
        <v>52</v>
      </c>
      <c r="Y296" s="39" t="s">
        <v>54</v>
      </c>
      <c r="Z296" s="41">
        <v>34344</v>
      </c>
      <c r="AA296" s="41">
        <v>6657</v>
      </c>
      <c r="AB296" s="41">
        <v>52362</v>
      </c>
      <c r="AC296" s="41">
        <v>230</v>
      </c>
      <c r="AD296" s="41">
        <v>2</v>
      </c>
      <c r="AE296" s="41">
        <v>4813</v>
      </c>
      <c r="AF296" s="41">
        <v>158</v>
      </c>
      <c r="AG296" s="41">
        <v>12</v>
      </c>
      <c r="AH296" s="41">
        <v>4</v>
      </c>
      <c r="AI296" s="42">
        <v>1</v>
      </c>
      <c r="AJ296" s="24"/>
      <c r="AK296" s="24"/>
      <c r="AL296" s="24"/>
    </row>
    <row r="297">
      <c r="A297" s="25"/>
      <c r="B297" s="72" t="s">
        <v>36</v>
      </c>
      <c r="C297" s="77" t="s">
        <v>47</v>
      </c>
      <c r="D297" s="84">
        <v>1207.546</v>
      </c>
      <c r="E297" s="45">
        <v>4</v>
      </c>
      <c r="F297" s="47">
        <f t="shared" si="297"/>
      </c>
      <c r="G297" s="45">
        <v>1512</v>
      </c>
      <c r="H297" s="49">
        <f t="shared" si="259"/>
      </c>
      <c r="I297" s="50">
        <f t="shared" si="50"/>
      </c>
      <c r="J297" s="51">
        <f t="shared" si="12"/>
      </c>
      <c r="K297" s="52">
        <f t="shared" si="126"/>
      </c>
      <c r="L297" s="76">
        <f t="shared" si="88"/>
      </c>
      <c r="M297" s="34">
        <f t="shared" si="221"/>
      </c>
      <c r="N297" s="37">
        <f t="shared" si="164"/>
      </c>
      <c r="O297" s="37">
        <f t="shared" si="183"/>
      </c>
      <c r="P297" s="37">
        <f t="shared" si="316"/>
      </c>
      <c r="Q297" s="37">
        <f t="shared" si="278"/>
      </c>
      <c r="R297" s="34">
        <f t="shared" si="69"/>
      </c>
      <c r="S297" s="35">
        <f t="shared" si="31"/>
      </c>
      <c r="T297" s="37">
        <f t="shared" si="145"/>
      </c>
      <c r="U297" s="37">
        <f t="shared" si="107"/>
      </c>
      <c r="V297" s="37">
        <f t="shared" si="240"/>
      </c>
      <c r="W297" s="37">
        <f t="shared" si="202"/>
      </c>
      <c r="X297" s="38" t="s">
        <v>52</v>
      </c>
      <c r="Y297" s="39" t="s">
        <v>54</v>
      </c>
      <c r="Z297" s="41">
        <v>41051</v>
      </c>
      <c r="AA297" s="41">
        <v>6107</v>
      </c>
      <c r="AB297" s="41">
        <v>68245</v>
      </c>
      <c r="AC297" s="41">
        <v>192</v>
      </c>
      <c r="AD297" s="41">
        <v>4</v>
      </c>
      <c r="AE297" s="41">
        <v>4944</v>
      </c>
      <c r="AF297" s="41">
        <v>109</v>
      </c>
      <c r="AG297" s="41">
        <v>13</v>
      </c>
      <c r="AH297" s="41">
        <v>3</v>
      </c>
      <c r="AI297" s="42">
        <v>0</v>
      </c>
      <c r="AJ297" s="24"/>
      <c r="AK297" s="24"/>
      <c r="AL297" s="24"/>
    </row>
    <row r="298">
      <c r="A298" s="25"/>
      <c r="B298" s="72" t="s">
        <v>36</v>
      </c>
      <c r="C298" s="78" t="s">
        <v>48</v>
      </c>
      <c r="D298" s="84">
        <v>2464.865</v>
      </c>
      <c r="E298" s="45">
        <v>7</v>
      </c>
      <c r="F298" s="30">
        <f t="shared" si="297"/>
      </c>
      <c r="G298" s="45">
        <v>1521.2</v>
      </c>
      <c r="H298" s="49">
        <f t="shared" si="259"/>
      </c>
      <c r="I298" s="33">
        <f t="shared" si="50"/>
      </c>
      <c r="J298" s="34">
        <f t="shared" si="12"/>
      </c>
      <c r="K298" s="35">
        <f t="shared" si="126"/>
      </c>
      <c r="L298" s="79">
        <f t="shared" si="88"/>
      </c>
      <c r="M298" s="54">
        <f t="shared" si="221"/>
      </c>
      <c r="N298" s="55">
        <f t="shared" si="164"/>
      </c>
      <c r="O298" s="55">
        <f t="shared" si="183"/>
      </c>
      <c r="P298" s="55">
        <f t="shared" si="316"/>
      </c>
      <c r="Q298" s="55">
        <f t="shared" si="278"/>
      </c>
      <c r="R298" s="54">
        <f t="shared" si="69"/>
      </c>
      <c r="S298" s="56">
        <f t="shared" si="31"/>
      </c>
      <c r="T298" s="55">
        <f t="shared" si="145"/>
      </c>
      <c r="U298" s="55">
        <f t="shared" si="107"/>
      </c>
      <c r="V298" s="55">
        <f t="shared" si="240"/>
      </c>
      <c r="W298" s="55">
        <f t="shared" si="202"/>
      </c>
      <c r="X298" s="38" t="s">
        <v>52</v>
      </c>
      <c r="Y298" s="39" t="s">
        <v>54</v>
      </c>
      <c r="Z298" s="41">
        <v>69613</v>
      </c>
      <c r="AA298" s="41">
        <v>9577</v>
      </c>
      <c r="AB298" s="41">
        <v>138384</v>
      </c>
      <c r="AC298" s="41">
        <v>123</v>
      </c>
      <c r="AD298" s="41">
        <v>6</v>
      </c>
      <c r="AE298" s="41">
        <v>8621</v>
      </c>
      <c r="AF298" s="41">
        <v>142</v>
      </c>
      <c r="AG298" s="41">
        <v>22</v>
      </c>
      <c r="AH298" s="41">
        <v>7</v>
      </c>
      <c r="AI298" s="42">
        <v>2</v>
      </c>
      <c r="AJ298" s="24"/>
      <c r="AK298" s="24"/>
      <c r="AL298" s="24"/>
    </row>
    <row r="299">
      <c r="A299" s="25"/>
      <c r="B299" s="72" t="s">
        <v>36</v>
      </c>
      <c r="C299" s="78" t="s">
        <v>49</v>
      </c>
      <c r="D299" s="85">
        <v>1921.1</v>
      </c>
      <c r="E299" s="45">
        <v>5</v>
      </c>
      <c r="F299" s="30">
        <f t="shared" si="297"/>
      </c>
      <c r="G299" s="45">
        <v>1695.6</v>
      </c>
      <c r="H299" s="49">
        <f t="shared" si="259"/>
      </c>
      <c r="I299" s="33">
        <f t="shared" si="50"/>
      </c>
      <c r="J299" s="34">
        <f t="shared" si="12"/>
      </c>
      <c r="K299" s="35">
        <f t="shared" si="126"/>
      </c>
      <c r="L299" s="79">
        <f t="shared" si="88"/>
      </c>
      <c r="M299" s="54">
        <f t="shared" si="221"/>
      </c>
      <c r="N299" s="55">
        <f t="shared" si="164"/>
      </c>
      <c r="O299" s="55">
        <f t="shared" si="183"/>
      </c>
      <c r="P299" s="55">
        <f t="shared" si="316"/>
      </c>
      <c r="Q299" s="55">
        <f t="shared" si="278"/>
      </c>
      <c r="R299" s="54">
        <f t="shared" si="69"/>
      </c>
      <c r="S299" s="56">
        <f t="shared" si="31"/>
      </c>
      <c r="T299" s="55">
        <f t="shared" si="145"/>
      </c>
      <c r="U299" s="55">
        <f t="shared" si="107"/>
      </c>
      <c r="V299" s="55">
        <f t="shared" si="240"/>
      </c>
      <c r="W299" s="55">
        <f t="shared" si="202"/>
      </c>
      <c r="X299" s="38" t="s">
        <v>52</v>
      </c>
      <c r="Y299" s="39" t="s">
        <v>54</v>
      </c>
      <c r="Z299" s="41">
        <v>55386</v>
      </c>
      <c r="AA299" s="41">
        <v>7561</v>
      </c>
      <c r="AB299" s="41">
        <v>109270</v>
      </c>
      <c r="AC299" s="41">
        <v>127</v>
      </c>
      <c r="AD299" s="41">
        <v>3</v>
      </c>
      <c r="AE299" s="41">
        <v>7418</v>
      </c>
      <c r="AF299" s="41">
        <v>155</v>
      </c>
      <c r="AG299" s="41">
        <v>20</v>
      </c>
      <c r="AH299" s="41">
        <v>7</v>
      </c>
      <c r="AI299" s="42">
        <v>1</v>
      </c>
      <c r="AJ299" s="24"/>
      <c r="AK299" s="24"/>
      <c r="AL299" s="24"/>
    </row>
    <row r="300">
      <c r="A300" s="25"/>
      <c r="B300" s="72" t="s">
        <v>36</v>
      </c>
      <c r="C300" s="38" t="s">
        <v>51</v>
      </c>
      <c r="D300" s="85">
        <v>1917.022</v>
      </c>
      <c r="E300" s="45">
        <v>8</v>
      </c>
      <c r="F300" s="47">
        <f t="shared" si="297"/>
      </c>
      <c r="G300" s="45">
        <v>1760</v>
      </c>
      <c r="H300" s="49">
        <f t="shared" si="259"/>
      </c>
      <c r="I300" s="50">
        <f t="shared" si="50"/>
      </c>
      <c r="J300" s="51">
        <f t="shared" si="12"/>
      </c>
      <c r="K300" s="52">
        <f t="shared" si="126"/>
      </c>
      <c r="L300" s="53">
        <f t="shared" si="88"/>
      </c>
      <c r="M300" s="54">
        <f t="shared" si="221"/>
      </c>
      <c r="N300" s="55">
        <f t="shared" si="164"/>
      </c>
      <c r="O300" s="55">
        <f t="shared" si="183"/>
      </c>
      <c r="P300" s="55">
        <f t="shared" si="316"/>
      </c>
      <c r="Q300" s="55">
        <f t="shared" si="278"/>
      </c>
      <c r="R300" s="54">
        <f t="shared" si="69"/>
      </c>
      <c r="S300" s="56">
        <f t="shared" si="31"/>
      </c>
      <c r="T300" s="55">
        <f t="shared" si="145"/>
      </c>
      <c r="U300" s="55">
        <f t="shared" si="107"/>
      </c>
      <c r="V300" s="55">
        <f t="shared" si="240"/>
      </c>
      <c r="W300" s="55">
        <f t="shared" si="202"/>
      </c>
      <c r="X300" s="38" t="s">
        <v>52</v>
      </c>
      <c r="Y300" s="39" t="s">
        <v>54</v>
      </c>
      <c r="Z300" s="40">
        <v>60075</v>
      </c>
      <c r="AA300" s="40">
        <v>8024</v>
      </c>
      <c r="AB300" s="40">
        <v>103136</v>
      </c>
      <c r="AC300" s="40">
        <v>210</v>
      </c>
      <c r="AD300" s="40">
        <v>5</v>
      </c>
      <c r="AE300" s="40">
        <v>6589</v>
      </c>
      <c r="AF300" s="41">
        <v>140</v>
      </c>
      <c r="AG300" s="41">
        <v>23</v>
      </c>
      <c r="AH300" s="41">
        <v>8</v>
      </c>
      <c r="AI300" s="42">
        <v>2</v>
      </c>
      <c r="AJ300" s="24"/>
      <c r="AK300" s="24"/>
      <c r="AL300" s="24"/>
    </row>
    <row r="301">
      <c r="A301" s="25"/>
      <c r="B301" s="58" t="s">
        <v>44</v>
      </c>
      <c r="C301" s="58"/>
      <c r="D301" s="59">
        <f>SUM(D296:D300)</f>
      </c>
      <c r="E301" s="60">
        <f>SUM(E296:E300)</f>
      </c>
      <c r="F301" s="61">
        <f t="shared" si="297"/>
      </c>
      <c r="G301" s="62">
        <f>SUM(G296:G300)</f>
      </c>
      <c r="H301" s="63">
        <f t="shared" si="259"/>
      </c>
      <c r="I301" s="64">
        <f t="shared" si="50"/>
      </c>
      <c r="J301" s="65">
        <f t="shared" si="12"/>
      </c>
      <c r="K301" s="61">
        <f t="shared" si="126"/>
      </c>
      <c r="L301" s="66">
        <f t="shared" si="88"/>
      </c>
      <c r="M301" s="65">
        <f t="shared" si="221"/>
      </c>
      <c r="N301" s="67">
        <f t="shared" si="164"/>
      </c>
      <c r="O301" s="67">
        <f t="shared" si="183"/>
      </c>
      <c r="P301" s="68">
        <f t="shared" si="316"/>
      </c>
      <c r="Q301" s="68">
        <f t="shared" si="278"/>
      </c>
      <c r="R301" s="69">
        <f t="shared" si="69"/>
      </c>
      <c r="S301" s="70">
        <f t="shared" si="31"/>
      </c>
      <c r="T301" s="68">
        <f t="shared" si="145"/>
      </c>
      <c r="U301" s="68">
        <f t="shared" si="107"/>
      </c>
      <c r="V301" s="68">
        <f t="shared" si="240"/>
      </c>
      <c r="W301" s="68">
        <f t="shared" si="202"/>
      </c>
      <c r="X301" s="68"/>
      <c r="Y301" s="71"/>
      <c r="Z301" s="59">
        <f>SUM(Z296:Z300)</f>
      </c>
      <c r="AA301" s="59">
        <f>SUM(AA296:AA300)</f>
      </c>
      <c r="AB301" s="59">
        <f>SUM(AB296:AB300)</f>
      </c>
      <c r="AC301" s="59">
        <f>SUM(AC296:AC300)</f>
      </c>
      <c r="AD301" s="59">
        <f>SUM(AD296:AD300)</f>
      </c>
      <c r="AE301" s="59">
        <f>SUM(AE296:AE300)</f>
      </c>
      <c r="AF301" s="59">
        <f>SUM(AF296:AF300)</f>
      </c>
      <c r="AG301" s="59">
        <f>SUM(AG296:AG300)</f>
      </c>
      <c r="AH301" s="59">
        <f>SUM(AH296:AH300)</f>
      </c>
      <c r="AI301" s="59">
        <f>SUM(AI296:AI300)</f>
      </c>
      <c r="AJ301" s="24"/>
      <c r="AK301" s="24"/>
      <c r="AL301" s="24"/>
    </row>
    <row r="302">
      <c r="A302" s="25"/>
      <c r="B302" s="72" t="s">
        <v>45</v>
      </c>
      <c r="C302" s="78" t="s">
        <v>53</v>
      </c>
      <c r="D302" s="84">
        <v>2229.426</v>
      </c>
      <c r="E302" s="45">
        <v>3</v>
      </c>
      <c r="F302" s="30">
        <f t="shared" si="297"/>
      </c>
      <c r="G302" s="45">
        <v>1820</v>
      </c>
      <c r="H302" s="49">
        <f t="shared" si="259"/>
      </c>
      <c r="I302" s="33">
        <f t="shared" si="50"/>
      </c>
      <c r="J302" s="34">
        <f t="shared" si="12"/>
      </c>
      <c r="K302" s="35">
        <f t="shared" si="126"/>
      </c>
      <c r="L302" s="79">
        <f t="shared" si="88"/>
      </c>
      <c r="M302" s="54">
        <f t="shared" si="221"/>
      </c>
      <c r="N302" s="55">
        <f t="shared" si="164"/>
      </c>
      <c r="O302" s="55">
        <f t="shared" si="183"/>
      </c>
      <c r="P302" s="55">
        <f t="shared" si="316"/>
      </c>
      <c r="Q302" s="55">
        <f t="shared" si="278"/>
      </c>
      <c r="R302" s="54">
        <f t="shared" si="69"/>
      </c>
      <c r="S302" s="56">
        <f t="shared" si="31"/>
      </c>
      <c r="T302" s="55">
        <f t="shared" si="145"/>
      </c>
      <c r="U302" s="55">
        <f t="shared" si="107"/>
      </c>
      <c r="V302" s="55">
        <f t="shared" si="240"/>
      </c>
      <c r="W302" s="55">
        <f t="shared" si="202"/>
      </c>
      <c r="X302" s="38" t="s">
        <v>52</v>
      </c>
      <c r="Y302" s="39" t="s">
        <v>39</v>
      </c>
      <c r="Z302" s="41">
        <v>60490</v>
      </c>
      <c r="AA302" s="41">
        <v>7782</v>
      </c>
      <c r="AB302" s="41">
        <v>111246</v>
      </c>
      <c r="AC302" s="41">
        <v>220</v>
      </c>
      <c r="AD302" s="41">
        <v>6</v>
      </c>
      <c r="AE302" s="41">
        <v>7175</v>
      </c>
      <c r="AF302" s="41">
        <v>149</v>
      </c>
      <c r="AG302" s="41">
        <v>15</v>
      </c>
      <c r="AH302" s="41">
        <v>4</v>
      </c>
      <c r="AI302" s="42">
        <v>0</v>
      </c>
      <c r="AJ302" s="24"/>
      <c r="AK302" s="24"/>
      <c r="AL302" s="24"/>
    </row>
    <row r="303">
      <c r="A303" s="25"/>
      <c r="B303" s="72" t="s">
        <v>45</v>
      </c>
      <c r="C303" s="78" t="s">
        <v>55</v>
      </c>
      <c r="D303" s="85">
        <v>1547.1100000000001</v>
      </c>
      <c r="E303" s="45">
        <v>2</v>
      </c>
      <c r="F303" s="30">
        <f t="shared" si="297"/>
      </c>
      <c r="G303" s="45">
        <v>456</v>
      </c>
      <c r="H303" s="49">
        <f t="shared" si="259"/>
      </c>
      <c r="I303" s="33">
        <f t="shared" si="50"/>
      </c>
      <c r="J303" s="34">
        <f t="shared" si="12"/>
      </c>
      <c r="K303" s="35">
        <f t="shared" si="126"/>
      </c>
      <c r="L303" s="79">
        <f t="shared" si="88"/>
      </c>
      <c r="M303" s="54">
        <f t="shared" si="221"/>
      </c>
      <c r="N303" s="55">
        <f t="shared" si="164"/>
      </c>
      <c r="O303" s="55">
        <f t="shared" si="183"/>
      </c>
      <c r="P303" s="55">
        <f t="shared" si="316"/>
      </c>
      <c r="Q303" s="55">
        <f t="shared" si="278"/>
      </c>
      <c r="R303" s="54">
        <f t="shared" si="69"/>
      </c>
      <c r="S303" s="56">
        <f t="shared" si="31"/>
      </c>
      <c r="T303" s="55">
        <f t="shared" si="145"/>
      </c>
      <c r="U303" s="55">
        <f t="shared" si="107"/>
      </c>
      <c r="V303" s="55">
        <f t="shared" si="240"/>
      </c>
      <c r="W303" s="55">
        <f t="shared" si="202"/>
      </c>
      <c r="X303" s="38" t="s">
        <v>52</v>
      </c>
      <c r="Y303" s="39" t="s">
        <v>39</v>
      </c>
      <c r="Z303" s="41">
        <v>42488</v>
      </c>
      <c r="AA303" s="41">
        <v>6930</v>
      </c>
      <c r="AB303" s="41">
        <v>78555</v>
      </c>
      <c r="AC303" s="41">
        <v>186</v>
      </c>
      <c r="AD303" s="41">
        <v>1</v>
      </c>
      <c r="AE303" s="41">
        <v>6304</v>
      </c>
      <c r="AF303" s="41">
        <v>81</v>
      </c>
      <c r="AG303" s="41">
        <v>15</v>
      </c>
      <c r="AH303" s="41">
        <v>6</v>
      </c>
      <c r="AI303" s="42">
        <v>0</v>
      </c>
      <c r="AJ303" s="24"/>
      <c r="AK303" s="24"/>
      <c r="AL303" s="24"/>
    </row>
    <row r="304">
      <c r="A304" s="25"/>
      <c r="B304" s="72" t="s">
        <v>45</v>
      </c>
      <c r="C304" s="78" t="s">
        <v>56</v>
      </c>
      <c r="D304" s="85">
        <v>1051.3629999999998</v>
      </c>
      <c r="E304" s="45">
        <v>4</v>
      </c>
      <c r="F304" s="30">
        <f t="shared" si="297"/>
      </c>
      <c r="G304" s="45">
        <v>1446</v>
      </c>
      <c r="H304" s="49">
        <f t="shared" si="259"/>
      </c>
      <c r="I304" s="33">
        <f t="shared" si="50"/>
      </c>
      <c r="J304" s="34">
        <f t="shared" si="12"/>
      </c>
      <c r="K304" s="35">
        <f t="shared" si="126"/>
      </c>
      <c r="L304" s="79">
        <f t="shared" si="88"/>
      </c>
      <c r="M304" s="54">
        <f t="shared" si="221"/>
      </c>
      <c r="N304" s="55">
        <f t="shared" si="164"/>
      </c>
      <c r="O304" s="55">
        <f t="shared" si="183"/>
      </c>
      <c r="P304" s="55">
        <f t="shared" si="316"/>
      </c>
      <c r="Q304" s="55">
        <f t="shared" si="278"/>
      </c>
      <c r="R304" s="54">
        <f t="shared" si="69"/>
      </c>
      <c r="S304" s="56">
        <f t="shared" si="31"/>
      </c>
      <c r="T304" s="55">
        <f t="shared" si="145"/>
      </c>
      <c r="U304" s="55">
        <f t="shared" si="107"/>
      </c>
      <c r="V304" s="55">
        <f t="shared" si="240"/>
      </c>
      <c r="W304" s="55">
        <f t="shared" si="202"/>
      </c>
      <c r="X304" s="38" t="s">
        <v>52</v>
      </c>
      <c r="Y304" s="39" t="s">
        <v>39</v>
      </c>
      <c r="Z304" s="41">
        <v>30605</v>
      </c>
      <c r="AA304" s="41">
        <v>4199</v>
      </c>
      <c r="AB304" s="41">
        <v>55280</v>
      </c>
      <c r="AC304" s="41">
        <v>149</v>
      </c>
      <c r="AD304" s="41">
        <v>2</v>
      </c>
      <c r="AE304" s="41">
        <v>3676</v>
      </c>
      <c r="AF304" s="41">
        <v>49</v>
      </c>
      <c r="AG304" s="41">
        <v>3</v>
      </c>
      <c r="AH304" s="41">
        <v>1</v>
      </c>
      <c r="AI304" s="42">
        <v>2</v>
      </c>
      <c r="AJ304" s="24"/>
      <c r="AK304" s="24"/>
      <c r="AL304" s="24"/>
    </row>
    <row r="305">
      <c r="A305" s="25"/>
      <c r="B305" s="72" t="s">
        <v>45</v>
      </c>
      <c r="C305" s="78" t="s">
        <v>58</v>
      </c>
      <c r="D305" s="85">
        <v>1159.376</v>
      </c>
      <c r="E305" s="45">
        <v>4</v>
      </c>
      <c r="F305" s="30">
        <f t="shared" si="297"/>
      </c>
      <c r="G305" s="45">
        <v>2052</v>
      </c>
      <c r="H305" s="49">
        <f t="shared" si="259"/>
      </c>
      <c r="I305" s="33">
        <f t="shared" si="50"/>
      </c>
      <c r="J305" s="34">
        <f t="shared" si="12"/>
      </c>
      <c r="K305" s="35">
        <f t="shared" si="126"/>
      </c>
      <c r="L305" s="79">
        <f t="shared" si="88"/>
      </c>
      <c r="M305" s="54">
        <f t="shared" si="221"/>
      </c>
      <c r="N305" s="55">
        <f t="shared" si="164"/>
      </c>
      <c r="O305" s="55">
        <f t="shared" si="183"/>
      </c>
      <c r="P305" s="55">
        <f t="shared" si="316"/>
      </c>
      <c r="Q305" s="55">
        <f t="shared" si="278"/>
      </c>
      <c r="R305" s="54">
        <f t="shared" si="69"/>
      </c>
      <c r="S305" s="56">
        <f t="shared" si="31"/>
      </c>
      <c r="T305" s="55">
        <f t="shared" si="145"/>
      </c>
      <c r="U305" s="55">
        <f t="shared" si="107"/>
      </c>
      <c r="V305" s="55">
        <f t="shared" si="240"/>
      </c>
      <c r="W305" s="55">
        <f t="shared" si="202"/>
      </c>
      <c r="X305" s="38" t="s">
        <v>52</v>
      </c>
      <c r="Y305" s="39" t="s">
        <v>39</v>
      </c>
      <c r="Z305" s="41">
        <v>34210</v>
      </c>
      <c r="AA305" s="41">
        <v>4081</v>
      </c>
      <c r="AB305" s="41">
        <v>61570</v>
      </c>
      <c r="AC305" s="41">
        <v>147</v>
      </c>
      <c r="AD305" s="41">
        <v>2</v>
      </c>
      <c r="AE305" s="41">
        <v>3643</v>
      </c>
      <c r="AF305" s="41">
        <v>57</v>
      </c>
      <c r="AG305" s="41">
        <v>11</v>
      </c>
      <c r="AH305" s="41">
        <v>4</v>
      </c>
      <c r="AI305" s="42">
        <v>2</v>
      </c>
      <c r="AJ305" s="24"/>
      <c r="AK305" s="24"/>
      <c r="AL305" s="24"/>
    </row>
    <row r="306">
      <c r="A306" s="25"/>
      <c r="B306" s="58" t="s">
        <v>44</v>
      </c>
      <c r="C306" s="58"/>
      <c r="D306" s="59">
        <f>SUM(D302:D305)</f>
      </c>
      <c r="E306" s="60">
        <f>SUM(E302:E305)</f>
      </c>
      <c r="F306" s="70">
        <f t="shared" si="297"/>
      </c>
      <c r="G306" s="80">
        <f>SUM(G302:G305)</f>
      </c>
      <c r="H306" s="81">
        <f t="shared" si="259"/>
      </c>
      <c r="I306" s="82">
        <f t="shared" si="50"/>
      </c>
      <c r="J306" s="69">
        <f t="shared" si="12"/>
      </c>
      <c r="K306" s="70">
        <f t="shared" si="126"/>
      </c>
      <c r="L306" s="83">
        <f t="shared" si="88"/>
      </c>
      <c r="M306" s="69">
        <f t="shared" si="221"/>
      </c>
      <c r="N306" s="68">
        <f t="shared" si="164"/>
      </c>
      <c r="O306" s="68">
        <f t="shared" si="183"/>
      </c>
      <c r="P306" s="68">
        <f t="shared" si="316"/>
      </c>
      <c r="Q306" s="68">
        <f t="shared" si="278"/>
      </c>
      <c r="R306" s="69">
        <f t="shared" si="69"/>
      </c>
      <c r="S306" s="70">
        <f t="shared" si="31"/>
      </c>
      <c r="T306" s="68">
        <f t="shared" si="145"/>
      </c>
      <c r="U306" s="68">
        <f t="shared" si="107"/>
      </c>
      <c r="V306" s="68">
        <f t="shared" si="240"/>
      </c>
      <c r="W306" s="68">
        <f t="shared" si="202"/>
      </c>
      <c r="X306" s="68"/>
      <c r="Y306" s="71"/>
      <c r="Z306" s="59">
        <f>SUM(Z302:Z305)</f>
      </c>
      <c r="AA306" s="59">
        <f>SUM(AA302:AA305)</f>
      </c>
      <c r="AB306" s="59">
        <f>SUM(AB302:AB305)</f>
      </c>
      <c r="AC306" s="59">
        <f>SUM(AC302:AC305)</f>
      </c>
      <c r="AD306" s="59">
        <f>SUM(AD302:AD305)</f>
      </c>
      <c r="AE306" s="59">
        <f>SUM(AE302:AE305)</f>
      </c>
      <c r="AF306" s="59">
        <f>SUM(AF302:AF305)</f>
      </c>
      <c r="AG306" s="59">
        <f>SUM(AG302:AG305)</f>
      </c>
      <c r="AH306" s="59">
        <f>SUM(AH302:AH305)</f>
      </c>
      <c r="AI306" s="59">
        <f>SUM(AI302:AI305)</f>
      </c>
      <c r="AJ306" s="24"/>
      <c r="AK306" s="24"/>
      <c r="AL306" s="24"/>
    </row>
    <row r="307">
      <c r="A307" s="25"/>
      <c r="B307" s="72" t="s">
        <v>57</v>
      </c>
      <c r="C307" s="78" t="s">
        <v>59</v>
      </c>
      <c r="D307" s="85">
        <v>2003.233</v>
      </c>
      <c r="E307" s="45">
        <v>9</v>
      </c>
      <c r="F307" s="30">
        <f t="shared" si="297"/>
      </c>
      <c r="G307" s="45">
        <v>3369.5999999999985</v>
      </c>
      <c r="H307" s="49">
        <f t="shared" si="259"/>
      </c>
      <c r="I307" s="33">
        <f t="shared" si="50"/>
      </c>
      <c r="J307" s="34">
        <f t="shared" si="12"/>
      </c>
      <c r="K307" s="35">
        <f t="shared" si="126"/>
      </c>
      <c r="L307" s="79">
        <f t="shared" si="88"/>
      </c>
      <c r="M307" s="54">
        <f t="shared" si="221"/>
      </c>
      <c r="N307" s="55">
        <f t="shared" si="164"/>
      </c>
      <c r="O307" s="55">
        <f t="shared" si="183"/>
      </c>
      <c r="P307" s="55">
        <f t="shared" si="316"/>
      </c>
      <c r="Q307" s="55">
        <f t="shared" si="278"/>
      </c>
      <c r="R307" s="54">
        <f t="shared" si="69"/>
      </c>
      <c r="S307" s="56">
        <f t="shared" si="31"/>
      </c>
      <c r="T307" s="55">
        <f t="shared" si="145"/>
      </c>
      <c r="U307" s="55">
        <f t="shared" si="107"/>
      </c>
      <c r="V307" s="55">
        <f t="shared" si="240"/>
      </c>
      <c r="W307" s="55">
        <f t="shared" si="202"/>
      </c>
      <c r="X307" s="38" t="s">
        <v>52</v>
      </c>
      <c r="Y307" s="39" t="s">
        <v>39</v>
      </c>
      <c r="Z307" s="41">
        <v>52946</v>
      </c>
      <c r="AA307" s="41">
        <v>5630</v>
      </c>
      <c r="AB307" s="41">
        <v>116259</v>
      </c>
      <c r="AC307" s="41">
        <v>245</v>
      </c>
      <c r="AD307" s="41">
        <v>7</v>
      </c>
      <c r="AE307" s="41">
        <v>5458</v>
      </c>
      <c r="AF307" s="41">
        <v>77</v>
      </c>
      <c r="AG307" s="41">
        <v>13</v>
      </c>
      <c r="AH307" s="41">
        <v>4</v>
      </c>
      <c r="AI307" s="42">
        <v>2</v>
      </c>
      <c r="AJ307" s="24"/>
      <c r="AK307" s="24"/>
      <c r="AL307" s="24"/>
    </row>
    <row r="308">
      <c r="A308" s="25"/>
      <c r="B308" s="72" t="s">
        <v>57</v>
      </c>
      <c r="C308" s="78" t="s">
        <v>60</v>
      </c>
      <c r="D308" s="85">
        <v>2700.242</v>
      </c>
      <c r="E308" s="45">
        <v>8</v>
      </c>
      <c r="F308" s="30">
        <f t="shared" si="297"/>
      </c>
      <c r="G308" s="45">
        <v>2278.4000000000015</v>
      </c>
      <c r="H308" s="49">
        <f t="shared" si="259"/>
      </c>
      <c r="I308" s="33">
        <f t="shared" si="50"/>
      </c>
      <c r="J308" s="34">
        <f t="shared" si="12"/>
      </c>
      <c r="K308" s="35">
        <f t="shared" si="126"/>
      </c>
      <c r="L308" s="79">
        <f t="shared" si="88"/>
      </c>
      <c r="M308" s="54">
        <f t="shared" si="221"/>
      </c>
      <c r="N308" s="55">
        <f t="shared" si="164"/>
      </c>
      <c r="O308" s="55">
        <f t="shared" si="183"/>
      </c>
      <c r="P308" s="55">
        <f t="shared" si="316"/>
      </c>
      <c r="Q308" s="55">
        <f t="shared" si="278"/>
      </c>
      <c r="R308" s="54">
        <f t="shared" si="69"/>
      </c>
      <c r="S308" s="56">
        <f t="shared" si="31"/>
      </c>
      <c r="T308" s="55">
        <f t="shared" si="145"/>
      </c>
      <c r="U308" s="55">
        <f t="shared" si="107"/>
      </c>
      <c r="V308" s="55">
        <f t="shared" si="240"/>
      </c>
      <c r="W308" s="55">
        <f t="shared" si="202"/>
      </c>
      <c r="X308" s="38" t="s">
        <v>52</v>
      </c>
      <c r="Y308" s="39" t="s">
        <v>39</v>
      </c>
      <c r="Z308" s="41">
        <v>69876</v>
      </c>
      <c r="AA308" s="41">
        <v>6279</v>
      </c>
      <c r="AB308" s="41">
        <v>153277</v>
      </c>
      <c r="AC308" s="41">
        <v>284</v>
      </c>
      <c r="AD308" s="41">
        <v>7</v>
      </c>
      <c r="AE308" s="41">
        <v>7247</v>
      </c>
      <c r="AF308" s="41">
        <v>82</v>
      </c>
      <c r="AG308" s="41">
        <v>29</v>
      </c>
      <c r="AH308" s="41">
        <v>12</v>
      </c>
      <c r="AI308" s="42">
        <v>4</v>
      </c>
      <c r="AJ308" s="24"/>
      <c r="AK308" s="24"/>
      <c r="AL308" s="24"/>
    </row>
    <row r="309">
      <c r="A309" s="25"/>
      <c r="B309" s="72" t="s">
        <v>57</v>
      </c>
      <c r="C309" s="78" t="s">
        <v>61</v>
      </c>
      <c r="D309" s="85">
        <v>1682.0500000000002</v>
      </c>
      <c r="E309" s="45">
        <v>4</v>
      </c>
      <c r="F309" s="30">
        <f t="shared" si="297"/>
      </c>
      <c r="G309" s="45">
        <v>1386.699999999997</v>
      </c>
      <c r="H309" s="49">
        <f t="shared" si="259"/>
      </c>
      <c r="I309" s="33">
        <f t="shared" si="50"/>
      </c>
      <c r="J309" s="34">
        <f t="shared" si="12"/>
      </c>
      <c r="K309" s="35">
        <f t="shared" si="126"/>
      </c>
      <c r="L309" s="79">
        <f t="shared" si="88"/>
      </c>
      <c r="M309" s="54">
        <f t="shared" si="221"/>
      </c>
      <c r="N309" s="55">
        <f t="shared" si="164"/>
      </c>
      <c r="O309" s="55">
        <f t="shared" si="183"/>
      </c>
      <c r="P309" s="55">
        <f t="shared" si="316"/>
      </c>
      <c r="Q309" s="55">
        <f t="shared" si="278"/>
      </c>
      <c r="R309" s="54">
        <f t="shared" si="69"/>
      </c>
      <c r="S309" s="56">
        <f t="shared" si="31"/>
      </c>
      <c r="T309" s="55">
        <f t="shared" si="145"/>
      </c>
      <c r="U309" s="55">
        <f t="shared" si="107"/>
      </c>
      <c r="V309" s="55">
        <f t="shared" si="240"/>
      </c>
      <c r="W309" s="55">
        <f t="shared" si="202"/>
      </c>
      <c r="X309" s="38" t="s">
        <v>52</v>
      </c>
      <c r="Y309" s="39" t="s">
        <v>39</v>
      </c>
      <c r="Z309" s="41">
        <v>52977</v>
      </c>
      <c r="AA309" s="41">
        <v>5970</v>
      </c>
      <c r="AB309" s="41">
        <v>108513</v>
      </c>
      <c r="AC309" s="41">
        <v>270</v>
      </c>
      <c r="AD309" s="41">
        <v>2</v>
      </c>
      <c r="AE309" s="41">
        <v>6032</v>
      </c>
      <c r="AF309" s="41">
        <v>69</v>
      </c>
      <c r="AG309" s="41">
        <v>18</v>
      </c>
      <c r="AH309" s="41">
        <v>3</v>
      </c>
      <c r="AI309" s="42">
        <v>2</v>
      </c>
      <c r="AJ309" s="24"/>
      <c r="AK309" s="24"/>
      <c r="AL309" s="24"/>
    </row>
    <row r="310">
      <c r="A310" s="25"/>
      <c r="B310" s="72" t="s">
        <v>57</v>
      </c>
      <c r="C310" s="78" t="s">
        <v>62</v>
      </c>
      <c r="D310" s="85">
        <v>866.6659999999999</v>
      </c>
      <c r="E310" s="45">
        <v>7</v>
      </c>
      <c r="F310" s="47">
        <f t="shared" si="297"/>
      </c>
      <c r="G310" s="45">
        <v>2125.5999999999985</v>
      </c>
      <c r="H310" s="49">
        <f t="shared" si="259"/>
      </c>
      <c r="I310" s="50">
        <f t="shared" si="50"/>
      </c>
      <c r="J310" s="51">
        <f t="shared" si="12"/>
      </c>
      <c r="K310" s="52">
        <f t="shared" si="126"/>
      </c>
      <c r="L310" s="53">
        <f t="shared" si="88"/>
      </c>
      <c r="M310" s="54">
        <f t="shared" si="221"/>
      </c>
      <c r="N310" s="55">
        <f t="shared" si="164"/>
      </c>
      <c r="O310" s="55">
        <f t="shared" si="183"/>
      </c>
      <c r="P310" s="55">
        <f t="shared" si="316"/>
      </c>
      <c r="Q310" s="55">
        <f t="shared" si="278"/>
      </c>
      <c r="R310" s="54">
        <f t="shared" si="69"/>
      </c>
      <c r="S310" s="56">
        <f t="shared" si="31"/>
      </c>
      <c r="T310" s="55">
        <f t="shared" si="145"/>
      </c>
      <c r="U310" s="55">
        <f t="shared" si="107"/>
      </c>
      <c r="V310" s="55">
        <f t="shared" si="240"/>
      </c>
      <c r="W310" s="55">
        <f t="shared" si="202"/>
      </c>
      <c r="X310" s="38" t="s">
        <v>52</v>
      </c>
      <c r="Y310" s="39" t="s">
        <v>39</v>
      </c>
      <c r="Z310" s="40">
        <v>32236</v>
      </c>
      <c r="AA310" s="40">
        <v>3235</v>
      </c>
      <c r="AB310" s="40">
        <v>52192</v>
      </c>
      <c r="AC310" s="40">
        <v>176</v>
      </c>
      <c r="AD310" s="40">
        <v>5</v>
      </c>
      <c r="AE310" s="40">
        <v>2915</v>
      </c>
      <c r="AF310" s="41">
        <v>58</v>
      </c>
      <c r="AG310" s="41">
        <v>12</v>
      </c>
      <c r="AH310" s="41">
        <v>5</v>
      </c>
      <c r="AI310" s="42">
        <v>1</v>
      </c>
      <c r="AJ310" s="24"/>
      <c r="AK310" s="24"/>
      <c r="AL310" s="24"/>
    </row>
    <row r="311">
      <c r="A311" s="25"/>
      <c r="B311" s="58" t="s">
        <v>44</v>
      </c>
      <c r="C311" s="58"/>
      <c r="D311" s="59">
        <f>SUM(D307:D310)</f>
      </c>
      <c r="E311" s="60">
        <f>SUM(E307:E310)</f>
      </c>
      <c r="F311" s="61">
        <f t="shared" si="297"/>
      </c>
      <c r="G311" s="62">
        <f>SUM(G307:G310)</f>
      </c>
      <c r="H311" s="63">
        <f t="shared" si="259"/>
      </c>
      <c r="I311" s="64">
        <f t="shared" si="50"/>
      </c>
      <c r="J311" s="65">
        <f t="shared" si="12"/>
      </c>
      <c r="K311" s="61">
        <f t="shared" si="126"/>
      </c>
      <c r="L311" s="66">
        <f t="shared" si="88"/>
      </c>
      <c r="M311" s="65">
        <f t="shared" si="221"/>
      </c>
      <c r="N311" s="67">
        <f t="shared" si="164"/>
      </c>
      <c r="O311" s="67">
        <f t="shared" si="183"/>
      </c>
      <c r="P311" s="68">
        <f t="shared" si="316"/>
      </c>
      <c r="Q311" s="68">
        <f t="shared" si="278"/>
      </c>
      <c r="R311" s="69">
        <f t="shared" si="69"/>
      </c>
      <c r="S311" s="70">
        <f t="shared" si="31"/>
      </c>
      <c r="T311" s="68">
        <f t="shared" si="145"/>
      </c>
      <c r="U311" s="68">
        <f t="shared" si="107"/>
      </c>
      <c r="V311" s="68">
        <f t="shared" si="240"/>
      </c>
      <c r="W311" s="68">
        <f t="shared" si="202"/>
      </c>
      <c r="X311" s="68"/>
      <c r="Y311" s="71"/>
      <c r="Z311" s="59">
        <f>SUM(Z307:Z310)</f>
      </c>
      <c r="AA311" s="59">
        <f>SUM(AA307:AA310)</f>
      </c>
      <c r="AB311" s="59">
        <f>SUM(AB307:AB310)</f>
      </c>
      <c r="AC311" s="59">
        <f>SUM(AC307:AC310)</f>
      </c>
      <c r="AD311" s="59">
        <f>SUM(AD307:AD310)</f>
      </c>
      <c r="AE311" s="59">
        <f>SUM(AE307:AE310)</f>
      </c>
      <c r="AF311" s="59">
        <f>SUM(AF307:AF310)</f>
      </c>
      <c r="AG311" s="59">
        <f>SUM(AG307:AG310)</f>
      </c>
      <c r="AH311" s="59">
        <f>SUM(AH307:AH310)</f>
      </c>
      <c r="AI311" s="59">
        <f>SUM(AI307:AI310)</f>
      </c>
      <c r="AJ311" s="24"/>
      <c r="AK311" s="24"/>
      <c r="AL311" s="24"/>
    </row>
    <row r="312">
      <c r="A312" s="25"/>
      <c r="B312" s="89" t="s">
        <v>63</v>
      </c>
      <c r="C312" s="89"/>
      <c r="D312" s="90">
        <f>SUM(D311+D295+D301+D306)</f>
      </c>
      <c r="E312" s="91">
        <f>SUM(E311+E295+E301+E306)</f>
      </c>
      <c r="F312" s="92">
        <f t="shared" si="297"/>
      </c>
      <c r="G312" s="93">
        <f>SUM(G311+G295+G301+G306)</f>
      </c>
      <c r="H312" s="94">
        <f t="shared" si="259"/>
      </c>
      <c r="I312" s="95">
        <f t="shared" si="50"/>
      </c>
      <c r="J312" s="96">
        <f t="shared" si="12"/>
      </c>
      <c r="K312" s="92">
        <f t="shared" si="126"/>
      </c>
      <c r="L312" s="97">
        <f t="shared" si="88"/>
      </c>
      <c r="M312" s="97">
        <f t="shared" si="221"/>
      </c>
      <c r="N312" s="98">
        <f t="shared" si="164"/>
      </c>
      <c r="O312" s="98">
        <f t="shared" si="183"/>
      </c>
      <c r="P312" s="98">
        <f t="shared" si="316"/>
      </c>
      <c r="Q312" s="98">
        <f t="shared" si="278"/>
      </c>
      <c r="R312" s="99">
        <f t="shared" si="69"/>
      </c>
      <c r="S312" s="100">
        <f t="shared" si="31"/>
      </c>
      <c r="T312" s="101">
        <f t="shared" si="145"/>
      </c>
      <c r="U312" s="101">
        <f t="shared" si="107"/>
      </c>
      <c r="V312" s="101">
        <f t="shared" si="240"/>
      </c>
      <c r="W312" s="101">
        <f t="shared" si="202"/>
      </c>
      <c r="X312" s="101"/>
      <c r="Y312" s="102"/>
      <c r="Z312" s="103">
        <f>SUM(Z295+Z311+Z301+Z306)</f>
      </c>
      <c r="AA312" s="103">
        <f>SUM(AA295+AA311+AA301+AA306)</f>
      </c>
      <c r="AB312" s="103">
        <f>SUM(AB295+AB311+AB301+AB306)</f>
      </c>
      <c r="AC312" s="103">
        <f>SUM(AC295+AC311+AC301+AC306)</f>
      </c>
      <c r="AD312" s="103">
        <f>SUM(AD295+AD311+AD301+AD306)</f>
      </c>
      <c r="AE312" s="103">
        <f>SUM(AE295+AE311+AE301+AE306)</f>
      </c>
      <c r="AF312" s="103">
        <f>SUM(AF295+AF311+AF301+AF306)</f>
      </c>
      <c r="AG312" s="103">
        <f>SUM(AG295+AG311+AG301+AG306)</f>
      </c>
      <c r="AH312" s="103">
        <f>SUM(AH295+AH311+AH301+AH306)</f>
      </c>
      <c r="AI312" s="103">
        <f>SUM(AI295+AI311+AI301+AI306)</f>
      </c>
      <c r="AJ312" s="24"/>
      <c r="AK312" s="24"/>
      <c r="AL312" s="24"/>
    </row>
    <row r="313">
      <c r="A313" s="1" t="s">
        <v>1</v>
      </c>
      <c r="B313" s="2" t="s">
        <v>2</v>
      </c>
      <c r="C313" s="3" t="s">
        <v>3</v>
      </c>
      <c r="D313" s="4" t="s">
        <v>4</v>
      </c>
      <c r="E313" s="5" t="s">
        <v>5</v>
      </c>
      <c r="F313" s="6" t="s">
        <v>6</v>
      </c>
      <c r="G313" s="7" t="s">
        <v>7</v>
      </c>
      <c r="H313" s="8" t="s">
        <v>8</v>
      </c>
      <c r="I313" s="9" t="s">
        <v>9</v>
      </c>
      <c r="J313" s="10" t="s">
        <v>10</v>
      </c>
      <c r="K313" s="11" t="s">
        <v>11</v>
      </c>
      <c r="L313" s="12" t="s">
        <v>12</v>
      </c>
      <c r="M313" s="12" t="s">
        <v>13</v>
      </c>
      <c r="N313" s="13" t="s">
        <v>14</v>
      </c>
      <c r="O313" s="13" t="s">
        <v>15</v>
      </c>
      <c r="P313" s="13" t="s">
        <v>16</v>
      </c>
      <c r="Q313" s="13" t="s">
        <v>17</v>
      </c>
      <c r="R313" s="14" t="s">
        <v>18</v>
      </c>
      <c r="S313" s="15" t="s">
        <v>19</v>
      </c>
      <c r="T313" s="16" t="s">
        <v>20</v>
      </c>
      <c r="U313" s="16" t="s">
        <v>21</v>
      </c>
      <c r="V313" s="16" t="s">
        <v>22</v>
      </c>
      <c r="W313" s="16" t="s">
        <v>23</v>
      </c>
      <c r="X313" s="17" t="s">
        <v>24</v>
      </c>
      <c r="Y313" s="18" t="s">
        <v>25</v>
      </c>
      <c r="Z313" s="19" t="s">
        <v>26</v>
      </c>
      <c r="AA313" s="19" t="s">
        <v>27</v>
      </c>
      <c r="AB313" s="19" t="s">
        <v>28</v>
      </c>
      <c r="AC313" s="20" t="s">
        <v>29</v>
      </c>
      <c r="AD313" s="20" t="s">
        <v>30</v>
      </c>
      <c r="AE313" s="21" t="s">
        <v>31</v>
      </c>
      <c r="AF313" s="20" t="s">
        <v>32</v>
      </c>
      <c r="AG313" s="20" t="s">
        <v>33</v>
      </c>
      <c r="AH313" s="22" t="s">
        <v>34</v>
      </c>
      <c r="AI313" s="23" t="s">
        <v>35</v>
      </c>
      <c r="AJ313" s="24"/>
      <c r="AK313" s="24"/>
      <c r="AL313" s="24"/>
    </row>
    <row r="314">
      <c r="A314" s="25">
        <v>46309</v>
      </c>
      <c r="B314" s="72" t="s">
        <v>50</v>
      </c>
      <c r="C314" s="27" t="s">
        <v>37</v>
      </c>
      <c r="D314" s="104">
        <v>154.338</v>
      </c>
      <c r="E314" s="29">
        <v>0</v>
      </c>
      <c r="F314" s="30">
        <f t="shared" ref="F314:F336" si="298">D314/E314</f>
      </c>
      <c r="G314" s="31">
        <v>0</v>
      </c>
      <c r="H314" s="49">
        <f t="shared" ref="H314:H336" si="260">AD314</f>
      </c>
      <c r="I314" s="33">
        <f t="shared" ref="I314:I336" si="51">D314/AD314</f>
      </c>
      <c r="J314" s="34">
        <f t="shared" ref="J314:J336" si="13">G314/E314</f>
      </c>
      <c r="K314" s="35">
        <f t="shared" ref="K314:K336" si="127">G314/D314</f>
      </c>
      <c r="L314" s="36">
        <f t="shared" ref="L314:L336" si="89">D314/AB314</f>
      </c>
      <c r="M314" s="34">
        <f t="shared" ref="M314:M336" si="222">D314/AC314</f>
      </c>
      <c r="N314" s="37">
        <f t="shared" ref="N314:N336" si="165">AC314/AB314</f>
      </c>
      <c r="O314" s="37">
        <f t="shared" ref="O314:O336" si="184">AD314/AC314</f>
      </c>
      <c r="P314" s="37">
        <f t="shared" ref="P314:P336" si="317">AA314/Z314</f>
      </c>
      <c r="Q314" s="37">
        <f t="shared" ref="Q314:Q336" si="279">AD314/AA314</f>
      </c>
      <c r="R314" s="34">
        <f t="shared" ref="R314:R336" si="70">D314/Z314*1000</f>
      </c>
      <c r="S314" s="35">
        <f t="shared" ref="S314:S336" si="32">D314/AA314</f>
      </c>
      <c r="T314" s="37">
        <f t="shared" ref="T314:T336" si="146">AE314/AB314</f>
      </c>
      <c r="U314" s="37">
        <f t="shared" ref="U314:U336" si="108">AF314/AB314</f>
      </c>
      <c r="V314" s="37">
        <f t="shared" ref="V314:V336" si="241">AG314/AB314</f>
      </c>
      <c r="W314" s="37">
        <f t="shared" ref="W314:W336" si="203">AH314/AB314</f>
      </c>
      <c r="X314" s="38" t="s">
        <v>52</v>
      </c>
      <c r="Y314" s="39" t="s">
        <v>54</v>
      </c>
      <c r="Z314" s="40">
        <v>6271</v>
      </c>
      <c r="AA314" s="40">
        <v>704</v>
      </c>
      <c r="AB314" s="40">
        <v>7224</v>
      </c>
      <c r="AC314" s="40">
        <v>59</v>
      </c>
      <c r="AD314" s="41">
        <v>0</v>
      </c>
      <c r="AE314" s="40">
        <v>600</v>
      </c>
      <c r="AF314" s="41">
        <v>28</v>
      </c>
      <c r="AG314" s="41">
        <v>2</v>
      </c>
      <c r="AH314" s="41">
        <v>0</v>
      </c>
      <c r="AI314" s="42">
        <v>0</v>
      </c>
      <c r="AJ314" s="24"/>
      <c r="AK314" s="24"/>
      <c r="AL314" s="24"/>
    </row>
    <row r="315">
      <c r="A315" s="25"/>
      <c r="B315" s="72" t="s">
        <v>50</v>
      </c>
      <c r="C315" s="27" t="s">
        <v>40</v>
      </c>
      <c r="D315" s="104">
        <v>1411.792</v>
      </c>
      <c r="E315" s="29">
        <v>2</v>
      </c>
      <c r="F315" s="30">
        <f t="shared" si="298"/>
      </c>
      <c r="G315" s="31">
        <v>1056</v>
      </c>
      <c r="H315" s="49">
        <f t="shared" si="260"/>
      </c>
      <c r="I315" s="33">
        <f t="shared" si="51"/>
      </c>
      <c r="J315" s="34">
        <f t="shared" si="13"/>
      </c>
      <c r="K315" s="35">
        <f t="shared" si="127"/>
      </c>
      <c r="L315" s="36">
        <f t="shared" si="89"/>
      </c>
      <c r="M315" s="34">
        <f t="shared" si="222"/>
      </c>
      <c r="N315" s="37">
        <f t="shared" si="165"/>
      </c>
      <c r="O315" s="37">
        <f t="shared" si="184"/>
      </c>
      <c r="P315" s="37">
        <f t="shared" si="317"/>
      </c>
      <c r="Q315" s="37">
        <f t="shared" si="279"/>
      </c>
      <c r="R315" s="34">
        <f t="shared" si="70"/>
      </c>
      <c r="S315" s="35">
        <f t="shared" si="32"/>
      </c>
      <c r="T315" s="37">
        <f t="shared" si="146"/>
      </c>
      <c r="U315" s="37">
        <f t="shared" si="108"/>
      </c>
      <c r="V315" s="37">
        <f t="shared" si="241"/>
      </c>
      <c r="W315" s="37">
        <f t="shared" si="203"/>
      </c>
      <c r="X315" s="38" t="s">
        <v>52</v>
      </c>
      <c r="Y315" s="39" t="s">
        <v>54</v>
      </c>
      <c r="Z315" s="41">
        <v>50465</v>
      </c>
      <c r="AA315" s="40">
        <v>7168</v>
      </c>
      <c r="AB315" s="40">
        <v>76015</v>
      </c>
      <c r="AC315" s="40">
        <v>228</v>
      </c>
      <c r="AD315" s="41">
        <v>2</v>
      </c>
      <c r="AE315" s="40">
        <v>7584</v>
      </c>
      <c r="AF315" s="41">
        <v>86</v>
      </c>
      <c r="AG315" s="41">
        <v>20</v>
      </c>
      <c r="AH315" s="41">
        <v>2</v>
      </c>
      <c r="AI315" s="42">
        <v>0</v>
      </c>
      <c r="AJ315" s="24"/>
      <c r="AK315" s="24"/>
      <c r="AL315" s="24"/>
    </row>
    <row r="316">
      <c r="A316" s="25"/>
      <c r="B316" s="72" t="s">
        <v>50</v>
      </c>
      <c r="C316" s="43" t="s">
        <v>41</v>
      </c>
      <c r="D316" s="84">
        <v>1729.53</v>
      </c>
      <c r="E316" s="45">
        <v>3</v>
      </c>
      <c r="F316" s="30">
        <f t="shared" si="298"/>
      </c>
      <c r="G316" s="45">
        <v>684</v>
      </c>
      <c r="H316" s="49">
        <f t="shared" si="260"/>
      </c>
      <c r="I316" s="33">
        <f t="shared" si="51"/>
      </c>
      <c r="J316" s="34">
        <f t="shared" si="13"/>
      </c>
      <c r="K316" s="35">
        <f t="shared" si="127"/>
      </c>
      <c r="L316" s="36">
        <f t="shared" si="89"/>
      </c>
      <c r="M316" s="34">
        <f t="shared" si="222"/>
      </c>
      <c r="N316" s="37">
        <f t="shared" si="165"/>
      </c>
      <c r="O316" s="37">
        <f t="shared" si="184"/>
      </c>
      <c r="P316" s="37">
        <f t="shared" si="317"/>
      </c>
      <c r="Q316" s="37">
        <f t="shared" si="279"/>
      </c>
      <c r="R316" s="34">
        <f t="shared" si="70"/>
      </c>
      <c r="S316" s="35">
        <f t="shared" si="32"/>
      </c>
      <c r="T316" s="37">
        <f t="shared" si="146"/>
      </c>
      <c r="U316" s="37">
        <f t="shared" si="108"/>
      </c>
      <c r="V316" s="37">
        <f t="shared" si="241"/>
      </c>
      <c r="W316" s="37">
        <f t="shared" si="203"/>
      </c>
      <c r="X316" s="38" t="s">
        <v>52</v>
      </c>
      <c r="Y316" s="39" t="s">
        <v>54</v>
      </c>
      <c r="Z316" s="41">
        <v>56572</v>
      </c>
      <c r="AA316" s="41">
        <v>9716</v>
      </c>
      <c r="AB316" s="41">
        <v>89686</v>
      </c>
      <c r="AC316" s="41">
        <v>341</v>
      </c>
      <c r="AD316" s="41">
        <v>3</v>
      </c>
      <c r="AE316" s="41">
        <v>9147</v>
      </c>
      <c r="AF316" s="41">
        <v>202</v>
      </c>
      <c r="AG316" s="41">
        <v>19</v>
      </c>
      <c r="AH316" s="41">
        <v>5</v>
      </c>
      <c r="AI316" s="42">
        <v>0</v>
      </c>
      <c r="AJ316" s="24"/>
      <c r="AK316" s="24"/>
      <c r="AL316" s="24"/>
    </row>
    <row r="317">
      <c r="A317" s="25"/>
      <c r="B317" s="72" t="s">
        <v>50</v>
      </c>
      <c r="C317" s="46" t="s">
        <v>42</v>
      </c>
      <c r="D317" s="84">
        <v>1757.993</v>
      </c>
      <c r="E317" s="45">
        <v>8</v>
      </c>
      <c r="F317" s="47">
        <f t="shared" si="298"/>
      </c>
      <c r="G317" s="45">
        <v>1708.6</v>
      </c>
      <c r="H317" s="49">
        <f t="shared" si="260"/>
      </c>
      <c r="I317" s="50">
        <f t="shared" si="51"/>
      </c>
      <c r="J317" s="51">
        <f t="shared" si="13"/>
      </c>
      <c r="K317" s="52">
        <f t="shared" si="127"/>
      </c>
      <c r="L317" s="53">
        <f t="shared" si="89"/>
      </c>
      <c r="M317" s="54">
        <f t="shared" si="222"/>
      </c>
      <c r="N317" s="55">
        <f t="shared" si="165"/>
      </c>
      <c r="O317" s="55">
        <f t="shared" si="184"/>
      </c>
      <c r="P317" s="55">
        <f t="shared" si="317"/>
      </c>
      <c r="Q317" s="55">
        <f t="shared" si="279"/>
      </c>
      <c r="R317" s="54">
        <f t="shared" si="70"/>
      </c>
      <c r="S317" s="56">
        <f t="shared" si="32"/>
      </c>
      <c r="T317" s="55">
        <f t="shared" si="146"/>
      </c>
      <c r="U317" s="55">
        <f t="shared" si="108"/>
      </c>
      <c r="V317" s="55">
        <f t="shared" si="241"/>
      </c>
      <c r="W317" s="55">
        <f t="shared" si="203"/>
      </c>
      <c r="X317" s="38" t="s">
        <v>52</v>
      </c>
      <c r="Y317" s="39" t="s">
        <v>54</v>
      </c>
      <c r="Z317" s="40">
        <v>50770</v>
      </c>
      <c r="AA317" s="40">
        <v>8363</v>
      </c>
      <c r="AB317" s="40">
        <v>87089</v>
      </c>
      <c r="AC317" s="40">
        <v>340</v>
      </c>
      <c r="AD317" s="40">
        <v>5</v>
      </c>
      <c r="AE317" s="40">
        <v>8446</v>
      </c>
      <c r="AF317" s="41">
        <v>198</v>
      </c>
      <c r="AG317" s="41">
        <v>22</v>
      </c>
      <c r="AH317" s="41">
        <v>9</v>
      </c>
      <c r="AI317" s="42">
        <v>1</v>
      </c>
      <c r="AJ317" s="24"/>
      <c r="AK317" s="24"/>
      <c r="AL317" s="24"/>
    </row>
    <row r="318">
      <c r="A318" s="25"/>
      <c r="B318" s="72" t="s">
        <v>50</v>
      </c>
      <c r="C318" s="46" t="s">
        <v>43</v>
      </c>
      <c r="D318" s="85">
        <v>1799.637</v>
      </c>
      <c r="E318" s="45">
        <v>4</v>
      </c>
      <c r="F318" s="47">
        <f t="shared" si="298"/>
      </c>
      <c r="G318" s="45">
        <v>912</v>
      </c>
      <c r="H318" s="49">
        <f t="shared" si="260"/>
      </c>
      <c r="I318" s="50">
        <f t="shared" si="51"/>
      </c>
      <c r="J318" s="51">
        <f t="shared" si="13"/>
      </c>
      <c r="K318" s="52">
        <f t="shared" si="127"/>
      </c>
      <c r="L318" s="53">
        <f t="shared" si="89"/>
      </c>
      <c r="M318" s="54">
        <f t="shared" si="222"/>
      </c>
      <c r="N318" s="55">
        <f t="shared" si="165"/>
      </c>
      <c r="O318" s="55">
        <f t="shared" si="184"/>
      </c>
      <c r="P318" s="55">
        <f t="shared" si="317"/>
      </c>
      <c r="Q318" s="55">
        <f t="shared" si="279"/>
      </c>
      <c r="R318" s="54">
        <f t="shared" si="70"/>
      </c>
      <c r="S318" s="56">
        <f t="shared" si="32"/>
      </c>
      <c r="T318" s="55">
        <f t="shared" si="146"/>
      </c>
      <c r="U318" s="55">
        <f t="shared" si="108"/>
      </c>
      <c r="V318" s="55">
        <f t="shared" si="241"/>
      </c>
      <c r="W318" s="55">
        <f t="shared" si="203"/>
      </c>
      <c r="X318" s="38" t="s">
        <v>52</v>
      </c>
      <c r="Y318" s="39" t="s">
        <v>54</v>
      </c>
      <c r="Z318" s="40">
        <v>44845</v>
      </c>
      <c r="AA318" s="40">
        <v>6353</v>
      </c>
      <c r="AB318" s="40">
        <v>83076</v>
      </c>
      <c r="AC318" s="40">
        <v>373</v>
      </c>
      <c r="AD318" s="40">
        <v>3</v>
      </c>
      <c r="AE318" s="40">
        <v>7193</v>
      </c>
      <c r="AF318" s="41">
        <v>155</v>
      </c>
      <c r="AG318" s="41">
        <v>19</v>
      </c>
      <c r="AH318" s="41">
        <v>4</v>
      </c>
      <c r="AI318" s="42">
        <v>0</v>
      </c>
      <c r="AJ318" s="24"/>
      <c r="AK318" s="24"/>
      <c r="AL318" s="24"/>
    </row>
    <row r="319">
      <c r="A319" s="25"/>
      <c r="B319" s="58" t="s">
        <v>44</v>
      </c>
      <c r="C319" s="58"/>
      <c r="D319" s="59">
        <f>SUM(D314:D318)</f>
      </c>
      <c r="E319" s="60">
        <f>SUM(E314:E318)</f>
      </c>
      <c r="F319" s="61">
        <f t="shared" si="298"/>
      </c>
      <c r="G319" s="62">
        <f>SUM(G314:G318)</f>
      </c>
      <c r="H319" s="63">
        <f t="shared" si="260"/>
      </c>
      <c r="I319" s="64">
        <f t="shared" si="51"/>
      </c>
      <c r="J319" s="65">
        <f t="shared" si="13"/>
      </c>
      <c r="K319" s="61">
        <f t="shared" si="127"/>
      </c>
      <c r="L319" s="66">
        <f t="shared" si="89"/>
      </c>
      <c r="M319" s="65">
        <f t="shared" si="222"/>
      </c>
      <c r="N319" s="67">
        <f t="shared" si="165"/>
      </c>
      <c r="O319" s="67">
        <f t="shared" si="184"/>
      </c>
      <c r="P319" s="68">
        <f t="shared" si="317"/>
      </c>
      <c r="Q319" s="68">
        <f t="shared" si="279"/>
      </c>
      <c r="R319" s="69">
        <f t="shared" si="70"/>
      </c>
      <c r="S319" s="70">
        <f t="shared" si="32"/>
      </c>
      <c r="T319" s="68">
        <f t="shared" si="146"/>
      </c>
      <c r="U319" s="68">
        <f t="shared" si="108"/>
      </c>
      <c r="V319" s="68">
        <f t="shared" si="241"/>
      </c>
      <c r="W319" s="68">
        <f t="shared" si="203"/>
      </c>
      <c r="X319" s="68"/>
      <c r="Y319" s="71"/>
      <c r="Z319" s="59">
        <f>SUM(Z314:Z318)</f>
      </c>
      <c r="AA319" s="59">
        <f>SUM(AA314:AA318)</f>
      </c>
      <c r="AB319" s="59">
        <f>SUM(AB314:AB318)</f>
      </c>
      <c r="AC319" s="59">
        <f>SUM(AC314:AC318)</f>
      </c>
      <c r="AD319" s="59">
        <f>SUM(AD314:AD318)</f>
      </c>
      <c r="AE319" s="59">
        <f>SUM(AE314:AE318)</f>
      </c>
      <c r="AF319" s="59">
        <f>SUM(AF314:AF318)</f>
      </c>
      <c r="AG319" s="59">
        <f>SUM(AG314:AG318)</f>
      </c>
      <c r="AH319" s="59">
        <f>SUM(AH314:AH318)</f>
      </c>
      <c r="AI319" s="59">
        <f>SUM(AI314:AI318)</f>
      </c>
      <c r="AJ319" s="24"/>
      <c r="AK319" s="24"/>
      <c r="AL319" s="24"/>
    </row>
    <row r="320">
      <c r="A320" s="25"/>
      <c r="B320" s="72" t="s">
        <v>36</v>
      </c>
      <c r="C320" s="73" t="s">
        <v>46</v>
      </c>
      <c r="D320" s="105">
        <v>1419.462</v>
      </c>
      <c r="E320" s="75">
        <v>4</v>
      </c>
      <c r="F320" s="47">
        <f t="shared" si="298"/>
      </c>
      <c r="G320" s="45">
        <v>901.2</v>
      </c>
      <c r="H320" s="49">
        <f t="shared" si="260"/>
      </c>
      <c r="I320" s="50">
        <f t="shared" si="51"/>
      </c>
      <c r="J320" s="51">
        <f t="shared" si="13"/>
      </c>
      <c r="K320" s="52">
        <f t="shared" si="127"/>
      </c>
      <c r="L320" s="76">
        <f t="shared" si="89"/>
      </c>
      <c r="M320" s="34">
        <f t="shared" si="222"/>
      </c>
      <c r="N320" s="37">
        <f t="shared" si="165"/>
      </c>
      <c r="O320" s="37">
        <f t="shared" si="184"/>
      </c>
      <c r="P320" s="37">
        <f t="shared" si="317"/>
      </c>
      <c r="Q320" s="37">
        <f t="shared" si="279"/>
      </c>
      <c r="R320" s="34">
        <f t="shared" si="70"/>
      </c>
      <c r="S320" s="35">
        <f t="shared" si="32"/>
      </c>
      <c r="T320" s="37">
        <f t="shared" si="146"/>
      </c>
      <c r="U320" s="37">
        <f t="shared" si="108"/>
      </c>
      <c r="V320" s="37">
        <f t="shared" si="241"/>
      </c>
      <c r="W320" s="37">
        <f t="shared" si="203"/>
      </c>
      <c r="X320" s="38" t="s">
        <v>52</v>
      </c>
      <c r="Y320" s="39" t="s">
        <v>54</v>
      </c>
      <c r="Z320" s="41">
        <v>37871</v>
      </c>
      <c r="AA320" s="41">
        <v>5861</v>
      </c>
      <c r="AB320" s="41">
        <v>65711</v>
      </c>
      <c r="AC320" s="41">
        <v>303</v>
      </c>
      <c r="AD320" s="41">
        <v>5</v>
      </c>
      <c r="AE320" s="41">
        <v>6194</v>
      </c>
      <c r="AF320" s="41">
        <v>134</v>
      </c>
      <c r="AG320" s="41">
        <v>17</v>
      </c>
      <c r="AH320" s="41">
        <v>2</v>
      </c>
      <c r="AI320" s="42">
        <v>1</v>
      </c>
      <c r="AJ320" s="24"/>
      <c r="AK320" s="24"/>
      <c r="AL320" s="24"/>
    </row>
    <row r="321">
      <c r="A321" s="25"/>
      <c r="B321" s="72" t="s">
        <v>36</v>
      </c>
      <c r="C321" s="77" t="s">
        <v>47</v>
      </c>
      <c r="D321" s="84">
        <v>1773.811</v>
      </c>
      <c r="E321" s="45">
        <v>5</v>
      </c>
      <c r="F321" s="47">
        <f t="shared" si="298"/>
      </c>
      <c r="G321" s="45">
        <v>2340</v>
      </c>
      <c r="H321" s="49">
        <f t="shared" si="260"/>
      </c>
      <c r="I321" s="50">
        <f t="shared" si="51"/>
      </c>
      <c r="J321" s="51">
        <f t="shared" si="13"/>
      </c>
      <c r="K321" s="52">
        <f t="shared" si="127"/>
      </c>
      <c r="L321" s="76">
        <f t="shared" si="89"/>
      </c>
      <c r="M321" s="34">
        <f t="shared" si="222"/>
      </c>
      <c r="N321" s="37">
        <f t="shared" si="165"/>
      </c>
      <c r="O321" s="37">
        <f t="shared" si="184"/>
      </c>
      <c r="P321" s="37">
        <f t="shared" si="317"/>
      </c>
      <c r="Q321" s="37">
        <f t="shared" si="279"/>
      </c>
      <c r="R321" s="34">
        <f t="shared" si="70"/>
      </c>
      <c r="S321" s="35">
        <f t="shared" si="32"/>
      </c>
      <c r="T321" s="37">
        <f t="shared" si="146"/>
      </c>
      <c r="U321" s="37">
        <f t="shared" si="108"/>
      </c>
      <c r="V321" s="37">
        <f t="shared" si="241"/>
      </c>
      <c r="W321" s="37">
        <f t="shared" si="203"/>
      </c>
      <c r="X321" s="38" t="s">
        <v>52</v>
      </c>
      <c r="Y321" s="39" t="s">
        <v>54</v>
      </c>
      <c r="Z321" s="41">
        <v>49120</v>
      </c>
      <c r="AA321" s="41">
        <v>6270</v>
      </c>
      <c r="AB321" s="41">
        <v>87708</v>
      </c>
      <c r="AC321" s="41">
        <v>263</v>
      </c>
      <c r="AD321" s="41">
        <v>6</v>
      </c>
      <c r="AE321" s="41">
        <v>5800</v>
      </c>
      <c r="AF321" s="41">
        <v>126</v>
      </c>
      <c r="AG321" s="41">
        <v>10</v>
      </c>
      <c r="AH321" s="41">
        <v>2</v>
      </c>
      <c r="AI321" s="42">
        <v>0</v>
      </c>
      <c r="AJ321" s="24"/>
      <c r="AK321" s="24"/>
      <c r="AL321" s="24"/>
    </row>
    <row r="322">
      <c r="A322" s="25"/>
      <c r="B322" s="72" t="s">
        <v>36</v>
      </c>
      <c r="C322" s="78" t="s">
        <v>48</v>
      </c>
      <c r="D322" s="84">
        <v>2310.594</v>
      </c>
      <c r="E322" s="45">
        <v>2</v>
      </c>
      <c r="F322" s="30">
        <f t="shared" si="298"/>
      </c>
      <c r="G322" s="45">
        <v>456</v>
      </c>
      <c r="H322" s="49">
        <f t="shared" si="260"/>
      </c>
      <c r="I322" s="33">
        <f t="shared" si="51"/>
      </c>
      <c r="J322" s="34">
        <f t="shared" si="13"/>
      </c>
      <c r="K322" s="35">
        <f t="shared" si="127"/>
      </c>
      <c r="L322" s="79">
        <f t="shared" si="89"/>
      </c>
      <c r="M322" s="54">
        <f t="shared" si="222"/>
      </c>
      <c r="N322" s="55">
        <f t="shared" si="165"/>
      </c>
      <c r="O322" s="55">
        <f t="shared" si="184"/>
      </c>
      <c r="P322" s="55">
        <f t="shared" si="317"/>
      </c>
      <c r="Q322" s="55">
        <f t="shared" si="279"/>
      </c>
      <c r="R322" s="54">
        <f t="shared" si="70"/>
      </c>
      <c r="S322" s="56">
        <f t="shared" si="32"/>
      </c>
      <c r="T322" s="55">
        <f t="shared" si="146"/>
      </c>
      <c r="U322" s="55">
        <f t="shared" si="108"/>
      </c>
      <c r="V322" s="55">
        <f t="shared" si="241"/>
      </c>
      <c r="W322" s="55">
        <f t="shared" si="203"/>
      </c>
      <c r="X322" s="38" t="s">
        <v>52</v>
      </c>
      <c r="Y322" s="39" t="s">
        <v>54</v>
      </c>
      <c r="Z322" s="41">
        <v>55700</v>
      </c>
      <c r="AA322" s="41">
        <v>8049</v>
      </c>
      <c r="AB322" s="41">
        <v>110389</v>
      </c>
      <c r="AC322" s="41">
        <v>353</v>
      </c>
      <c r="AD322" s="41">
        <v>2</v>
      </c>
      <c r="AE322" s="41">
        <v>7466</v>
      </c>
      <c r="AF322" s="41">
        <v>133</v>
      </c>
      <c r="AG322" s="41">
        <v>14</v>
      </c>
      <c r="AH322" s="41">
        <v>4</v>
      </c>
      <c r="AI322" s="42">
        <v>0</v>
      </c>
      <c r="AJ322" s="24"/>
      <c r="AK322" s="24"/>
      <c r="AL322" s="24"/>
    </row>
    <row r="323">
      <c r="A323" s="25"/>
      <c r="B323" s="72" t="s">
        <v>36</v>
      </c>
      <c r="C323" s="78" t="s">
        <v>49</v>
      </c>
      <c r="D323" s="85">
        <v>2011.789</v>
      </c>
      <c r="E323" s="45">
        <v>5</v>
      </c>
      <c r="F323" s="30">
        <f t="shared" si="298"/>
      </c>
      <c r="G323" s="45">
        <v>1740</v>
      </c>
      <c r="H323" s="49">
        <f t="shared" si="260"/>
      </c>
      <c r="I323" s="33">
        <f t="shared" si="51"/>
      </c>
      <c r="J323" s="34">
        <f t="shared" si="13"/>
      </c>
      <c r="K323" s="35">
        <f t="shared" si="127"/>
      </c>
      <c r="L323" s="79">
        <f t="shared" si="89"/>
      </c>
      <c r="M323" s="54">
        <f t="shared" si="222"/>
      </c>
      <c r="N323" s="55">
        <f t="shared" si="165"/>
      </c>
      <c r="O323" s="55">
        <f t="shared" si="184"/>
      </c>
      <c r="P323" s="55">
        <f t="shared" si="317"/>
      </c>
      <c r="Q323" s="55">
        <f t="shared" si="279"/>
      </c>
      <c r="R323" s="54">
        <f t="shared" si="70"/>
      </c>
      <c r="S323" s="56">
        <f t="shared" si="32"/>
      </c>
      <c r="T323" s="55">
        <f t="shared" si="146"/>
      </c>
      <c r="U323" s="55">
        <f t="shared" si="108"/>
      </c>
      <c r="V323" s="55">
        <f t="shared" si="241"/>
      </c>
      <c r="W323" s="55">
        <f t="shared" si="203"/>
      </c>
      <c r="X323" s="38" t="s">
        <v>52</v>
      </c>
      <c r="Y323" s="39" t="s">
        <v>54</v>
      </c>
      <c r="Z323" s="41">
        <v>54118</v>
      </c>
      <c r="AA323" s="41">
        <v>7839</v>
      </c>
      <c r="AB323" s="41">
        <v>98050</v>
      </c>
      <c r="AC323" s="41">
        <v>358</v>
      </c>
      <c r="AD323" s="41">
        <v>6</v>
      </c>
      <c r="AE323" s="41">
        <v>7126</v>
      </c>
      <c r="AF323" s="41">
        <v>129</v>
      </c>
      <c r="AG323" s="41">
        <v>20</v>
      </c>
      <c r="AH323" s="41">
        <v>10</v>
      </c>
      <c r="AI323" s="42">
        <v>0</v>
      </c>
      <c r="AJ323" s="24"/>
      <c r="AK323" s="24"/>
      <c r="AL323" s="24"/>
    </row>
    <row r="324">
      <c r="A324" s="25"/>
      <c r="B324" s="72" t="s">
        <v>36</v>
      </c>
      <c r="C324" s="38" t="s">
        <v>51</v>
      </c>
      <c r="D324" s="85">
        <v>1073.115</v>
      </c>
      <c r="E324" s="45">
        <v>1</v>
      </c>
      <c r="F324" s="47">
        <f t="shared" si="298"/>
      </c>
      <c r="G324" s="45">
        <v>228.00000000000182</v>
      </c>
      <c r="H324" s="49">
        <f t="shared" si="260"/>
      </c>
      <c r="I324" s="50">
        <f t="shared" si="51"/>
      </c>
      <c r="J324" s="51">
        <f t="shared" si="13"/>
      </c>
      <c r="K324" s="52">
        <f t="shared" si="127"/>
      </c>
      <c r="L324" s="53">
        <f t="shared" si="89"/>
      </c>
      <c r="M324" s="54">
        <f t="shared" si="222"/>
      </c>
      <c r="N324" s="55">
        <f t="shared" si="165"/>
      </c>
      <c r="O324" s="55">
        <f t="shared" si="184"/>
      </c>
      <c r="P324" s="55">
        <f t="shared" si="317"/>
      </c>
      <c r="Q324" s="55">
        <f t="shared" si="279"/>
      </c>
      <c r="R324" s="54">
        <f t="shared" si="70"/>
      </c>
      <c r="S324" s="56">
        <f t="shared" si="32"/>
      </c>
      <c r="T324" s="55">
        <f t="shared" si="146"/>
      </c>
      <c r="U324" s="55">
        <f t="shared" si="108"/>
      </c>
      <c r="V324" s="55">
        <f t="shared" si="241"/>
      </c>
      <c r="W324" s="55">
        <f t="shared" si="203"/>
      </c>
      <c r="X324" s="38" t="s">
        <v>52</v>
      </c>
      <c r="Y324" s="39" t="s">
        <v>54</v>
      </c>
      <c r="Z324" s="40">
        <v>34907</v>
      </c>
      <c r="AA324" s="40">
        <v>5262</v>
      </c>
      <c r="AB324" s="40">
        <v>55019</v>
      </c>
      <c r="AC324" s="40">
        <v>242</v>
      </c>
      <c r="AD324" s="40">
        <v>0</v>
      </c>
      <c r="AE324" s="40">
        <v>3819</v>
      </c>
      <c r="AF324" s="41">
        <v>141</v>
      </c>
      <c r="AG324" s="41">
        <v>11</v>
      </c>
      <c r="AH324" s="41">
        <v>4</v>
      </c>
      <c r="AI324" s="42">
        <v>0</v>
      </c>
      <c r="AJ324" s="24"/>
      <c r="AK324" s="24"/>
      <c r="AL324" s="24"/>
    </row>
    <row r="325">
      <c r="A325" s="25"/>
      <c r="B325" s="58" t="s">
        <v>44</v>
      </c>
      <c r="C325" s="58"/>
      <c r="D325" s="59">
        <f>SUM(D320:D324)</f>
      </c>
      <c r="E325" s="60">
        <f>SUM(E320:E324)</f>
      </c>
      <c r="F325" s="61">
        <f t="shared" si="298"/>
      </c>
      <c r="G325" s="62">
        <f>SUM(G320:G324)</f>
      </c>
      <c r="H325" s="63">
        <f t="shared" si="260"/>
      </c>
      <c r="I325" s="64">
        <f t="shared" si="51"/>
      </c>
      <c r="J325" s="65">
        <f t="shared" si="13"/>
      </c>
      <c r="K325" s="61">
        <f t="shared" si="127"/>
      </c>
      <c r="L325" s="66">
        <f t="shared" si="89"/>
      </c>
      <c r="M325" s="65">
        <f t="shared" si="222"/>
      </c>
      <c r="N325" s="67">
        <f t="shared" si="165"/>
      </c>
      <c r="O325" s="67">
        <f t="shared" si="184"/>
      </c>
      <c r="P325" s="68">
        <f t="shared" si="317"/>
      </c>
      <c r="Q325" s="68">
        <f t="shared" si="279"/>
      </c>
      <c r="R325" s="69">
        <f t="shared" si="70"/>
      </c>
      <c r="S325" s="70">
        <f t="shared" si="32"/>
      </c>
      <c r="T325" s="68">
        <f t="shared" si="146"/>
      </c>
      <c r="U325" s="68">
        <f t="shared" si="108"/>
      </c>
      <c r="V325" s="68">
        <f t="shared" si="241"/>
      </c>
      <c r="W325" s="68">
        <f t="shared" si="203"/>
      </c>
      <c r="X325" s="68"/>
      <c r="Y325" s="71"/>
      <c r="Z325" s="59">
        <f>SUM(Z320:Z324)</f>
      </c>
      <c r="AA325" s="59">
        <f>SUM(AA320:AA324)</f>
      </c>
      <c r="AB325" s="59">
        <f>SUM(AB320:AB324)</f>
      </c>
      <c r="AC325" s="59">
        <f>SUM(AC320:AC324)</f>
      </c>
      <c r="AD325" s="59">
        <f>SUM(AD320:AD324)</f>
      </c>
      <c r="AE325" s="59">
        <f>SUM(AE320:AE324)</f>
      </c>
      <c r="AF325" s="59">
        <f>SUM(AF320:AF324)</f>
      </c>
      <c r="AG325" s="59">
        <f>SUM(AG320:AG324)</f>
      </c>
      <c r="AH325" s="59">
        <f>SUM(AH320:AH324)</f>
      </c>
      <c r="AI325" s="59">
        <f>SUM(AI320:AI324)</f>
      </c>
      <c r="AJ325" s="24"/>
      <c r="AK325" s="24"/>
      <c r="AL325" s="24"/>
    </row>
    <row r="326">
      <c r="A326" s="25"/>
      <c r="B326" s="72" t="s">
        <v>57</v>
      </c>
      <c r="C326" s="78" t="s">
        <v>53</v>
      </c>
      <c r="D326" s="84">
        <v>146.165</v>
      </c>
      <c r="E326" s="45">
        <v>2</v>
      </c>
      <c r="F326" s="30">
        <f t="shared" si="298"/>
      </c>
      <c r="G326" s="45">
        <v>423.9999999999982</v>
      </c>
      <c r="H326" s="49">
        <f t="shared" si="260"/>
      </c>
      <c r="I326" s="33">
        <f t="shared" si="51"/>
      </c>
      <c r="J326" s="34">
        <f t="shared" si="13"/>
      </c>
      <c r="K326" s="35">
        <f t="shared" si="127"/>
      </c>
      <c r="L326" s="79">
        <f t="shared" si="89"/>
      </c>
      <c r="M326" s="54">
        <f t="shared" si="222"/>
      </c>
      <c r="N326" s="55">
        <f t="shared" si="165"/>
      </c>
      <c r="O326" s="55">
        <f t="shared" si="184"/>
      </c>
      <c r="P326" s="55">
        <f t="shared" si="317"/>
      </c>
      <c r="Q326" s="55">
        <f t="shared" si="279"/>
      </c>
      <c r="R326" s="54">
        <f t="shared" si="70"/>
      </c>
      <c r="S326" s="56">
        <f t="shared" si="32"/>
      </c>
      <c r="T326" s="55">
        <f t="shared" si="146"/>
      </c>
      <c r="U326" s="55">
        <f t="shared" si="108"/>
      </c>
      <c r="V326" s="55">
        <f t="shared" si="241"/>
      </c>
      <c r="W326" s="55">
        <f t="shared" si="203"/>
      </c>
      <c r="X326" s="38" t="s">
        <v>52</v>
      </c>
      <c r="Y326" s="39" t="s">
        <v>39</v>
      </c>
      <c r="Z326" s="41">
        <v>3438</v>
      </c>
      <c r="AA326" s="41">
        <v>432</v>
      </c>
      <c r="AB326" s="41">
        <v>4281</v>
      </c>
      <c r="AC326" s="41">
        <v>27</v>
      </c>
      <c r="AD326" s="41">
        <v>1</v>
      </c>
      <c r="AE326" s="41">
        <v>386</v>
      </c>
      <c r="AF326" s="41">
        <v>19</v>
      </c>
      <c r="AG326" s="41">
        <v>0</v>
      </c>
      <c r="AH326" s="41">
        <v>0</v>
      </c>
      <c r="AI326" s="42">
        <v>0</v>
      </c>
      <c r="AJ326" s="24"/>
      <c r="AK326" s="24"/>
      <c r="AL326" s="24"/>
    </row>
    <row r="327">
      <c r="A327" s="25"/>
      <c r="B327" s="72" t="s">
        <v>57</v>
      </c>
      <c r="C327" s="78" t="s">
        <v>55</v>
      </c>
      <c r="D327" s="85">
        <v>1071.53</v>
      </c>
      <c r="E327" s="45">
        <v>4</v>
      </c>
      <c r="F327" s="30">
        <f t="shared" si="298"/>
      </c>
      <c r="G327" s="45">
        <v>1408.199999999999</v>
      </c>
      <c r="H327" s="49">
        <f t="shared" si="260"/>
      </c>
      <c r="I327" s="33">
        <f t="shared" si="51"/>
      </c>
      <c r="J327" s="34">
        <f t="shared" si="13"/>
      </c>
      <c r="K327" s="35">
        <f t="shared" si="127"/>
      </c>
      <c r="L327" s="79">
        <f t="shared" si="89"/>
      </c>
      <c r="M327" s="54">
        <f t="shared" si="222"/>
      </c>
      <c r="N327" s="55">
        <f t="shared" si="165"/>
      </c>
      <c r="O327" s="55">
        <f t="shared" si="184"/>
      </c>
      <c r="P327" s="55">
        <f t="shared" si="317"/>
      </c>
      <c r="Q327" s="55">
        <f t="shared" si="279"/>
      </c>
      <c r="R327" s="54">
        <f t="shared" si="70"/>
      </c>
      <c r="S327" s="56">
        <f t="shared" si="32"/>
      </c>
      <c r="T327" s="55">
        <f t="shared" si="146"/>
      </c>
      <c r="U327" s="55">
        <f t="shared" si="108"/>
      </c>
      <c r="V327" s="55">
        <f t="shared" si="241"/>
      </c>
      <c r="W327" s="55">
        <f t="shared" si="203"/>
      </c>
      <c r="X327" s="38" t="s">
        <v>52</v>
      </c>
      <c r="Y327" s="39" t="s">
        <v>39</v>
      </c>
      <c r="Z327" s="41">
        <v>23806</v>
      </c>
      <c r="AA327" s="41">
        <v>3382</v>
      </c>
      <c r="AB327" s="41">
        <v>48953</v>
      </c>
      <c r="AC327" s="41">
        <v>188</v>
      </c>
      <c r="AD327" s="41">
        <v>4</v>
      </c>
      <c r="AE327" s="41">
        <v>3337</v>
      </c>
      <c r="AF327" s="41">
        <v>57</v>
      </c>
      <c r="AG327" s="41">
        <v>4</v>
      </c>
      <c r="AH327" s="41">
        <v>1</v>
      </c>
      <c r="AI327" s="42">
        <v>1</v>
      </c>
      <c r="AJ327" s="24"/>
      <c r="AK327" s="24"/>
      <c r="AL327" s="24"/>
    </row>
    <row r="328">
      <c r="A328" s="25"/>
      <c r="B328" s="72" t="s">
        <v>57</v>
      </c>
      <c r="C328" s="78" t="s">
        <v>56</v>
      </c>
      <c r="D328" s="85">
        <v>1880.9140000000002</v>
      </c>
      <c r="E328" s="45">
        <v>8</v>
      </c>
      <c r="F328" s="30">
        <f t="shared" si="298"/>
      </c>
      <c r="G328" s="45">
        <v>2228.300000000001</v>
      </c>
      <c r="H328" s="49">
        <f t="shared" si="260"/>
      </c>
      <c r="I328" s="33">
        <f t="shared" si="51"/>
      </c>
      <c r="J328" s="34">
        <f t="shared" si="13"/>
      </c>
      <c r="K328" s="35">
        <f t="shared" si="127"/>
      </c>
      <c r="L328" s="79">
        <f t="shared" si="89"/>
      </c>
      <c r="M328" s="54">
        <f t="shared" si="222"/>
      </c>
      <c r="N328" s="55">
        <f t="shared" si="165"/>
      </c>
      <c r="O328" s="55">
        <f t="shared" si="184"/>
      </c>
      <c r="P328" s="55">
        <f t="shared" si="317"/>
      </c>
      <c r="Q328" s="55">
        <f t="shared" si="279"/>
      </c>
      <c r="R328" s="54">
        <f t="shared" si="70"/>
      </c>
      <c r="S328" s="56">
        <f t="shared" si="32"/>
      </c>
      <c r="T328" s="55">
        <f t="shared" si="146"/>
      </c>
      <c r="U328" s="55">
        <f t="shared" si="108"/>
      </c>
      <c r="V328" s="55">
        <f t="shared" si="241"/>
      </c>
      <c r="W328" s="55">
        <f t="shared" si="203"/>
      </c>
      <c r="X328" s="38" t="s">
        <v>52</v>
      </c>
      <c r="Y328" s="39" t="s">
        <v>39</v>
      </c>
      <c r="Z328" s="41">
        <v>44571</v>
      </c>
      <c r="AA328" s="41">
        <v>6215</v>
      </c>
      <c r="AB328" s="41">
        <v>99333</v>
      </c>
      <c r="AC328" s="41">
        <v>254</v>
      </c>
      <c r="AD328" s="41">
        <v>6</v>
      </c>
      <c r="AE328" s="41">
        <v>6343</v>
      </c>
      <c r="AF328" s="41">
        <v>110</v>
      </c>
      <c r="AG328" s="41">
        <v>16</v>
      </c>
      <c r="AH328" s="41">
        <v>4</v>
      </c>
      <c r="AI328" s="42">
        <v>3</v>
      </c>
      <c r="AJ328" s="24"/>
      <c r="AK328" s="24"/>
      <c r="AL328" s="24"/>
    </row>
    <row r="329">
      <c r="A329" s="25"/>
      <c r="B329" s="72" t="s">
        <v>57</v>
      </c>
      <c r="C329" s="78" t="s">
        <v>58</v>
      </c>
      <c r="D329" s="85">
        <v>1790.195</v>
      </c>
      <c r="E329" s="45">
        <v>8</v>
      </c>
      <c r="F329" s="30">
        <f t="shared" si="298"/>
      </c>
      <c r="G329" s="45">
        <v>1790.3999999999996</v>
      </c>
      <c r="H329" s="49">
        <f t="shared" si="260"/>
      </c>
      <c r="I329" s="33">
        <f t="shared" si="51"/>
      </c>
      <c r="J329" s="34">
        <f t="shared" si="13"/>
      </c>
      <c r="K329" s="35">
        <f t="shared" si="127"/>
      </c>
      <c r="L329" s="79">
        <f t="shared" si="89"/>
      </c>
      <c r="M329" s="54">
        <f t="shared" si="222"/>
      </c>
      <c r="N329" s="55">
        <f t="shared" si="165"/>
      </c>
      <c r="O329" s="55">
        <f t="shared" si="184"/>
      </c>
      <c r="P329" s="55">
        <f t="shared" si="317"/>
      </c>
      <c r="Q329" s="55">
        <f t="shared" si="279"/>
      </c>
      <c r="R329" s="54">
        <f t="shared" si="70"/>
      </c>
      <c r="S329" s="56">
        <f t="shared" si="32"/>
      </c>
      <c r="T329" s="55">
        <f t="shared" si="146"/>
      </c>
      <c r="U329" s="55">
        <f t="shared" si="108"/>
      </c>
      <c r="V329" s="55">
        <f t="shared" si="241"/>
      </c>
      <c r="W329" s="55">
        <f t="shared" si="203"/>
      </c>
      <c r="X329" s="38" t="s">
        <v>52</v>
      </c>
      <c r="Y329" s="39" t="s">
        <v>39</v>
      </c>
      <c r="Z329" s="41">
        <v>44456</v>
      </c>
      <c r="AA329" s="41">
        <v>5861</v>
      </c>
      <c r="AB329" s="41">
        <v>97581</v>
      </c>
      <c r="AC329" s="41">
        <v>232</v>
      </c>
      <c r="AD329" s="41">
        <v>7</v>
      </c>
      <c r="AE329" s="41">
        <v>5379</v>
      </c>
      <c r="AF329" s="41">
        <v>132</v>
      </c>
      <c r="AG329" s="41">
        <v>10</v>
      </c>
      <c r="AH329" s="41">
        <v>5</v>
      </c>
      <c r="AI329" s="42">
        <v>1</v>
      </c>
      <c r="AJ329" s="24"/>
      <c r="AK329" s="24"/>
      <c r="AL329" s="24"/>
    </row>
    <row r="330">
      <c r="A330" s="25"/>
      <c r="B330" s="58" t="s">
        <v>44</v>
      </c>
      <c r="C330" s="58"/>
      <c r="D330" s="59">
        <f>SUM(D326:D329)</f>
      </c>
      <c r="E330" s="60">
        <f>SUM(E326:E329)</f>
      </c>
      <c r="F330" s="70">
        <f t="shared" si="298"/>
      </c>
      <c r="G330" s="80">
        <f>SUM(G326:G329)</f>
      </c>
      <c r="H330" s="81">
        <f t="shared" si="260"/>
      </c>
      <c r="I330" s="82">
        <f t="shared" si="51"/>
      </c>
      <c r="J330" s="69">
        <f t="shared" si="13"/>
      </c>
      <c r="K330" s="70">
        <f t="shared" si="127"/>
      </c>
      <c r="L330" s="83">
        <f t="shared" si="89"/>
      </c>
      <c r="M330" s="69">
        <f t="shared" si="222"/>
      </c>
      <c r="N330" s="68">
        <f t="shared" si="165"/>
      </c>
      <c r="O330" s="68">
        <f t="shared" si="184"/>
      </c>
      <c r="P330" s="68">
        <f t="shared" si="317"/>
      </c>
      <c r="Q330" s="68">
        <f t="shared" si="279"/>
      </c>
      <c r="R330" s="69">
        <f t="shared" si="70"/>
      </c>
      <c r="S330" s="70">
        <f t="shared" si="32"/>
      </c>
      <c r="T330" s="68">
        <f t="shared" si="146"/>
      </c>
      <c r="U330" s="68">
        <f t="shared" si="108"/>
      </c>
      <c r="V330" s="68">
        <f t="shared" si="241"/>
      </c>
      <c r="W330" s="68">
        <f t="shared" si="203"/>
      </c>
      <c r="X330" s="68"/>
      <c r="Y330" s="71"/>
      <c r="Z330" s="59">
        <f>SUM(Z326:Z329)</f>
      </c>
      <c r="AA330" s="59">
        <f>SUM(AA326:AA329)</f>
      </c>
      <c r="AB330" s="59">
        <f>SUM(AB326:AB329)</f>
      </c>
      <c r="AC330" s="59">
        <f>SUM(AC326:AC329)</f>
      </c>
      <c r="AD330" s="59">
        <f>SUM(AD326:AD329)</f>
      </c>
      <c r="AE330" s="59">
        <f>SUM(AE326:AE329)</f>
      </c>
      <c r="AF330" s="59">
        <f>SUM(AF326:AF329)</f>
      </c>
      <c r="AG330" s="59">
        <f>SUM(AG326:AG329)</f>
      </c>
      <c r="AH330" s="59">
        <f>SUM(AH326:AH329)</f>
      </c>
      <c r="AI330" s="59">
        <f>SUM(AI326:AI329)</f>
      </c>
      <c r="AJ330" s="24"/>
      <c r="AK330" s="24"/>
      <c r="AL330" s="24"/>
    </row>
    <row r="331">
      <c r="A331" s="25"/>
      <c r="B331" s="72" t="s">
        <v>45</v>
      </c>
      <c r="C331" s="78" t="s">
        <v>59</v>
      </c>
      <c r="D331" s="85">
        <v>3029.915</v>
      </c>
      <c r="E331" s="45">
        <v>8</v>
      </c>
      <c r="F331" s="30">
        <f t="shared" si="298"/>
      </c>
      <c r="G331" s="45">
        <v>2279.899999999998</v>
      </c>
      <c r="H331" s="49">
        <f t="shared" si="260"/>
      </c>
      <c r="I331" s="33">
        <f t="shared" si="51"/>
      </c>
      <c r="J331" s="34">
        <f t="shared" si="13"/>
      </c>
      <c r="K331" s="35">
        <f t="shared" si="127"/>
      </c>
      <c r="L331" s="79">
        <f t="shared" si="89"/>
      </c>
      <c r="M331" s="54">
        <f t="shared" si="222"/>
      </c>
      <c r="N331" s="55">
        <f t="shared" si="165"/>
      </c>
      <c r="O331" s="55">
        <f t="shared" si="184"/>
      </c>
      <c r="P331" s="55">
        <f t="shared" si="317"/>
      </c>
      <c r="Q331" s="55">
        <f t="shared" si="279"/>
      </c>
      <c r="R331" s="54">
        <f t="shared" si="70"/>
      </c>
      <c r="S331" s="56">
        <f t="shared" si="32"/>
      </c>
      <c r="T331" s="55">
        <f t="shared" si="146"/>
      </c>
      <c r="U331" s="55">
        <f t="shared" si="108"/>
      </c>
      <c r="V331" s="55">
        <f t="shared" si="241"/>
      </c>
      <c r="W331" s="55">
        <f t="shared" si="203"/>
      </c>
      <c r="X331" s="38" t="s">
        <v>52</v>
      </c>
      <c r="Y331" s="39" t="s">
        <v>39</v>
      </c>
      <c r="Z331" s="41">
        <v>85096</v>
      </c>
      <c r="AA331" s="41">
        <v>8555</v>
      </c>
      <c r="AB331" s="41">
        <v>196766</v>
      </c>
      <c r="AC331" s="41">
        <v>253</v>
      </c>
      <c r="AD331" s="41">
        <v>7</v>
      </c>
      <c r="AE331" s="41">
        <v>9111</v>
      </c>
      <c r="AF331" s="41">
        <v>122</v>
      </c>
      <c r="AG331" s="41">
        <v>13</v>
      </c>
      <c r="AH331" s="41">
        <v>3</v>
      </c>
      <c r="AI331" s="42">
        <v>2</v>
      </c>
      <c r="AJ331" s="24"/>
      <c r="AK331" s="24"/>
      <c r="AL331" s="24"/>
    </row>
    <row r="332">
      <c r="A332" s="25"/>
      <c r="B332" s="72" t="s">
        <v>45</v>
      </c>
      <c r="C332" s="78" t="s">
        <v>60</v>
      </c>
      <c r="D332" s="85">
        <v>3324.233</v>
      </c>
      <c r="E332" s="45">
        <v>4</v>
      </c>
      <c r="F332" s="30">
        <f t="shared" si="298"/>
      </c>
      <c r="G332" s="45">
        <v>1469.2000000000044</v>
      </c>
      <c r="H332" s="49">
        <f t="shared" si="260"/>
      </c>
      <c r="I332" s="33">
        <f t="shared" si="51"/>
      </c>
      <c r="J332" s="34">
        <f t="shared" si="13"/>
      </c>
      <c r="K332" s="35">
        <f t="shared" si="127"/>
      </c>
      <c r="L332" s="79">
        <f t="shared" si="89"/>
      </c>
      <c r="M332" s="54">
        <f t="shared" si="222"/>
      </c>
      <c r="N332" s="55">
        <f t="shared" si="165"/>
      </c>
      <c r="O332" s="55">
        <f t="shared" si="184"/>
      </c>
      <c r="P332" s="55">
        <f t="shared" si="317"/>
      </c>
      <c r="Q332" s="55">
        <f t="shared" si="279"/>
      </c>
      <c r="R332" s="54">
        <f t="shared" si="70"/>
      </c>
      <c r="S332" s="56">
        <f t="shared" si="32"/>
      </c>
      <c r="T332" s="55">
        <f t="shared" si="146"/>
      </c>
      <c r="U332" s="55">
        <f t="shared" si="108"/>
      </c>
      <c r="V332" s="55">
        <f t="shared" si="241"/>
      </c>
      <c r="W332" s="55">
        <f t="shared" si="203"/>
      </c>
      <c r="X332" s="38" t="s">
        <v>52</v>
      </c>
      <c r="Y332" s="39" t="s">
        <v>39</v>
      </c>
      <c r="Z332" s="41">
        <v>111538</v>
      </c>
      <c r="AA332" s="41">
        <v>12291</v>
      </c>
      <c r="AB332" s="41">
        <v>244766</v>
      </c>
      <c r="AC332" s="41">
        <v>236</v>
      </c>
      <c r="AD332" s="41">
        <v>2</v>
      </c>
      <c r="AE332" s="41">
        <v>12548</v>
      </c>
      <c r="AF332" s="41">
        <v>191</v>
      </c>
      <c r="AG332" s="41">
        <v>37</v>
      </c>
      <c r="AH332" s="41">
        <v>15</v>
      </c>
      <c r="AI332" s="42">
        <v>1</v>
      </c>
      <c r="AJ332" s="24"/>
      <c r="AK332" s="24"/>
      <c r="AL332" s="24"/>
    </row>
    <row r="333">
      <c r="A333" s="25"/>
      <c r="B333" s="72" t="s">
        <v>45</v>
      </c>
      <c r="C333" s="78" t="s">
        <v>61</v>
      </c>
      <c r="D333" s="85">
        <v>2691.96</v>
      </c>
      <c r="E333" s="45">
        <v>13</v>
      </c>
      <c r="F333" s="30">
        <f t="shared" si="298"/>
      </c>
      <c r="G333" s="45">
        <v>5599.499999999996</v>
      </c>
      <c r="H333" s="49">
        <f t="shared" si="260"/>
      </c>
      <c r="I333" s="33">
        <f t="shared" si="51"/>
      </c>
      <c r="J333" s="34">
        <f t="shared" si="13"/>
      </c>
      <c r="K333" s="35">
        <f t="shared" si="127"/>
      </c>
      <c r="L333" s="79">
        <f t="shared" si="89"/>
      </c>
      <c r="M333" s="54">
        <f t="shared" si="222"/>
      </c>
      <c r="N333" s="55">
        <f t="shared" si="165"/>
      </c>
      <c r="O333" s="55">
        <f t="shared" si="184"/>
      </c>
      <c r="P333" s="55">
        <f t="shared" si="317"/>
      </c>
      <c r="Q333" s="55">
        <f t="shared" si="279"/>
      </c>
      <c r="R333" s="54">
        <f t="shared" si="70"/>
      </c>
      <c r="S333" s="56">
        <f t="shared" si="32"/>
      </c>
      <c r="T333" s="55">
        <f t="shared" si="146"/>
      </c>
      <c r="U333" s="55">
        <f t="shared" si="108"/>
      </c>
      <c r="V333" s="55">
        <f t="shared" si="241"/>
      </c>
      <c r="W333" s="55">
        <f t="shared" si="203"/>
      </c>
      <c r="X333" s="38" t="s">
        <v>52</v>
      </c>
      <c r="Y333" s="39" t="s">
        <v>39</v>
      </c>
      <c r="Z333" s="41">
        <v>84469</v>
      </c>
      <c r="AA333" s="41">
        <v>9907</v>
      </c>
      <c r="AB333" s="41">
        <v>191130</v>
      </c>
      <c r="AC333" s="41">
        <v>384</v>
      </c>
      <c r="AD333" s="41">
        <v>8</v>
      </c>
      <c r="AE333" s="41">
        <v>10775</v>
      </c>
      <c r="AF333" s="41">
        <v>171</v>
      </c>
      <c r="AG333" s="41">
        <v>47</v>
      </c>
      <c r="AH333" s="41">
        <v>6</v>
      </c>
      <c r="AI333" s="42">
        <v>7</v>
      </c>
      <c r="AJ333" s="24"/>
      <c r="AK333" s="24"/>
      <c r="AL333" s="24"/>
    </row>
    <row r="334">
      <c r="A334" s="25"/>
      <c r="B334" s="72" t="s">
        <v>45</v>
      </c>
      <c r="C334" s="78" t="s">
        <v>62</v>
      </c>
      <c r="D334" s="85">
        <v>4103.498</v>
      </c>
      <c r="E334" s="45">
        <v>11</v>
      </c>
      <c r="F334" s="47">
        <f t="shared" si="298"/>
      </c>
      <c r="G334" s="45">
        <v>3043.600000000006</v>
      </c>
      <c r="H334" s="49">
        <f t="shared" si="260"/>
      </c>
      <c r="I334" s="50">
        <f t="shared" si="51"/>
      </c>
      <c r="J334" s="51">
        <f t="shared" si="13"/>
      </c>
      <c r="K334" s="52">
        <f t="shared" si="127"/>
      </c>
      <c r="L334" s="53">
        <f t="shared" si="89"/>
      </c>
      <c r="M334" s="54">
        <f t="shared" si="222"/>
      </c>
      <c r="N334" s="55">
        <f t="shared" si="165"/>
      </c>
      <c r="O334" s="55">
        <f t="shared" si="184"/>
      </c>
      <c r="P334" s="55">
        <f t="shared" si="317"/>
      </c>
      <c r="Q334" s="55">
        <f t="shared" si="279"/>
      </c>
      <c r="R334" s="54">
        <f t="shared" si="70"/>
      </c>
      <c r="S334" s="56">
        <f t="shared" si="32"/>
      </c>
      <c r="T334" s="55">
        <f t="shared" si="146"/>
      </c>
      <c r="U334" s="55">
        <f t="shared" si="108"/>
      </c>
      <c r="V334" s="55">
        <f t="shared" si="241"/>
      </c>
      <c r="W334" s="55">
        <f t="shared" si="203"/>
      </c>
      <c r="X334" s="38" t="s">
        <v>52</v>
      </c>
      <c r="Y334" s="39" t="s">
        <v>39</v>
      </c>
      <c r="Z334" s="40">
        <v>122937</v>
      </c>
      <c r="AA334" s="40">
        <v>9801</v>
      </c>
      <c r="AB334" s="40">
        <v>310883</v>
      </c>
      <c r="AC334" s="40">
        <v>605</v>
      </c>
      <c r="AD334" s="40">
        <v>8</v>
      </c>
      <c r="AE334" s="40">
        <v>14969</v>
      </c>
      <c r="AF334" s="41">
        <v>139</v>
      </c>
      <c r="AG334" s="41">
        <v>50</v>
      </c>
      <c r="AH334" s="41">
        <v>18</v>
      </c>
      <c r="AI334" s="42">
        <v>3</v>
      </c>
      <c r="AJ334" s="24"/>
      <c r="AK334" s="24"/>
      <c r="AL334" s="24"/>
    </row>
    <row r="335">
      <c r="A335" s="25"/>
      <c r="B335" s="58" t="s">
        <v>44</v>
      </c>
      <c r="C335" s="58"/>
      <c r="D335" s="59">
        <f>SUM(D331:D334)</f>
      </c>
      <c r="E335" s="60">
        <f>SUM(E331:E334)</f>
      </c>
      <c r="F335" s="61">
        <f t="shared" si="298"/>
      </c>
      <c r="G335" s="62">
        <f>SUM(G331:G334)</f>
      </c>
      <c r="H335" s="63">
        <f t="shared" si="260"/>
      </c>
      <c r="I335" s="64">
        <f t="shared" si="51"/>
      </c>
      <c r="J335" s="65">
        <f t="shared" si="13"/>
      </c>
      <c r="K335" s="61">
        <f t="shared" si="127"/>
      </c>
      <c r="L335" s="66">
        <f t="shared" si="89"/>
      </c>
      <c r="M335" s="65">
        <f t="shared" si="222"/>
      </c>
      <c r="N335" s="67">
        <f t="shared" si="165"/>
      </c>
      <c r="O335" s="67">
        <f t="shared" si="184"/>
      </c>
      <c r="P335" s="68">
        <f t="shared" si="317"/>
      </c>
      <c r="Q335" s="68">
        <f t="shared" si="279"/>
      </c>
      <c r="R335" s="69">
        <f t="shared" si="70"/>
      </c>
      <c r="S335" s="70">
        <f t="shared" si="32"/>
      </c>
      <c r="T335" s="68">
        <f t="shared" si="146"/>
      </c>
      <c r="U335" s="68">
        <f t="shared" si="108"/>
      </c>
      <c r="V335" s="68">
        <f t="shared" si="241"/>
      </c>
      <c r="W335" s="68">
        <f t="shared" si="203"/>
      </c>
      <c r="X335" s="68"/>
      <c r="Y335" s="71"/>
      <c r="Z335" s="59">
        <f>SUM(Z331:Z334)</f>
      </c>
      <c r="AA335" s="59">
        <f>SUM(AA331:AA334)</f>
      </c>
      <c r="AB335" s="59">
        <f>SUM(AB331:AB334)</f>
      </c>
      <c r="AC335" s="59">
        <f>SUM(AC331:AC334)</f>
      </c>
      <c r="AD335" s="59">
        <f>SUM(AD331:AD334)</f>
      </c>
      <c r="AE335" s="59">
        <f>SUM(AE331:AE334)</f>
      </c>
      <c r="AF335" s="59">
        <f>SUM(AF331:AF334)</f>
      </c>
      <c r="AG335" s="59">
        <f>SUM(AG331:AG334)</f>
      </c>
      <c r="AH335" s="59">
        <f>SUM(AH331:AH334)</f>
      </c>
      <c r="AI335" s="59">
        <f>SUM(AI331:AI334)</f>
      </c>
      <c r="AJ335" s="24"/>
      <c r="AK335" s="24"/>
      <c r="AL335" s="24"/>
    </row>
    <row r="336">
      <c r="A336" s="25"/>
      <c r="B336" s="89" t="s">
        <v>63</v>
      </c>
      <c r="C336" s="89"/>
      <c r="D336" s="90">
        <f>SUM(D335+D319+D325+D330)</f>
      </c>
      <c r="E336" s="91">
        <f>SUM(E335+E319+E325+E330)</f>
      </c>
      <c r="F336" s="92">
        <f t="shared" si="298"/>
      </c>
      <c r="G336" s="93">
        <f>SUM(G335+G319+G325+G330)</f>
      </c>
      <c r="H336" s="94">
        <f t="shared" si="260"/>
      </c>
      <c r="I336" s="95">
        <f t="shared" si="51"/>
      </c>
      <c r="J336" s="96">
        <f t="shared" si="13"/>
      </c>
      <c r="K336" s="92">
        <f t="shared" si="127"/>
      </c>
      <c r="L336" s="97">
        <f t="shared" si="89"/>
      </c>
      <c r="M336" s="97">
        <f t="shared" si="222"/>
      </c>
      <c r="N336" s="98">
        <f t="shared" si="165"/>
      </c>
      <c r="O336" s="98">
        <f t="shared" si="184"/>
      </c>
      <c r="P336" s="98">
        <f t="shared" si="317"/>
      </c>
      <c r="Q336" s="98">
        <f t="shared" si="279"/>
      </c>
      <c r="R336" s="99">
        <f t="shared" si="70"/>
      </c>
      <c r="S336" s="100">
        <f t="shared" si="32"/>
      </c>
      <c r="T336" s="101">
        <f t="shared" si="146"/>
      </c>
      <c r="U336" s="101">
        <f t="shared" si="108"/>
      </c>
      <c r="V336" s="101">
        <f t="shared" si="241"/>
      </c>
      <c r="W336" s="101">
        <f t="shared" si="203"/>
      </c>
      <c r="X336" s="101"/>
      <c r="Y336" s="102"/>
      <c r="Z336" s="103">
        <f>SUM(Z319+Z335+Z325+Z330)</f>
      </c>
      <c r="AA336" s="103">
        <f>SUM(AA319+AA335+AA325+AA330)</f>
      </c>
      <c r="AB336" s="103">
        <f>SUM(AB319+AB335+AB325+AB330)</f>
      </c>
      <c r="AC336" s="103">
        <f>SUM(AC319+AC335+AC325+AC330)</f>
      </c>
      <c r="AD336" s="103">
        <f>SUM(AD319+AD335+AD325+AD330)</f>
      </c>
      <c r="AE336" s="103">
        <f>SUM(AE319+AE335+AE325+AE330)</f>
      </c>
      <c r="AF336" s="103">
        <f>SUM(AF319+AF335+AF325+AF330)</f>
      </c>
      <c r="AG336" s="103">
        <f>SUM(AG319+AG335+AG325+AG330)</f>
      </c>
      <c r="AH336" s="103">
        <f>SUM(AH319+AH335+AH325+AH330)</f>
      </c>
      <c r="AI336" s="103">
        <f>SUM(AI319+AI335+AI325+AI330)</f>
      </c>
      <c r="AJ336" s="24"/>
      <c r="AK336" s="24"/>
      <c r="AL336" s="24"/>
    </row>
    <row r="337">
      <c r="A337" s="1" t="s">
        <v>1</v>
      </c>
      <c r="B337" s="2" t="s">
        <v>2</v>
      </c>
      <c r="C337" s="3" t="s">
        <v>3</v>
      </c>
      <c r="D337" s="4" t="s">
        <v>4</v>
      </c>
      <c r="E337" s="5" t="s">
        <v>5</v>
      </c>
      <c r="F337" s="6" t="s">
        <v>6</v>
      </c>
      <c r="G337" s="7" t="s">
        <v>7</v>
      </c>
      <c r="H337" s="8" t="s">
        <v>8</v>
      </c>
      <c r="I337" s="9" t="s">
        <v>9</v>
      </c>
      <c r="J337" s="10" t="s">
        <v>10</v>
      </c>
      <c r="K337" s="11" t="s">
        <v>11</v>
      </c>
      <c r="L337" s="12" t="s">
        <v>12</v>
      </c>
      <c r="M337" s="12" t="s">
        <v>13</v>
      </c>
      <c r="N337" s="13" t="s">
        <v>14</v>
      </c>
      <c r="O337" s="13" t="s">
        <v>15</v>
      </c>
      <c r="P337" s="13" t="s">
        <v>16</v>
      </c>
      <c r="Q337" s="13" t="s">
        <v>17</v>
      </c>
      <c r="R337" s="14" t="s">
        <v>18</v>
      </c>
      <c r="S337" s="15" t="s">
        <v>19</v>
      </c>
      <c r="T337" s="16" t="s">
        <v>20</v>
      </c>
      <c r="U337" s="16" t="s">
        <v>21</v>
      </c>
      <c r="V337" s="16" t="s">
        <v>22</v>
      </c>
      <c r="W337" s="16" t="s">
        <v>23</v>
      </c>
      <c r="X337" s="17" t="s">
        <v>24</v>
      </c>
      <c r="Y337" s="18" t="s">
        <v>25</v>
      </c>
      <c r="Z337" s="19" t="s">
        <v>26</v>
      </c>
      <c r="AA337" s="19" t="s">
        <v>27</v>
      </c>
      <c r="AB337" s="19" t="s">
        <v>28</v>
      </c>
      <c r="AC337" s="20" t="s">
        <v>29</v>
      </c>
      <c r="AD337" s="20" t="s">
        <v>30</v>
      </c>
      <c r="AE337" s="21" t="s">
        <v>31</v>
      </c>
      <c r="AF337" s="20" t="s">
        <v>32</v>
      </c>
      <c r="AG337" s="20" t="s">
        <v>33</v>
      </c>
      <c r="AH337" s="22" t="s">
        <v>34</v>
      </c>
      <c r="AI337" s="23" t="s">
        <v>35</v>
      </c>
      <c r="AJ337" s="24"/>
      <c r="AK337" s="24"/>
      <c r="AL337" s="24"/>
    </row>
    <row r="338">
      <c r="A338" s="25">
        <v>46310</v>
      </c>
      <c r="B338" s="72" t="s">
        <v>50</v>
      </c>
      <c r="C338" s="27" t="s">
        <v>37</v>
      </c>
      <c r="D338" s="104">
        <v>569.588</v>
      </c>
      <c r="E338" s="29">
        <v>0</v>
      </c>
      <c r="F338" s="30">
        <f t="shared" ref="F338:F360" si="299">D338/E338</f>
      </c>
      <c r="G338" s="31">
        <v>0</v>
      </c>
      <c r="H338" s="49">
        <f t="shared" ref="H338:H360" si="261">AD338</f>
      </c>
      <c r="I338" s="33">
        <f t="shared" ref="I338:I360" si="52">D338/AD338</f>
      </c>
      <c r="J338" s="34">
        <f t="shared" ref="J338:J360" si="14">G338/E338</f>
      </c>
      <c r="K338" s="35">
        <f t="shared" ref="K338:K360" si="128">G338/D338</f>
      </c>
      <c r="L338" s="36">
        <f t="shared" ref="L338:L360" si="90">D338/AB338</f>
      </c>
      <c r="M338" s="34">
        <f t="shared" ref="M338:M360" si="223">D338/AC338</f>
      </c>
      <c r="N338" s="37">
        <f t="shared" ref="N338:N360" si="166">AC338/AB338</f>
      </c>
      <c r="O338" s="37">
        <f t="shared" ref="O338:O360" si="185">AD338/AC338</f>
      </c>
      <c r="P338" s="37">
        <f t="shared" ref="P338:P360" si="318">AA338/Z338</f>
      </c>
      <c r="Q338" s="37">
        <f t="shared" ref="Q338:Q360" si="280">AD338/AA338</f>
      </c>
      <c r="R338" s="34">
        <f t="shared" ref="R338:R360" si="71">D338/Z338*1000</f>
      </c>
      <c r="S338" s="35">
        <f t="shared" ref="S338:S360" si="33">D338/AA338</f>
      </c>
      <c r="T338" s="37">
        <f t="shared" ref="T338:T360" si="147">AE338/AB338</f>
      </c>
      <c r="U338" s="37">
        <f t="shared" ref="U338:U360" si="109">AF338/AB338</f>
      </c>
      <c r="V338" s="37">
        <f t="shared" ref="V338:V360" si="242">AG338/AB338</f>
      </c>
      <c r="W338" s="37">
        <f t="shared" ref="W338:W360" si="204">AH338/AB338</f>
      </c>
      <c r="X338" s="38" t="s">
        <v>52</v>
      </c>
      <c r="Y338" s="39" t="s">
        <v>54</v>
      </c>
      <c r="Z338" s="40">
        <v>16095</v>
      </c>
      <c r="AA338" s="40">
        <v>1406</v>
      </c>
      <c r="AB338" s="40">
        <v>28700</v>
      </c>
      <c r="AC338" s="40">
        <v>109</v>
      </c>
      <c r="AD338" s="41">
        <v>0</v>
      </c>
      <c r="AE338" s="40">
        <v>2265</v>
      </c>
      <c r="AF338" s="41">
        <v>55</v>
      </c>
      <c r="AG338" s="41">
        <v>6</v>
      </c>
      <c r="AH338" s="41">
        <v>3</v>
      </c>
      <c r="AI338" s="42">
        <v>0</v>
      </c>
      <c r="AJ338" s="24"/>
      <c r="AK338" s="24"/>
      <c r="AL338" s="24"/>
    </row>
    <row r="339">
      <c r="A339" s="25"/>
      <c r="B339" s="72" t="s">
        <v>50</v>
      </c>
      <c r="C339" s="27" t="s">
        <v>40</v>
      </c>
      <c r="D339" s="104">
        <v>3432.128</v>
      </c>
      <c r="E339" s="29">
        <v>5</v>
      </c>
      <c r="F339" s="30">
        <f t="shared" si="299"/>
      </c>
      <c r="G339" s="31">
        <v>1037.2</v>
      </c>
      <c r="H339" s="49">
        <f t="shared" si="261"/>
      </c>
      <c r="I339" s="33">
        <f t="shared" si="52"/>
      </c>
      <c r="J339" s="34">
        <f t="shared" si="14"/>
      </c>
      <c r="K339" s="35">
        <f t="shared" si="128"/>
      </c>
      <c r="L339" s="36">
        <f t="shared" si="90"/>
      </c>
      <c r="M339" s="34">
        <f t="shared" si="223"/>
      </c>
      <c r="N339" s="37">
        <f t="shared" si="166"/>
      </c>
      <c r="O339" s="37">
        <f t="shared" si="185"/>
      </c>
      <c r="P339" s="37">
        <f t="shared" si="318"/>
      </c>
      <c r="Q339" s="37">
        <f t="shared" si="280"/>
      </c>
      <c r="R339" s="34">
        <f t="shared" si="71"/>
      </c>
      <c r="S339" s="35">
        <f t="shared" si="33"/>
      </c>
      <c r="T339" s="37">
        <f t="shared" si="147"/>
      </c>
      <c r="U339" s="37">
        <f t="shared" si="109"/>
      </c>
      <c r="V339" s="37">
        <f t="shared" si="242"/>
      </c>
      <c r="W339" s="37">
        <f t="shared" si="204"/>
      </c>
      <c r="X339" s="38" t="s">
        <v>52</v>
      </c>
      <c r="Y339" s="39" t="s">
        <v>54</v>
      </c>
      <c r="Z339" s="41">
        <v>100029</v>
      </c>
      <c r="AA339" s="40">
        <v>12006</v>
      </c>
      <c r="AB339" s="40">
        <v>231349</v>
      </c>
      <c r="AC339" s="40">
        <v>570</v>
      </c>
      <c r="AD339" s="41">
        <v>4</v>
      </c>
      <c r="AE339" s="40">
        <v>18917</v>
      </c>
      <c r="AF339" s="41">
        <v>191</v>
      </c>
      <c r="AG339" s="41">
        <v>45</v>
      </c>
      <c r="AH339" s="41">
        <v>9</v>
      </c>
      <c r="AI339" s="42">
        <v>1</v>
      </c>
      <c r="AJ339" s="24"/>
      <c r="AK339" s="24"/>
      <c r="AL339" s="24"/>
    </row>
    <row r="340">
      <c r="A340" s="25"/>
      <c r="B340" s="72" t="s">
        <v>50</v>
      </c>
      <c r="C340" s="43" t="s">
        <v>41</v>
      </c>
      <c r="D340" s="84">
        <v>4365.828</v>
      </c>
      <c r="E340" s="45">
        <v>16</v>
      </c>
      <c r="F340" s="30">
        <f t="shared" si="299"/>
      </c>
      <c r="G340" s="45">
        <v>3652.2</v>
      </c>
      <c r="H340" s="49">
        <f t="shared" si="261"/>
      </c>
      <c r="I340" s="33">
        <f t="shared" si="52"/>
      </c>
      <c r="J340" s="34">
        <f t="shared" si="14"/>
      </c>
      <c r="K340" s="35">
        <f t="shared" si="128"/>
      </c>
      <c r="L340" s="36">
        <f t="shared" si="90"/>
      </c>
      <c r="M340" s="34">
        <f t="shared" si="223"/>
      </c>
      <c r="N340" s="37">
        <f t="shared" si="166"/>
      </c>
      <c r="O340" s="37">
        <f t="shared" si="185"/>
      </c>
      <c r="P340" s="37">
        <f t="shared" si="318"/>
      </c>
      <c r="Q340" s="37">
        <f t="shared" si="280"/>
      </c>
      <c r="R340" s="34">
        <f t="shared" si="71"/>
      </c>
      <c r="S340" s="35">
        <f t="shared" si="33"/>
      </c>
      <c r="T340" s="37">
        <f t="shared" si="147"/>
      </c>
      <c r="U340" s="37">
        <f t="shared" si="109"/>
      </c>
      <c r="V340" s="37">
        <f t="shared" si="242"/>
      </c>
      <c r="W340" s="37">
        <f t="shared" si="204"/>
      </c>
      <c r="X340" s="38" t="s">
        <v>52</v>
      </c>
      <c r="Y340" s="39" t="s">
        <v>54</v>
      </c>
      <c r="Z340" s="41">
        <v>130404</v>
      </c>
      <c r="AA340" s="41">
        <v>24588</v>
      </c>
      <c r="AB340" s="41">
        <v>286391</v>
      </c>
      <c r="AC340" s="41">
        <v>646</v>
      </c>
      <c r="AD340" s="41">
        <v>13</v>
      </c>
      <c r="AE340" s="41">
        <v>25490</v>
      </c>
      <c r="AF340" s="41">
        <v>333</v>
      </c>
      <c r="AG340" s="41">
        <v>64</v>
      </c>
      <c r="AH340" s="41">
        <v>12</v>
      </c>
      <c r="AI340" s="42">
        <v>1</v>
      </c>
      <c r="AJ340" s="24"/>
      <c r="AK340" s="24"/>
      <c r="AL340" s="24"/>
    </row>
    <row r="341">
      <c r="A341" s="25"/>
      <c r="B341" s="72" t="s">
        <v>50</v>
      </c>
      <c r="C341" s="46" t="s">
        <v>42</v>
      </c>
      <c r="D341" s="84">
        <v>2630.317</v>
      </c>
      <c r="E341" s="45">
        <v>11</v>
      </c>
      <c r="F341" s="47">
        <f t="shared" si="299"/>
      </c>
      <c r="G341" s="45">
        <v>3053.68</v>
      </c>
      <c r="H341" s="49">
        <f t="shared" si="261"/>
      </c>
      <c r="I341" s="50">
        <f t="shared" si="52"/>
      </c>
      <c r="J341" s="51">
        <f t="shared" si="14"/>
      </c>
      <c r="K341" s="52">
        <f t="shared" si="128"/>
      </c>
      <c r="L341" s="53">
        <f t="shared" si="90"/>
      </c>
      <c r="M341" s="54">
        <f t="shared" si="223"/>
      </c>
      <c r="N341" s="55">
        <f t="shared" si="166"/>
      </c>
      <c r="O341" s="55">
        <f t="shared" si="185"/>
      </c>
      <c r="P341" s="55">
        <f t="shared" si="318"/>
      </c>
      <c r="Q341" s="55">
        <f t="shared" si="280"/>
      </c>
      <c r="R341" s="54">
        <f t="shared" si="71"/>
      </c>
      <c r="S341" s="56">
        <f t="shared" si="33"/>
      </c>
      <c r="T341" s="55">
        <f t="shared" si="147"/>
      </c>
      <c r="U341" s="55">
        <f t="shared" si="109"/>
      </c>
      <c r="V341" s="55">
        <f t="shared" si="242"/>
      </c>
      <c r="W341" s="55">
        <f t="shared" si="204"/>
      </c>
      <c r="X341" s="38" t="s">
        <v>52</v>
      </c>
      <c r="Y341" s="39" t="s">
        <v>54</v>
      </c>
      <c r="Z341" s="40">
        <v>64588</v>
      </c>
      <c r="AA341" s="40">
        <v>14712</v>
      </c>
      <c r="AB341" s="40">
        <v>131113</v>
      </c>
      <c r="AC341" s="40">
        <v>273</v>
      </c>
      <c r="AD341" s="40">
        <v>11</v>
      </c>
      <c r="AE341" s="40">
        <v>11943</v>
      </c>
      <c r="AF341" s="41">
        <v>222</v>
      </c>
      <c r="AG341" s="41">
        <v>19</v>
      </c>
      <c r="AH341" s="41">
        <v>8</v>
      </c>
      <c r="AI341" s="42">
        <v>2</v>
      </c>
      <c r="AJ341" s="24"/>
      <c r="AK341" s="24"/>
      <c r="AL341" s="24"/>
    </row>
    <row r="342">
      <c r="A342" s="25"/>
      <c r="B342" s="72" t="s">
        <v>50</v>
      </c>
      <c r="C342" s="46" t="s">
        <v>43</v>
      </c>
      <c r="D342" s="85">
        <v>1545.895</v>
      </c>
      <c r="E342" s="45">
        <v>11</v>
      </c>
      <c r="F342" s="47">
        <f t="shared" si="299"/>
      </c>
      <c r="G342" s="45">
        <v>4147.6</v>
      </c>
      <c r="H342" s="49">
        <f t="shared" si="261"/>
      </c>
      <c r="I342" s="50">
        <f t="shared" si="52"/>
      </c>
      <c r="J342" s="51">
        <f t="shared" si="14"/>
      </c>
      <c r="K342" s="52">
        <f t="shared" si="128"/>
      </c>
      <c r="L342" s="53">
        <f t="shared" si="90"/>
      </c>
      <c r="M342" s="54">
        <f t="shared" si="223"/>
      </c>
      <c r="N342" s="55">
        <f t="shared" si="166"/>
      </c>
      <c r="O342" s="55">
        <f t="shared" si="185"/>
      </c>
      <c r="P342" s="55">
        <f t="shared" si="318"/>
      </c>
      <c r="Q342" s="55">
        <f t="shared" si="280"/>
      </c>
      <c r="R342" s="54">
        <f t="shared" si="71"/>
      </c>
      <c r="S342" s="56">
        <f t="shared" si="33"/>
      </c>
      <c r="T342" s="55">
        <f t="shared" si="147"/>
      </c>
      <c r="U342" s="55">
        <f t="shared" si="109"/>
      </c>
      <c r="V342" s="55">
        <f t="shared" si="242"/>
      </c>
      <c r="W342" s="55">
        <f t="shared" si="204"/>
      </c>
      <c r="X342" s="38" t="s">
        <v>52</v>
      </c>
      <c r="Y342" s="39" t="s">
        <v>54</v>
      </c>
      <c r="Z342" s="40">
        <v>45677</v>
      </c>
      <c r="AA342" s="40">
        <v>10845</v>
      </c>
      <c r="AB342" s="40">
        <v>77662</v>
      </c>
      <c r="AC342" s="40">
        <v>246</v>
      </c>
      <c r="AD342" s="40">
        <v>8</v>
      </c>
      <c r="AE342" s="40">
        <v>7635</v>
      </c>
      <c r="AF342" s="41">
        <v>150</v>
      </c>
      <c r="AG342" s="41">
        <v>26</v>
      </c>
      <c r="AH342" s="41">
        <v>11</v>
      </c>
      <c r="AI342" s="42">
        <v>1</v>
      </c>
      <c r="AJ342" s="24"/>
      <c r="AK342" s="24"/>
      <c r="AL342" s="24"/>
    </row>
    <row r="343">
      <c r="A343" s="25"/>
      <c r="B343" s="58" t="s">
        <v>44</v>
      </c>
      <c r="C343" s="58"/>
      <c r="D343" s="59">
        <f>SUM(D338:D342)</f>
      </c>
      <c r="E343" s="60">
        <f>SUM(E338:E342)</f>
      </c>
      <c r="F343" s="61">
        <f t="shared" si="299"/>
      </c>
      <c r="G343" s="62">
        <f>SUM(G338:G342)</f>
      </c>
      <c r="H343" s="63">
        <f t="shared" si="261"/>
      </c>
      <c r="I343" s="64">
        <f t="shared" si="52"/>
      </c>
      <c r="J343" s="65">
        <f t="shared" si="14"/>
      </c>
      <c r="K343" s="61">
        <f t="shared" si="128"/>
      </c>
      <c r="L343" s="66">
        <f t="shared" si="90"/>
      </c>
      <c r="M343" s="65">
        <f t="shared" si="223"/>
      </c>
      <c r="N343" s="67">
        <f t="shared" si="166"/>
      </c>
      <c r="O343" s="67">
        <f t="shared" si="185"/>
      </c>
      <c r="P343" s="68">
        <f t="shared" si="318"/>
      </c>
      <c r="Q343" s="68">
        <f t="shared" si="280"/>
      </c>
      <c r="R343" s="69">
        <f t="shared" si="71"/>
      </c>
      <c r="S343" s="70">
        <f t="shared" si="33"/>
      </c>
      <c r="T343" s="68">
        <f t="shared" si="147"/>
      </c>
      <c r="U343" s="68">
        <f t="shared" si="109"/>
      </c>
      <c r="V343" s="68">
        <f t="shared" si="242"/>
      </c>
      <c r="W343" s="68">
        <f t="shared" si="204"/>
      </c>
      <c r="X343" s="68"/>
      <c r="Y343" s="71"/>
      <c r="Z343" s="59">
        <f>SUM(Z338:Z342)</f>
      </c>
      <c r="AA343" s="59">
        <f>SUM(AA338:AA342)</f>
      </c>
      <c r="AB343" s="59">
        <f>SUM(AB338:AB342)</f>
      </c>
      <c r="AC343" s="59">
        <f>SUM(AC338:AC342)</f>
      </c>
      <c r="AD343" s="59">
        <f>SUM(AD338:AD342)</f>
      </c>
      <c r="AE343" s="59">
        <f>SUM(AE338:AE342)</f>
      </c>
      <c r="AF343" s="59">
        <f>SUM(AF338:AF342)</f>
      </c>
      <c r="AG343" s="59">
        <f>SUM(AG338:AG342)</f>
      </c>
      <c r="AH343" s="59">
        <f>SUM(AH338:AH342)</f>
      </c>
      <c r="AI343" s="59">
        <f>SUM(AI338:AI342)</f>
      </c>
      <c r="AJ343" s="24"/>
      <c r="AK343" s="24"/>
      <c r="AL343" s="24"/>
    </row>
    <row r="344">
      <c r="A344" s="25"/>
      <c r="B344" s="72" t="s">
        <v>64</v>
      </c>
      <c r="C344" s="73" t="s">
        <v>46</v>
      </c>
      <c r="D344" s="105">
        <v>1686.177</v>
      </c>
      <c r="E344" s="75">
        <v>3</v>
      </c>
      <c r="F344" s="47">
        <f t="shared" si="299"/>
      </c>
      <c r="G344" s="45">
        <v>673.2</v>
      </c>
      <c r="H344" s="49">
        <f t="shared" si="261"/>
      </c>
      <c r="I344" s="50">
        <f t="shared" si="52"/>
      </c>
      <c r="J344" s="51">
        <f t="shared" si="14"/>
      </c>
      <c r="K344" s="52">
        <f t="shared" si="128"/>
      </c>
      <c r="L344" s="76">
        <f t="shared" si="90"/>
      </c>
      <c r="M344" s="34">
        <f t="shared" si="223"/>
      </c>
      <c r="N344" s="37">
        <f t="shared" si="166"/>
      </c>
      <c r="O344" s="37">
        <f t="shared" si="185"/>
      </c>
      <c r="P344" s="37">
        <f t="shared" si="318"/>
      </c>
      <c r="Q344" s="37">
        <f t="shared" si="280"/>
      </c>
      <c r="R344" s="34">
        <f t="shared" si="71"/>
      </c>
      <c r="S344" s="35">
        <f t="shared" si="33"/>
      </c>
      <c r="T344" s="37">
        <f t="shared" si="147"/>
      </c>
      <c r="U344" s="37">
        <f t="shared" si="109"/>
      </c>
      <c r="V344" s="37">
        <f t="shared" si="242"/>
      </c>
      <c r="W344" s="37">
        <f t="shared" si="204"/>
      </c>
      <c r="X344" s="38" t="s">
        <v>52</v>
      </c>
      <c r="Y344" s="39" t="s">
        <v>54</v>
      </c>
      <c r="Z344" s="41">
        <v>44799</v>
      </c>
      <c r="AA344" s="41">
        <v>8391</v>
      </c>
      <c r="AB344" s="41">
        <v>82625</v>
      </c>
      <c r="AC344" s="41">
        <v>317</v>
      </c>
      <c r="AD344" s="41">
        <v>2</v>
      </c>
      <c r="AE344" s="41">
        <v>7359</v>
      </c>
      <c r="AF344" s="41">
        <v>151</v>
      </c>
      <c r="AG344" s="41">
        <v>17</v>
      </c>
      <c r="AH344" s="41">
        <v>9</v>
      </c>
      <c r="AI344" s="42">
        <v>1</v>
      </c>
      <c r="AJ344" s="24"/>
      <c r="AK344" s="24"/>
      <c r="AL344" s="24"/>
    </row>
    <row r="345">
      <c r="A345" s="25"/>
      <c r="B345" s="72" t="s">
        <v>64</v>
      </c>
      <c r="C345" s="106" t="s">
        <v>47</v>
      </c>
      <c r="D345" s="84">
        <v>1615.831</v>
      </c>
      <c r="E345" s="45">
        <v>7</v>
      </c>
      <c r="F345" s="47">
        <f t="shared" si="299"/>
      </c>
      <c r="G345" s="45">
        <v>2124.2</v>
      </c>
      <c r="H345" s="49">
        <f t="shared" si="261"/>
      </c>
      <c r="I345" s="50">
        <f t="shared" si="52"/>
      </c>
      <c r="J345" s="51">
        <f t="shared" si="14"/>
      </c>
      <c r="K345" s="52">
        <f t="shared" si="128"/>
      </c>
      <c r="L345" s="76">
        <f t="shared" si="90"/>
      </c>
      <c r="M345" s="34">
        <f t="shared" si="223"/>
      </c>
      <c r="N345" s="37">
        <f t="shared" si="166"/>
      </c>
      <c r="O345" s="37">
        <f t="shared" si="185"/>
      </c>
      <c r="P345" s="37">
        <f t="shared" si="318"/>
      </c>
      <c r="Q345" s="37">
        <f t="shared" si="280"/>
      </c>
      <c r="R345" s="34">
        <f t="shared" si="71"/>
      </c>
      <c r="S345" s="35">
        <f t="shared" si="33"/>
      </c>
      <c r="T345" s="37">
        <f t="shared" si="147"/>
      </c>
      <c r="U345" s="37">
        <f t="shared" si="109"/>
      </c>
      <c r="V345" s="37">
        <f t="shared" si="242"/>
      </c>
      <c r="W345" s="37">
        <f t="shared" si="204"/>
      </c>
      <c r="X345" s="38" t="s">
        <v>52</v>
      </c>
      <c r="Y345" s="39" t="s">
        <v>54</v>
      </c>
      <c r="Z345" s="41">
        <v>44086</v>
      </c>
      <c r="AA345" s="41">
        <v>7962</v>
      </c>
      <c r="AB345" s="41">
        <v>85998</v>
      </c>
      <c r="AC345" s="41">
        <v>256</v>
      </c>
      <c r="AD345" s="41">
        <v>6</v>
      </c>
      <c r="AE345" s="41">
        <v>6315</v>
      </c>
      <c r="AF345" s="41">
        <v>187</v>
      </c>
      <c r="AG345" s="41">
        <v>14</v>
      </c>
      <c r="AH345" s="41">
        <v>4</v>
      </c>
      <c r="AI345" s="42">
        <v>0</v>
      </c>
      <c r="AJ345" s="24"/>
      <c r="AK345" s="24"/>
      <c r="AL345" s="24"/>
    </row>
    <row r="346">
      <c r="A346" s="25"/>
      <c r="B346" s="72" t="s">
        <v>64</v>
      </c>
      <c r="C346" s="78" t="s">
        <v>48</v>
      </c>
      <c r="D346" s="84">
        <v>2517.378</v>
      </c>
      <c r="E346" s="45">
        <v>6</v>
      </c>
      <c r="F346" s="30">
        <f t="shared" si="299"/>
      </c>
      <c r="G346" s="45">
        <v>1945.2</v>
      </c>
      <c r="H346" s="49">
        <f t="shared" si="261"/>
      </c>
      <c r="I346" s="33">
        <f t="shared" si="52"/>
      </c>
      <c r="J346" s="34">
        <f t="shared" si="14"/>
      </c>
      <c r="K346" s="35">
        <f t="shared" si="128"/>
      </c>
      <c r="L346" s="79">
        <f t="shared" si="90"/>
      </c>
      <c r="M346" s="54">
        <f t="shared" si="223"/>
      </c>
      <c r="N346" s="55">
        <f t="shared" si="166"/>
      </c>
      <c r="O346" s="55">
        <f t="shared" si="185"/>
      </c>
      <c r="P346" s="55">
        <f t="shared" si="318"/>
      </c>
      <c r="Q346" s="55">
        <f t="shared" si="280"/>
      </c>
      <c r="R346" s="54">
        <f t="shared" si="71"/>
      </c>
      <c r="S346" s="56">
        <f t="shared" si="33"/>
      </c>
      <c r="T346" s="55">
        <f t="shared" si="147"/>
      </c>
      <c r="U346" s="55">
        <f t="shared" si="109"/>
      </c>
      <c r="V346" s="55">
        <f t="shared" si="242"/>
      </c>
      <c r="W346" s="55">
        <f t="shared" si="204"/>
      </c>
      <c r="X346" s="38" t="s">
        <v>52</v>
      </c>
      <c r="Y346" s="39" t="s">
        <v>54</v>
      </c>
      <c r="Z346" s="41">
        <v>62341</v>
      </c>
      <c r="AA346" s="41">
        <v>12706</v>
      </c>
      <c r="AB346" s="41">
        <v>129826</v>
      </c>
      <c r="AC346" s="41">
        <v>599</v>
      </c>
      <c r="AD346" s="41">
        <v>6</v>
      </c>
      <c r="AE346" s="41">
        <v>9600</v>
      </c>
      <c r="AF346" s="41">
        <v>301</v>
      </c>
      <c r="AG346" s="41">
        <v>28</v>
      </c>
      <c r="AH346" s="41">
        <v>11</v>
      </c>
      <c r="AI346" s="42">
        <v>2</v>
      </c>
      <c r="AJ346" s="24"/>
      <c r="AK346" s="24"/>
      <c r="AL346" s="24"/>
    </row>
    <row r="347">
      <c r="A347" s="25"/>
      <c r="B347" s="72" t="s">
        <v>64</v>
      </c>
      <c r="C347" s="78" t="s">
        <v>49</v>
      </c>
      <c r="D347" s="85">
        <v>2679.965</v>
      </c>
      <c r="E347" s="45">
        <v>4</v>
      </c>
      <c r="F347" s="30">
        <f t="shared" si="299"/>
      </c>
      <c r="G347" s="45">
        <v>2073.6</v>
      </c>
      <c r="H347" s="49">
        <f t="shared" si="261"/>
      </c>
      <c r="I347" s="33">
        <f t="shared" si="52"/>
      </c>
      <c r="J347" s="34">
        <f t="shared" si="14"/>
      </c>
      <c r="K347" s="35">
        <f t="shared" si="128"/>
      </c>
      <c r="L347" s="79">
        <f t="shared" si="90"/>
      </c>
      <c r="M347" s="54">
        <f t="shared" si="223"/>
      </c>
      <c r="N347" s="55">
        <f t="shared" si="166"/>
      </c>
      <c r="O347" s="55">
        <f t="shared" si="185"/>
      </c>
      <c r="P347" s="55">
        <f t="shared" si="318"/>
      </c>
      <c r="Q347" s="55">
        <f t="shared" si="280"/>
      </c>
      <c r="R347" s="54">
        <f t="shared" si="71"/>
      </c>
      <c r="S347" s="56">
        <f t="shared" si="33"/>
      </c>
      <c r="T347" s="55">
        <f t="shared" si="147"/>
      </c>
      <c r="U347" s="55">
        <f t="shared" si="109"/>
      </c>
      <c r="V347" s="55">
        <f t="shared" si="242"/>
      </c>
      <c r="W347" s="55">
        <f t="shared" si="204"/>
      </c>
      <c r="X347" s="38" t="s">
        <v>52</v>
      </c>
      <c r="Y347" s="39" t="s">
        <v>54</v>
      </c>
      <c r="Z347" s="41">
        <v>68212</v>
      </c>
      <c r="AA347" s="41">
        <v>11156</v>
      </c>
      <c r="AB347" s="41">
        <v>137318</v>
      </c>
      <c r="AC347" s="41">
        <v>580</v>
      </c>
      <c r="AD347" s="41">
        <v>3</v>
      </c>
      <c r="AE347" s="41">
        <v>9682</v>
      </c>
      <c r="AF347" s="41">
        <v>232</v>
      </c>
      <c r="AG347" s="41">
        <v>25</v>
      </c>
      <c r="AH347" s="41">
        <v>6</v>
      </c>
      <c r="AI347" s="42">
        <v>1</v>
      </c>
      <c r="AJ347" s="24"/>
      <c r="AK347" s="24"/>
      <c r="AL347" s="24"/>
    </row>
    <row r="348">
      <c r="A348" s="25"/>
      <c r="B348" s="58" t="s">
        <v>44</v>
      </c>
      <c r="C348" s="58"/>
      <c r="D348" s="59">
        <f>SUM(D344:D347)</f>
      </c>
      <c r="E348" s="60">
        <f>SUM(E344:E347)</f>
      </c>
      <c r="F348" s="61">
        <f t="shared" si="299"/>
      </c>
      <c r="G348" s="62">
        <f>SUM(G344:G347)</f>
      </c>
      <c r="H348" s="63">
        <f t="shared" si="261"/>
      </c>
      <c r="I348" s="64">
        <f t="shared" si="52"/>
      </c>
      <c r="J348" s="65">
        <f t="shared" si="14"/>
      </c>
      <c r="K348" s="61">
        <f t="shared" si="128"/>
      </c>
      <c r="L348" s="66">
        <f t="shared" si="90"/>
      </c>
      <c r="M348" s="65">
        <f t="shared" si="223"/>
      </c>
      <c r="N348" s="67">
        <f t="shared" si="166"/>
      </c>
      <c r="O348" s="67">
        <f t="shared" si="185"/>
      </c>
      <c r="P348" s="68">
        <f t="shared" si="318"/>
      </c>
      <c r="Q348" s="68">
        <f t="shared" si="280"/>
      </c>
      <c r="R348" s="69">
        <f t="shared" si="71"/>
      </c>
      <c r="S348" s="70">
        <f t="shared" si="33"/>
      </c>
      <c r="T348" s="68">
        <f t="shared" si="147"/>
      </c>
      <c r="U348" s="68">
        <f t="shared" si="109"/>
      </c>
      <c r="V348" s="68">
        <f t="shared" si="242"/>
      </c>
      <c r="W348" s="68">
        <f t="shared" si="204"/>
      </c>
      <c r="X348" s="68"/>
      <c r="Y348" s="71"/>
      <c r="Z348" s="59">
        <f>SUM(Z344:Z347)</f>
      </c>
      <c r="AA348" s="59">
        <f>SUM(AA344:AA347)</f>
      </c>
      <c r="AB348" s="59">
        <f>SUM(AB344:AB347)</f>
      </c>
      <c r="AC348" s="59">
        <f>SUM(AC344:AC347)</f>
      </c>
      <c r="AD348" s="59">
        <f>SUM(AD344:AD347)</f>
      </c>
      <c r="AE348" s="59">
        <f>SUM(AE344:AE347)</f>
      </c>
      <c r="AF348" s="59">
        <f>SUM(AF344:AF347)</f>
      </c>
      <c r="AG348" s="59">
        <f>SUM(AG344:AG347)</f>
      </c>
      <c r="AH348" s="59">
        <f>SUM(AH344:AH347)</f>
      </c>
      <c r="AI348" s="59">
        <f>SUM(AI344:AI347)</f>
      </c>
      <c r="AJ348" s="24"/>
      <c r="AK348" s="24"/>
      <c r="AL348" s="24"/>
    </row>
    <row customHeight="true" ht="16.071428571428573" r="349">
      <c r="A349" s="25"/>
      <c r="B349" s="72" t="s">
        <v>45</v>
      </c>
      <c r="C349" s="38" t="s">
        <v>51</v>
      </c>
      <c r="D349" s="57">
        <v>1595.6380000000001</v>
      </c>
      <c r="E349" s="45">
        <v>5</v>
      </c>
      <c r="F349" s="47">
        <f t="shared" si="299"/>
      </c>
      <c r="G349" s="23">
        <v>1512.0000000000036</v>
      </c>
      <c r="H349" s="49">
        <f t="shared" si="261"/>
      </c>
      <c r="I349" s="50">
        <f t="shared" si="52"/>
      </c>
      <c r="J349" s="51">
        <f t="shared" si="14"/>
      </c>
      <c r="K349" s="52">
        <f t="shared" si="128"/>
      </c>
      <c r="L349" s="53">
        <f t="shared" si="90"/>
      </c>
      <c r="M349" s="54">
        <f t="shared" si="223"/>
      </c>
      <c r="N349" s="55">
        <f t="shared" si="166"/>
      </c>
      <c r="O349" s="55">
        <f t="shared" si="185"/>
      </c>
      <c r="P349" s="55">
        <f t="shared" si="318"/>
      </c>
      <c r="Q349" s="55">
        <f t="shared" si="280"/>
      </c>
      <c r="R349" s="54">
        <f t="shared" si="71"/>
      </c>
      <c r="S349" s="56">
        <f t="shared" si="33"/>
      </c>
      <c r="T349" s="55">
        <f t="shared" si="147"/>
      </c>
      <c r="U349" s="55">
        <f t="shared" si="109"/>
      </c>
      <c r="V349" s="55">
        <f t="shared" si="242"/>
      </c>
      <c r="W349" s="55">
        <f t="shared" si="204"/>
      </c>
      <c r="X349" s="38" t="s">
        <v>52</v>
      </c>
      <c r="Y349" s="86" t="s">
        <v>54</v>
      </c>
      <c r="Z349" s="40">
        <v>47822</v>
      </c>
      <c r="AA349" s="40">
        <v>9353</v>
      </c>
      <c r="AB349" s="40">
        <v>81120</v>
      </c>
      <c r="AC349" s="40">
        <v>596</v>
      </c>
      <c r="AD349" s="40">
        <v>2</v>
      </c>
      <c r="AE349" s="40">
        <v>6518</v>
      </c>
      <c r="AF349" s="41">
        <v>234</v>
      </c>
      <c r="AG349" s="41">
        <v>16</v>
      </c>
      <c r="AH349" s="41">
        <v>8</v>
      </c>
      <c r="AI349" s="42">
        <v>0</v>
      </c>
      <c r="AJ349" s="24"/>
      <c r="AK349" s="24"/>
      <c r="AL349" s="24"/>
    </row>
    <row r="350">
      <c r="A350" s="25"/>
      <c r="B350" s="72" t="s">
        <v>45</v>
      </c>
      <c r="C350" s="78" t="s">
        <v>53</v>
      </c>
      <c r="D350" s="84">
        <v>1049.66</v>
      </c>
      <c r="E350" s="45">
        <v>3</v>
      </c>
      <c r="F350" s="30">
        <f t="shared" si="299"/>
      </c>
      <c r="G350" s="45">
        <v>652</v>
      </c>
      <c r="H350" s="49">
        <f t="shared" si="261"/>
      </c>
      <c r="I350" s="33">
        <f t="shared" si="52"/>
      </c>
      <c r="J350" s="34">
        <f t="shared" si="14"/>
      </c>
      <c r="K350" s="35">
        <f t="shared" si="128"/>
      </c>
      <c r="L350" s="79">
        <f t="shared" si="90"/>
      </c>
      <c r="M350" s="54">
        <f t="shared" si="223"/>
      </c>
      <c r="N350" s="55">
        <f t="shared" si="166"/>
      </c>
      <c r="O350" s="55">
        <f t="shared" si="185"/>
      </c>
      <c r="P350" s="55">
        <f t="shared" si="318"/>
      </c>
      <c r="Q350" s="55">
        <f t="shared" si="280"/>
      </c>
      <c r="R350" s="54">
        <f t="shared" si="71"/>
      </c>
      <c r="S350" s="56">
        <f t="shared" si="33"/>
      </c>
      <c r="T350" s="55">
        <f t="shared" si="147"/>
      </c>
      <c r="U350" s="55">
        <f t="shared" si="109"/>
      </c>
      <c r="V350" s="55">
        <f t="shared" si="242"/>
      </c>
      <c r="W350" s="55">
        <f t="shared" si="204"/>
      </c>
      <c r="X350" s="38" t="s">
        <v>52</v>
      </c>
      <c r="Y350" s="39" t="s">
        <v>39</v>
      </c>
      <c r="Z350" s="41">
        <v>35271</v>
      </c>
      <c r="AA350" s="41">
        <v>7039</v>
      </c>
      <c r="AB350" s="41">
        <v>52207</v>
      </c>
      <c r="AC350" s="41">
        <v>465</v>
      </c>
      <c r="AD350" s="41">
        <v>5</v>
      </c>
      <c r="AE350" s="41">
        <v>4360</v>
      </c>
      <c r="AF350" s="41">
        <v>215</v>
      </c>
      <c r="AG350" s="41">
        <v>10</v>
      </c>
      <c r="AH350" s="41">
        <v>1</v>
      </c>
      <c r="AI350" s="42">
        <v>0</v>
      </c>
      <c r="AJ350" s="24"/>
      <c r="AK350" s="24"/>
      <c r="AL350" s="24"/>
    </row>
    <row r="351">
      <c r="A351" s="25"/>
      <c r="B351" s="72" t="s">
        <v>45</v>
      </c>
      <c r="C351" s="78" t="s">
        <v>55</v>
      </c>
      <c r="D351" s="85">
        <v>1207.518</v>
      </c>
      <c r="E351" s="45">
        <v>8</v>
      </c>
      <c r="F351" s="30">
        <f t="shared" si="299"/>
      </c>
      <c r="G351" s="45">
        <v>4041.5</v>
      </c>
      <c r="H351" s="49">
        <f t="shared" si="261"/>
      </c>
      <c r="I351" s="33">
        <f t="shared" si="52"/>
      </c>
      <c r="J351" s="34">
        <f t="shared" si="14"/>
      </c>
      <c r="K351" s="35">
        <f t="shared" si="128"/>
      </c>
      <c r="L351" s="79">
        <f t="shared" si="90"/>
      </c>
      <c r="M351" s="54">
        <f t="shared" si="223"/>
      </c>
      <c r="N351" s="55">
        <f t="shared" si="166"/>
      </c>
      <c r="O351" s="55">
        <f t="shared" si="185"/>
      </c>
      <c r="P351" s="55">
        <f t="shared" si="318"/>
      </c>
      <c r="Q351" s="55">
        <f t="shared" si="280"/>
      </c>
      <c r="R351" s="54">
        <f t="shared" si="71"/>
      </c>
      <c r="S351" s="56">
        <f t="shared" si="33"/>
      </c>
      <c r="T351" s="55">
        <f t="shared" si="147"/>
      </c>
      <c r="U351" s="55">
        <f t="shared" si="109"/>
      </c>
      <c r="V351" s="55">
        <f t="shared" si="242"/>
      </c>
      <c r="W351" s="55">
        <f t="shared" si="204"/>
      </c>
      <c r="X351" s="38" t="s">
        <v>52</v>
      </c>
      <c r="Y351" s="39" t="s">
        <v>39</v>
      </c>
      <c r="Z351" s="41">
        <v>36735</v>
      </c>
      <c r="AA351" s="41">
        <v>7995</v>
      </c>
      <c r="AB351" s="41">
        <v>62346</v>
      </c>
      <c r="AC351" s="41">
        <v>355</v>
      </c>
      <c r="AD351" s="41">
        <v>5</v>
      </c>
      <c r="AE351" s="41">
        <v>5368</v>
      </c>
      <c r="AF351" s="41">
        <v>157</v>
      </c>
      <c r="AG351" s="41">
        <v>14</v>
      </c>
      <c r="AH351" s="41">
        <v>2</v>
      </c>
      <c r="AI351" s="42">
        <v>3</v>
      </c>
      <c r="AJ351" s="24"/>
      <c r="AK351" s="24"/>
      <c r="AL351" s="24"/>
    </row>
    <row r="352">
      <c r="A352" s="25"/>
      <c r="B352" s="72" t="s">
        <v>45</v>
      </c>
      <c r="C352" s="78" t="s">
        <v>56</v>
      </c>
      <c r="D352" s="85">
        <v>1600.833</v>
      </c>
      <c r="E352" s="45">
        <v>4</v>
      </c>
      <c r="F352" s="30">
        <f t="shared" si="299"/>
      </c>
      <c r="G352" s="45">
        <v>869.2000000000007</v>
      </c>
      <c r="H352" s="49">
        <f t="shared" si="261"/>
      </c>
      <c r="I352" s="33">
        <f t="shared" si="52"/>
      </c>
      <c r="J352" s="34">
        <f t="shared" si="14"/>
      </c>
      <c r="K352" s="35">
        <f t="shared" si="128"/>
      </c>
      <c r="L352" s="79">
        <f t="shared" si="90"/>
      </c>
      <c r="M352" s="54">
        <f t="shared" si="223"/>
      </c>
      <c r="N352" s="55">
        <f t="shared" si="166"/>
      </c>
      <c r="O352" s="55">
        <f t="shared" si="185"/>
      </c>
      <c r="P352" s="55">
        <f t="shared" si="318"/>
      </c>
      <c r="Q352" s="55">
        <f t="shared" si="280"/>
      </c>
      <c r="R352" s="54">
        <f t="shared" si="71"/>
      </c>
      <c r="S352" s="56">
        <f t="shared" si="33"/>
      </c>
      <c r="T352" s="55">
        <f t="shared" si="147"/>
      </c>
      <c r="U352" s="55">
        <f t="shared" si="109"/>
      </c>
      <c r="V352" s="55">
        <f t="shared" si="242"/>
      </c>
      <c r="W352" s="55">
        <f t="shared" si="204"/>
      </c>
      <c r="X352" s="38" t="s">
        <v>52</v>
      </c>
      <c r="Y352" s="39" t="s">
        <v>39</v>
      </c>
      <c r="Z352" s="41">
        <v>39415</v>
      </c>
      <c r="AA352" s="41">
        <v>6904</v>
      </c>
      <c r="AB352" s="41">
        <v>82740</v>
      </c>
      <c r="AC352" s="41">
        <v>301</v>
      </c>
      <c r="AD352" s="41">
        <v>3</v>
      </c>
      <c r="AE352" s="41">
        <v>5847</v>
      </c>
      <c r="AF352" s="41">
        <v>150</v>
      </c>
      <c r="AG352" s="41">
        <v>10</v>
      </c>
      <c r="AH352" s="41">
        <v>3</v>
      </c>
      <c r="AI352" s="42">
        <v>1</v>
      </c>
      <c r="AJ352" s="24"/>
      <c r="AK352" s="24"/>
      <c r="AL352" s="24"/>
    </row>
    <row r="353">
      <c r="A353" s="25"/>
      <c r="B353" s="58" t="s">
        <v>44</v>
      </c>
      <c r="C353" s="58"/>
      <c r="D353" s="59">
        <f>SUM(D349:D352)</f>
      </c>
      <c r="E353" s="59">
        <f>SUM(E349:E352)</f>
      </c>
      <c r="F353" s="70">
        <f t="shared" si="299"/>
      </c>
      <c r="G353" s="80">
        <f>SUM(G349:G352)</f>
      </c>
      <c r="H353" s="81">
        <f t="shared" si="261"/>
      </c>
      <c r="I353" s="82">
        <f t="shared" si="52"/>
      </c>
      <c r="J353" s="69">
        <f t="shared" si="14"/>
      </c>
      <c r="K353" s="70">
        <f t="shared" si="128"/>
      </c>
      <c r="L353" s="83">
        <f t="shared" si="90"/>
      </c>
      <c r="M353" s="69">
        <f t="shared" si="223"/>
      </c>
      <c r="N353" s="68">
        <f t="shared" si="166"/>
      </c>
      <c r="O353" s="68">
        <f t="shared" si="185"/>
      </c>
      <c r="P353" s="68">
        <f t="shared" si="318"/>
      </c>
      <c r="Q353" s="68">
        <f t="shared" si="280"/>
      </c>
      <c r="R353" s="69">
        <f t="shared" si="71"/>
      </c>
      <c r="S353" s="70">
        <f t="shared" si="33"/>
      </c>
      <c r="T353" s="68">
        <f t="shared" si="147"/>
      </c>
      <c r="U353" s="68">
        <f t="shared" si="109"/>
      </c>
      <c r="V353" s="68">
        <f t="shared" si="242"/>
      </c>
      <c r="W353" s="68">
        <f t="shared" si="204"/>
      </c>
      <c r="X353" s="68"/>
      <c r="Y353" s="71"/>
      <c r="Z353" s="59">
        <f>SUM(Z349:Z352)</f>
      </c>
      <c r="AA353" s="59">
        <f>SUM(AA349:AA352)</f>
      </c>
      <c r="AB353" s="59">
        <f>SUM(AB349:AB352)</f>
      </c>
      <c r="AC353" s="59">
        <f>SUM(AC349:AC352)</f>
      </c>
      <c r="AD353" s="59">
        <f>SUM(AD349:AD352)</f>
      </c>
      <c r="AE353" s="59">
        <f>SUM(AE349:AE352)</f>
      </c>
      <c r="AF353" s="59">
        <f>SUM(AF349:AF352)</f>
      </c>
      <c r="AG353" s="59">
        <f>SUM(AG349:AG352)</f>
      </c>
      <c r="AH353" s="59">
        <f>SUM(AH349:AH352)</f>
      </c>
      <c r="AI353" s="59">
        <f>SUM(AI349:AI352)</f>
      </c>
      <c r="AJ353" s="24"/>
      <c r="AK353" s="24"/>
      <c r="AL353" s="24"/>
    </row>
    <row customHeight="true" ht="16.071428571428573" r="354">
      <c r="A354" s="25"/>
      <c r="B354" s="72" t="s">
        <v>57</v>
      </c>
      <c r="C354" s="78" t="s">
        <v>58</v>
      </c>
      <c r="D354" s="57">
        <v>2179.06</v>
      </c>
      <c r="E354" s="45">
        <v>5</v>
      </c>
      <c r="F354" s="30">
        <f t="shared" si="299"/>
      </c>
      <c r="G354" s="23">
        <v>1055.5</v>
      </c>
      <c r="H354" s="49">
        <f t="shared" si="261"/>
      </c>
      <c r="I354" s="33">
        <f t="shared" si="52"/>
      </c>
      <c r="J354" s="34">
        <f t="shared" si="14"/>
      </c>
      <c r="K354" s="35">
        <f t="shared" si="128"/>
      </c>
      <c r="L354" s="79">
        <f t="shared" si="90"/>
      </c>
      <c r="M354" s="54">
        <f t="shared" si="223"/>
      </c>
      <c r="N354" s="55">
        <f t="shared" si="166"/>
      </c>
      <c r="O354" s="55">
        <f t="shared" si="185"/>
      </c>
      <c r="P354" s="55">
        <f t="shared" si="318"/>
      </c>
      <c r="Q354" s="55">
        <f t="shared" si="280"/>
      </c>
      <c r="R354" s="54">
        <f t="shared" si="71"/>
      </c>
      <c r="S354" s="56">
        <f t="shared" si="33"/>
      </c>
      <c r="T354" s="55">
        <f t="shared" si="147"/>
      </c>
      <c r="U354" s="55">
        <f t="shared" si="109"/>
      </c>
      <c r="V354" s="55">
        <f t="shared" si="242"/>
      </c>
      <c r="W354" s="55">
        <f t="shared" si="204"/>
      </c>
      <c r="X354" s="38" t="s">
        <v>52</v>
      </c>
      <c r="Y354" s="86" t="s">
        <v>39</v>
      </c>
      <c r="Z354" s="41">
        <v>52736</v>
      </c>
      <c r="AA354" s="41">
        <v>6551</v>
      </c>
      <c r="AB354" s="41">
        <v>113034</v>
      </c>
      <c r="AC354" s="41">
        <v>365</v>
      </c>
      <c r="AD354" s="41">
        <v>3</v>
      </c>
      <c r="AE354" s="41">
        <v>6164</v>
      </c>
      <c r="AF354" s="41">
        <v>155</v>
      </c>
      <c r="AG354" s="41">
        <v>13</v>
      </c>
      <c r="AH354" s="41">
        <v>6</v>
      </c>
      <c r="AI354" s="42">
        <v>2</v>
      </c>
      <c r="AJ354" s="24"/>
      <c r="AK354" s="24"/>
      <c r="AL354" s="24"/>
    </row>
    <row r="355">
      <c r="A355" s="25"/>
      <c r="B355" s="72" t="s">
        <v>57</v>
      </c>
      <c r="C355" s="78" t="s">
        <v>59</v>
      </c>
      <c r="D355" s="85">
        <v>2581.874</v>
      </c>
      <c r="E355" s="45">
        <v>12</v>
      </c>
      <c r="F355" s="30">
        <f t="shared" si="299"/>
      </c>
      <c r="G355" s="45">
        <v>5298</v>
      </c>
      <c r="H355" s="49">
        <f t="shared" si="261"/>
      </c>
      <c r="I355" s="33">
        <f t="shared" si="52"/>
      </c>
      <c r="J355" s="34">
        <f t="shared" si="14"/>
      </c>
      <c r="K355" s="35">
        <f t="shared" si="128"/>
      </c>
      <c r="L355" s="79">
        <f t="shared" si="90"/>
      </c>
      <c r="M355" s="54">
        <f t="shared" si="223"/>
      </c>
      <c r="N355" s="55">
        <f t="shared" si="166"/>
      </c>
      <c r="O355" s="55">
        <f t="shared" si="185"/>
      </c>
      <c r="P355" s="55">
        <f t="shared" si="318"/>
      </c>
      <c r="Q355" s="55">
        <f t="shared" si="280"/>
      </c>
      <c r="R355" s="54">
        <f t="shared" si="71"/>
      </c>
      <c r="S355" s="56">
        <f t="shared" si="33"/>
      </c>
      <c r="T355" s="55">
        <f t="shared" si="147"/>
      </c>
      <c r="U355" s="55">
        <f t="shared" si="109"/>
      </c>
      <c r="V355" s="55">
        <f t="shared" si="242"/>
      </c>
      <c r="W355" s="55">
        <f t="shared" si="204"/>
      </c>
      <c r="X355" s="38" t="s">
        <v>52</v>
      </c>
      <c r="Y355" s="39" t="s">
        <v>39</v>
      </c>
      <c r="Z355" s="41">
        <v>63268</v>
      </c>
      <c r="AA355" s="41">
        <v>7620</v>
      </c>
      <c r="AB355" s="41">
        <v>145594</v>
      </c>
      <c r="AC355" s="41">
        <v>365</v>
      </c>
      <c r="AD355" s="41">
        <v>7</v>
      </c>
      <c r="AE355" s="41">
        <v>7572</v>
      </c>
      <c r="AF355" s="41">
        <v>146</v>
      </c>
      <c r="AG355" s="41">
        <v>13</v>
      </c>
      <c r="AH355" s="41">
        <v>11</v>
      </c>
      <c r="AI355" s="42">
        <v>7</v>
      </c>
      <c r="AJ355" s="24"/>
      <c r="AK355" s="24"/>
      <c r="AL355" s="24"/>
    </row>
    <row r="356">
      <c r="A356" s="25"/>
      <c r="B356" s="72" t="s">
        <v>57</v>
      </c>
      <c r="C356" s="78" t="s">
        <v>60</v>
      </c>
      <c r="D356" s="85">
        <v>3501.523</v>
      </c>
      <c r="E356" s="45">
        <v>12</v>
      </c>
      <c r="F356" s="30">
        <f t="shared" si="299"/>
      </c>
      <c r="G356" s="45">
        <v>5576.399999999994</v>
      </c>
      <c r="H356" s="49">
        <f t="shared" si="261"/>
      </c>
      <c r="I356" s="33">
        <f t="shared" si="52"/>
      </c>
      <c r="J356" s="34">
        <f t="shared" si="14"/>
      </c>
      <c r="K356" s="35">
        <f t="shared" si="128"/>
      </c>
      <c r="L356" s="79">
        <f t="shared" si="90"/>
      </c>
      <c r="M356" s="54">
        <f t="shared" si="223"/>
      </c>
      <c r="N356" s="55">
        <f t="shared" si="166"/>
      </c>
      <c r="O356" s="55">
        <f t="shared" si="185"/>
      </c>
      <c r="P356" s="55">
        <f t="shared" si="318"/>
      </c>
      <c r="Q356" s="55">
        <f t="shared" si="280"/>
      </c>
      <c r="R356" s="54">
        <f t="shared" si="71"/>
      </c>
      <c r="S356" s="56">
        <f t="shared" si="33"/>
      </c>
      <c r="T356" s="55">
        <f t="shared" si="147"/>
      </c>
      <c r="U356" s="55">
        <f t="shared" si="109"/>
      </c>
      <c r="V356" s="55">
        <f t="shared" si="242"/>
      </c>
      <c r="W356" s="55">
        <f t="shared" si="204"/>
      </c>
      <c r="X356" s="38" t="s">
        <v>52</v>
      </c>
      <c r="Y356" s="39" t="s">
        <v>39</v>
      </c>
      <c r="Z356" s="41">
        <v>98163</v>
      </c>
      <c r="AA356" s="41">
        <v>10883</v>
      </c>
      <c r="AB356" s="41">
        <v>223110</v>
      </c>
      <c r="AC356" s="41">
        <v>355</v>
      </c>
      <c r="AD356" s="41">
        <v>11</v>
      </c>
      <c r="AE356" s="41">
        <v>10704</v>
      </c>
      <c r="AF356" s="41">
        <v>145</v>
      </c>
      <c r="AG356" s="41">
        <v>41</v>
      </c>
      <c r="AH356" s="41">
        <v>14</v>
      </c>
      <c r="AI356" s="42">
        <v>2</v>
      </c>
      <c r="AJ356" s="24"/>
      <c r="AK356" s="24"/>
      <c r="AL356" s="24"/>
    </row>
    <row r="357">
      <c r="A357" s="25"/>
      <c r="B357" s="72" t="s">
        <v>57</v>
      </c>
      <c r="C357" s="78" t="s">
        <v>61</v>
      </c>
      <c r="D357" s="85">
        <v>3642.5960000000005</v>
      </c>
      <c r="E357" s="45">
        <v>7</v>
      </c>
      <c r="F357" s="30">
        <f t="shared" si="299"/>
      </c>
      <c r="G357" s="45">
        <v>1564</v>
      </c>
      <c r="H357" s="49">
        <f t="shared" si="261"/>
      </c>
      <c r="I357" s="33">
        <f t="shared" si="52"/>
      </c>
      <c r="J357" s="34">
        <f t="shared" si="14"/>
      </c>
      <c r="K357" s="35">
        <f t="shared" si="128"/>
      </c>
      <c r="L357" s="79">
        <f t="shared" si="90"/>
      </c>
      <c r="M357" s="54">
        <f t="shared" si="223"/>
      </c>
      <c r="N357" s="55">
        <f t="shared" si="166"/>
      </c>
      <c r="O357" s="55">
        <f t="shared" si="185"/>
      </c>
      <c r="P357" s="55">
        <f t="shared" si="318"/>
      </c>
      <c r="Q357" s="55">
        <f t="shared" si="280"/>
      </c>
      <c r="R357" s="54">
        <f t="shared" si="71"/>
      </c>
      <c r="S357" s="56">
        <f t="shared" si="33"/>
      </c>
      <c r="T357" s="55">
        <f t="shared" si="147"/>
      </c>
      <c r="U357" s="55">
        <f t="shared" si="109"/>
      </c>
      <c r="V357" s="55">
        <f t="shared" si="242"/>
      </c>
      <c r="W357" s="55">
        <f t="shared" si="204"/>
      </c>
      <c r="X357" s="38" t="s">
        <v>52</v>
      </c>
      <c r="Y357" s="39" t="s">
        <v>39</v>
      </c>
      <c r="Z357" s="41">
        <v>109639</v>
      </c>
      <c r="AA357" s="41">
        <v>13467</v>
      </c>
      <c r="AB357" s="41">
        <v>245238</v>
      </c>
      <c r="AC357" s="41">
        <v>358</v>
      </c>
      <c r="AD357" s="41">
        <v>8</v>
      </c>
      <c r="AE357" s="41">
        <v>12269</v>
      </c>
      <c r="AF357" s="41">
        <v>176</v>
      </c>
      <c r="AG357" s="41">
        <v>44</v>
      </c>
      <c r="AH357" s="41">
        <v>15</v>
      </c>
      <c r="AI357" s="42">
        <v>0</v>
      </c>
      <c r="AJ357" s="24"/>
      <c r="AK357" s="24"/>
      <c r="AL357" s="24"/>
    </row>
    <row r="358">
      <c r="A358" s="25"/>
      <c r="B358" s="72" t="s">
        <v>57</v>
      </c>
      <c r="C358" s="78" t="s">
        <v>62</v>
      </c>
      <c r="D358" s="85">
        <v>2381.737</v>
      </c>
      <c r="E358" s="45">
        <v>10</v>
      </c>
      <c r="F358" s="47">
        <f t="shared" si="299"/>
      </c>
      <c r="G358" s="45">
        <v>3416</v>
      </c>
      <c r="H358" s="49">
        <f t="shared" si="261"/>
      </c>
      <c r="I358" s="50">
        <f t="shared" si="52"/>
      </c>
      <c r="J358" s="51">
        <f t="shared" si="14"/>
      </c>
      <c r="K358" s="52">
        <f t="shared" si="128"/>
      </c>
      <c r="L358" s="53">
        <f t="shared" si="90"/>
      </c>
      <c r="M358" s="54">
        <f t="shared" si="223"/>
      </c>
      <c r="N358" s="55">
        <f t="shared" si="166"/>
      </c>
      <c r="O358" s="55">
        <f t="shared" si="185"/>
      </c>
      <c r="P358" s="55">
        <f t="shared" si="318"/>
      </c>
      <c r="Q358" s="55">
        <f t="shared" si="280"/>
      </c>
      <c r="R358" s="54">
        <f t="shared" si="71"/>
      </c>
      <c r="S358" s="56">
        <f t="shared" si="33"/>
      </c>
      <c r="T358" s="55">
        <f t="shared" si="147"/>
      </c>
      <c r="U358" s="55">
        <f t="shared" si="109"/>
      </c>
      <c r="V358" s="55">
        <f t="shared" si="242"/>
      </c>
      <c r="W358" s="55">
        <f t="shared" si="204"/>
      </c>
      <c r="X358" s="38" t="s">
        <v>52</v>
      </c>
      <c r="Y358" s="39" t="s">
        <v>39</v>
      </c>
      <c r="Z358" s="40">
        <v>85902</v>
      </c>
      <c r="AA358" s="40">
        <v>10593</v>
      </c>
      <c r="AB358" s="40">
        <v>179187</v>
      </c>
      <c r="AC358" s="40">
        <v>419</v>
      </c>
      <c r="AD358" s="40">
        <v>8</v>
      </c>
      <c r="AE358" s="40">
        <v>9864</v>
      </c>
      <c r="AF358" s="41">
        <v>158</v>
      </c>
      <c r="AG358" s="41">
        <v>47</v>
      </c>
      <c r="AH358" s="41">
        <v>6</v>
      </c>
      <c r="AI358" s="42">
        <v>0</v>
      </c>
      <c r="AJ358" s="24"/>
      <c r="AK358" s="24"/>
      <c r="AL358" s="24"/>
    </row>
    <row r="359">
      <c r="A359" s="25"/>
      <c r="B359" s="58" t="s">
        <v>44</v>
      </c>
      <c r="C359" s="58"/>
      <c r="D359" s="59">
        <f>SUM(D354:D358)</f>
      </c>
      <c r="E359" s="59">
        <f>SUM(E354:E358)</f>
      </c>
      <c r="F359" s="61">
        <f t="shared" si="299"/>
      </c>
      <c r="G359" s="62">
        <f>SUM(G354:G358)</f>
      </c>
      <c r="H359" s="63">
        <f t="shared" si="261"/>
      </c>
      <c r="I359" s="64">
        <f t="shared" si="52"/>
      </c>
      <c r="J359" s="65">
        <f t="shared" si="14"/>
      </c>
      <c r="K359" s="61">
        <f t="shared" si="128"/>
      </c>
      <c r="L359" s="66">
        <f t="shared" si="90"/>
      </c>
      <c r="M359" s="65">
        <f t="shared" si="223"/>
      </c>
      <c r="N359" s="67">
        <f t="shared" si="166"/>
      </c>
      <c r="O359" s="67">
        <f t="shared" si="185"/>
      </c>
      <c r="P359" s="68">
        <f t="shared" si="318"/>
      </c>
      <c r="Q359" s="68">
        <f t="shared" si="280"/>
      </c>
      <c r="R359" s="69">
        <f t="shared" si="71"/>
      </c>
      <c r="S359" s="70">
        <f t="shared" si="33"/>
      </c>
      <c r="T359" s="68">
        <f t="shared" si="147"/>
      </c>
      <c r="U359" s="68">
        <f t="shared" si="109"/>
      </c>
      <c r="V359" s="68">
        <f t="shared" si="242"/>
      </c>
      <c r="W359" s="68">
        <f t="shared" si="204"/>
      </c>
      <c r="X359" s="68"/>
      <c r="Y359" s="71"/>
      <c r="Z359" s="59">
        <f>SUM(Z354:Z358)</f>
      </c>
      <c r="AA359" s="59">
        <f>SUM(AA354:AA358)</f>
      </c>
      <c r="AB359" s="59">
        <f>SUM(AB354:AB358)</f>
      </c>
      <c r="AC359" s="59">
        <f>SUM(AC354:AC358)</f>
      </c>
      <c r="AD359" s="59">
        <f>SUM(AD354:AD358)</f>
      </c>
      <c r="AE359" s="59">
        <f>SUM(AE354:AE358)</f>
      </c>
      <c r="AF359" s="59">
        <f>SUM(AF354:AF358)</f>
      </c>
      <c r="AG359" s="59">
        <f>SUM(AG354:AG358)</f>
      </c>
      <c r="AH359" s="59">
        <f>SUM(AH354:AH358)</f>
      </c>
      <c r="AI359" s="59">
        <f>SUM(AI354:AI358)</f>
      </c>
      <c r="AJ359" s="24"/>
      <c r="AK359" s="24"/>
      <c r="AL359" s="24"/>
    </row>
    <row r="360">
      <c r="A360" s="25"/>
      <c r="B360" s="89" t="s">
        <v>63</v>
      </c>
      <c r="C360" s="89"/>
      <c r="D360" s="90">
        <f>SUM(D359+D343+D348+D353)</f>
      </c>
      <c r="E360" s="91">
        <f>SUM(E359+E343+E348+E353)</f>
      </c>
      <c r="F360" s="92">
        <f t="shared" si="299"/>
      </c>
      <c r="G360" s="93">
        <f>SUM(G359+G343+G348+G353)</f>
      </c>
      <c r="H360" s="94">
        <f t="shared" si="261"/>
      </c>
      <c r="I360" s="95">
        <f t="shared" si="52"/>
      </c>
      <c r="J360" s="96">
        <f t="shared" si="14"/>
      </c>
      <c r="K360" s="92">
        <f t="shared" si="128"/>
      </c>
      <c r="L360" s="97">
        <f t="shared" si="90"/>
      </c>
      <c r="M360" s="97">
        <f t="shared" si="223"/>
      </c>
      <c r="N360" s="98">
        <f t="shared" si="166"/>
      </c>
      <c r="O360" s="98">
        <f t="shared" si="185"/>
      </c>
      <c r="P360" s="98">
        <f t="shared" si="318"/>
      </c>
      <c r="Q360" s="98">
        <f t="shared" si="280"/>
      </c>
      <c r="R360" s="99">
        <f t="shared" si="71"/>
      </c>
      <c r="S360" s="100">
        <f t="shared" si="33"/>
      </c>
      <c r="T360" s="101">
        <f t="shared" si="147"/>
      </c>
      <c r="U360" s="101">
        <f t="shared" si="109"/>
      </c>
      <c r="V360" s="101">
        <f t="shared" si="242"/>
      </c>
      <c r="W360" s="101">
        <f t="shared" si="204"/>
      </c>
      <c r="X360" s="101"/>
      <c r="Y360" s="102"/>
      <c r="Z360" s="103">
        <f>SUM(Z343+Z359+Z348+Z353)</f>
      </c>
      <c r="AA360" s="103">
        <f>SUM(AA343+AA359+AA348+AA353)</f>
      </c>
      <c r="AB360" s="103">
        <f>SUM(AB343+AB359+AB348+AB353)</f>
      </c>
      <c r="AC360" s="103">
        <f>SUM(AC343+AC359+AC348+AC353)</f>
      </c>
      <c r="AD360" s="103">
        <f>SUM(AD343+AD359+AD348+AD353)</f>
      </c>
      <c r="AE360" s="103">
        <f>SUM(AE343+AE359+AE348+AE353)</f>
      </c>
      <c r="AF360" s="103">
        <f>SUM(AF343+AF359+AF348+AF353)</f>
      </c>
      <c r="AG360" s="103">
        <f>SUM(AG343+AG359+AG348+AG353)</f>
      </c>
      <c r="AH360" s="103">
        <f>SUM(AH343+AH359+AH348+AH353)</f>
      </c>
      <c r="AI360" s="103">
        <f>SUM(AI343+AI359+AI348+AI353)</f>
      </c>
      <c r="AJ360" s="24"/>
      <c r="AK360" s="24"/>
      <c r="AL360" s="24"/>
    </row>
    <row r="361">
      <c r="A361" s="1" t="s">
        <v>1</v>
      </c>
      <c r="B361" s="2" t="s">
        <v>2</v>
      </c>
      <c r="C361" s="3" t="s">
        <v>3</v>
      </c>
      <c r="D361" s="4" t="s">
        <v>4</v>
      </c>
      <c r="E361" s="5" t="s">
        <v>5</v>
      </c>
      <c r="F361" s="6" t="s">
        <v>6</v>
      </c>
      <c r="G361" s="7" t="s">
        <v>7</v>
      </c>
      <c r="H361" s="8" t="s">
        <v>8</v>
      </c>
      <c r="I361" s="9" t="s">
        <v>9</v>
      </c>
      <c r="J361" s="10" t="s">
        <v>10</v>
      </c>
      <c r="K361" s="11" t="s">
        <v>11</v>
      </c>
      <c r="L361" s="12" t="s">
        <v>12</v>
      </c>
      <c r="M361" s="12" t="s">
        <v>13</v>
      </c>
      <c r="N361" s="13" t="s">
        <v>14</v>
      </c>
      <c r="O361" s="13" t="s">
        <v>15</v>
      </c>
      <c r="P361" s="13" t="s">
        <v>16</v>
      </c>
      <c r="Q361" s="13" t="s">
        <v>17</v>
      </c>
      <c r="R361" s="14" t="s">
        <v>18</v>
      </c>
      <c r="S361" s="15" t="s">
        <v>19</v>
      </c>
      <c r="T361" s="16" t="s">
        <v>20</v>
      </c>
      <c r="U361" s="16" t="s">
        <v>21</v>
      </c>
      <c r="V361" s="16" t="s">
        <v>22</v>
      </c>
      <c r="W361" s="16" t="s">
        <v>23</v>
      </c>
      <c r="X361" s="17" t="s">
        <v>24</v>
      </c>
      <c r="Y361" s="18" t="s">
        <v>25</v>
      </c>
      <c r="Z361" s="19" t="s">
        <v>26</v>
      </c>
      <c r="AA361" s="19" t="s">
        <v>27</v>
      </c>
      <c r="AB361" s="19" t="s">
        <v>28</v>
      </c>
      <c r="AC361" s="20" t="s">
        <v>29</v>
      </c>
      <c r="AD361" s="20" t="s">
        <v>30</v>
      </c>
      <c r="AE361" s="21" t="s">
        <v>31</v>
      </c>
      <c r="AF361" s="20" t="s">
        <v>32</v>
      </c>
      <c r="AG361" s="20" t="s">
        <v>33</v>
      </c>
      <c r="AH361" s="22" t="s">
        <v>34</v>
      </c>
      <c r="AI361" s="23" t="s">
        <v>35</v>
      </c>
      <c r="AJ361" s="24"/>
      <c r="AK361" s="24"/>
      <c r="AL361" s="24"/>
      <c r="AM361" s="24"/>
      <c r="AN361" s="24"/>
    </row>
    <row r="362">
      <c r="A362" s="25">
        <v>46311</v>
      </c>
      <c r="B362" s="26" t="s">
        <v>50</v>
      </c>
      <c r="C362" s="27" t="s">
        <v>37</v>
      </c>
      <c r="D362" s="104">
        <v>520.035</v>
      </c>
      <c r="E362" s="29">
        <v>1</v>
      </c>
      <c r="F362" s="30">
        <f t="shared" ref="F362:F384" si="300">D362/E362</f>
      </c>
      <c r="G362" s="31">
        <v>828</v>
      </c>
      <c r="H362" s="49">
        <f t="shared" ref="H362:H384" si="262">AD362</f>
      </c>
      <c r="I362" s="33">
        <f t="shared" ref="I362:I384" si="53">D362/AD362</f>
      </c>
      <c r="J362" s="34">
        <f t="shared" ref="J362:J384" si="15">G362/E362</f>
      </c>
      <c r="K362" s="35">
        <f t="shared" ref="K362:K384" si="129">G362/D362</f>
      </c>
      <c r="L362" s="36">
        <f t="shared" ref="L362:L384" si="91">D362/AB362</f>
      </c>
      <c r="M362" s="34">
        <f t="shared" ref="M362:M384" si="224">D362/AC362</f>
      </c>
      <c r="N362" s="37">
        <f t="shared" ref="N362:N384" si="167">AC362/AB362</f>
      </c>
      <c r="O362" s="37">
        <f t="shared" ref="O362:O384" si="186">AD362/AC362</f>
      </c>
      <c r="P362" s="37">
        <f t="shared" ref="P362:P384" si="319">AA362/Z362</f>
      </c>
      <c r="Q362" s="37">
        <f t="shared" ref="Q362:Q384" si="281">AD362/AA362</f>
      </c>
      <c r="R362" s="34">
        <f t="shared" ref="R362:R384" si="72">D362/Z362*1000</f>
      </c>
      <c r="S362" s="35">
        <f t="shared" ref="S362:S384" si="34">D362/AA362</f>
      </c>
      <c r="T362" s="37">
        <f t="shared" ref="T362:T384" si="148">AE362/AB362</f>
      </c>
      <c r="U362" s="37">
        <f t="shared" ref="U362:U384" si="110">AF362/AB362</f>
      </c>
      <c r="V362" s="37">
        <f t="shared" ref="V362:V384" si="243">AG362/AB362</f>
      </c>
      <c r="W362" s="37">
        <f t="shared" ref="W362:W384" si="205">AH362/AB362</f>
      </c>
      <c r="X362" s="38" t="s">
        <v>52</v>
      </c>
      <c r="Y362" s="86" t="s">
        <v>54</v>
      </c>
      <c r="Z362" s="40">
        <v>15649</v>
      </c>
      <c r="AA362" s="40">
        <v>1713</v>
      </c>
      <c r="AB362" s="40">
        <v>24189</v>
      </c>
      <c r="AC362" s="40">
        <v>189</v>
      </c>
      <c r="AD362" s="41">
        <v>1</v>
      </c>
      <c r="AE362" s="40">
        <v>2101</v>
      </c>
      <c r="AF362" s="41">
        <v>49</v>
      </c>
      <c r="AG362" s="41">
        <v>10</v>
      </c>
      <c r="AH362" s="41">
        <v>3</v>
      </c>
      <c r="AI362" s="42">
        <v>0</v>
      </c>
      <c r="AJ362" s="24"/>
      <c r="AK362" s="24"/>
      <c r="AL362" s="24"/>
      <c r="AM362" s="24"/>
      <c r="AN362" s="24"/>
    </row>
    <row r="363">
      <c r="A363" s="107"/>
      <c r="B363" s="26" t="s">
        <v>50</v>
      </c>
      <c r="C363" s="27" t="s">
        <v>40</v>
      </c>
      <c r="D363" s="104">
        <v>2389.11</v>
      </c>
      <c r="E363" s="29">
        <v>2</v>
      </c>
      <c r="F363" s="30">
        <f t="shared" si="300"/>
      </c>
      <c r="G363" s="31">
        <v>424</v>
      </c>
      <c r="H363" s="49">
        <f t="shared" si="262"/>
      </c>
      <c r="I363" s="33">
        <f t="shared" si="53"/>
      </c>
      <c r="J363" s="34">
        <f t="shared" si="15"/>
      </c>
      <c r="K363" s="35">
        <f t="shared" si="129"/>
      </c>
      <c r="L363" s="36">
        <f t="shared" si="91"/>
      </c>
      <c r="M363" s="34">
        <f t="shared" si="224"/>
      </c>
      <c r="N363" s="37">
        <f t="shared" si="167"/>
      </c>
      <c r="O363" s="37">
        <f t="shared" si="186"/>
      </c>
      <c r="P363" s="37">
        <f t="shared" si="319"/>
      </c>
      <c r="Q363" s="37">
        <f t="shared" si="281"/>
      </c>
      <c r="R363" s="34">
        <f t="shared" si="72"/>
      </c>
      <c r="S363" s="35">
        <f t="shared" si="34"/>
      </c>
      <c r="T363" s="37">
        <f t="shared" si="148"/>
      </c>
      <c r="U363" s="37">
        <f t="shared" si="110"/>
      </c>
      <c r="V363" s="37">
        <f t="shared" si="243"/>
      </c>
      <c r="W363" s="37">
        <f t="shared" si="205"/>
      </c>
      <c r="X363" s="38" t="s">
        <v>52</v>
      </c>
      <c r="Y363" s="86" t="s">
        <v>54</v>
      </c>
      <c r="Z363" s="41">
        <v>67237</v>
      </c>
      <c r="AA363" s="40">
        <v>13245</v>
      </c>
      <c r="AB363" s="40">
        <v>130866</v>
      </c>
      <c r="AC363" s="40">
        <v>533</v>
      </c>
      <c r="AD363" s="41">
        <v>2</v>
      </c>
      <c r="AE363" s="40">
        <v>13337</v>
      </c>
      <c r="AF363" s="41">
        <v>241</v>
      </c>
      <c r="AG363" s="41">
        <v>31</v>
      </c>
      <c r="AH363" s="41">
        <v>10</v>
      </c>
      <c r="AI363" s="42">
        <v>0</v>
      </c>
      <c r="AJ363" s="24"/>
      <c r="AK363" s="24"/>
      <c r="AL363" s="24"/>
      <c r="AM363" s="24"/>
      <c r="AN363" s="24"/>
    </row>
    <row r="364">
      <c r="A364" s="107"/>
      <c r="B364" s="26" t="s">
        <v>50</v>
      </c>
      <c r="C364" s="43" t="s">
        <v>41</v>
      </c>
      <c r="D364" s="84">
        <v>3382.099</v>
      </c>
      <c r="E364" s="45">
        <v>8</v>
      </c>
      <c r="F364" s="47">
        <f t="shared" si="300"/>
      </c>
      <c r="G364" s="45">
        <v>1749.2</v>
      </c>
      <c r="H364" s="49">
        <f t="shared" si="262"/>
      </c>
      <c r="I364" s="50">
        <f t="shared" si="53"/>
      </c>
      <c r="J364" s="51">
        <f t="shared" si="15"/>
      </c>
      <c r="K364" s="52">
        <f t="shared" si="129"/>
      </c>
      <c r="L364" s="76">
        <f t="shared" si="91"/>
      </c>
      <c r="M364" s="34">
        <f t="shared" si="224"/>
      </c>
      <c r="N364" s="37">
        <f t="shared" si="167"/>
      </c>
      <c r="O364" s="37">
        <f t="shared" si="186"/>
      </c>
      <c r="P364" s="37">
        <f t="shared" si="319"/>
      </c>
      <c r="Q364" s="37">
        <f t="shared" si="281"/>
      </c>
      <c r="R364" s="34">
        <f t="shared" si="72"/>
      </c>
      <c r="S364" s="35">
        <f t="shared" si="34"/>
      </c>
      <c r="T364" s="37">
        <f t="shared" si="148"/>
      </c>
      <c r="U364" s="37">
        <f t="shared" si="110"/>
      </c>
      <c r="V364" s="37">
        <f t="shared" si="243"/>
      </c>
      <c r="W364" s="37">
        <f t="shared" si="205"/>
      </c>
      <c r="X364" s="38" t="s">
        <v>52</v>
      </c>
      <c r="Y364" s="86" t="s">
        <v>54</v>
      </c>
      <c r="Z364" s="41">
        <v>93505</v>
      </c>
      <c r="AA364" s="41">
        <v>24478</v>
      </c>
      <c r="AB364" s="41">
        <v>194474</v>
      </c>
      <c r="AC364" s="41">
        <v>497</v>
      </c>
      <c r="AD364" s="41">
        <v>8</v>
      </c>
      <c r="AE364" s="41">
        <v>20914</v>
      </c>
      <c r="AF364" s="41">
        <v>433</v>
      </c>
      <c r="AG364" s="41">
        <v>59</v>
      </c>
      <c r="AH364" s="41">
        <v>10</v>
      </c>
      <c r="AI364" s="42">
        <v>1</v>
      </c>
      <c r="AJ364" s="24"/>
      <c r="AK364" s="24"/>
      <c r="AL364" s="24"/>
      <c r="AM364" s="24"/>
      <c r="AN364" s="24"/>
    </row>
    <row r="365">
      <c r="A365" s="107"/>
      <c r="B365" s="26" t="s">
        <v>50</v>
      </c>
      <c r="C365" s="46" t="s">
        <v>42</v>
      </c>
      <c r="D365" s="84">
        <v>2976.292</v>
      </c>
      <c r="E365" s="45">
        <v>7</v>
      </c>
      <c r="F365" s="47">
        <f t="shared" si="300"/>
      </c>
      <c r="G365" s="45">
        <v>2785.2</v>
      </c>
      <c r="H365" s="49">
        <f t="shared" si="262"/>
      </c>
      <c r="I365" s="50">
        <f t="shared" si="53"/>
      </c>
      <c r="J365" s="51">
        <f t="shared" si="15"/>
      </c>
      <c r="K365" s="52">
        <f t="shared" si="129"/>
      </c>
      <c r="L365" s="53">
        <f t="shared" si="91"/>
      </c>
      <c r="M365" s="54">
        <f t="shared" si="224"/>
      </c>
      <c r="N365" s="55">
        <f t="shared" si="167"/>
      </c>
      <c r="O365" s="55">
        <f t="shared" si="186"/>
      </c>
      <c r="P365" s="55">
        <f t="shared" si="319"/>
      </c>
      <c r="Q365" s="55">
        <f t="shared" si="281"/>
      </c>
      <c r="R365" s="54">
        <f t="shared" si="72"/>
      </c>
      <c r="S365" s="56">
        <f t="shared" si="34"/>
      </c>
      <c r="T365" s="55">
        <f t="shared" si="148"/>
      </c>
      <c r="U365" s="55">
        <f t="shared" si="110"/>
      </c>
      <c r="V365" s="55">
        <f t="shared" si="243"/>
      </c>
      <c r="W365" s="55">
        <f t="shared" si="205"/>
      </c>
      <c r="X365" s="38" t="s">
        <v>52</v>
      </c>
      <c r="Y365" s="86" t="s">
        <v>54</v>
      </c>
      <c r="Z365" s="40">
        <v>79873</v>
      </c>
      <c r="AA365" s="40">
        <v>20608</v>
      </c>
      <c r="AB365" s="40">
        <v>171709</v>
      </c>
      <c r="AC365" s="40">
        <v>394</v>
      </c>
      <c r="AD365" s="40">
        <v>5</v>
      </c>
      <c r="AE365" s="40">
        <v>17309</v>
      </c>
      <c r="AF365" s="41">
        <v>320</v>
      </c>
      <c r="AG365" s="41">
        <v>47</v>
      </c>
      <c r="AH365" s="41">
        <v>12</v>
      </c>
      <c r="AI365" s="42">
        <v>1</v>
      </c>
      <c r="AJ365" s="24"/>
      <c r="AK365" s="24"/>
      <c r="AL365" s="24"/>
      <c r="AM365" s="24"/>
      <c r="AN365" s="24"/>
    </row>
    <row r="366">
      <c r="A366" s="107"/>
      <c r="B366" s="26" t="s">
        <v>50</v>
      </c>
      <c r="C366" s="46" t="s">
        <v>43</v>
      </c>
      <c r="D366" s="85">
        <v>3923.042</v>
      </c>
      <c r="E366" s="45">
        <v>25</v>
      </c>
      <c r="F366" s="47">
        <f t="shared" si="300"/>
      </c>
      <c r="G366" s="45">
        <v>9598.2</v>
      </c>
      <c r="H366" s="49">
        <f t="shared" si="262"/>
      </c>
      <c r="I366" s="50">
        <f t="shared" si="53"/>
      </c>
      <c r="J366" s="51">
        <f t="shared" si="15"/>
      </c>
      <c r="K366" s="52">
        <f t="shared" si="129"/>
      </c>
      <c r="L366" s="53">
        <f t="shared" si="91"/>
      </c>
      <c r="M366" s="108">
        <f t="shared" si="224"/>
      </c>
      <c r="N366" s="109">
        <f t="shared" si="167"/>
      </c>
      <c r="O366" s="109">
        <f t="shared" si="186"/>
      </c>
      <c r="P366" s="55">
        <f t="shared" si="319"/>
      </c>
      <c r="Q366" s="55">
        <f t="shared" si="281"/>
      </c>
      <c r="R366" s="54">
        <f t="shared" si="72"/>
      </c>
      <c r="S366" s="56">
        <f t="shared" si="34"/>
      </c>
      <c r="T366" s="55">
        <f t="shared" si="148"/>
      </c>
      <c r="U366" s="55">
        <f t="shared" si="110"/>
      </c>
      <c r="V366" s="55">
        <f t="shared" si="243"/>
      </c>
      <c r="W366" s="55">
        <f t="shared" si="205"/>
      </c>
      <c r="X366" s="38" t="s">
        <v>52</v>
      </c>
      <c r="Y366" s="86" t="s">
        <v>54</v>
      </c>
      <c r="Z366" s="40">
        <v>91331</v>
      </c>
      <c r="AA366" s="40">
        <v>20809</v>
      </c>
      <c r="AB366" s="40">
        <v>219583</v>
      </c>
      <c r="AC366" s="40">
        <v>548</v>
      </c>
      <c r="AD366" s="40">
        <v>14</v>
      </c>
      <c r="AE366" s="40">
        <v>20476</v>
      </c>
      <c r="AF366" s="41">
        <v>359</v>
      </c>
      <c r="AG366" s="41">
        <v>52</v>
      </c>
      <c r="AH366" s="41">
        <v>14</v>
      </c>
      <c r="AI366" s="42">
        <v>4</v>
      </c>
      <c r="AJ366" s="24"/>
      <c r="AK366" s="24"/>
      <c r="AL366" s="24"/>
      <c r="AM366" s="24"/>
      <c r="AN366" s="24"/>
    </row>
    <row r="367">
      <c r="A367" s="107"/>
      <c r="B367" s="58" t="s">
        <v>44</v>
      </c>
      <c r="C367" s="58"/>
      <c r="D367" s="59">
        <f>SUM(D362:D366)</f>
      </c>
      <c r="E367" s="60">
        <f>SUM(E362:E366)</f>
      </c>
      <c r="F367" s="61">
        <f t="shared" si="300"/>
      </c>
      <c r="G367" s="62">
        <f>SUM(G362:G366)</f>
      </c>
      <c r="H367" s="63">
        <f t="shared" si="262"/>
      </c>
      <c r="I367" s="64">
        <f t="shared" si="53"/>
      </c>
      <c r="J367" s="65">
        <f t="shared" si="15"/>
      </c>
      <c r="K367" s="61">
        <f t="shared" si="129"/>
      </c>
      <c r="L367" s="66">
        <f t="shared" si="91"/>
      </c>
      <c r="M367" s="65">
        <f t="shared" si="224"/>
      </c>
      <c r="N367" s="67">
        <f t="shared" si="167"/>
      </c>
      <c r="O367" s="67">
        <f t="shared" si="186"/>
      </c>
      <c r="P367" s="68">
        <f t="shared" si="319"/>
      </c>
      <c r="Q367" s="68">
        <f t="shared" si="281"/>
      </c>
      <c r="R367" s="69">
        <f t="shared" si="72"/>
      </c>
      <c r="S367" s="70">
        <f t="shared" si="34"/>
      </c>
      <c r="T367" s="68">
        <f t="shared" si="148"/>
      </c>
      <c r="U367" s="68">
        <f t="shared" si="110"/>
      </c>
      <c r="V367" s="68">
        <f t="shared" si="243"/>
      </c>
      <c r="W367" s="68">
        <f t="shared" si="205"/>
      </c>
      <c r="X367" s="68"/>
      <c r="Y367" s="71"/>
      <c r="Z367" s="59">
        <f>SUM(Z362:Z366)</f>
      </c>
      <c r="AA367" s="59">
        <f>SUM(AA362:AA366)</f>
      </c>
      <c r="AB367" s="59">
        <f>SUM(AB362:AB366)</f>
      </c>
      <c r="AC367" s="59">
        <f>SUM(AC362:AC366)</f>
      </c>
      <c r="AD367" s="59">
        <f>SUM(AD362:AD366)</f>
      </c>
      <c r="AE367" s="59">
        <f>SUM(AE362:AE366)</f>
      </c>
      <c r="AF367" s="59">
        <f>SUM(AF362:AF366)</f>
      </c>
      <c r="AG367" s="59">
        <f>SUM(AG362:AG366)</f>
      </c>
      <c r="AH367" s="59">
        <f>SUM(AH362:AH366)</f>
      </c>
      <c r="AI367" s="59">
        <f>SUM(AI362:AI366)</f>
      </c>
      <c r="AJ367" s="24"/>
      <c r="AK367" s="24"/>
      <c r="AL367" s="24"/>
      <c r="AM367" s="24"/>
      <c r="AN367" s="24"/>
    </row>
    <row r="368">
      <c r="A368" s="107"/>
      <c r="B368" s="72" t="s">
        <v>45</v>
      </c>
      <c r="C368" s="73" t="s">
        <v>46</v>
      </c>
      <c r="D368" s="105">
        <v>3293.908</v>
      </c>
      <c r="E368" s="75">
        <v>10</v>
      </c>
      <c r="F368" s="47">
        <f t="shared" si="300"/>
      </c>
      <c r="G368" s="45">
        <v>2113</v>
      </c>
      <c r="H368" s="49">
        <f t="shared" si="262"/>
      </c>
      <c r="I368" s="50">
        <f t="shared" si="53"/>
      </c>
      <c r="J368" s="51">
        <f t="shared" si="15"/>
      </c>
      <c r="K368" s="52">
        <f t="shared" si="129"/>
      </c>
      <c r="L368" s="76">
        <f t="shared" si="91"/>
      </c>
      <c r="M368" s="34">
        <f t="shared" si="224"/>
      </c>
      <c r="N368" s="37">
        <f t="shared" si="167"/>
      </c>
      <c r="O368" s="37">
        <f t="shared" si="186"/>
      </c>
      <c r="P368" s="37">
        <f t="shared" si="319"/>
      </c>
      <c r="Q368" s="37">
        <f t="shared" si="281"/>
      </c>
      <c r="R368" s="34">
        <f t="shared" si="72"/>
      </c>
      <c r="S368" s="35">
        <f t="shared" si="34"/>
      </c>
      <c r="T368" s="37">
        <f t="shared" si="148"/>
      </c>
      <c r="U368" s="37">
        <f t="shared" si="110"/>
      </c>
      <c r="V368" s="37">
        <f t="shared" si="243"/>
      </c>
      <c r="W368" s="37">
        <f t="shared" si="205"/>
      </c>
      <c r="X368" s="38" t="s">
        <v>52</v>
      </c>
      <c r="Y368" s="86" t="s">
        <v>54</v>
      </c>
      <c r="Z368" s="41">
        <v>84268</v>
      </c>
      <c r="AA368" s="41">
        <v>19505</v>
      </c>
      <c r="AB368" s="41">
        <v>199536</v>
      </c>
      <c r="AC368" s="41">
        <v>491</v>
      </c>
      <c r="AD368" s="41">
        <v>9</v>
      </c>
      <c r="AE368" s="41">
        <v>20634</v>
      </c>
      <c r="AF368" s="41">
        <v>299</v>
      </c>
      <c r="AG368" s="41">
        <v>44</v>
      </c>
      <c r="AH368" s="41">
        <v>10</v>
      </c>
      <c r="AI368" s="42">
        <v>2</v>
      </c>
      <c r="AJ368" s="24"/>
      <c r="AK368" s="24"/>
      <c r="AL368" s="24"/>
      <c r="AM368" s="24"/>
      <c r="AN368" s="24"/>
    </row>
    <row r="369">
      <c r="A369" s="107"/>
      <c r="B369" s="72" t="s">
        <v>45</v>
      </c>
      <c r="C369" s="77" t="s">
        <v>47</v>
      </c>
      <c r="D369" s="84">
        <v>3683.734</v>
      </c>
      <c r="E369" s="45">
        <v>11</v>
      </c>
      <c r="F369" s="47">
        <f t="shared" si="300"/>
      </c>
      <c r="G369" s="45">
        <v>4162.8</v>
      </c>
      <c r="H369" s="49">
        <f t="shared" si="262"/>
      </c>
      <c r="I369" s="50">
        <f t="shared" si="53"/>
      </c>
      <c r="J369" s="51">
        <f t="shared" si="15"/>
      </c>
      <c r="K369" s="52">
        <f t="shared" si="129"/>
      </c>
      <c r="L369" s="76">
        <f t="shared" si="91"/>
      </c>
      <c r="M369" s="34">
        <f t="shared" si="224"/>
      </c>
      <c r="N369" s="37">
        <f t="shared" si="167"/>
      </c>
      <c r="O369" s="37">
        <f t="shared" si="186"/>
      </c>
      <c r="P369" s="37">
        <f t="shared" si="319"/>
      </c>
      <c r="Q369" s="37">
        <f t="shared" si="281"/>
      </c>
      <c r="R369" s="34">
        <f t="shared" si="72"/>
      </c>
      <c r="S369" s="35">
        <f t="shared" si="34"/>
      </c>
      <c r="T369" s="37">
        <f t="shared" si="148"/>
      </c>
      <c r="U369" s="37">
        <f t="shared" si="110"/>
      </c>
      <c r="V369" s="37">
        <f t="shared" si="243"/>
      </c>
      <c r="W369" s="37">
        <f t="shared" si="205"/>
      </c>
      <c r="X369" s="38" t="s">
        <v>52</v>
      </c>
      <c r="Y369" s="86" t="s">
        <v>54</v>
      </c>
      <c r="Z369" s="41">
        <v>107570</v>
      </c>
      <c r="AA369" s="41">
        <v>20968</v>
      </c>
      <c r="AB369" s="41">
        <v>247933</v>
      </c>
      <c r="AC369" s="41">
        <v>428</v>
      </c>
      <c r="AD369" s="41">
        <v>8</v>
      </c>
      <c r="AE369" s="41">
        <v>18571</v>
      </c>
      <c r="AF369" s="41">
        <v>271</v>
      </c>
      <c r="AG369" s="41">
        <v>41</v>
      </c>
      <c r="AH369" s="41">
        <v>11</v>
      </c>
      <c r="AI369" s="42">
        <v>2</v>
      </c>
      <c r="AJ369" s="24"/>
      <c r="AK369" s="24"/>
      <c r="AL369" s="24"/>
      <c r="AM369" s="24"/>
      <c r="AN369" s="24"/>
    </row>
    <row r="370">
      <c r="A370" s="107"/>
      <c r="B370" s="72" t="s">
        <v>45</v>
      </c>
      <c r="C370" s="78" t="s">
        <v>48</v>
      </c>
      <c r="D370" s="84">
        <v>4611.816</v>
      </c>
      <c r="E370" s="45">
        <v>5</v>
      </c>
      <c r="F370" s="30">
        <f t="shared" si="300"/>
      </c>
      <c r="G370" s="45">
        <v>3397.8</v>
      </c>
      <c r="H370" s="49">
        <f t="shared" si="262"/>
      </c>
      <c r="I370" s="33">
        <f t="shared" si="53"/>
      </c>
      <c r="J370" s="34">
        <f t="shared" si="15"/>
      </c>
      <c r="K370" s="35">
        <f t="shared" si="129"/>
      </c>
      <c r="L370" s="79">
        <f t="shared" si="91"/>
      </c>
      <c r="M370" s="54">
        <f t="shared" si="224"/>
      </c>
      <c r="N370" s="55">
        <f t="shared" si="167"/>
      </c>
      <c r="O370" s="55">
        <f t="shared" si="186"/>
      </c>
      <c r="P370" s="55">
        <f t="shared" si="319"/>
      </c>
      <c r="Q370" s="55">
        <f t="shared" si="281"/>
      </c>
      <c r="R370" s="54">
        <f t="shared" si="72"/>
      </c>
      <c r="S370" s="56">
        <f t="shared" si="34"/>
      </c>
      <c r="T370" s="55">
        <f t="shared" si="148"/>
      </c>
      <c r="U370" s="55">
        <f t="shared" si="110"/>
      </c>
      <c r="V370" s="55">
        <f t="shared" si="243"/>
      </c>
      <c r="W370" s="55">
        <f t="shared" si="205"/>
      </c>
      <c r="X370" s="38" t="s">
        <v>52</v>
      </c>
      <c r="Y370" s="86" t="s">
        <v>54</v>
      </c>
      <c r="Z370" s="41">
        <v>119212</v>
      </c>
      <c r="AA370" s="41">
        <v>20701</v>
      </c>
      <c r="AB370" s="41">
        <v>314111</v>
      </c>
      <c r="AC370" s="41">
        <v>501</v>
      </c>
      <c r="AD370" s="41">
        <v>5</v>
      </c>
      <c r="AE370" s="41">
        <v>21362</v>
      </c>
      <c r="AF370" s="41">
        <v>221</v>
      </c>
      <c r="AG370" s="41">
        <v>31</v>
      </c>
      <c r="AH370" s="41">
        <v>19</v>
      </c>
      <c r="AI370" s="42">
        <v>2</v>
      </c>
      <c r="AJ370" s="24"/>
      <c r="AK370" s="24"/>
      <c r="AL370" s="24"/>
      <c r="AM370" s="24"/>
      <c r="AN370" s="24"/>
    </row>
    <row r="371">
      <c r="A371" s="107"/>
      <c r="B371" s="72" t="s">
        <v>45</v>
      </c>
      <c r="C371" s="78" t="s">
        <v>49</v>
      </c>
      <c r="D371" s="85">
        <v>1799.916</v>
      </c>
      <c r="E371" s="45">
        <v>7</v>
      </c>
      <c r="F371" s="30">
        <f t="shared" si="300"/>
      </c>
      <c r="G371" s="45">
        <v>2715.9</v>
      </c>
      <c r="H371" s="49">
        <f t="shared" si="262"/>
      </c>
      <c r="I371" s="33">
        <f t="shared" si="53"/>
      </c>
      <c r="J371" s="34">
        <f t="shared" si="15"/>
      </c>
      <c r="K371" s="35">
        <f t="shared" si="129"/>
      </c>
      <c r="L371" s="79">
        <f t="shared" si="91"/>
      </c>
      <c r="M371" s="54">
        <f t="shared" si="224"/>
      </c>
      <c r="N371" s="55">
        <f t="shared" si="167"/>
      </c>
      <c r="O371" s="55">
        <f t="shared" si="186"/>
      </c>
      <c r="P371" s="55">
        <f t="shared" si="319"/>
      </c>
      <c r="Q371" s="55">
        <f t="shared" si="281"/>
      </c>
      <c r="R371" s="54">
        <f t="shared" si="72"/>
      </c>
      <c r="S371" s="56">
        <f t="shared" si="34"/>
      </c>
      <c r="T371" s="55">
        <f t="shared" si="148"/>
      </c>
      <c r="U371" s="55">
        <f t="shared" si="110"/>
      </c>
      <c r="V371" s="55">
        <f t="shared" si="243"/>
      </c>
      <c r="W371" s="55">
        <f t="shared" si="205"/>
      </c>
      <c r="X371" s="38" t="s">
        <v>52</v>
      </c>
      <c r="Y371" s="86" t="s">
        <v>54</v>
      </c>
      <c r="Z371" s="41">
        <v>53962</v>
      </c>
      <c r="AA371" s="41">
        <v>11888</v>
      </c>
      <c r="AB371" s="41">
        <v>94599</v>
      </c>
      <c r="AC371" s="41">
        <v>335</v>
      </c>
      <c r="AD371" s="41">
        <v>4</v>
      </c>
      <c r="AE371" s="41">
        <v>7590</v>
      </c>
      <c r="AF371" s="41">
        <v>278</v>
      </c>
      <c r="AG371" s="41">
        <v>27</v>
      </c>
      <c r="AH371" s="41">
        <v>3</v>
      </c>
      <c r="AI371" s="42">
        <v>2</v>
      </c>
      <c r="AJ371" s="24"/>
      <c r="AK371" s="24"/>
      <c r="AL371" s="24"/>
      <c r="AM371" s="24"/>
      <c r="AN371" s="24"/>
    </row>
    <row r="372">
      <c r="A372" s="107"/>
      <c r="B372" s="58" t="s">
        <v>44</v>
      </c>
      <c r="C372" s="58"/>
      <c r="D372" s="59">
        <f>SUM(D368:D371)</f>
      </c>
      <c r="E372" s="60">
        <f>SUM(E368:E371)</f>
      </c>
      <c r="F372" s="61">
        <f t="shared" si="300"/>
      </c>
      <c r="G372" s="62">
        <f>SUM(G368:G371)</f>
      </c>
      <c r="H372" s="63">
        <f t="shared" si="262"/>
      </c>
      <c r="I372" s="64">
        <f t="shared" si="53"/>
      </c>
      <c r="J372" s="65">
        <f t="shared" si="15"/>
      </c>
      <c r="K372" s="61">
        <f t="shared" si="129"/>
      </c>
      <c r="L372" s="66">
        <f t="shared" si="91"/>
      </c>
      <c r="M372" s="65">
        <f t="shared" si="224"/>
      </c>
      <c r="N372" s="67">
        <f t="shared" si="167"/>
      </c>
      <c r="O372" s="67">
        <f t="shared" si="186"/>
      </c>
      <c r="P372" s="68">
        <f t="shared" si="319"/>
      </c>
      <c r="Q372" s="68">
        <f t="shared" si="281"/>
      </c>
      <c r="R372" s="69">
        <f t="shared" si="72"/>
      </c>
      <c r="S372" s="70">
        <f t="shared" si="34"/>
      </c>
      <c r="T372" s="68">
        <f t="shared" si="148"/>
      </c>
      <c r="U372" s="68">
        <f t="shared" si="110"/>
      </c>
      <c r="V372" s="68">
        <f t="shared" si="243"/>
      </c>
      <c r="W372" s="68">
        <f t="shared" si="205"/>
      </c>
      <c r="X372" s="68"/>
      <c r="Y372" s="71"/>
      <c r="Z372" s="59">
        <f>SUM(Z368:Z371)</f>
      </c>
      <c r="AA372" s="59">
        <f>SUM(AA368:AA371)</f>
      </c>
      <c r="AB372" s="59">
        <f>SUM(AB368:AB371)</f>
      </c>
      <c r="AC372" s="59">
        <f>SUM(AC368:AC371)</f>
      </c>
      <c r="AD372" s="59">
        <f>SUM(AD368:AD371)</f>
      </c>
      <c r="AE372" s="59">
        <f>SUM(AE368:AE371)</f>
      </c>
      <c r="AF372" s="59">
        <f>SUM(AF368:AF371)</f>
      </c>
      <c r="AG372" s="59">
        <f>SUM(AG368:AG371)</f>
      </c>
      <c r="AH372" s="59">
        <f>SUM(AH368:AH371)</f>
      </c>
      <c r="AI372" s="59">
        <f>SUM(AI368:AI371)</f>
      </c>
      <c r="AJ372" s="24"/>
      <c r="AK372" s="24"/>
      <c r="AL372" s="24"/>
      <c r="AM372" s="24"/>
      <c r="AN372" s="24"/>
    </row>
    <row r="373">
      <c r="A373" s="107"/>
      <c r="B373" s="72" t="s">
        <v>64</v>
      </c>
      <c r="C373" s="38" t="s">
        <v>51</v>
      </c>
      <c r="D373" s="57">
        <v>1404.3379999999997</v>
      </c>
      <c r="E373" s="45">
        <v>4</v>
      </c>
      <c r="F373" s="47">
        <f t="shared" si="300"/>
      </c>
      <c r="G373" s="23">
        <v>2844.0000000000036</v>
      </c>
      <c r="H373" s="49">
        <f t="shared" si="262"/>
      </c>
      <c r="I373" s="50">
        <f t="shared" si="53"/>
      </c>
      <c r="J373" s="51">
        <f t="shared" si="15"/>
      </c>
      <c r="K373" s="52">
        <f t="shared" si="129"/>
      </c>
      <c r="L373" s="53">
        <f t="shared" si="91"/>
      </c>
      <c r="M373" s="54">
        <f t="shared" si="224"/>
      </c>
      <c r="N373" s="55">
        <f t="shared" si="167"/>
      </c>
      <c r="O373" s="55">
        <f t="shared" si="186"/>
      </c>
      <c r="P373" s="55">
        <f t="shared" si="319"/>
      </c>
      <c r="Q373" s="55">
        <f t="shared" si="281"/>
      </c>
      <c r="R373" s="54">
        <f t="shared" si="72"/>
      </c>
      <c r="S373" s="56">
        <f t="shared" si="34"/>
      </c>
      <c r="T373" s="55">
        <f t="shared" si="148"/>
      </c>
      <c r="U373" s="55">
        <f t="shared" si="110"/>
      </c>
      <c r="V373" s="55">
        <f t="shared" si="243"/>
      </c>
      <c r="W373" s="55">
        <f t="shared" si="205"/>
      </c>
      <c r="X373" s="38" t="s">
        <v>52</v>
      </c>
      <c r="Y373" s="86" t="s">
        <v>54</v>
      </c>
      <c r="Z373" s="40">
        <v>42104</v>
      </c>
      <c r="AA373" s="40">
        <v>8771</v>
      </c>
      <c r="AB373" s="40">
        <v>70517</v>
      </c>
      <c r="AC373" s="40">
        <v>235</v>
      </c>
      <c r="AD373" s="40">
        <v>2</v>
      </c>
      <c r="AE373" s="40">
        <v>5441</v>
      </c>
      <c r="AF373" s="41">
        <v>217</v>
      </c>
      <c r="AG373" s="41">
        <v>10</v>
      </c>
      <c r="AH373" s="41">
        <v>9</v>
      </c>
      <c r="AI373" s="42">
        <v>0</v>
      </c>
      <c r="AJ373" s="24"/>
      <c r="AK373" s="24"/>
      <c r="AL373" s="24"/>
      <c r="AM373" s="24"/>
      <c r="AN373" s="24"/>
    </row>
    <row r="374">
      <c r="A374" s="107"/>
      <c r="B374" s="72" t="s">
        <v>64</v>
      </c>
      <c r="C374" s="78" t="s">
        <v>53</v>
      </c>
      <c r="D374" s="44">
        <v>2455.08</v>
      </c>
      <c r="E374" s="45">
        <v>5</v>
      </c>
      <c r="F374" s="30">
        <f t="shared" si="300"/>
      </c>
      <c r="G374" s="23">
        <v>2297.2000000000007</v>
      </c>
      <c r="H374" s="49">
        <f t="shared" si="262"/>
      </c>
      <c r="I374" s="33">
        <f t="shared" si="53"/>
      </c>
      <c r="J374" s="34">
        <f t="shared" si="15"/>
      </c>
      <c r="K374" s="35">
        <f t="shared" si="129"/>
      </c>
      <c r="L374" s="79">
        <f t="shared" si="91"/>
      </c>
      <c r="M374" s="54">
        <f t="shared" si="224"/>
      </c>
      <c r="N374" s="55">
        <f t="shared" si="167"/>
      </c>
      <c r="O374" s="55">
        <f t="shared" si="186"/>
      </c>
      <c r="P374" s="55">
        <f t="shared" si="319"/>
      </c>
      <c r="Q374" s="55">
        <f t="shared" si="281"/>
      </c>
      <c r="R374" s="54">
        <f t="shared" si="72"/>
      </c>
      <c r="S374" s="56">
        <f t="shared" si="34"/>
      </c>
      <c r="T374" s="55">
        <f t="shared" si="148"/>
      </c>
      <c r="U374" s="55">
        <f t="shared" si="110"/>
      </c>
      <c r="V374" s="55">
        <f t="shared" si="243"/>
      </c>
      <c r="W374" s="55">
        <f t="shared" si="205"/>
      </c>
      <c r="X374" s="38" t="s">
        <v>52</v>
      </c>
      <c r="Y374" s="86" t="s">
        <v>39</v>
      </c>
      <c r="Z374" s="41">
        <v>69941</v>
      </c>
      <c r="AA374" s="41">
        <v>12501</v>
      </c>
      <c r="AB374" s="41">
        <v>148583</v>
      </c>
      <c r="AC374" s="41">
        <v>331</v>
      </c>
      <c r="AD374" s="41">
        <v>7</v>
      </c>
      <c r="AE374" s="41">
        <v>11235</v>
      </c>
      <c r="AF374" s="41">
        <v>200</v>
      </c>
      <c r="AG374" s="41">
        <v>22</v>
      </c>
      <c r="AH374" s="41">
        <v>8</v>
      </c>
      <c r="AI374" s="42">
        <v>1</v>
      </c>
      <c r="AJ374" s="24"/>
      <c r="AK374" s="24"/>
      <c r="AL374" s="24"/>
      <c r="AM374" s="24"/>
      <c r="AN374" s="24"/>
    </row>
    <row r="375">
      <c r="A375" s="107"/>
      <c r="B375" s="72" t="s">
        <v>64</v>
      </c>
      <c r="C375" s="78" t="s">
        <v>55</v>
      </c>
      <c r="D375" s="57">
        <v>3846.228</v>
      </c>
      <c r="E375" s="45">
        <v>9</v>
      </c>
      <c r="F375" s="30">
        <f t="shared" si="300"/>
      </c>
      <c r="G375" s="23">
        <v>3167.5</v>
      </c>
      <c r="H375" s="49">
        <f t="shared" si="262"/>
      </c>
      <c r="I375" s="33">
        <f t="shared" si="53"/>
      </c>
      <c r="J375" s="34">
        <f t="shared" si="15"/>
      </c>
      <c r="K375" s="35">
        <f t="shared" si="129"/>
      </c>
      <c r="L375" s="79">
        <f t="shared" si="91"/>
      </c>
      <c r="M375" s="54">
        <f t="shared" si="224"/>
      </c>
      <c r="N375" s="55">
        <f t="shared" si="167"/>
      </c>
      <c r="O375" s="55">
        <f t="shared" si="186"/>
      </c>
      <c r="P375" s="55">
        <f t="shared" si="319"/>
      </c>
      <c r="Q375" s="55">
        <f t="shared" si="281"/>
      </c>
      <c r="R375" s="54">
        <f t="shared" si="72"/>
      </c>
      <c r="S375" s="56">
        <f t="shared" si="34"/>
      </c>
      <c r="T375" s="55">
        <f t="shared" si="148"/>
      </c>
      <c r="U375" s="55">
        <f t="shared" si="110"/>
      </c>
      <c r="V375" s="55">
        <f t="shared" si="243"/>
      </c>
      <c r="W375" s="55">
        <f t="shared" si="205"/>
      </c>
      <c r="X375" s="38" t="s">
        <v>52</v>
      </c>
      <c r="Y375" s="86" t="s">
        <v>39</v>
      </c>
      <c r="Z375" s="41">
        <v>107416</v>
      </c>
      <c r="AA375" s="41">
        <v>20595</v>
      </c>
      <c r="AB375" s="41">
        <v>251658</v>
      </c>
      <c r="AC375" s="41">
        <v>525</v>
      </c>
      <c r="AD375" s="41">
        <v>7</v>
      </c>
      <c r="AE375" s="41">
        <v>20884</v>
      </c>
      <c r="AF375" s="41">
        <v>222</v>
      </c>
      <c r="AG375" s="41">
        <v>52</v>
      </c>
      <c r="AH375" s="41">
        <v>14</v>
      </c>
      <c r="AI375" s="42">
        <v>2</v>
      </c>
      <c r="AJ375" s="24"/>
      <c r="AK375" s="24"/>
      <c r="AL375" s="24"/>
      <c r="AM375" s="24"/>
      <c r="AN375" s="24"/>
    </row>
    <row r="376">
      <c r="A376" s="107"/>
      <c r="B376" s="72" t="s">
        <v>64</v>
      </c>
      <c r="C376" s="78" t="s">
        <v>56</v>
      </c>
      <c r="D376" s="57">
        <v>2707.786</v>
      </c>
      <c r="E376" s="45">
        <v>6</v>
      </c>
      <c r="F376" s="30">
        <f t="shared" si="300"/>
      </c>
      <c r="G376" s="23">
        <v>1968</v>
      </c>
      <c r="H376" s="49">
        <f t="shared" si="262"/>
      </c>
      <c r="I376" s="33">
        <f t="shared" si="53"/>
      </c>
      <c r="J376" s="34">
        <f t="shared" si="15"/>
      </c>
      <c r="K376" s="35">
        <f t="shared" si="129"/>
      </c>
      <c r="L376" s="79">
        <f t="shared" si="91"/>
      </c>
      <c r="M376" s="54">
        <f t="shared" si="224"/>
      </c>
      <c r="N376" s="55">
        <f t="shared" si="167"/>
      </c>
      <c r="O376" s="55">
        <f t="shared" si="186"/>
      </c>
      <c r="P376" s="55">
        <f t="shared" si="319"/>
      </c>
      <c r="Q376" s="55">
        <f t="shared" si="281"/>
      </c>
      <c r="R376" s="54">
        <f t="shared" si="72"/>
      </c>
      <c r="S376" s="56">
        <f t="shared" si="34"/>
      </c>
      <c r="T376" s="55">
        <f t="shared" si="148"/>
      </c>
      <c r="U376" s="55">
        <f t="shared" si="110"/>
      </c>
      <c r="V376" s="55">
        <f t="shared" si="243"/>
      </c>
      <c r="W376" s="55">
        <f t="shared" si="205"/>
      </c>
      <c r="X376" s="38" t="s">
        <v>52</v>
      </c>
      <c r="Y376" s="86" t="s">
        <v>39</v>
      </c>
      <c r="Z376" s="41">
        <v>80248</v>
      </c>
      <c r="AA376" s="41">
        <v>15889</v>
      </c>
      <c r="AB376" s="41">
        <v>170172</v>
      </c>
      <c r="AC376" s="41">
        <v>273</v>
      </c>
      <c r="AD376" s="41">
        <v>6</v>
      </c>
      <c r="AE376" s="41">
        <v>11882</v>
      </c>
      <c r="AF376" s="41">
        <v>208</v>
      </c>
      <c r="AG376" s="41">
        <v>35</v>
      </c>
      <c r="AH376" s="41">
        <v>5</v>
      </c>
      <c r="AI376" s="42">
        <v>0</v>
      </c>
      <c r="AJ376" s="24"/>
      <c r="AK376" s="24"/>
      <c r="AL376" s="24"/>
      <c r="AM376" s="24"/>
      <c r="AN376" s="24"/>
    </row>
    <row r="377">
      <c r="A377" s="107"/>
      <c r="B377" s="58" t="s">
        <v>44</v>
      </c>
      <c r="C377" s="58"/>
      <c r="D377" s="59">
        <f>SUM(D373:D376)</f>
      </c>
      <c r="E377" s="59">
        <f>SUM(E373:E376)</f>
      </c>
      <c r="F377" s="70">
        <f t="shared" si="300"/>
      </c>
      <c r="G377" s="80">
        <f>SUM(G373:G376)</f>
      </c>
      <c r="H377" s="81">
        <f t="shared" si="262"/>
      </c>
      <c r="I377" s="82">
        <f t="shared" si="53"/>
      </c>
      <c r="J377" s="69">
        <f t="shared" si="15"/>
      </c>
      <c r="K377" s="70">
        <f t="shared" si="129"/>
      </c>
      <c r="L377" s="83">
        <f t="shared" si="91"/>
      </c>
      <c r="M377" s="69">
        <f t="shared" si="224"/>
      </c>
      <c r="N377" s="68">
        <f t="shared" si="167"/>
      </c>
      <c r="O377" s="68">
        <f t="shared" si="186"/>
      </c>
      <c r="P377" s="68">
        <f t="shared" si="319"/>
      </c>
      <c r="Q377" s="68">
        <f t="shared" si="281"/>
      </c>
      <c r="R377" s="69">
        <f t="shared" si="72"/>
      </c>
      <c r="S377" s="70">
        <f t="shared" si="34"/>
      </c>
      <c r="T377" s="68">
        <f t="shared" si="148"/>
      </c>
      <c r="U377" s="68">
        <f t="shared" si="110"/>
      </c>
      <c r="V377" s="68">
        <f t="shared" si="243"/>
      </c>
      <c r="W377" s="68">
        <f t="shared" si="205"/>
      </c>
      <c r="X377" s="68"/>
      <c r="Y377" s="71"/>
      <c r="Z377" s="59">
        <f>SUM(Z373:Z376)</f>
      </c>
      <c r="AA377" s="59">
        <f>SUM(AA373:AA376)</f>
      </c>
      <c r="AB377" s="59">
        <f>SUM(AB373:AB376)</f>
      </c>
      <c r="AC377" s="59">
        <f>SUM(AC373:AC376)</f>
      </c>
      <c r="AD377" s="59">
        <f>SUM(AD373:AD376)</f>
      </c>
      <c r="AE377" s="59">
        <f>SUM(AE373:AE376)</f>
      </c>
      <c r="AF377" s="59">
        <f>SUM(AF373:AF376)</f>
      </c>
      <c r="AG377" s="59">
        <f>SUM(AG373:AG376)</f>
      </c>
      <c r="AH377" s="59">
        <f>SUM(AH373:AH376)</f>
      </c>
      <c r="AI377" s="59">
        <f>SUM(AI373:AI376)</f>
      </c>
      <c r="AJ377" s="24"/>
      <c r="AK377" s="24"/>
      <c r="AL377" s="24"/>
      <c r="AM377" s="24"/>
      <c r="AN377" s="24"/>
    </row>
    <row r="378">
      <c r="A378" s="107"/>
      <c r="B378" s="72" t="s">
        <v>36</v>
      </c>
      <c r="C378" s="78" t="s">
        <v>58</v>
      </c>
      <c r="D378" s="57">
        <v>2300.068</v>
      </c>
      <c r="E378" s="45">
        <v>3</v>
      </c>
      <c r="F378" s="30">
        <f t="shared" si="300"/>
      </c>
      <c r="G378" s="23">
        <v>684</v>
      </c>
      <c r="H378" s="49">
        <f t="shared" si="262"/>
      </c>
      <c r="I378" s="33">
        <f t="shared" si="53"/>
      </c>
      <c r="J378" s="34">
        <f t="shared" si="15"/>
      </c>
      <c r="K378" s="35">
        <f t="shared" si="129"/>
      </c>
      <c r="L378" s="79">
        <f t="shared" si="91"/>
      </c>
      <c r="M378" s="54">
        <f t="shared" si="224"/>
      </c>
      <c r="N378" s="55">
        <f t="shared" si="167"/>
      </c>
      <c r="O378" s="55">
        <f t="shared" si="186"/>
      </c>
      <c r="P378" s="55">
        <f t="shared" si="319"/>
      </c>
      <c r="Q378" s="55">
        <f t="shared" si="281"/>
      </c>
      <c r="R378" s="54">
        <f t="shared" si="72"/>
      </c>
      <c r="S378" s="56">
        <f t="shared" si="34"/>
      </c>
      <c r="T378" s="55">
        <f t="shared" si="148"/>
      </c>
      <c r="U378" s="55">
        <f t="shared" si="110"/>
      </c>
      <c r="V378" s="55">
        <f t="shared" si="243"/>
      </c>
      <c r="W378" s="55">
        <f t="shared" si="205"/>
      </c>
      <c r="X378" s="38" t="s">
        <v>52</v>
      </c>
      <c r="Y378" s="86" t="s">
        <v>39</v>
      </c>
      <c r="Z378" s="41">
        <v>76390</v>
      </c>
      <c r="AA378" s="41">
        <v>15591</v>
      </c>
      <c r="AB378" s="41">
        <v>147738</v>
      </c>
      <c r="AC378" s="41">
        <v>189</v>
      </c>
      <c r="AD378" s="41">
        <v>2</v>
      </c>
      <c r="AE378" s="41">
        <v>8778</v>
      </c>
      <c r="AF378" s="41">
        <v>202</v>
      </c>
      <c r="AG378" s="41">
        <v>44</v>
      </c>
      <c r="AH378" s="41">
        <v>7</v>
      </c>
      <c r="AI378" s="42">
        <v>0</v>
      </c>
      <c r="AJ378" s="24"/>
      <c r="AK378" s="24"/>
      <c r="AL378" s="24"/>
      <c r="AM378" s="24"/>
      <c r="AN378" s="24"/>
    </row>
    <row r="379">
      <c r="A379" s="107"/>
      <c r="B379" s="72" t="s">
        <v>36</v>
      </c>
      <c r="C379" s="78" t="s">
        <v>59</v>
      </c>
      <c r="D379" s="57">
        <v>4279.451</v>
      </c>
      <c r="E379" s="45">
        <v>7</v>
      </c>
      <c r="F379" s="30">
        <f t="shared" si="300"/>
      </c>
      <c r="G379" s="23">
        <v>2100.699999999997</v>
      </c>
      <c r="H379" s="49">
        <f t="shared" si="262"/>
      </c>
      <c r="I379" s="33">
        <f t="shared" si="53"/>
      </c>
      <c r="J379" s="34">
        <f t="shared" si="15"/>
      </c>
      <c r="K379" s="35">
        <f t="shared" si="129"/>
      </c>
      <c r="L379" s="79">
        <f t="shared" si="91"/>
      </c>
      <c r="M379" s="54">
        <f t="shared" si="224"/>
      </c>
      <c r="N379" s="55">
        <f t="shared" si="167"/>
      </c>
      <c r="O379" s="55">
        <f t="shared" si="186"/>
      </c>
      <c r="P379" s="55">
        <f t="shared" si="319"/>
      </c>
      <c r="Q379" s="55">
        <f t="shared" si="281"/>
      </c>
      <c r="R379" s="54">
        <f t="shared" si="72"/>
      </c>
      <c r="S379" s="56">
        <f t="shared" si="34"/>
      </c>
      <c r="T379" s="55">
        <f t="shared" si="148"/>
      </c>
      <c r="U379" s="55">
        <f t="shared" si="110"/>
      </c>
      <c r="V379" s="55">
        <f t="shared" si="243"/>
      </c>
      <c r="W379" s="55">
        <f t="shared" si="205"/>
      </c>
      <c r="X379" s="38" t="s">
        <v>52</v>
      </c>
      <c r="Y379" s="86" t="s">
        <v>39</v>
      </c>
      <c r="Z379" s="41">
        <v>127198</v>
      </c>
      <c r="AA379" s="41">
        <v>20114</v>
      </c>
      <c r="AB379" s="41">
        <v>300143</v>
      </c>
      <c r="AC379" s="41">
        <v>281</v>
      </c>
      <c r="AD379" s="41">
        <v>3</v>
      </c>
      <c r="AE379" s="41">
        <v>15877</v>
      </c>
      <c r="AF379" s="41">
        <v>276</v>
      </c>
      <c r="AG379" s="41">
        <v>60</v>
      </c>
      <c r="AH379" s="41">
        <v>17</v>
      </c>
      <c r="AI379" s="42">
        <v>3</v>
      </c>
      <c r="AJ379" s="24"/>
      <c r="AK379" s="24"/>
      <c r="AL379" s="24"/>
      <c r="AM379" s="24"/>
      <c r="AN379" s="24"/>
    </row>
    <row r="380">
      <c r="A380" s="107"/>
      <c r="B380" s="72" t="s">
        <v>36</v>
      </c>
      <c r="C380" s="78" t="s">
        <v>60</v>
      </c>
      <c r="D380" s="57">
        <v>3652.8639999999996</v>
      </c>
      <c r="E380" s="45">
        <v>5</v>
      </c>
      <c r="F380" s="30">
        <f t="shared" si="300"/>
      </c>
      <c r="G380" s="23">
        <v>1034.300000000003</v>
      </c>
      <c r="H380" s="49">
        <f t="shared" si="262"/>
      </c>
      <c r="I380" s="33">
        <f t="shared" si="53"/>
      </c>
      <c r="J380" s="34">
        <f t="shared" si="15"/>
      </c>
      <c r="K380" s="35">
        <f t="shared" si="129"/>
      </c>
      <c r="L380" s="79">
        <f t="shared" si="91"/>
      </c>
      <c r="M380" s="54">
        <f t="shared" si="224"/>
      </c>
      <c r="N380" s="55">
        <f t="shared" si="167"/>
      </c>
      <c r="O380" s="55">
        <f t="shared" si="186"/>
      </c>
      <c r="P380" s="55">
        <f t="shared" si="319"/>
      </c>
      <c r="Q380" s="55">
        <f t="shared" si="281"/>
      </c>
      <c r="R380" s="54">
        <f t="shared" si="72"/>
      </c>
      <c r="S380" s="56">
        <f t="shared" si="34"/>
      </c>
      <c r="T380" s="55">
        <f t="shared" si="148"/>
      </c>
      <c r="U380" s="55">
        <f t="shared" si="110"/>
      </c>
      <c r="V380" s="55">
        <f t="shared" si="243"/>
      </c>
      <c r="W380" s="55">
        <f t="shared" si="205"/>
      </c>
      <c r="X380" s="38" t="s">
        <v>52</v>
      </c>
      <c r="Y380" s="86" t="s">
        <v>39</v>
      </c>
      <c r="Z380" s="41">
        <v>107058</v>
      </c>
      <c r="AA380" s="41">
        <v>16549</v>
      </c>
      <c r="AB380" s="41">
        <v>234978</v>
      </c>
      <c r="AC380" s="41">
        <v>223</v>
      </c>
      <c r="AD380" s="41">
        <v>6</v>
      </c>
      <c r="AE380" s="41">
        <v>13113</v>
      </c>
      <c r="AF380" s="41">
        <v>268</v>
      </c>
      <c r="AG380" s="41">
        <v>39</v>
      </c>
      <c r="AH380" s="41">
        <v>13</v>
      </c>
      <c r="AI380" s="42">
        <v>1</v>
      </c>
      <c r="AJ380" s="24"/>
      <c r="AK380" s="24"/>
      <c r="AL380" s="24"/>
      <c r="AM380" s="24"/>
      <c r="AN380" s="24"/>
    </row>
    <row r="381">
      <c r="A381" s="107"/>
      <c r="B381" s="72" t="s">
        <v>36</v>
      </c>
      <c r="C381" s="78" t="s">
        <v>61</v>
      </c>
      <c r="D381" s="57">
        <v>2402.537</v>
      </c>
      <c r="E381" s="45">
        <v>5</v>
      </c>
      <c r="F381" s="30">
        <f t="shared" si="300"/>
      </c>
      <c r="G381" s="23">
        <v>1076</v>
      </c>
      <c r="H381" s="49">
        <f t="shared" si="262"/>
      </c>
      <c r="I381" s="33">
        <f t="shared" si="53"/>
      </c>
      <c r="J381" s="34">
        <f t="shared" si="15"/>
      </c>
      <c r="K381" s="35">
        <f t="shared" si="129"/>
      </c>
      <c r="L381" s="79">
        <f t="shared" si="91"/>
      </c>
      <c r="M381" s="54">
        <f t="shared" si="224"/>
      </c>
      <c r="N381" s="55">
        <f t="shared" si="167"/>
      </c>
      <c r="O381" s="55">
        <f t="shared" si="186"/>
      </c>
      <c r="P381" s="55">
        <f t="shared" si="319"/>
      </c>
      <c r="Q381" s="55">
        <f t="shared" si="281"/>
      </c>
      <c r="R381" s="54">
        <f t="shared" si="72"/>
      </c>
      <c r="S381" s="56">
        <f t="shared" si="34"/>
      </c>
      <c r="T381" s="55">
        <f t="shared" si="148"/>
      </c>
      <c r="U381" s="55">
        <f t="shared" si="110"/>
      </c>
      <c r="V381" s="55">
        <f t="shared" si="243"/>
      </c>
      <c r="W381" s="55">
        <f t="shared" si="205"/>
      </c>
      <c r="X381" s="38" t="s">
        <v>52</v>
      </c>
      <c r="Y381" s="86" t="s">
        <v>39</v>
      </c>
      <c r="Z381" s="41">
        <v>80485</v>
      </c>
      <c r="AA381" s="41">
        <v>11007</v>
      </c>
      <c r="AB381" s="41">
        <v>143862</v>
      </c>
      <c r="AC381" s="41">
        <v>245</v>
      </c>
      <c r="AD381" s="41">
        <v>4</v>
      </c>
      <c r="AE381" s="41">
        <v>9014</v>
      </c>
      <c r="AF381" s="41">
        <v>246</v>
      </c>
      <c r="AG381" s="41">
        <v>35</v>
      </c>
      <c r="AH381" s="41">
        <v>14</v>
      </c>
      <c r="AI381" s="42">
        <v>0</v>
      </c>
      <c r="AJ381" s="24"/>
      <c r="AK381" s="24"/>
      <c r="AL381" s="24"/>
      <c r="AM381" s="24"/>
      <c r="AN381" s="24"/>
    </row>
    <row r="382">
      <c r="A382" s="107"/>
      <c r="B382" s="72" t="s">
        <v>36</v>
      </c>
      <c r="C382" s="78" t="s">
        <v>62</v>
      </c>
      <c r="D382" s="57">
        <v>1585.259</v>
      </c>
      <c r="E382" s="45">
        <v>5</v>
      </c>
      <c r="F382" s="47">
        <f t="shared" si="300"/>
      </c>
      <c r="G382" s="23">
        <v>1646.4000000000015</v>
      </c>
      <c r="H382" s="49">
        <f t="shared" si="262"/>
      </c>
      <c r="I382" s="50">
        <f t="shared" si="53"/>
      </c>
      <c r="J382" s="51">
        <f t="shared" si="15"/>
      </c>
      <c r="K382" s="52">
        <f t="shared" si="129"/>
      </c>
      <c r="L382" s="53">
        <f t="shared" si="91"/>
      </c>
      <c r="M382" s="54">
        <f t="shared" si="224"/>
      </c>
      <c r="N382" s="55">
        <f t="shared" si="167"/>
      </c>
      <c r="O382" s="55">
        <f t="shared" si="186"/>
      </c>
      <c r="P382" s="55">
        <f t="shared" si="319"/>
      </c>
      <c r="Q382" s="55">
        <f t="shared" si="281"/>
      </c>
      <c r="R382" s="54">
        <f t="shared" si="72"/>
      </c>
      <c r="S382" s="56">
        <f t="shared" si="34"/>
      </c>
      <c r="T382" s="55">
        <f t="shared" si="148"/>
      </c>
      <c r="U382" s="55">
        <f t="shared" si="110"/>
      </c>
      <c r="V382" s="55">
        <f t="shared" si="243"/>
      </c>
      <c r="W382" s="55">
        <f t="shared" si="205"/>
      </c>
      <c r="X382" s="38" t="s">
        <v>52</v>
      </c>
      <c r="Y382" s="86" t="s">
        <v>39</v>
      </c>
      <c r="Z382" s="40">
        <v>58639</v>
      </c>
      <c r="AA382" s="40">
        <v>7449</v>
      </c>
      <c r="AB382" s="40">
        <v>108853</v>
      </c>
      <c r="AC382" s="40">
        <v>162</v>
      </c>
      <c r="AD382" s="40">
        <v>6</v>
      </c>
      <c r="AE382" s="40">
        <v>6406</v>
      </c>
      <c r="AF382" s="41">
        <v>130</v>
      </c>
      <c r="AG382" s="41">
        <v>30</v>
      </c>
      <c r="AH382" s="41">
        <v>6</v>
      </c>
      <c r="AI382" s="42">
        <v>2</v>
      </c>
      <c r="AJ382" s="24"/>
      <c r="AK382" s="24"/>
      <c r="AL382" s="24"/>
      <c r="AM382" s="24"/>
      <c r="AN382" s="24"/>
    </row>
    <row r="383">
      <c r="A383" s="107"/>
      <c r="B383" s="58" t="s">
        <v>44</v>
      </c>
      <c r="C383" s="58"/>
      <c r="D383" s="59">
        <f>SUM(D378:D382)</f>
      </c>
      <c r="E383" s="59">
        <f>SUM(E378:E382)</f>
      </c>
      <c r="F383" s="61">
        <f t="shared" si="300"/>
      </c>
      <c r="G383" s="62">
        <f>SUM(G378:G382)</f>
      </c>
      <c r="H383" s="63">
        <f t="shared" si="262"/>
      </c>
      <c r="I383" s="64">
        <f t="shared" si="53"/>
      </c>
      <c r="J383" s="65">
        <f t="shared" si="15"/>
      </c>
      <c r="K383" s="61">
        <f t="shared" si="129"/>
      </c>
      <c r="L383" s="66">
        <f t="shared" si="91"/>
      </c>
      <c r="M383" s="65">
        <f t="shared" si="224"/>
      </c>
      <c r="N383" s="67">
        <f t="shared" si="167"/>
      </c>
      <c r="O383" s="67">
        <f t="shared" si="186"/>
      </c>
      <c r="P383" s="68">
        <f t="shared" si="319"/>
      </c>
      <c r="Q383" s="68">
        <f t="shared" si="281"/>
      </c>
      <c r="R383" s="69">
        <f t="shared" si="72"/>
      </c>
      <c r="S383" s="70">
        <f t="shared" si="34"/>
      </c>
      <c r="T383" s="68">
        <f t="shared" si="148"/>
      </c>
      <c r="U383" s="68">
        <f t="shared" si="110"/>
      </c>
      <c r="V383" s="68">
        <f t="shared" si="243"/>
      </c>
      <c r="W383" s="68">
        <f t="shared" si="205"/>
      </c>
      <c r="X383" s="68"/>
      <c r="Y383" s="71"/>
      <c r="Z383" s="59">
        <f>SUM(Z378:Z382)</f>
      </c>
      <c r="AA383" s="59">
        <f>SUM(AA378:AA382)</f>
      </c>
      <c r="AB383" s="59">
        <f>SUM(AB378:AB382)</f>
      </c>
      <c r="AC383" s="59">
        <f>SUM(AC378:AC382)</f>
      </c>
      <c r="AD383" s="59">
        <f>SUM(AD378:AD382)</f>
      </c>
      <c r="AE383" s="59">
        <f>SUM(AE378:AE382)</f>
      </c>
      <c r="AF383" s="59">
        <f>SUM(AF378:AF382)</f>
      </c>
      <c r="AG383" s="59">
        <f>SUM(AG378:AG382)</f>
      </c>
      <c r="AH383" s="59">
        <f>SUM(AH378:AH382)</f>
      </c>
      <c r="AI383" s="59">
        <f>SUM(AI378:AI382)</f>
      </c>
      <c r="AJ383" s="24"/>
      <c r="AK383" s="24"/>
      <c r="AL383" s="24"/>
      <c r="AM383" s="24"/>
      <c r="AN383" s="24"/>
    </row>
    <row r="384">
      <c r="A384" s="107"/>
      <c r="B384" s="89" t="s">
        <v>63</v>
      </c>
      <c r="C384" s="89"/>
      <c r="D384" s="90">
        <f>SUM(D383+D367+D372+D377)</f>
      </c>
      <c r="E384" s="91">
        <f>SUM(E383+E367+E372+E377)</f>
      </c>
      <c r="F384" s="92">
        <f t="shared" si="300"/>
      </c>
      <c r="G384" s="93">
        <f>SUM(G383+G367+G372+G377)</f>
      </c>
      <c r="H384" s="94">
        <f t="shared" si="262"/>
      </c>
      <c r="I384" s="95">
        <f t="shared" si="53"/>
      </c>
      <c r="J384" s="96">
        <f t="shared" si="15"/>
      </c>
      <c r="K384" s="92">
        <f t="shared" si="129"/>
      </c>
      <c r="L384" s="97">
        <f t="shared" si="91"/>
      </c>
      <c r="M384" s="97">
        <f t="shared" si="224"/>
      </c>
      <c r="N384" s="98">
        <f t="shared" si="167"/>
      </c>
      <c r="O384" s="98">
        <f t="shared" si="186"/>
      </c>
      <c r="P384" s="98">
        <f t="shared" si="319"/>
      </c>
      <c r="Q384" s="98">
        <f t="shared" si="281"/>
      </c>
      <c r="R384" s="99">
        <f t="shared" si="72"/>
      </c>
      <c r="S384" s="100">
        <f t="shared" si="34"/>
      </c>
      <c r="T384" s="101">
        <f t="shared" si="148"/>
      </c>
      <c r="U384" s="101">
        <f t="shared" si="110"/>
      </c>
      <c r="V384" s="101">
        <f t="shared" si="243"/>
      </c>
      <c r="W384" s="101">
        <f t="shared" si="205"/>
      </c>
      <c r="X384" s="101"/>
      <c r="Y384" s="102"/>
      <c r="Z384" s="103">
        <f>SUM(Z367+Z383+Z372+Z377)</f>
      </c>
      <c r="AA384" s="103">
        <f>SUM(AA367+AA383+AA372+AA377)</f>
      </c>
      <c r="AB384" s="103">
        <f>SUM(AB367+AB383+AB372+AB377)</f>
      </c>
      <c r="AC384" s="103">
        <f>SUM(AC367+AC383+AC372+AC377)</f>
      </c>
      <c r="AD384" s="103">
        <f>SUM(AD367+AD383+AD372+AD377)</f>
      </c>
      <c r="AE384" s="103">
        <f>SUM(AE367+AE383+AE372+AE377)</f>
      </c>
      <c r="AF384" s="103">
        <f>SUM(AF367+AF383+AF372+AF377)</f>
      </c>
      <c r="AG384" s="103">
        <f>SUM(AG367+AG383+AG372+AG377)</f>
      </c>
      <c r="AH384" s="103">
        <f>SUM(AH367+AH383+AH372+AH377)</f>
      </c>
      <c r="AI384" s="103">
        <f>SUM(AI367+AI383+AI372+AI377)</f>
      </c>
      <c r="AJ384" s="24"/>
      <c r="AK384" s="24"/>
      <c r="AL384" s="24"/>
      <c r="AM384" s="24"/>
      <c r="AN384" s="24"/>
    </row>
    <row r="385">
      <c r="A385" s="1" t="s">
        <v>1</v>
      </c>
      <c r="B385" s="2" t="s">
        <v>2</v>
      </c>
      <c r="C385" s="3" t="s">
        <v>3</v>
      </c>
      <c r="D385" s="4" t="s">
        <v>4</v>
      </c>
      <c r="E385" s="5" t="s">
        <v>5</v>
      </c>
      <c r="F385" s="6" t="s">
        <v>6</v>
      </c>
      <c r="G385" s="7" t="s">
        <v>7</v>
      </c>
      <c r="H385" s="8" t="s">
        <v>8</v>
      </c>
      <c r="I385" s="9" t="s">
        <v>9</v>
      </c>
      <c r="J385" s="10" t="s">
        <v>10</v>
      </c>
      <c r="K385" s="11" t="s">
        <v>11</v>
      </c>
      <c r="L385" s="12" t="s">
        <v>12</v>
      </c>
      <c r="M385" s="12" t="s">
        <v>13</v>
      </c>
      <c r="N385" s="13" t="s">
        <v>14</v>
      </c>
      <c r="O385" s="13" t="s">
        <v>15</v>
      </c>
      <c r="P385" s="13" t="s">
        <v>16</v>
      </c>
      <c r="Q385" s="13" t="s">
        <v>17</v>
      </c>
      <c r="R385" s="14" t="s">
        <v>18</v>
      </c>
      <c r="S385" s="15" t="s">
        <v>19</v>
      </c>
      <c r="T385" s="16" t="s">
        <v>20</v>
      </c>
      <c r="U385" s="16" t="s">
        <v>21</v>
      </c>
      <c r="V385" s="16" t="s">
        <v>22</v>
      </c>
      <c r="W385" s="16" t="s">
        <v>23</v>
      </c>
      <c r="X385" s="17" t="s">
        <v>24</v>
      </c>
      <c r="Y385" s="18" t="s">
        <v>25</v>
      </c>
      <c r="Z385" s="19" t="s">
        <v>26</v>
      </c>
      <c r="AA385" s="19" t="s">
        <v>27</v>
      </c>
      <c r="AB385" s="19" t="s">
        <v>28</v>
      </c>
      <c r="AC385" s="20" t="s">
        <v>29</v>
      </c>
      <c r="AD385" s="20" t="s">
        <v>30</v>
      </c>
      <c r="AE385" s="21" t="s">
        <v>31</v>
      </c>
      <c r="AF385" s="20" t="s">
        <v>32</v>
      </c>
      <c r="AG385" s="20" t="s">
        <v>33</v>
      </c>
      <c r="AH385" s="22" t="s">
        <v>34</v>
      </c>
      <c r="AI385" s="23" t="s">
        <v>35</v>
      </c>
      <c r="AJ385" s="24"/>
      <c r="AK385" s="24"/>
      <c r="AL385" s="24"/>
      <c r="AM385" s="24"/>
      <c r="AN385" s="24"/>
    </row>
    <row r="386">
      <c r="A386" s="25">
        <v>46312</v>
      </c>
      <c r="B386" s="26" t="s">
        <v>50</v>
      </c>
      <c r="C386" s="27" t="s">
        <v>37</v>
      </c>
      <c r="D386" s="104">
        <v>185.307</v>
      </c>
      <c r="E386" s="29">
        <v>1</v>
      </c>
      <c r="F386" s="30">
        <f t="shared" ref="F386:F408" si="301">D386/E386</f>
      </c>
      <c r="G386" s="31">
        <v>228</v>
      </c>
      <c r="H386" s="49">
        <f t="shared" ref="H386:H408" si="263">AD386</f>
      </c>
      <c r="I386" s="33">
        <f t="shared" ref="I386:I408" si="54">D386/AD386</f>
      </c>
      <c r="J386" s="34">
        <f t="shared" ref="J386:J408" si="16">G386/E386</f>
      </c>
      <c r="K386" s="35">
        <f t="shared" ref="K386:K408" si="130">G386/D386</f>
      </c>
      <c r="L386" s="36">
        <f t="shared" ref="L386:L408" si="92">D386/AB386</f>
      </c>
      <c r="M386" s="34">
        <f t="shared" ref="M386:M408" si="225">D386/AC386</f>
      </c>
      <c r="N386" s="37">
        <f t="shared" ref="N386:N408" si="168">AC386/AB386</f>
      </c>
      <c r="O386" s="37">
        <f t="shared" ref="O386:O408" si="187">AD386/AC386</f>
      </c>
      <c r="P386" s="37">
        <f t="shared" ref="P386:P408" si="320">AA386/Z386</f>
      </c>
      <c r="Q386" s="37">
        <f t="shared" ref="Q386:Q408" si="282">AD386/AA386</f>
      </c>
      <c r="R386" s="34">
        <f t="shared" ref="R386:R408" si="73">D386/Z386*1000</f>
      </c>
      <c r="S386" s="35">
        <f t="shared" ref="S386:S408" si="35">D386/AA386</f>
      </c>
      <c r="T386" s="37">
        <f t="shared" ref="T386:T408" si="149">AE386/AB386</f>
      </c>
      <c r="U386" s="37">
        <f t="shared" ref="U386:U408" si="111">AF386/AB386</f>
      </c>
      <c r="V386" s="37">
        <f t="shared" ref="V386:V408" si="244">AG386/AB386</f>
      </c>
      <c r="W386" s="37">
        <f t="shared" ref="W386:W408" si="206">AH386/AB386</f>
      </c>
      <c r="X386" s="38" t="s">
        <v>52</v>
      </c>
      <c r="Y386" s="39" t="s">
        <v>67</v>
      </c>
      <c r="Z386" s="40">
        <v>8169</v>
      </c>
      <c r="AA386" s="40">
        <v>1660</v>
      </c>
      <c r="AB386" s="40">
        <v>9666</v>
      </c>
      <c r="AC386" s="40">
        <v>84</v>
      </c>
      <c r="AD386" s="41">
        <v>1</v>
      </c>
      <c r="AE386" s="40">
        <v>960</v>
      </c>
      <c r="AF386" s="41">
        <v>64</v>
      </c>
      <c r="AG386" s="41">
        <v>4</v>
      </c>
      <c r="AH386" s="41">
        <v>2</v>
      </c>
      <c r="AI386" s="42">
        <v>0</v>
      </c>
      <c r="AJ386" s="24"/>
      <c r="AK386" s="24"/>
      <c r="AL386" s="24"/>
      <c r="AM386" s="24"/>
      <c r="AN386" s="24"/>
    </row>
    <row r="387">
      <c r="A387" s="25"/>
      <c r="B387" s="26" t="s">
        <v>50</v>
      </c>
      <c r="C387" s="27" t="s">
        <v>40</v>
      </c>
      <c r="D387" s="104">
        <v>1523.104</v>
      </c>
      <c r="E387" s="29">
        <v>0</v>
      </c>
      <c r="F387" s="30">
        <f t="shared" si="301"/>
      </c>
      <c r="G387" s="31">
        <v>0</v>
      </c>
      <c r="H387" s="49">
        <f t="shared" si="263"/>
      </c>
      <c r="I387" s="33">
        <f t="shared" si="54"/>
      </c>
      <c r="J387" s="34">
        <f t="shared" si="16"/>
      </c>
      <c r="K387" s="35">
        <f t="shared" si="130"/>
      </c>
      <c r="L387" s="36">
        <f t="shared" si="92"/>
      </c>
      <c r="M387" s="34">
        <f t="shared" si="225"/>
      </c>
      <c r="N387" s="37">
        <f t="shared" si="168"/>
      </c>
      <c r="O387" s="37">
        <f t="shared" si="187"/>
      </c>
      <c r="P387" s="37">
        <f t="shared" si="320"/>
      </c>
      <c r="Q387" s="37">
        <f t="shared" si="282"/>
      </c>
      <c r="R387" s="34">
        <f t="shared" si="73"/>
      </c>
      <c r="S387" s="35">
        <f t="shared" si="35"/>
      </c>
      <c r="T387" s="37">
        <f t="shared" si="149"/>
      </c>
      <c r="U387" s="37">
        <f t="shared" si="111"/>
      </c>
      <c r="V387" s="37">
        <f t="shared" si="244"/>
      </c>
      <c r="W387" s="37">
        <f t="shared" si="206"/>
      </c>
      <c r="X387" s="38" t="s">
        <v>52</v>
      </c>
      <c r="Y387" s="39" t="s">
        <v>67</v>
      </c>
      <c r="Z387" s="41">
        <v>44275</v>
      </c>
      <c r="AA387" s="40">
        <v>10773</v>
      </c>
      <c r="AB387" s="40">
        <v>72406</v>
      </c>
      <c r="AC387" s="40">
        <v>197</v>
      </c>
      <c r="AD387" s="41">
        <v>0</v>
      </c>
      <c r="AE387" s="40">
        <v>7751</v>
      </c>
      <c r="AF387" s="41">
        <v>202</v>
      </c>
      <c r="AG387" s="41">
        <v>26</v>
      </c>
      <c r="AH387" s="41">
        <v>4</v>
      </c>
      <c r="AI387" s="42">
        <v>0</v>
      </c>
      <c r="AJ387" s="24"/>
      <c r="AK387" s="24"/>
      <c r="AL387" s="24"/>
      <c r="AM387" s="24"/>
      <c r="AN387" s="24"/>
    </row>
    <row r="388">
      <c r="A388" s="25"/>
      <c r="B388" s="26" t="s">
        <v>50</v>
      </c>
      <c r="C388" s="43" t="s">
        <v>41</v>
      </c>
      <c r="D388" s="84">
        <v>3360.175</v>
      </c>
      <c r="E388" s="45">
        <v>5</v>
      </c>
      <c r="F388" s="47">
        <f t="shared" si="301"/>
      </c>
      <c r="G388" s="45">
        <v>1129.1999999999998</v>
      </c>
      <c r="H388" s="49">
        <f t="shared" si="263"/>
      </c>
      <c r="I388" s="50">
        <f t="shared" si="54"/>
      </c>
      <c r="J388" s="51">
        <f t="shared" si="16"/>
      </c>
      <c r="K388" s="52">
        <f t="shared" si="130"/>
      </c>
      <c r="L388" s="76">
        <f t="shared" si="92"/>
      </c>
      <c r="M388" s="34">
        <f t="shared" si="225"/>
      </c>
      <c r="N388" s="37">
        <f t="shared" si="168"/>
      </c>
      <c r="O388" s="37">
        <f t="shared" si="187"/>
      </c>
      <c r="P388" s="37">
        <f t="shared" si="320"/>
      </c>
      <c r="Q388" s="37">
        <f t="shared" si="282"/>
      </c>
      <c r="R388" s="34">
        <f t="shared" si="73"/>
      </c>
      <c r="S388" s="35">
        <f t="shared" si="35"/>
      </c>
      <c r="T388" s="37">
        <f t="shared" si="149"/>
      </c>
      <c r="U388" s="37">
        <f t="shared" si="111"/>
      </c>
      <c r="V388" s="37">
        <f t="shared" si="244"/>
      </c>
      <c r="W388" s="37">
        <f t="shared" si="206"/>
      </c>
      <c r="X388" s="38" t="s">
        <v>52</v>
      </c>
      <c r="Y388" s="39" t="s">
        <v>67</v>
      </c>
      <c r="Z388" s="41">
        <v>107506</v>
      </c>
      <c r="AA388" s="41">
        <v>23823</v>
      </c>
      <c r="AB388" s="41">
        <v>183957</v>
      </c>
      <c r="AC388" s="41">
        <v>536</v>
      </c>
      <c r="AD388" s="41">
        <v>4</v>
      </c>
      <c r="AE388" s="41">
        <v>19907</v>
      </c>
      <c r="AF388" s="41">
        <v>368</v>
      </c>
      <c r="AG388" s="41">
        <v>52</v>
      </c>
      <c r="AH388" s="41">
        <v>9</v>
      </c>
      <c r="AI388" s="42">
        <v>1</v>
      </c>
      <c r="AJ388" s="24"/>
      <c r="AK388" s="24"/>
      <c r="AL388" s="24"/>
      <c r="AM388" s="24"/>
      <c r="AN388" s="24"/>
    </row>
    <row r="389">
      <c r="A389" s="25"/>
      <c r="B389" s="26" t="s">
        <v>50</v>
      </c>
      <c r="C389" s="46" t="s">
        <v>42</v>
      </c>
      <c r="D389" s="84">
        <v>3311.3799999999997</v>
      </c>
      <c r="E389" s="45">
        <v>6</v>
      </c>
      <c r="F389" s="47">
        <f t="shared" si="301"/>
      </c>
      <c r="G389" s="45">
        <v>1325.1999999999998</v>
      </c>
      <c r="H389" s="49">
        <f t="shared" si="263"/>
      </c>
      <c r="I389" s="50">
        <f t="shared" si="54"/>
      </c>
      <c r="J389" s="51">
        <f t="shared" si="16"/>
      </c>
      <c r="K389" s="52">
        <f t="shared" si="130"/>
      </c>
      <c r="L389" s="53">
        <f t="shared" si="92"/>
      </c>
      <c r="M389" s="54">
        <f t="shared" si="225"/>
      </c>
      <c r="N389" s="55">
        <f t="shared" si="168"/>
      </c>
      <c r="O389" s="55">
        <f t="shared" si="187"/>
      </c>
      <c r="P389" s="55">
        <f t="shared" si="320"/>
      </c>
      <c r="Q389" s="55">
        <f t="shared" si="282"/>
      </c>
      <c r="R389" s="54">
        <f t="shared" si="73"/>
      </c>
      <c r="S389" s="56">
        <f t="shared" si="35"/>
      </c>
      <c r="T389" s="55">
        <f t="shared" si="149"/>
      </c>
      <c r="U389" s="55">
        <f t="shared" si="111"/>
      </c>
      <c r="V389" s="55">
        <f t="shared" si="244"/>
      </c>
      <c r="W389" s="55">
        <f t="shared" si="206"/>
      </c>
      <c r="X389" s="38" t="s">
        <v>52</v>
      </c>
      <c r="Y389" s="39" t="s">
        <v>67</v>
      </c>
      <c r="Z389" s="40">
        <v>97823</v>
      </c>
      <c r="AA389" s="40">
        <v>22353</v>
      </c>
      <c r="AB389" s="40">
        <v>179662</v>
      </c>
      <c r="AC389" s="40">
        <v>369</v>
      </c>
      <c r="AD389" s="40">
        <v>6</v>
      </c>
      <c r="AE389" s="40">
        <v>17943</v>
      </c>
      <c r="AF389" s="41">
        <v>246</v>
      </c>
      <c r="AG389" s="41">
        <v>48</v>
      </c>
      <c r="AH389" s="41">
        <v>19</v>
      </c>
      <c r="AI389" s="42">
        <v>0</v>
      </c>
      <c r="AJ389" s="24"/>
      <c r="AK389" s="24"/>
      <c r="AL389" s="24"/>
      <c r="AM389" s="24"/>
      <c r="AN389" s="24"/>
    </row>
    <row r="390">
      <c r="A390" s="25"/>
      <c r="B390" s="26" t="s">
        <v>50</v>
      </c>
      <c r="C390" s="46" t="s">
        <v>43</v>
      </c>
      <c r="D390" s="85">
        <v>2590.375</v>
      </c>
      <c r="E390" s="45">
        <v>6</v>
      </c>
      <c r="F390" s="47">
        <f t="shared" si="301"/>
      </c>
      <c r="G390" s="45">
        <v>3229.2000000000007</v>
      </c>
      <c r="H390" s="49">
        <f t="shared" si="263"/>
      </c>
      <c r="I390" s="50">
        <f t="shared" si="54"/>
      </c>
      <c r="J390" s="51">
        <f t="shared" si="16"/>
      </c>
      <c r="K390" s="52">
        <f t="shared" si="130"/>
      </c>
      <c r="L390" s="53">
        <f t="shared" si="92"/>
      </c>
      <c r="M390" s="108">
        <f t="shared" si="225"/>
      </c>
      <c r="N390" s="109">
        <f t="shared" si="168"/>
      </c>
      <c r="O390" s="109">
        <f t="shared" si="187"/>
      </c>
      <c r="P390" s="55">
        <f t="shared" si="320"/>
      </c>
      <c r="Q390" s="55">
        <f t="shared" si="282"/>
      </c>
      <c r="R390" s="54">
        <f t="shared" si="73"/>
      </c>
      <c r="S390" s="56">
        <f t="shared" si="35"/>
      </c>
      <c r="T390" s="55">
        <f t="shared" si="149"/>
      </c>
      <c r="U390" s="55">
        <f t="shared" si="111"/>
      </c>
      <c r="V390" s="55">
        <f t="shared" si="244"/>
      </c>
      <c r="W390" s="55">
        <f t="shared" si="206"/>
      </c>
      <c r="X390" s="38" t="s">
        <v>52</v>
      </c>
      <c r="Y390" s="39" t="s">
        <v>67</v>
      </c>
      <c r="Z390" s="40">
        <v>83792</v>
      </c>
      <c r="AA390" s="40">
        <v>21301</v>
      </c>
      <c r="AB390" s="40">
        <v>141068</v>
      </c>
      <c r="AC390" s="40">
        <v>355</v>
      </c>
      <c r="AD390" s="40">
        <v>7</v>
      </c>
      <c r="AE390" s="40">
        <v>14118</v>
      </c>
      <c r="AF390" s="41">
        <v>291</v>
      </c>
      <c r="AG390" s="41">
        <v>54</v>
      </c>
      <c r="AH390" s="41">
        <v>7</v>
      </c>
      <c r="AI390" s="42">
        <v>2</v>
      </c>
      <c r="AJ390" s="24"/>
      <c r="AK390" s="24"/>
      <c r="AL390" s="24"/>
      <c r="AM390" s="24"/>
      <c r="AN390" s="24"/>
    </row>
    <row r="391">
      <c r="A391" s="25"/>
      <c r="B391" s="58" t="s">
        <v>44</v>
      </c>
      <c r="C391" s="58"/>
      <c r="D391" s="59">
        <f>SUM(D386:D390)</f>
      </c>
      <c r="E391" s="60">
        <f>SUM(E386:E390)</f>
      </c>
      <c r="F391" s="61">
        <f t="shared" si="301"/>
      </c>
      <c r="G391" s="62">
        <f>SUM(G386:G390)</f>
      </c>
      <c r="H391" s="63">
        <f t="shared" si="263"/>
      </c>
      <c r="I391" s="64">
        <f t="shared" si="54"/>
      </c>
      <c r="J391" s="65">
        <f t="shared" si="16"/>
      </c>
      <c r="K391" s="61">
        <f t="shared" si="130"/>
      </c>
      <c r="L391" s="66">
        <f t="shared" si="92"/>
      </c>
      <c r="M391" s="65">
        <f t="shared" si="225"/>
      </c>
      <c r="N391" s="67">
        <f t="shared" si="168"/>
      </c>
      <c r="O391" s="67">
        <f t="shared" si="187"/>
      </c>
      <c r="P391" s="68">
        <f t="shared" si="320"/>
      </c>
      <c r="Q391" s="68">
        <f t="shared" si="282"/>
      </c>
      <c r="R391" s="69">
        <f t="shared" si="73"/>
      </c>
      <c r="S391" s="70">
        <f t="shared" si="35"/>
      </c>
      <c r="T391" s="68">
        <f t="shared" si="149"/>
      </c>
      <c r="U391" s="68">
        <f t="shared" si="111"/>
      </c>
      <c r="V391" s="68">
        <f t="shared" si="244"/>
      </c>
      <c r="W391" s="68">
        <f t="shared" si="206"/>
      </c>
      <c r="X391" s="68"/>
      <c r="Y391" s="71"/>
      <c r="Z391" s="59">
        <f>SUM(Z386:Z390)</f>
      </c>
      <c r="AA391" s="59">
        <f>SUM(AA386:AA390)</f>
      </c>
      <c r="AB391" s="59">
        <f>SUM(AB386:AB390)</f>
      </c>
      <c r="AC391" s="59">
        <f>SUM(AC386:AC390)</f>
      </c>
      <c r="AD391" s="59">
        <f>SUM(AD386:AD390)</f>
      </c>
      <c r="AE391" s="59">
        <f>SUM(AE386:AE390)</f>
      </c>
      <c r="AF391" s="59">
        <f>SUM(AF386:AF390)</f>
      </c>
      <c r="AG391" s="59">
        <f>SUM(AG386:AG390)</f>
      </c>
      <c r="AH391" s="59">
        <f>SUM(AH386:AH390)</f>
      </c>
      <c r="AI391" s="59">
        <f>SUM(AI386:AI390)</f>
      </c>
      <c r="AJ391" s="24"/>
      <c r="AK391" s="24"/>
      <c r="AL391" s="24"/>
      <c r="AM391" s="24"/>
      <c r="AN391" s="24"/>
    </row>
    <row r="392">
      <c r="A392" s="25"/>
      <c r="B392" s="72" t="s">
        <v>64</v>
      </c>
      <c r="C392" s="73" t="s">
        <v>46</v>
      </c>
      <c r="D392" s="105">
        <v>2065.6969999999997</v>
      </c>
      <c r="E392" s="75">
        <v>2</v>
      </c>
      <c r="F392" s="47">
        <f t="shared" si="301"/>
      </c>
      <c r="G392" s="45">
        <v>392</v>
      </c>
      <c r="H392" s="49">
        <f t="shared" si="263"/>
      </c>
      <c r="I392" s="50">
        <f t="shared" si="54"/>
      </c>
      <c r="J392" s="51">
        <f t="shared" si="16"/>
      </c>
      <c r="K392" s="52">
        <f t="shared" si="130"/>
      </c>
      <c r="L392" s="76">
        <f t="shared" si="92"/>
      </c>
      <c r="M392" s="34">
        <f t="shared" si="225"/>
      </c>
      <c r="N392" s="37">
        <f t="shared" si="168"/>
      </c>
      <c r="O392" s="37">
        <f t="shared" si="187"/>
      </c>
      <c r="P392" s="37">
        <f t="shared" si="320"/>
      </c>
      <c r="Q392" s="37">
        <f t="shared" si="282"/>
      </c>
      <c r="R392" s="34">
        <f t="shared" si="73"/>
      </c>
      <c r="S392" s="35">
        <f t="shared" si="35"/>
      </c>
      <c r="T392" s="37">
        <f t="shared" si="149"/>
      </c>
      <c r="U392" s="37">
        <f t="shared" si="111"/>
      </c>
      <c r="V392" s="37">
        <f t="shared" si="244"/>
      </c>
      <c r="W392" s="37">
        <f t="shared" si="206"/>
      </c>
      <c r="X392" s="38" t="s">
        <v>52</v>
      </c>
      <c r="Y392" s="86" t="s">
        <v>67</v>
      </c>
      <c r="Z392" s="41">
        <v>73789</v>
      </c>
      <c r="AA392" s="41">
        <v>17962</v>
      </c>
      <c r="AB392" s="41">
        <v>119277</v>
      </c>
      <c r="AC392" s="41">
        <v>168</v>
      </c>
      <c r="AD392" s="41">
        <v>2</v>
      </c>
      <c r="AE392" s="41">
        <v>11317</v>
      </c>
      <c r="AF392" s="41">
        <v>193</v>
      </c>
      <c r="AG392" s="41">
        <v>66</v>
      </c>
      <c r="AH392" s="41">
        <v>16</v>
      </c>
      <c r="AI392" s="42">
        <v>0</v>
      </c>
      <c r="AJ392" s="24"/>
      <c r="AK392" s="24"/>
      <c r="AL392" s="24"/>
      <c r="AM392" s="24"/>
      <c r="AN392" s="24"/>
    </row>
    <row r="393">
      <c r="A393" s="25"/>
      <c r="B393" s="72" t="s">
        <v>64</v>
      </c>
      <c r="C393" s="77" t="s">
        <v>47</v>
      </c>
      <c r="D393" s="84">
        <v>2970.115</v>
      </c>
      <c r="E393" s="45">
        <v>8</v>
      </c>
      <c r="F393" s="47">
        <f t="shared" si="301"/>
      </c>
      <c r="G393" s="45">
        <v>2380.7999999999993</v>
      </c>
      <c r="H393" s="49">
        <f t="shared" si="263"/>
      </c>
      <c r="I393" s="50">
        <f t="shared" si="54"/>
      </c>
      <c r="J393" s="51">
        <f t="shared" si="16"/>
      </c>
      <c r="K393" s="52">
        <f t="shared" si="130"/>
      </c>
      <c r="L393" s="76">
        <f t="shared" si="92"/>
      </c>
      <c r="M393" s="34">
        <f t="shared" si="225"/>
      </c>
      <c r="N393" s="37">
        <f t="shared" si="168"/>
      </c>
      <c r="O393" s="37">
        <f t="shared" si="187"/>
      </c>
      <c r="P393" s="37">
        <f t="shared" si="320"/>
      </c>
      <c r="Q393" s="37">
        <f t="shared" si="282"/>
      </c>
      <c r="R393" s="34">
        <f t="shared" si="73"/>
      </c>
      <c r="S393" s="35">
        <f t="shared" si="35"/>
      </c>
      <c r="T393" s="37">
        <f t="shared" si="149"/>
      </c>
      <c r="U393" s="37">
        <f t="shared" si="111"/>
      </c>
      <c r="V393" s="37">
        <f t="shared" si="244"/>
      </c>
      <c r="W393" s="37">
        <f t="shared" si="206"/>
      </c>
      <c r="X393" s="38" t="s">
        <v>52</v>
      </c>
      <c r="Y393" s="86" t="s">
        <v>67</v>
      </c>
      <c r="Z393" s="41">
        <v>103280</v>
      </c>
      <c r="AA393" s="41">
        <v>19303</v>
      </c>
      <c r="AB393" s="41">
        <v>160203</v>
      </c>
      <c r="AC393" s="41">
        <v>307</v>
      </c>
      <c r="AD393" s="41">
        <v>5</v>
      </c>
      <c r="AE393" s="41">
        <v>13058</v>
      </c>
      <c r="AF393" s="41">
        <v>262</v>
      </c>
      <c r="AG393" s="41">
        <v>44</v>
      </c>
      <c r="AH393" s="41">
        <v>12</v>
      </c>
      <c r="AI393" s="42">
        <v>2</v>
      </c>
      <c r="AJ393" s="24"/>
      <c r="AK393" s="24"/>
      <c r="AL393" s="24"/>
      <c r="AM393" s="24"/>
      <c r="AN393" s="24"/>
    </row>
    <row r="394">
      <c r="A394" s="25"/>
      <c r="B394" s="72" t="s">
        <v>64</v>
      </c>
      <c r="C394" s="78" t="s">
        <v>48</v>
      </c>
      <c r="D394" s="84">
        <v>3247.184</v>
      </c>
      <c r="E394" s="45">
        <v>8</v>
      </c>
      <c r="F394" s="30">
        <f t="shared" si="301"/>
      </c>
      <c r="G394" s="45">
        <v>1729.2000000000007</v>
      </c>
      <c r="H394" s="49">
        <f t="shared" si="263"/>
      </c>
      <c r="I394" s="33">
        <f t="shared" si="54"/>
      </c>
      <c r="J394" s="34">
        <f t="shared" si="16"/>
      </c>
      <c r="K394" s="35">
        <f t="shared" si="130"/>
      </c>
      <c r="L394" s="79">
        <f t="shared" si="92"/>
      </c>
      <c r="M394" s="54">
        <f t="shared" si="225"/>
      </c>
      <c r="N394" s="55">
        <f t="shared" si="168"/>
      </c>
      <c r="O394" s="55">
        <f t="shared" si="187"/>
      </c>
      <c r="P394" s="55">
        <f t="shared" si="320"/>
      </c>
      <c r="Q394" s="55">
        <f t="shared" si="282"/>
      </c>
      <c r="R394" s="54">
        <f t="shared" si="73"/>
      </c>
      <c r="S394" s="56">
        <f t="shared" si="35"/>
      </c>
      <c r="T394" s="55">
        <f t="shared" si="149"/>
      </c>
      <c r="U394" s="55">
        <f t="shared" si="111"/>
      </c>
      <c r="V394" s="55">
        <f t="shared" si="244"/>
      </c>
      <c r="W394" s="55">
        <f t="shared" si="206"/>
      </c>
      <c r="X394" s="38" t="s">
        <v>52</v>
      </c>
      <c r="Y394" s="86" t="s">
        <v>67</v>
      </c>
      <c r="Z394" s="41">
        <v>127594</v>
      </c>
      <c r="AA394" s="41">
        <v>19647</v>
      </c>
      <c r="AB394" s="41">
        <v>167485</v>
      </c>
      <c r="AC394" s="41">
        <v>324</v>
      </c>
      <c r="AD394" s="41">
        <v>9</v>
      </c>
      <c r="AE394" s="41">
        <v>12575</v>
      </c>
      <c r="AF394" s="41">
        <v>284</v>
      </c>
      <c r="AG394" s="41">
        <v>56</v>
      </c>
      <c r="AH394" s="41">
        <v>15</v>
      </c>
      <c r="AI394" s="42">
        <v>2</v>
      </c>
      <c r="AJ394" s="24"/>
      <c r="AK394" s="24"/>
      <c r="AL394" s="24"/>
      <c r="AM394" s="24"/>
      <c r="AN394" s="24"/>
    </row>
    <row r="395">
      <c r="A395" s="25"/>
      <c r="B395" s="72" t="s">
        <v>64</v>
      </c>
      <c r="C395" s="78" t="s">
        <v>49</v>
      </c>
      <c r="D395" s="85">
        <v>2449.5660000000003</v>
      </c>
      <c r="E395" s="45">
        <v>4</v>
      </c>
      <c r="F395" s="30">
        <f t="shared" si="301"/>
      </c>
      <c r="G395" s="45">
        <v>1512</v>
      </c>
      <c r="H395" s="49">
        <f t="shared" si="263"/>
      </c>
      <c r="I395" s="33">
        <f t="shared" si="54"/>
      </c>
      <c r="J395" s="34">
        <f t="shared" si="16"/>
      </c>
      <c r="K395" s="35">
        <f t="shared" si="130"/>
      </c>
      <c r="L395" s="79">
        <f t="shared" si="92"/>
      </c>
      <c r="M395" s="54">
        <f t="shared" si="225"/>
      </c>
      <c r="N395" s="55">
        <f t="shared" si="168"/>
      </c>
      <c r="O395" s="55">
        <f t="shared" si="187"/>
      </c>
      <c r="P395" s="55">
        <f t="shared" si="320"/>
      </c>
      <c r="Q395" s="55">
        <f t="shared" si="282"/>
      </c>
      <c r="R395" s="54">
        <f t="shared" si="73"/>
      </c>
      <c r="S395" s="56">
        <f t="shared" si="35"/>
      </c>
      <c r="T395" s="55">
        <f t="shared" si="149"/>
      </c>
      <c r="U395" s="55">
        <f t="shared" si="111"/>
      </c>
      <c r="V395" s="55">
        <f t="shared" si="244"/>
      </c>
      <c r="W395" s="55">
        <f t="shared" si="206"/>
      </c>
      <c r="X395" s="38" t="s">
        <v>52</v>
      </c>
      <c r="Y395" s="86" t="s">
        <v>67</v>
      </c>
      <c r="Z395" s="41">
        <v>78283</v>
      </c>
      <c r="AA395" s="41">
        <v>13784</v>
      </c>
      <c r="AB395" s="41">
        <v>113429</v>
      </c>
      <c r="AC395" s="41">
        <v>308</v>
      </c>
      <c r="AD395" s="41">
        <v>3</v>
      </c>
      <c r="AE395" s="41">
        <v>8585</v>
      </c>
      <c r="AF395" s="41">
        <v>190</v>
      </c>
      <c r="AG395" s="41">
        <v>31</v>
      </c>
      <c r="AH395" s="41">
        <v>11</v>
      </c>
      <c r="AI395" s="42">
        <v>0</v>
      </c>
      <c r="AJ395" s="24"/>
      <c r="AK395" s="24"/>
      <c r="AL395" s="24"/>
      <c r="AM395" s="24"/>
      <c r="AN395" s="24"/>
    </row>
    <row customHeight="true" ht="16.071428571428573" r="396">
      <c r="A396" s="25"/>
      <c r="B396" s="72" t="s">
        <v>64</v>
      </c>
      <c r="C396" s="78" t="s">
        <v>51</v>
      </c>
      <c r="D396" s="85">
        <v>1651.68</v>
      </c>
      <c r="E396" s="45">
        <v>1</v>
      </c>
      <c r="F396" s="30">
        <f t="shared" si="301"/>
      </c>
      <c r="G396" s="45">
        <v>228</v>
      </c>
      <c r="H396" s="49">
        <f t="shared" si="263"/>
      </c>
      <c r="I396" s="33">
        <f t="shared" si="54"/>
      </c>
      <c r="J396" s="34">
        <f t="shared" si="16"/>
      </c>
      <c r="K396" s="35">
        <f t="shared" si="130"/>
      </c>
      <c r="L396" s="79">
        <f t="shared" si="92"/>
      </c>
      <c r="M396" s="54">
        <f t="shared" si="225"/>
      </c>
      <c r="N396" s="55">
        <f t="shared" si="168"/>
      </c>
      <c r="O396" s="55">
        <f t="shared" si="187"/>
      </c>
      <c r="P396" s="55">
        <f t="shared" si="320"/>
      </c>
      <c r="Q396" s="55">
        <f t="shared" si="282"/>
      </c>
      <c r="R396" s="54">
        <f t="shared" si="73"/>
      </c>
      <c r="S396" s="56">
        <f t="shared" si="35"/>
      </c>
      <c r="T396" s="55">
        <f t="shared" si="149"/>
      </c>
      <c r="U396" s="55">
        <f t="shared" si="111"/>
      </c>
      <c r="V396" s="55">
        <f t="shared" si="244"/>
      </c>
      <c r="W396" s="55">
        <f t="shared" si="206"/>
      </c>
      <c r="X396" s="38" t="s">
        <v>52</v>
      </c>
      <c r="Y396" s="86" t="s">
        <v>67</v>
      </c>
      <c r="Z396" s="41">
        <v>52852</v>
      </c>
      <c r="AA396" s="41">
        <v>8703</v>
      </c>
      <c r="AB396" s="41">
        <v>71714</v>
      </c>
      <c r="AC396" s="41">
        <v>271</v>
      </c>
      <c r="AD396" s="41">
        <v>2</v>
      </c>
      <c r="AE396" s="41">
        <v>5335</v>
      </c>
      <c r="AF396" s="41">
        <v>178</v>
      </c>
      <c r="AG396" s="41">
        <v>15</v>
      </c>
      <c r="AH396" s="41">
        <v>7</v>
      </c>
      <c r="AI396" s="42">
        <v>0</v>
      </c>
      <c r="AJ396" s="24"/>
      <c r="AK396" s="24"/>
      <c r="AL396" s="24"/>
      <c r="AM396" s="24"/>
      <c r="AN396" s="24"/>
    </row>
    <row r="397">
      <c r="A397" s="25"/>
      <c r="B397" s="58" t="s">
        <v>44</v>
      </c>
      <c r="C397" s="58"/>
      <c r="D397" s="59">
        <f>SUM(D392:D396)</f>
      </c>
      <c r="E397" s="60">
        <f>SUM(E392:E396)</f>
      </c>
      <c r="F397" s="61">
        <f t="shared" si="301"/>
      </c>
      <c r="G397" s="62">
        <f>SUM(G392:G396)</f>
      </c>
      <c r="H397" s="63">
        <f t="shared" si="263"/>
      </c>
      <c r="I397" s="64">
        <f t="shared" si="54"/>
      </c>
      <c r="J397" s="65">
        <f t="shared" si="16"/>
      </c>
      <c r="K397" s="61">
        <f t="shared" si="130"/>
      </c>
      <c r="L397" s="66">
        <f t="shared" si="92"/>
      </c>
      <c r="M397" s="65">
        <f t="shared" si="225"/>
      </c>
      <c r="N397" s="67">
        <f t="shared" si="168"/>
      </c>
      <c r="O397" s="67">
        <f t="shared" si="187"/>
      </c>
      <c r="P397" s="68">
        <f t="shared" si="320"/>
      </c>
      <c r="Q397" s="68">
        <f t="shared" si="282"/>
      </c>
      <c r="R397" s="69">
        <f t="shared" si="73"/>
      </c>
      <c r="S397" s="70">
        <f t="shared" si="35"/>
      </c>
      <c r="T397" s="68">
        <f t="shared" si="149"/>
      </c>
      <c r="U397" s="68">
        <f t="shared" si="111"/>
      </c>
      <c r="V397" s="68">
        <f t="shared" si="244"/>
      </c>
      <c r="W397" s="68">
        <f t="shared" si="206"/>
      </c>
      <c r="X397" s="68"/>
      <c r="Y397" s="71"/>
      <c r="Z397" s="59">
        <f>SUM(Z392:Z396)</f>
      </c>
      <c r="AA397" s="59">
        <f>SUM(AA392:AA396)</f>
      </c>
      <c r="AB397" s="59">
        <f>SUM(AB392:AB396)</f>
      </c>
      <c r="AC397" s="59">
        <f>SUM(AC392:AC396)</f>
      </c>
      <c r="AD397" s="59">
        <f>SUM(AD392:AD396)</f>
      </c>
      <c r="AE397" s="59">
        <f>SUM(AE392:AE396)</f>
      </c>
      <c r="AF397" s="59">
        <f>SUM(AF392:AF396)</f>
      </c>
      <c r="AG397" s="59">
        <f>SUM(AG392:AG396)</f>
      </c>
      <c r="AH397" s="59">
        <f>SUM(AH392:AH396)</f>
      </c>
      <c r="AI397" s="59">
        <f>SUM(AI392:AI396)</f>
      </c>
      <c r="AJ397" s="24"/>
      <c r="AK397" s="24"/>
      <c r="AL397" s="24"/>
      <c r="AM397" s="24"/>
      <c r="AN397" s="24"/>
    </row>
    <row r="398">
      <c r="A398" s="25"/>
      <c r="B398" s="72" t="s">
        <v>57</v>
      </c>
      <c r="C398" s="38" t="s">
        <v>53</v>
      </c>
      <c r="D398" s="57">
        <v>1582.387</v>
      </c>
      <c r="E398" s="45">
        <v>7</v>
      </c>
      <c r="F398" s="47">
        <f t="shared" si="301"/>
      </c>
      <c r="G398" s="23">
        <v>2185.199999999999</v>
      </c>
      <c r="H398" s="49">
        <f t="shared" si="263"/>
      </c>
      <c r="I398" s="50">
        <f t="shared" si="54"/>
      </c>
      <c r="J398" s="51">
        <f t="shared" si="16"/>
      </c>
      <c r="K398" s="52">
        <f t="shared" si="130"/>
      </c>
      <c r="L398" s="53">
        <f t="shared" si="92"/>
      </c>
      <c r="M398" s="54">
        <f t="shared" si="225"/>
      </c>
      <c r="N398" s="55">
        <f t="shared" si="168"/>
      </c>
      <c r="O398" s="55">
        <f t="shared" si="187"/>
      </c>
      <c r="P398" s="55">
        <f t="shared" si="320"/>
      </c>
      <c r="Q398" s="55">
        <f t="shared" si="282"/>
      </c>
      <c r="R398" s="54">
        <f t="shared" si="73"/>
      </c>
      <c r="S398" s="56">
        <f t="shared" si="35"/>
      </c>
      <c r="T398" s="55">
        <f t="shared" si="149"/>
      </c>
      <c r="U398" s="55">
        <f t="shared" si="111"/>
      </c>
      <c r="V398" s="55">
        <f t="shared" si="244"/>
      </c>
      <c r="W398" s="55">
        <f t="shared" si="206"/>
      </c>
      <c r="X398" s="38" t="s">
        <v>52</v>
      </c>
      <c r="Y398" s="39" t="s">
        <v>39</v>
      </c>
      <c r="Z398" s="40">
        <v>48902</v>
      </c>
      <c r="AA398" s="40">
        <v>7194</v>
      </c>
      <c r="AB398" s="40">
        <v>66962</v>
      </c>
      <c r="AC398" s="40">
        <v>245</v>
      </c>
      <c r="AD398" s="40">
        <v>6</v>
      </c>
      <c r="AE398" s="40">
        <v>5129</v>
      </c>
      <c r="AF398" s="41">
        <v>149</v>
      </c>
      <c r="AG398" s="41">
        <v>24</v>
      </c>
      <c r="AH398" s="41">
        <v>5</v>
      </c>
      <c r="AI398" s="42">
        <v>1</v>
      </c>
      <c r="AJ398" s="24"/>
      <c r="AK398" s="24"/>
      <c r="AL398" s="24"/>
      <c r="AM398" s="24"/>
      <c r="AN398" s="24"/>
    </row>
    <row r="399">
      <c r="A399" s="25"/>
      <c r="B399" s="72" t="s">
        <v>57</v>
      </c>
      <c r="C399" s="78" t="s">
        <v>55</v>
      </c>
      <c r="D399" s="44">
        <v>2382.043</v>
      </c>
      <c r="E399" s="45">
        <v>7</v>
      </c>
      <c r="F399" s="30">
        <f t="shared" si="301"/>
      </c>
      <c r="G399" s="23">
        <v>3265.600000000002</v>
      </c>
      <c r="H399" s="49">
        <f t="shared" si="263"/>
      </c>
      <c r="I399" s="33">
        <f t="shared" si="54"/>
      </c>
      <c r="J399" s="34">
        <f t="shared" si="16"/>
      </c>
      <c r="K399" s="35">
        <f t="shared" si="130"/>
      </c>
      <c r="L399" s="79">
        <f t="shared" si="92"/>
      </c>
      <c r="M399" s="54">
        <f t="shared" si="225"/>
      </c>
      <c r="N399" s="55">
        <f t="shared" si="168"/>
      </c>
      <c r="O399" s="55">
        <f t="shared" si="187"/>
      </c>
      <c r="P399" s="55">
        <f t="shared" si="320"/>
      </c>
      <c r="Q399" s="55">
        <f t="shared" si="282"/>
      </c>
      <c r="R399" s="54">
        <f t="shared" si="73"/>
      </c>
      <c r="S399" s="56">
        <f t="shared" si="35"/>
      </c>
      <c r="T399" s="55">
        <f t="shared" si="149"/>
      </c>
      <c r="U399" s="55">
        <f t="shared" si="111"/>
      </c>
      <c r="V399" s="55">
        <f t="shared" si="244"/>
      </c>
      <c r="W399" s="55">
        <f t="shared" si="206"/>
      </c>
      <c r="X399" s="38" t="s">
        <v>52</v>
      </c>
      <c r="Y399" s="86" t="s">
        <v>39</v>
      </c>
      <c r="Z399" s="41">
        <v>63452</v>
      </c>
      <c r="AA399" s="41">
        <v>10180</v>
      </c>
      <c r="AB399" s="41">
        <v>106347</v>
      </c>
      <c r="AC399" s="41">
        <v>230</v>
      </c>
      <c r="AD399" s="41">
        <v>5</v>
      </c>
      <c r="AE399" s="41">
        <v>8190</v>
      </c>
      <c r="AF399" s="41">
        <v>187</v>
      </c>
      <c r="AG399" s="41">
        <v>20</v>
      </c>
      <c r="AH399" s="41">
        <v>7</v>
      </c>
      <c r="AI399" s="42">
        <v>1</v>
      </c>
      <c r="AJ399" s="24"/>
      <c r="AK399" s="24"/>
      <c r="AL399" s="24"/>
      <c r="AM399" s="24"/>
      <c r="AN399" s="24"/>
    </row>
    <row r="400">
      <c r="A400" s="25"/>
      <c r="B400" s="72" t="s">
        <v>57</v>
      </c>
      <c r="C400" s="78" t="s">
        <v>56</v>
      </c>
      <c r="D400" s="57">
        <v>2667.345</v>
      </c>
      <c r="E400" s="45">
        <v>17</v>
      </c>
      <c r="F400" s="30">
        <f t="shared" si="301"/>
      </c>
      <c r="G400" s="23">
        <v>6042</v>
      </c>
      <c r="H400" s="49">
        <f t="shared" si="263"/>
      </c>
      <c r="I400" s="33">
        <f t="shared" si="54"/>
      </c>
      <c r="J400" s="34">
        <f t="shared" si="16"/>
      </c>
      <c r="K400" s="35">
        <f t="shared" si="130"/>
      </c>
      <c r="L400" s="79">
        <f t="shared" si="92"/>
      </c>
      <c r="M400" s="54">
        <f t="shared" si="225"/>
      </c>
      <c r="N400" s="55">
        <f t="shared" si="168"/>
      </c>
      <c r="O400" s="55">
        <f t="shared" si="187"/>
      </c>
      <c r="P400" s="55">
        <f t="shared" si="320"/>
      </c>
      <c r="Q400" s="55">
        <f t="shared" si="282"/>
      </c>
      <c r="R400" s="54">
        <f t="shared" si="73"/>
      </c>
      <c r="S400" s="56">
        <f t="shared" si="35"/>
      </c>
      <c r="T400" s="55">
        <f t="shared" si="149"/>
      </c>
      <c r="U400" s="55">
        <f t="shared" si="111"/>
      </c>
      <c r="V400" s="55">
        <f t="shared" si="244"/>
      </c>
      <c r="W400" s="55">
        <f t="shared" si="206"/>
      </c>
      <c r="X400" s="38" t="s">
        <v>52</v>
      </c>
      <c r="Y400" s="86" t="s">
        <v>39</v>
      </c>
      <c r="Z400" s="41">
        <v>88489</v>
      </c>
      <c r="AA400" s="41">
        <v>12776</v>
      </c>
      <c r="AB400" s="41">
        <v>147007</v>
      </c>
      <c r="AC400" s="41">
        <v>290</v>
      </c>
      <c r="AD400" s="41">
        <v>12</v>
      </c>
      <c r="AE400" s="41">
        <v>9724</v>
      </c>
      <c r="AF400" s="41">
        <v>187</v>
      </c>
      <c r="AG400" s="41">
        <v>34</v>
      </c>
      <c r="AH400" s="41">
        <v>6</v>
      </c>
      <c r="AI400" s="42">
        <v>9</v>
      </c>
      <c r="AJ400" s="24"/>
      <c r="AK400" s="24"/>
      <c r="AL400" s="24"/>
      <c r="AM400" s="24"/>
      <c r="AN400" s="24"/>
    </row>
    <row r="401">
      <c r="A401" s="25"/>
      <c r="B401" s="72" t="s">
        <v>57</v>
      </c>
      <c r="C401" s="78" t="s">
        <v>58</v>
      </c>
      <c r="D401" s="57">
        <v>4507.803999999999</v>
      </c>
      <c r="E401" s="45">
        <v>13</v>
      </c>
      <c r="F401" s="30">
        <f t="shared" si="301"/>
      </c>
      <c r="G401" s="23">
        <v>2627.2</v>
      </c>
      <c r="H401" s="49">
        <f t="shared" si="263"/>
      </c>
      <c r="I401" s="33">
        <f t="shared" si="54"/>
      </c>
      <c r="J401" s="34">
        <f t="shared" si="16"/>
      </c>
      <c r="K401" s="35">
        <f t="shared" si="130"/>
      </c>
      <c r="L401" s="79">
        <f t="shared" si="92"/>
      </c>
      <c r="M401" s="54">
        <f t="shared" si="225"/>
      </c>
      <c r="N401" s="55">
        <f t="shared" si="168"/>
      </c>
      <c r="O401" s="55">
        <f t="shared" si="187"/>
      </c>
      <c r="P401" s="55">
        <f t="shared" si="320"/>
      </c>
      <c r="Q401" s="55">
        <f t="shared" si="282"/>
      </c>
      <c r="R401" s="54">
        <f t="shared" si="73"/>
      </c>
      <c r="S401" s="56">
        <f t="shared" si="35"/>
      </c>
      <c r="T401" s="55">
        <f t="shared" si="149"/>
      </c>
      <c r="U401" s="55">
        <f t="shared" si="111"/>
      </c>
      <c r="V401" s="55">
        <f t="shared" si="244"/>
      </c>
      <c r="W401" s="55">
        <f t="shared" si="206"/>
      </c>
      <c r="X401" s="38" t="s">
        <v>52</v>
      </c>
      <c r="Y401" s="86" t="s">
        <v>39</v>
      </c>
      <c r="Z401" s="41">
        <v>142425</v>
      </c>
      <c r="AA401" s="41">
        <v>19128</v>
      </c>
      <c r="AB401" s="41">
        <v>311641</v>
      </c>
      <c r="AC401" s="41">
        <v>458</v>
      </c>
      <c r="AD401" s="41">
        <v>7</v>
      </c>
      <c r="AE401" s="41">
        <v>15113</v>
      </c>
      <c r="AF401" s="41">
        <v>282</v>
      </c>
      <c r="AG401" s="41">
        <v>47</v>
      </c>
      <c r="AH401" s="41">
        <v>11</v>
      </c>
      <c r="AI401" s="42">
        <v>7</v>
      </c>
      <c r="AJ401" s="24"/>
      <c r="AK401" s="24"/>
      <c r="AL401" s="24"/>
      <c r="AM401" s="24"/>
      <c r="AN401" s="24"/>
    </row>
    <row r="402">
      <c r="A402" s="25"/>
      <c r="B402" s="58" t="s">
        <v>44</v>
      </c>
      <c r="C402" s="58"/>
      <c r="D402" s="59">
        <f>SUM(D398:D401)</f>
      </c>
      <c r="E402" s="60">
        <f>SUM(E398:E401)</f>
      </c>
      <c r="F402" s="70">
        <f t="shared" si="301"/>
      </c>
      <c r="G402" s="80">
        <f>SUM(G398:G401)</f>
      </c>
      <c r="H402" s="81">
        <f t="shared" si="263"/>
      </c>
      <c r="I402" s="82">
        <f t="shared" si="54"/>
      </c>
      <c r="J402" s="69">
        <f t="shared" si="16"/>
      </c>
      <c r="K402" s="70">
        <f t="shared" si="130"/>
      </c>
      <c r="L402" s="83">
        <f t="shared" si="92"/>
      </c>
      <c r="M402" s="69">
        <f t="shared" si="225"/>
      </c>
      <c r="N402" s="68">
        <f t="shared" si="168"/>
      </c>
      <c r="O402" s="68">
        <f t="shared" si="187"/>
      </c>
      <c r="P402" s="68">
        <f t="shared" si="320"/>
      </c>
      <c r="Q402" s="68">
        <f t="shared" si="282"/>
      </c>
      <c r="R402" s="69">
        <f t="shared" si="73"/>
      </c>
      <c r="S402" s="70">
        <f t="shared" si="35"/>
      </c>
      <c r="T402" s="68">
        <f t="shared" si="149"/>
      </c>
      <c r="U402" s="68">
        <f t="shared" si="111"/>
      </c>
      <c r="V402" s="68">
        <f t="shared" si="244"/>
      </c>
      <c r="W402" s="68">
        <f t="shared" si="206"/>
      </c>
      <c r="X402" s="68"/>
      <c r="Y402" s="71"/>
      <c r="Z402" s="59">
        <f>SUM(Z398:Z401)</f>
      </c>
      <c r="AA402" s="59">
        <f>SUM(AA398:AA401)</f>
      </c>
      <c r="AB402" s="59">
        <f>SUM(AB398:AB401)</f>
      </c>
      <c r="AC402" s="59">
        <f>SUM(AC398:AC401)</f>
      </c>
      <c r="AD402" s="59">
        <f>SUM(AD398:AD401)</f>
      </c>
      <c r="AE402" s="59">
        <f>SUM(AE398:AE401)</f>
      </c>
      <c r="AF402" s="59">
        <f>SUM(AF398:AF401)</f>
      </c>
      <c r="AG402" s="59">
        <f>SUM(AG398:AG401)</f>
      </c>
      <c r="AH402" s="59">
        <f>SUM(AH398:AH401)</f>
      </c>
      <c r="AI402" s="59">
        <f>SUM(AI398:AI401)</f>
      </c>
      <c r="AJ402" s="24"/>
      <c r="AK402" s="24"/>
      <c r="AL402" s="24"/>
      <c r="AM402" s="24"/>
      <c r="AN402" s="24"/>
    </row>
    <row r="403">
      <c r="A403" s="25"/>
      <c r="B403" s="72" t="s">
        <v>36</v>
      </c>
      <c r="C403" s="78" t="s">
        <v>59</v>
      </c>
      <c r="D403" s="57">
        <v>5029.366</v>
      </c>
      <c r="E403" s="45">
        <v>13</v>
      </c>
      <c r="F403" s="30">
        <f t="shared" si="301"/>
      </c>
      <c r="G403" s="23">
        <v>3507.6000000000095</v>
      </c>
      <c r="H403" s="49">
        <f t="shared" si="263"/>
      </c>
      <c r="I403" s="33">
        <f t="shared" si="54"/>
      </c>
      <c r="J403" s="34">
        <f t="shared" si="16"/>
      </c>
      <c r="K403" s="35">
        <f t="shared" si="130"/>
      </c>
      <c r="L403" s="79">
        <f t="shared" si="92"/>
      </c>
      <c r="M403" s="54">
        <f t="shared" si="225"/>
      </c>
      <c r="N403" s="55">
        <f t="shared" si="168"/>
      </c>
      <c r="O403" s="55">
        <f t="shared" si="187"/>
      </c>
      <c r="P403" s="55">
        <f t="shared" si="320"/>
      </c>
      <c r="Q403" s="55">
        <f t="shared" si="282"/>
      </c>
      <c r="R403" s="54">
        <f t="shared" si="73"/>
      </c>
      <c r="S403" s="56">
        <f t="shared" si="35"/>
      </c>
      <c r="T403" s="55">
        <f t="shared" si="149"/>
      </c>
      <c r="U403" s="55">
        <f t="shared" si="111"/>
      </c>
      <c r="V403" s="55">
        <f t="shared" si="244"/>
      </c>
      <c r="W403" s="55">
        <f t="shared" si="206"/>
      </c>
      <c r="X403" s="38" t="s">
        <v>52</v>
      </c>
      <c r="Y403" s="86" t="s">
        <v>39</v>
      </c>
      <c r="Z403" s="41">
        <v>157403</v>
      </c>
      <c r="AA403" s="41">
        <v>16870</v>
      </c>
      <c r="AB403" s="41">
        <v>371145</v>
      </c>
      <c r="AC403" s="41">
        <v>390</v>
      </c>
      <c r="AD403" s="41">
        <v>11</v>
      </c>
      <c r="AE403" s="41">
        <v>17143</v>
      </c>
      <c r="AF403" s="41">
        <v>273</v>
      </c>
      <c r="AG403" s="41">
        <v>60</v>
      </c>
      <c r="AH403" s="41">
        <v>16</v>
      </c>
      <c r="AI403" s="42">
        <v>2</v>
      </c>
      <c r="AJ403" s="24"/>
      <c r="AK403" s="24"/>
      <c r="AL403" s="24"/>
      <c r="AM403" s="24"/>
      <c r="AN403" s="24"/>
    </row>
    <row r="404">
      <c r="A404" s="25"/>
      <c r="B404" s="72" t="s">
        <v>36</v>
      </c>
      <c r="C404" s="78" t="s">
        <v>60</v>
      </c>
      <c r="D404" s="57">
        <v>1501.592</v>
      </c>
      <c r="E404" s="45">
        <v>4</v>
      </c>
      <c r="F404" s="30">
        <f t="shared" si="301"/>
      </c>
      <c r="G404" s="23">
        <v>1441.599999999995</v>
      </c>
      <c r="H404" s="49">
        <f t="shared" si="263"/>
      </c>
      <c r="I404" s="33">
        <f t="shared" si="54"/>
      </c>
      <c r="J404" s="34">
        <f t="shared" si="16"/>
      </c>
      <c r="K404" s="35">
        <f t="shared" si="130"/>
      </c>
      <c r="L404" s="79">
        <f t="shared" si="92"/>
      </c>
      <c r="M404" s="54">
        <f t="shared" si="225"/>
      </c>
      <c r="N404" s="55">
        <f t="shared" si="168"/>
      </c>
      <c r="O404" s="55">
        <f t="shared" si="187"/>
      </c>
      <c r="P404" s="55">
        <f t="shared" si="320"/>
      </c>
      <c r="Q404" s="55">
        <f t="shared" si="282"/>
      </c>
      <c r="R404" s="54">
        <f t="shared" si="73"/>
      </c>
      <c r="S404" s="56">
        <f t="shared" si="35"/>
      </c>
      <c r="T404" s="55">
        <f t="shared" si="149"/>
      </c>
      <c r="U404" s="55">
        <f t="shared" si="111"/>
      </c>
      <c r="V404" s="55">
        <f t="shared" si="244"/>
      </c>
      <c r="W404" s="55">
        <f t="shared" si="206"/>
      </c>
      <c r="X404" s="38" t="s">
        <v>52</v>
      </c>
      <c r="Y404" s="86" t="s">
        <v>39</v>
      </c>
      <c r="Z404" s="41">
        <v>35631</v>
      </c>
      <c r="AA404" s="41">
        <v>5740</v>
      </c>
      <c r="AB404" s="41">
        <v>70744</v>
      </c>
      <c r="AC404" s="41">
        <v>76</v>
      </c>
      <c r="AD404" s="41">
        <v>3</v>
      </c>
      <c r="AE404" s="41">
        <v>3567</v>
      </c>
      <c r="AF404" s="41">
        <v>109</v>
      </c>
      <c r="AG404" s="41">
        <v>13</v>
      </c>
      <c r="AH404" s="41">
        <v>7</v>
      </c>
      <c r="AI404" s="42">
        <v>1</v>
      </c>
      <c r="AJ404" s="24"/>
      <c r="AK404" s="24"/>
      <c r="AL404" s="24"/>
      <c r="AM404" s="24"/>
      <c r="AN404" s="24"/>
    </row>
    <row r="405">
      <c r="A405" s="25"/>
      <c r="B405" s="72" t="s">
        <v>36</v>
      </c>
      <c r="C405" s="78" t="s">
        <v>61</v>
      </c>
      <c r="D405" s="57">
        <v>5482.721999999999</v>
      </c>
      <c r="E405" s="45">
        <v>9</v>
      </c>
      <c r="F405" s="30">
        <f t="shared" si="301"/>
      </c>
      <c r="G405" s="23">
        <v>3102.4000000000087</v>
      </c>
      <c r="H405" s="49">
        <f t="shared" si="263"/>
      </c>
      <c r="I405" s="33">
        <f t="shared" si="54"/>
      </c>
      <c r="J405" s="34">
        <f t="shared" si="16"/>
      </c>
      <c r="K405" s="35">
        <f t="shared" si="130"/>
      </c>
      <c r="L405" s="79">
        <f t="shared" si="92"/>
      </c>
      <c r="M405" s="54">
        <f t="shared" si="225"/>
      </c>
      <c r="N405" s="55">
        <f t="shared" si="168"/>
      </c>
      <c r="O405" s="55">
        <f t="shared" si="187"/>
      </c>
      <c r="P405" s="55">
        <f t="shared" si="320"/>
      </c>
      <c r="Q405" s="55">
        <f t="shared" si="282"/>
      </c>
      <c r="R405" s="54">
        <f t="shared" si="73"/>
      </c>
      <c r="S405" s="56">
        <f t="shared" si="35"/>
      </c>
      <c r="T405" s="55">
        <f t="shared" si="149"/>
      </c>
      <c r="U405" s="55">
        <f t="shared" si="111"/>
      </c>
      <c r="V405" s="55">
        <f t="shared" si="244"/>
      </c>
      <c r="W405" s="55">
        <f t="shared" si="206"/>
      </c>
      <c r="X405" s="38" t="s">
        <v>52</v>
      </c>
      <c r="Y405" s="86" t="s">
        <v>39</v>
      </c>
      <c r="Z405" s="41">
        <v>173190</v>
      </c>
      <c r="AA405" s="41">
        <v>18879</v>
      </c>
      <c r="AB405" s="41">
        <v>435918</v>
      </c>
      <c r="AC405" s="41">
        <v>401</v>
      </c>
      <c r="AD405" s="41">
        <v>7</v>
      </c>
      <c r="AE405" s="41">
        <v>19528</v>
      </c>
      <c r="AF405" s="41">
        <v>285</v>
      </c>
      <c r="AG405" s="41">
        <v>63</v>
      </c>
      <c r="AH405" s="41">
        <v>20</v>
      </c>
      <c r="AI405" s="42">
        <v>2</v>
      </c>
      <c r="AJ405" s="24"/>
      <c r="AK405" s="24"/>
      <c r="AL405" s="24"/>
      <c r="AM405" s="24"/>
      <c r="AN405" s="24"/>
    </row>
    <row r="406">
      <c r="A406" s="25"/>
      <c r="B406" s="72" t="s">
        <v>36</v>
      </c>
      <c r="C406" s="78" t="s">
        <v>62</v>
      </c>
      <c r="D406" s="57">
        <v>660.7539999999999</v>
      </c>
      <c r="E406" s="45">
        <v>8</v>
      </c>
      <c r="F406" s="47">
        <f t="shared" si="301"/>
      </c>
      <c r="G406" s="23">
        <v>2991.9999999999927</v>
      </c>
      <c r="H406" s="49">
        <f t="shared" si="263"/>
      </c>
      <c r="I406" s="50">
        <f t="shared" si="54"/>
      </c>
      <c r="J406" s="51">
        <f t="shared" si="16"/>
      </c>
      <c r="K406" s="52">
        <f t="shared" si="130"/>
      </c>
      <c r="L406" s="53">
        <f t="shared" si="92"/>
      </c>
      <c r="M406" s="54">
        <f t="shared" si="225"/>
      </c>
      <c r="N406" s="55">
        <f t="shared" si="168"/>
      </c>
      <c r="O406" s="55">
        <f t="shared" si="187"/>
      </c>
      <c r="P406" s="55">
        <f t="shared" si="320"/>
      </c>
      <c r="Q406" s="55">
        <f t="shared" si="282"/>
      </c>
      <c r="R406" s="54">
        <f t="shared" si="73"/>
      </c>
      <c r="S406" s="56">
        <f t="shared" si="35"/>
      </c>
      <c r="T406" s="55">
        <f t="shared" si="149"/>
      </c>
      <c r="U406" s="55">
        <f t="shared" si="111"/>
      </c>
      <c r="V406" s="55">
        <f t="shared" si="244"/>
      </c>
      <c r="W406" s="55">
        <f t="shared" si="206"/>
      </c>
      <c r="X406" s="38" t="s">
        <v>52</v>
      </c>
      <c r="Y406" s="86" t="s">
        <v>39</v>
      </c>
      <c r="Z406" s="40">
        <v>25111</v>
      </c>
      <c r="AA406" s="40">
        <v>3951</v>
      </c>
      <c r="AB406" s="40">
        <v>37073</v>
      </c>
      <c r="AC406" s="40">
        <v>63</v>
      </c>
      <c r="AD406" s="40">
        <v>7</v>
      </c>
      <c r="AE406" s="40">
        <v>2111</v>
      </c>
      <c r="AF406" s="41">
        <v>90</v>
      </c>
      <c r="AG406" s="41">
        <v>18</v>
      </c>
      <c r="AH406" s="41">
        <v>10</v>
      </c>
      <c r="AI406" s="42">
        <v>0</v>
      </c>
      <c r="AJ406" s="24"/>
      <c r="AK406" s="24"/>
      <c r="AL406" s="24"/>
      <c r="AM406" s="24"/>
      <c r="AN406" s="24"/>
    </row>
    <row r="407">
      <c r="A407" s="25"/>
      <c r="B407" s="58" t="s">
        <v>44</v>
      </c>
      <c r="C407" s="58"/>
      <c r="D407" s="59">
        <f>SUM(D403:D406)</f>
      </c>
      <c r="E407" s="60">
        <f>SUM(E403:E406)</f>
      </c>
      <c r="F407" s="61">
        <f t="shared" si="301"/>
      </c>
      <c r="G407" s="62">
        <f>SUM(G403:G406)</f>
      </c>
      <c r="H407" s="63">
        <f t="shared" si="263"/>
      </c>
      <c r="I407" s="64">
        <f t="shared" si="54"/>
      </c>
      <c r="J407" s="65">
        <f t="shared" si="16"/>
      </c>
      <c r="K407" s="61">
        <f t="shared" si="130"/>
      </c>
      <c r="L407" s="66">
        <f t="shared" si="92"/>
      </c>
      <c r="M407" s="65">
        <f t="shared" si="225"/>
      </c>
      <c r="N407" s="67">
        <f t="shared" si="168"/>
      </c>
      <c r="O407" s="67">
        <f t="shared" si="187"/>
      </c>
      <c r="P407" s="68">
        <f t="shared" si="320"/>
      </c>
      <c r="Q407" s="68">
        <f t="shared" si="282"/>
      </c>
      <c r="R407" s="69">
        <f t="shared" si="73"/>
      </c>
      <c r="S407" s="70">
        <f t="shared" si="35"/>
      </c>
      <c r="T407" s="68">
        <f t="shared" si="149"/>
      </c>
      <c r="U407" s="68">
        <f t="shared" si="111"/>
      </c>
      <c r="V407" s="68">
        <f t="shared" si="244"/>
      </c>
      <c r="W407" s="68">
        <f t="shared" si="206"/>
      </c>
      <c r="X407" s="68"/>
      <c r="Y407" s="71"/>
      <c r="Z407" s="59">
        <f>SUM(Z403:Z406)</f>
      </c>
      <c r="AA407" s="59">
        <f>SUM(AA403:AA406)</f>
      </c>
      <c r="AB407" s="59">
        <f>SUM(AB403:AB406)</f>
      </c>
      <c r="AC407" s="59">
        <f>SUM(AC403:AC406)</f>
      </c>
      <c r="AD407" s="59">
        <f>SUM(AD403:AD406)</f>
      </c>
      <c r="AE407" s="59">
        <f>SUM(AE403:AE406)</f>
      </c>
      <c r="AF407" s="59">
        <f>SUM(AF403:AF406)</f>
      </c>
      <c r="AG407" s="59">
        <f>SUM(AG403:AG406)</f>
      </c>
      <c r="AH407" s="59">
        <f>SUM(AH403:AH406)</f>
      </c>
      <c r="AI407" s="59">
        <f>SUM(AI403:AI406)</f>
      </c>
      <c r="AJ407" s="24"/>
      <c r="AK407" s="24"/>
      <c r="AL407" s="24"/>
      <c r="AM407" s="24"/>
      <c r="AN407" s="24"/>
    </row>
    <row r="408">
      <c r="A408" s="25"/>
      <c r="B408" s="89" t="s">
        <v>63</v>
      </c>
      <c r="C408" s="89"/>
      <c r="D408" s="90">
        <f>SUM(D407+D391+D397+D402)</f>
      </c>
      <c r="E408" s="91">
        <f>SUM(E407+E391+E397+E402)</f>
      </c>
      <c r="F408" s="92">
        <f t="shared" si="301"/>
      </c>
      <c r="G408" s="93">
        <f>SUM(G407+G391+G397+G402)</f>
      </c>
      <c r="H408" s="94">
        <f t="shared" si="263"/>
      </c>
      <c r="I408" s="95">
        <f t="shared" si="54"/>
      </c>
      <c r="J408" s="96">
        <f t="shared" si="16"/>
      </c>
      <c r="K408" s="92">
        <f t="shared" si="130"/>
      </c>
      <c r="L408" s="97">
        <f t="shared" si="92"/>
      </c>
      <c r="M408" s="97">
        <f t="shared" si="225"/>
      </c>
      <c r="N408" s="98">
        <f t="shared" si="168"/>
      </c>
      <c r="O408" s="98">
        <f t="shared" si="187"/>
      </c>
      <c r="P408" s="98">
        <f t="shared" si="320"/>
      </c>
      <c r="Q408" s="98">
        <f t="shared" si="282"/>
      </c>
      <c r="R408" s="99">
        <f t="shared" si="73"/>
      </c>
      <c r="S408" s="100">
        <f t="shared" si="35"/>
      </c>
      <c r="T408" s="101">
        <f t="shared" si="149"/>
      </c>
      <c r="U408" s="101">
        <f t="shared" si="111"/>
      </c>
      <c r="V408" s="101">
        <f t="shared" si="244"/>
      </c>
      <c r="W408" s="101">
        <f t="shared" si="206"/>
      </c>
      <c r="X408" s="101"/>
      <c r="Y408" s="102"/>
      <c r="Z408" s="103">
        <f>SUM(Z391+Z407+Z397+Z402)</f>
      </c>
      <c r="AA408" s="103">
        <f>SUM(AA391+AA407+AA397+AA402)</f>
      </c>
      <c r="AB408" s="103">
        <f>SUM(AB391+AB407+AB397+AB402)</f>
      </c>
      <c r="AC408" s="103">
        <f>SUM(AC391+AC407+AC397+AC402)</f>
      </c>
      <c r="AD408" s="103">
        <f>SUM(AD391+AD407+AD397+AD402)</f>
      </c>
      <c r="AE408" s="103">
        <f>SUM(AE391+AE407+AE397+AE402)</f>
      </c>
      <c r="AF408" s="103">
        <f>SUM(AF391+AF407+AF397+AF402)</f>
      </c>
      <c r="AG408" s="103">
        <f>SUM(AG391+AG407+AG397+AG402)</f>
      </c>
      <c r="AH408" s="103">
        <f>SUM(AH391+AH407+AH397+AH402)</f>
      </c>
      <c r="AI408" s="103">
        <f>SUM(AI391+AI407+AI397+AI402)</f>
      </c>
      <c r="AJ408" s="24"/>
      <c r="AK408" s="24"/>
      <c r="AL408" s="24"/>
      <c r="AM408" s="24"/>
      <c r="AN408" s="24"/>
    </row>
    <row r="409">
      <c r="A409" s="1" t="s">
        <v>1</v>
      </c>
      <c r="B409" s="2" t="s">
        <v>2</v>
      </c>
      <c r="C409" s="3" t="s">
        <v>3</v>
      </c>
      <c r="D409" s="4" t="s">
        <v>4</v>
      </c>
      <c r="E409" s="5" t="s">
        <v>5</v>
      </c>
      <c r="F409" s="6" t="s">
        <v>6</v>
      </c>
      <c r="G409" s="7" t="s">
        <v>7</v>
      </c>
      <c r="H409" s="8" t="s">
        <v>8</v>
      </c>
      <c r="I409" s="9" t="s">
        <v>9</v>
      </c>
      <c r="J409" s="10" t="s">
        <v>10</v>
      </c>
      <c r="K409" s="11" t="s">
        <v>11</v>
      </c>
      <c r="L409" s="12" t="s">
        <v>12</v>
      </c>
      <c r="M409" s="12" t="s">
        <v>13</v>
      </c>
      <c r="N409" s="13" t="s">
        <v>14</v>
      </c>
      <c r="O409" s="13" t="s">
        <v>15</v>
      </c>
      <c r="P409" s="13" t="s">
        <v>16</v>
      </c>
      <c r="Q409" s="13" t="s">
        <v>17</v>
      </c>
      <c r="R409" s="14" t="s">
        <v>18</v>
      </c>
      <c r="S409" s="15" t="s">
        <v>19</v>
      </c>
      <c r="T409" s="16" t="s">
        <v>20</v>
      </c>
      <c r="U409" s="16" t="s">
        <v>21</v>
      </c>
      <c r="V409" s="16" t="s">
        <v>22</v>
      </c>
      <c r="W409" s="16" t="s">
        <v>23</v>
      </c>
      <c r="X409" s="17" t="s">
        <v>24</v>
      </c>
      <c r="Y409" s="18" t="s">
        <v>25</v>
      </c>
      <c r="Z409" s="19" t="s">
        <v>26</v>
      </c>
      <c r="AA409" s="19" t="s">
        <v>27</v>
      </c>
      <c r="AB409" s="19" t="s">
        <v>28</v>
      </c>
      <c r="AC409" s="20" t="s">
        <v>29</v>
      </c>
      <c r="AD409" s="20" t="s">
        <v>30</v>
      </c>
      <c r="AE409" s="21" t="s">
        <v>31</v>
      </c>
      <c r="AF409" s="20" t="s">
        <v>32</v>
      </c>
      <c r="AG409" s="20" t="s">
        <v>33</v>
      </c>
      <c r="AH409" s="22" t="s">
        <v>34</v>
      </c>
      <c r="AI409" s="23" t="s">
        <v>35</v>
      </c>
      <c r="AJ409" s="24"/>
      <c r="AK409" s="24"/>
      <c r="AL409" s="24"/>
      <c r="AM409" s="24"/>
      <c r="AN409" s="24"/>
    </row>
    <row r="410">
      <c r="A410" s="25">
        <v>46313</v>
      </c>
      <c r="B410" s="26" t="s">
        <v>50</v>
      </c>
      <c r="C410" s="27" t="s">
        <v>37</v>
      </c>
      <c r="D410" s="104">
        <v>395.136</v>
      </c>
      <c r="E410" s="29">
        <v>0</v>
      </c>
      <c r="F410" s="30">
        <f t="shared" ref="F410:F432" si="302">D410/E410</f>
      </c>
      <c r="G410" s="31">
        <v>0</v>
      </c>
      <c r="H410" s="49">
        <f t="shared" ref="H410:H432" si="264">AD410</f>
      </c>
      <c r="I410" s="33">
        <f t="shared" ref="I410:I432" si="55">D410/AD410</f>
      </c>
      <c r="J410" s="34">
        <f t="shared" ref="J410:J432" si="17">G410/E410</f>
      </c>
      <c r="K410" s="35">
        <f t="shared" ref="K410:K432" si="131">G410/D410</f>
      </c>
      <c r="L410" s="36">
        <f t="shared" ref="L410:L432" si="93">D410/AB410</f>
      </c>
      <c r="M410" s="34">
        <f t="shared" ref="M410:M432" si="226">D410/AC410</f>
      </c>
      <c r="N410" s="37">
        <f t="shared" ref="N410:N432" si="169">AC410/AB410</f>
      </c>
      <c r="O410" s="37">
        <f t="shared" ref="O410:O432" si="188">AD410/AC410</f>
      </c>
      <c r="P410" s="37">
        <f t="shared" ref="P410:P432" si="321">AA410/Z410</f>
      </c>
      <c r="Q410" s="37">
        <f t="shared" ref="Q410:Q432" si="283">AD410/AA410</f>
      </c>
      <c r="R410" s="34">
        <f t="shared" ref="R410:R432" si="74">D410/Z410*1000</f>
      </c>
      <c r="S410" s="35">
        <f t="shared" ref="S410:S432" si="36">D410/AA410</f>
      </c>
      <c r="T410" s="37">
        <f t="shared" ref="T410:T432" si="150">AE410/AB410</f>
      </c>
      <c r="U410" s="37">
        <f t="shared" ref="U410:U432" si="112">AF410/AB410</f>
      </c>
      <c r="V410" s="37">
        <f t="shared" ref="V410:V432" si="245">AG410/AB410</f>
      </c>
      <c r="W410" s="37">
        <f t="shared" ref="W410:W432" si="207">AH410/AB410</f>
      </c>
      <c r="X410" s="38" t="s">
        <v>52</v>
      </c>
      <c r="Y410" s="86" t="s">
        <v>67</v>
      </c>
      <c r="Z410" s="40">
        <v>17495</v>
      </c>
      <c r="AA410" s="40">
        <v>9186</v>
      </c>
      <c r="AB410" s="40">
        <v>20512</v>
      </c>
      <c r="AC410" s="40">
        <v>57</v>
      </c>
      <c r="AD410" s="41">
        <v>0</v>
      </c>
      <c r="AE410" s="40">
        <v>3752</v>
      </c>
      <c r="AF410" s="41">
        <v>88</v>
      </c>
      <c r="AG410" s="41">
        <v>19</v>
      </c>
      <c r="AH410" s="41">
        <v>1</v>
      </c>
      <c r="AI410" s="42">
        <v>0</v>
      </c>
      <c r="AJ410" s="24"/>
      <c r="AK410" s="24"/>
      <c r="AL410" s="24"/>
      <c r="AM410" s="24"/>
      <c r="AN410" s="24"/>
    </row>
    <row r="411">
      <c r="A411" s="25"/>
      <c r="B411" s="26" t="s">
        <v>50</v>
      </c>
      <c r="C411" s="27" t="s">
        <v>40</v>
      </c>
      <c r="D411" s="104">
        <v>3549.3729999999996</v>
      </c>
      <c r="E411" s="29">
        <v>8</v>
      </c>
      <c r="F411" s="30">
        <f t="shared" si="302"/>
      </c>
      <c r="G411" s="31">
        <v>1717.1999999999998</v>
      </c>
      <c r="H411" s="49">
        <f t="shared" si="264"/>
      </c>
      <c r="I411" s="33">
        <f t="shared" si="55"/>
      </c>
      <c r="J411" s="34">
        <f t="shared" si="17"/>
      </c>
      <c r="K411" s="35">
        <f t="shared" si="131"/>
      </c>
      <c r="L411" s="36">
        <f t="shared" si="93"/>
      </c>
      <c r="M411" s="34">
        <f t="shared" si="226"/>
      </c>
      <c r="N411" s="37">
        <f t="shared" si="169"/>
      </c>
      <c r="O411" s="37">
        <f t="shared" si="188"/>
      </c>
      <c r="P411" s="37">
        <f t="shared" si="321"/>
      </c>
      <c r="Q411" s="37">
        <f t="shared" si="283"/>
      </c>
      <c r="R411" s="34">
        <f t="shared" si="74"/>
      </c>
      <c r="S411" s="35">
        <f t="shared" si="36"/>
      </c>
      <c r="T411" s="37">
        <f t="shared" si="150"/>
      </c>
      <c r="U411" s="37">
        <f t="shared" si="112"/>
      </c>
      <c r="V411" s="37">
        <f t="shared" si="245"/>
      </c>
      <c r="W411" s="37">
        <f t="shared" si="207"/>
      </c>
      <c r="X411" s="38" t="s">
        <v>52</v>
      </c>
      <c r="Y411" s="86" t="s">
        <v>67</v>
      </c>
      <c r="Z411" s="41">
        <v>128920</v>
      </c>
      <c r="AA411" s="40">
        <v>68052</v>
      </c>
      <c r="AB411" s="40">
        <v>235168</v>
      </c>
      <c r="AC411" s="40">
        <v>443</v>
      </c>
      <c r="AD411" s="41">
        <v>7</v>
      </c>
      <c r="AE411" s="40">
        <v>34915</v>
      </c>
      <c r="AF411" s="41">
        <v>412</v>
      </c>
      <c r="AG411" s="41">
        <v>142</v>
      </c>
      <c r="AH411" s="41">
        <v>13</v>
      </c>
      <c r="AI411" s="42">
        <v>2</v>
      </c>
      <c r="AJ411" s="24"/>
      <c r="AK411" s="24"/>
      <c r="AL411" s="24"/>
      <c r="AM411" s="24"/>
      <c r="AN411" s="24"/>
    </row>
    <row r="412">
      <c r="A412" s="25"/>
      <c r="B412" s="26" t="s">
        <v>50</v>
      </c>
      <c r="C412" s="43" t="s">
        <v>41</v>
      </c>
      <c r="D412" s="84">
        <v>4919.433999999999</v>
      </c>
      <c r="E412" s="45">
        <v>5</v>
      </c>
      <c r="F412" s="47">
        <f t="shared" si="302"/>
      </c>
      <c r="G412" s="45">
        <v>1729.1999999999998</v>
      </c>
      <c r="H412" s="49">
        <f t="shared" si="264"/>
      </c>
      <c r="I412" s="50">
        <f t="shared" si="55"/>
      </c>
      <c r="J412" s="51">
        <f t="shared" si="17"/>
      </c>
      <c r="K412" s="52">
        <f t="shared" si="131"/>
      </c>
      <c r="L412" s="76">
        <f t="shared" si="93"/>
      </c>
      <c r="M412" s="34">
        <f t="shared" si="226"/>
      </c>
      <c r="N412" s="37">
        <f t="shared" si="169"/>
      </c>
      <c r="O412" s="37">
        <f t="shared" si="188"/>
      </c>
      <c r="P412" s="37">
        <f t="shared" si="321"/>
      </c>
      <c r="Q412" s="37">
        <f t="shared" si="283"/>
      </c>
      <c r="R412" s="34">
        <f t="shared" si="74"/>
      </c>
      <c r="S412" s="35">
        <f t="shared" si="36"/>
      </c>
      <c r="T412" s="37">
        <f t="shared" si="150"/>
      </c>
      <c r="U412" s="37">
        <f t="shared" si="112"/>
      </c>
      <c r="V412" s="37">
        <f t="shared" si="245"/>
      </c>
      <c r="W412" s="37">
        <f t="shared" si="207"/>
      </c>
      <c r="X412" s="38" t="s">
        <v>52</v>
      </c>
      <c r="Y412" s="86" t="s">
        <v>67</v>
      </c>
      <c r="Z412" s="41">
        <v>173125</v>
      </c>
      <c r="AA412" s="41">
        <v>83462</v>
      </c>
      <c r="AB412" s="41">
        <v>316895</v>
      </c>
      <c r="AC412" s="41">
        <v>759</v>
      </c>
      <c r="AD412" s="41">
        <v>2</v>
      </c>
      <c r="AE412" s="41">
        <v>44797</v>
      </c>
      <c r="AF412" s="41">
        <v>633</v>
      </c>
      <c r="AG412" s="41">
        <v>155</v>
      </c>
      <c r="AH412" s="41">
        <v>29</v>
      </c>
      <c r="AI412" s="42">
        <v>0</v>
      </c>
      <c r="AJ412" s="24"/>
      <c r="AK412" s="24"/>
      <c r="AL412" s="24"/>
      <c r="AM412" s="24"/>
      <c r="AN412" s="24"/>
    </row>
    <row r="413">
      <c r="A413" s="25"/>
      <c r="B413" s="26" t="s">
        <v>50</v>
      </c>
      <c r="C413" s="46" t="s">
        <v>42</v>
      </c>
      <c r="D413" s="84">
        <v>4671.102</v>
      </c>
      <c r="E413" s="45">
        <v>3</v>
      </c>
      <c r="F413" s="47">
        <f t="shared" si="302"/>
      </c>
      <c r="G413" s="45">
        <v>684</v>
      </c>
      <c r="H413" s="49">
        <f t="shared" si="264"/>
      </c>
      <c r="I413" s="50">
        <f t="shared" si="55"/>
      </c>
      <c r="J413" s="51">
        <f t="shared" si="17"/>
      </c>
      <c r="K413" s="52">
        <f t="shared" si="131"/>
      </c>
      <c r="L413" s="53">
        <f t="shared" si="93"/>
      </c>
      <c r="M413" s="54">
        <f t="shared" si="226"/>
      </c>
      <c r="N413" s="55">
        <f t="shared" si="169"/>
      </c>
      <c r="O413" s="55">
        <f t="shared" si="188"/>
      </c>
      <c r="P413" s="55">
        <f t="shared" si="321"/>
      </c>
      <c r="Q413" s="55">
        <f t="shared" si="283"/>
      </c>
      <c r="R413" s="54">
        <f t="shared" si="74"/>
      </c>
      <c r="S413" s="56">
        <f t="shared" si="36"/>
      </c>
      <c r="T413" s="55">
        <f t="shared" si="150"/>
      </c>
      <c r="U413" s="55">
        <f t="shared" si="112"/>
      </c>
      <c r="V413" s="55">
        <f t="shared" si="245"/>
      </c>
      <c r="W413" s="55">
        <f t="shared" si="207"/>
      </c>
      <c r="X413" s="38" t="s">
        <v>52</v>
      </c>
      <c r="Y413" s="86" t="s">
        <v>67</v>
      </c>
      <c r="Z413" s="40">
        <v>163977</v>
      </c>
      <c r="AA413" s="40">
        <v>64622</v>
      </c>
      <c r="AB413" s="40">
        <v>313090</v>
      </c>
      <c r="AC413" s="40">
        <v>812</v>
      </c>
      <c r="AD413" s="40">
        <v>5</v>
      </c>
      <c r="AE413" s="40">
        <v>37668</v>
      </c>
      <c r="AF413" s="41">
        <v>519</v>
      </c>
      <c r="AG413" s="41">
        <v>105</v>
      </c>
      <c r="AH413" s="41">
        <v>16</v>
      </c>
      <c r="AI413" s="42">
        <v>0</v>
      </c>
      <c r="AJ413" s="24"/>
      <c r="AK413" s="24"/>
      <c r="AL413" s="24"/>
      <c r="AM413" s="24"/>
      <c r="AN413" s="24"/>
    </row>
    <row r="414">
      <c r="A414" s="25"/>
      <c r="B414" s="26" t="s">
        <v>50</v>
      </c>
      <c r="C414" s="46" t="s">
        <v>43</v>
      </c>
      <c r="D414" s="85">
        <v>3015.168</v>
      </c>
      <c r="E414" s="45">
        <v>3</v>
      </c>
      <c r="F414" s="47">
        <f t="shared" si="302"/>
      </c>
      <c r="G414" s="45">
        <v>620</v>
      </c>
      <c r="H414" s="49">
        <f t="shared" si="264"/>
      </c>
      <c r="I414" s="50">
        <f t="shared" si="55"/>
      </c>
      <c r="J414" s="51">
        <f t="shared" si="17"/>
      </c>
      <c r="K414" s="52">
        <f t="shared" si="131"/>
      </c>
      <c r="L414" s="53">
        <f t="shared" si="93"/>
      </c>
      <c r="M414" s="108">
        <f t="shared" si="226"/>
      </c>
      <c r="N414" s="109">
        <f t="shared" si="169"/>
      </c>
      <c r="O414" s="109">
        <f t="shared" si="188"/>
      </c>
      <c r="P414" s="55">
        <f t="shared" si="321"/>
      </c>
      <c r="Q414" s="55">
        <f t="shared" si="283"/>
      </c>
      <c r="R414" s="54">
        <f t="shared" si="74"/>
      </c>
      <c r="S414" s="56">
        <f t="shared" si="36"/>
      </c>
      <c r="T414" s="55">
        <f t="shared" si="150"/>
      </c>
      <c r="U414" s="55">
        <f t="shared" si="112"/>
      </c>
      <c r="V414" s="55">
        <f t="shared" si="245"/>
      </c>
      <c r="W414" s="55">
        <f t="shared" si="207"/>
      </c>
      <c r="X414" s="38" t="s">
        <v>52</v>
      </c>
      <c r="Y414" s="86" t="s">
        <v>67</v>
      </c>
      <c r="Z414" s="40">
        <v>115231</v>
      </c>
      <c r="AA414" s="40">
        <v>42825</v>
      </c>
      <c r="AB414" s="40">
        <v>197527</v>
      </c>
      <c r="AC414" s="40">
        <v>586</v>
      </c>
      <c r="AD414" s="40">
        <v>4</v>
      </c>
      <c r="AE414" s="40">
        <v>24105</v>
      </c>
      <c r="AF414" s="41">
        <v>394</v>
      </c>
      <c r="AG414" s="41">
        <v>82</v>
      </c>
      <c r="AH414" s="41">
        <v>22</v>
      </c>
      <c r="AI414" s="42">
        <v>0</v>
      </c>
      <c r="AJ414" s="24"/>
      <c r="AK414" s="24"/>
      <c r="AL414" s="24"/>
      <c r="AM414" s="24"/>
      <c r="AN414" s="24"/>
    </row>
    <row r="415">
      <c r="A415" s="25"/>
      <c r="B415" s="58" t="s">
        <v>44</v>
      </c>
      <c r="C415" s="58"/>
      <c r="D415" s="59">
        <f>SUM(D410:D414)</f>
      </c>
      <c r="E415" s="60">
        <f>SUM(E410:E414)</f>
      </c>
      <c r="F415" s="61">
        <f t="shared" si="302"/>
      </c>
      <c r="G415" s="62">
        <f>SUM(G410:G414)</f>
      </c>
      <c r="H415" s="63">
        <f t="shared" si="264"/>
      </c>
      <c r="I415" s="64">
        <f t="shared" si="55"/>
      </c>
      <c r="J415" s="65">
        <f t="shared" si="17"/>
      </c>
      <c r="K415" s="61">
        <f t="shared" si="131"/>
      </c>
      <c r="L415" s="66">
        <f t="shared" si="93"/>
      </c>
      <c r="M415" s="65">
        <f t="shared" si="226"/>
      </c>
      <c r="N415" s="67">
        <f t="shared" si="169"/>
      </c>
      <c r="O415" s="67">
        <f t="shared" si="188"/>
      </c>
      <c r="P415" s="68">
        <f t="shared" si="321"/>
      </c>
      <c r="Q415" s="68">
        <f t="shared" si="283"/>
      </c>
      <c r="R415" s="69">
        <f t="shared" si="74"/>
      </c>
      <c r="S415" s="70">
        <f t="shared" si="36"/>
      </c>
      <c r="T415" s="68">
        <f t="shared" si="150"/>
      </c>
      <c r="U415" s="68">
        <f t="shared" si="112"/>
      </c>
      <c r="V415" s="68">
        <f t="shared" si="245"/>
      </c>
      <c r="W415" s="68">
        <f t="shared" si="207"/>
      </c>
      <c r="X415" s="68"/>
      <c r="Y415" s="71"/>
      <c r="Z415" s="59">
        <f>SUM(Z410:Z414)</f>
      </c>
      <c r="AA415" s="59">
        <f>SUM(AA410:AA414)</f>
      </c>
      <c r="AB415" s="59">
        <f>SUM(AB410:AB414)</f>
      </c>
      <c r="AC415" s="59">
        <f>SUM(AC410:AC414)</f>
      </c>
      <c r="AD415" s="59">
        <f>SUM(AD410:AD414)</f>
      </c>
      <c r="AE415" s="59">
        <f>SUM(AE410:AE414)</f>
      </c>
      <c r="AF415" s="59">
        <f>SUM(AF410:AF414)</f>
      </c>
      <c r="AG415" s="59">
        <f>SUM(AG410:AG414)</f>
      </c>
      <c r="AH415" s="59">
        <f>SUM(AH410:AH414)</f>
      </c>
      <c r="AI415" s="59">
        <f>SUM(AI410:AI414)</f>
      </c>
      <c r="AJ415" s="24"/>
      <c r="AK415" s="24"/>
      <c r="AL415" s="24"/>
      <c r="AM415" s="24"/>
      <c r="AN415" s="24"/>
    </row>
    <row r="416">
      <c r="A416" s="25"/>
      <c r="B416" s="72" t="s">
        <v>57</v>
      </c>
      <c r="C416" s="73" t="s">
        <v>46</v>
      </c>
      <c r="D416" s="105">
        <v>1451.364</v>
      </c>
      <c r="E416" s="75">
        <v>5</v>
      </c>
      <c r="F416" s="47">
        <f t="shared" si="302"/>
      </c>
      <c r="G416" s="45">
        <v>1701.6000000000004</v>
      </c>
      <c r="H416" s="49">
        <f t="shared" si="264"/>
      </c>
      <c r="I416" s="50">
        <f t="shared" si="55"/>
      </c>
      <c r="J416" s="51">
        <f t="shared" si="17"/>
      </c>
      <c r="K416" s="52">
        <f t="shared" si="131"/>
      </c>
      <c r="L416" s="76">
        <f t="shared" si="93"/>
      </c>
      <c r="M416" s="34">
        <f t="shared" si="226"/>
      </c>
      <c r="N416" s="37">
        <f t="shared" si="169"/>
      </c>
      <c r="O416" s="37">
        <f t="shared" si="188"/>
      </c>
      <c r="P416" s="37">
        <f t="shared" si="321"/>
      </c>
      <c r="Q416" s="37">
        <f t="shared" si="283"/>
      </c>
      <c r="R416" s="34">
        <f t="shared" si="74"/>
      </c>
      <c r="S416" s="35">
        <f t="shared" si="36"/>
      </c>
      <c r="T416" s="37">
        <f t="shared" si="150"/>
      </c>
      <c r="U416" s="37">
        <f t="shared" si="112"/>
      </c>
      <c r="V416" s="37">
        <f t="shared" si="245"/>
      </c>
      <c r="W416" s="37">
        <f t="shared" si="207"/>
      </c>
      <c r="X416" s="38" t="s">
        <v>52</v>
      </c>
      <c r="Y416" s="86" t="s">
        <v>67</v>
      </c>
      <c r="Z416" s="41">
        <v>73792</v>
      </c>
      <c r="AA416" s="41">
        <v>30551</v>
      </c>
      <c r="AB416" s="41">
        <v>101708</v>
      </c>
      <c r="AC416" s="41">
        <v>466</v>
      </c>
      <c r="AD416" s="41">
        <v>5</v>
      </c>
      <c r="AE416" s="41">
        <v>13504</v>
      </c>
      <c r="AF416" s="41">
        <v>240</v>
      </c>
      <c r="AG416" s="41">
        <v>54</v>
      </c>
      <c r="AH416" s="41">
        <v>10</v>
      </c>
      <c r="AI416" s="42">
        <v>0</v>
      </c>
      <c r="AJ416" s="24"/>
      <c r="AK416" s="24"/>
      <c r="AL416" s="24"/>
      <c r="AM416" s="24"/>
      <c r="AN416" s="24"/>
    </row>
    <row r="417">
      <c r="A417" s="25"/>
      <c r="B417" s="72" t="s">
        <v>57</v>
      </c>
      <c r="C417" s="77" t="s">
        <v>47</v>
      </c>
      <c r="D417" s="84">
        <v>1758.746</v>
      </c>
      <c r="E417" s="45">
        <v>7</v>
      </c>
      <c r="F417" s="47">
        <f t="shared" si="302"/>
      </c>
      <c r="G417" s="45">
        <v>1490.3000000000002</v>
      </c>
      <c r="H417" s="49">
        <f t="shared" si="264"/>
      </c>
      <c r="I417" s="50">
        <f t="shared" si="55"/>
      </c>
      <c r="J417" s="51">
        <f t="shared" si="17"/>
      </c>
      <c r="K417" s="52">
        <f t="shared" si="131"/>
      </c>
      <c r="L417" s="76">
        <f t="shared" si="93"/>
      </c>
      <c r="M417" s="34">
        <f t="shared" si="226"/>
      </c>
      <c r="N417" s="37">
        <f t="shared" si="169"/>
      </c>
      <c r="O417" s="37">
        <f t="shared" si="188"/>
      </c>
      <c r="P417" s="37">
        <f t="shared" si="321"/>
      </c>
      <c r="Q417" s="37">
        <f t="shared" si="283"/>
      </c>
      <c r="R417" s="34">
        <f t="shared" si="74"/>
      </c>
      <c r="S417" s="35">
        <f t="shared" si="36"/>
      </c>
      <c r="T417" s="37">
        <f t="shared" si="150"/>
      </c>
      <c r="U417" s="37">
        <f t="shared" si="112"/>
      </c>
      <c r="V417" s="37">
        <f t="shared" si="245"/>
      </c>
      <c r="W417" s="37">
        <f t="shared" si="207"/>
      </c>
      <c r="X417" s="38" t="s">
        <v>52</v>
      </c>
      <c r="Y417" s="86" t="s">
        <v>67</v>
      </c>
      <c r="Z417" s="41">
        <v>66271</v>
      </c>
      <c r="AA417" s="41">
        <v>22755</v>
      </c>
      <c r="AB417" s="41">
        <v>103411</v>
      </c>
      <c r="AC417" s="41">
        <v>352</v>
      </c>
      <c r="AD417" s="41">
        <v>6</v>
      </c>
      <c r="AE417" s="41">
        <v>10686</v>
      </c>
      <c r="AF417" s="41">
        <v>242</v>
      </c>
      <c r="AG417" s="41">
        <v>51</v>
      </c>
      <c r="AH417" s="41">
        <v>11</v>
      </c>
      <c r="AI417" s="42">
        <v>1</v>
      </c>
      <c r="AJ417" s="24"/>
      <c r="AK417" s="24"/>
      <c r="AL417" s="24"/>
      <c r="AM417" s="24"/>
      <c r="AN417" s="24"/>
    </row>
    <row r="418">
      <c r="A418" s="25"/>
      <c r="B418" s="72" t="s">
        <v>57</v>
      </c>
      <c r="C418" s="78" t="s">
        <v>48</v>
      </c>
      <c r="D418" s="84">
        <v>3997.934</v>
      </c>
      <c r="E418" s="45">
        <v>14</v>
      </c>
      <c r="F418" s="30">
        <f t="shared" si="302"/>
      </c>
      <c r="G418" s="45">
        <v>7285.499999999999</v>
      </c>
      <c r="H418" s="49">
        <f t="shared" si="264"/>
      </c>
      <c r="I418" s="33">
        <f t="shared" si="55"/>
      </c>
      <c r="J418" s="34">
        <f t="shared" si="17"/>
      </c>
      <c r="K418" s="35">
        <f t="shared" si="131"/>
      </c>
      <c r="L418" s="79">
        <f t="shared" si="93"/>
      </c>
      <c r="M418" s="54">
        <f t="shared" si="226"/>
      </c>
      <c r="N418" s="55">
        <f t="shared" si="169"/>
      </c>
      <c r="O418" s="55">
        <f t="shared" si="188"/>
      </c>
      <c r="P418" s="55">
        <f t="shared" si="321"/>
      </c>
      <c r="Q418" s="55">
        <f t="shared" si="283"/>
      </c>
      <c r="R418" s="54">
        <f t="shared" si="74"/>
      </c>
      <c r="S418" s="56">
        <f t="shared" si="36"/>
      </c>
      <c r="T418" s="55">
        <f t="shared" si="150"/>
      </c>
      <c r="U418" s="55">
        <f t="shared" si="112"/>
      </c>
      <c r="V418" s="55">
        <f t="shared" si="245"/>
      </c>
      <c r="W418" s="55">
        <f t="shared" si="207"/>
      </c>
      <c r="X418" s="38" t="s">
        <v>52</v>
      </c>
      <c r="Y418" s="86" t="s">
        <v>67</v>
      </c>
      <c r="Z418" s="41">
        <v>113994</v>
      </c>
      <c r="AA418" s="41">
        <v>33106</v>
      </c>
      <c r="AB418" s="41">
        <v>208341</v>
      </c>
      <c r="AC418" s="41">
        <v>308</v>
      </c>
      <c r="AD418" s="41">
        <v>9</v>
      </c>
      <c r="AE418" s="41">
        <v>17870</v>
      </c>
      <c r="AF418" s="41">
        <v>327</v>
      </c>
      <c r="AG418" s="41">
        <v>91</v>
      </c>
      <c r="AH418" s="41">
        <v>17</v>
      </c>
      <c r="AI418" s="42">
        <v>2</v>
      </c>
      <c r="AJ418" s="24"/>
      <c r="AK418" s="24"/>
      <c r="AL418" s="24"/>
      <c r="AM418" s="24"/>
      <c r="AN418" s="24"/>
    </row>
    <row r="419">
      <c r="A419" s="25"/>
      <c r="B419" s="72" t="s">
        <v>57</v>
      </c>
      <c r="C419" s="78" t="s">
        <v>49</v>
      </c>
      <c r="D419" s="85">
        <v>3667.888</v>
      </c>
      <c r="E419" s="45">
        <v>17</v>
      </c>
      <c r="F419" s="30">
        <f t="shared" si="302"/>
      </c>
      <c r="G419" s="45">
        <v>7757.899999999998</v>
      </c>
      <c r="H419" s="49">
        <f t="shared" si="264"/>
      </c>
      <c r="I419" s="33">
        <f t="shared" si="55"/>
      </c>
      <c r="J419" s="34">
        <f t="shared" si="17"/>
      </c>
      <c r="K419" s="35">
        <f t="shared" si="131"/>
      </c>
      <c r="L419" s="79">
        <f t="shared" si="93"/>
      </c>
      <c r="M419" s="54">
        <f t="shared" si="226"/>
      </c>
      <c r="N419" s="55">
        <f t="shared" si="169"/>
      </c>
      <c r="O419" s="55">
        <f t="shared" si="188"/>
      </c>
      <c r="P419" s="55">
        <f t="shared" si="321"/>
      </c>
      <c r="Q419" s="55">
        <f t="shared" si="283"/>
      </c>
      <c r="R419" s="54">
        <f t="shared" si="74"/>
      </c>
      <c r="S419" s="56">
        <f t="shared" si="36"/>
      </c>
      <c r="T419" s="55">
        <f t="shared" si="150"/>
      </c>
      <c r="U419" s="55">
        <f t="shared" si="112"/>
      </c>
      <c r="V419" s="55">
        <f t="shared" si="245"/>
      </c>
      <c r="W419" s="55">
        <f t="shared" si="207"/>
      </c>
      <c r="X419" s="38" t="s">
        <v>52</v>
      </c>
      <c r="Y419" s="86" t="s">
        <v>67</v>
      </c>
      <c r="Z419" s="41">
        <v>99305</v>
      </c>
      <c r="AA419" s="41">
        <v>26971</v>
      </c>
      <c r="AB419" s="41">
        <v>169192</v>
      </c>
      <c r="AC419" s="41">
        <v>296</v>
      </c>
      <c r="AD419" s="41">
        <v>9</v>
      </c>
      <c r="AE419" s="41">
        <v>14362</v>
      </c>
      <c r="AF419" s="41">
        <v>416</v>
      </c>
      <c r="AG419" s="41">
        <v>70</v>
      </c>
      <c r="AH419" s="41">
        <v>11</v>
      </c>
      <c r="AI419" s="42">
        <v>3</v>
      </c>
      <c r="AJ419" s="24"/>
      <c r="AK419" s="24"/>
      <c r="AL419" s="24"/>
      <c r="AM419" s="24"/>
      <c r="AN419" s="24"/>
    </row>
    <row r="420">
      <c r="A420" s="25"/>
      <c r="B420" s="58" t="s">
        <v>44</v>
      </c>
      <c r="C420" s="58"/>
      <c r="D420" s="59">
        <f>SUM(D416:D419)</f>
      </c>
      <c r="E420" s="60">
        <f>SUM(E416:E419)</f>
      </c>
      <c r="F420" s="61">
        <f t="shared" si="302"/>
      </c>
      <c r="G420" s="62">
        <f>SUM(G416:G419)</f>
      </c>
      <c r="H420" s="63">
        <f t="shared" si="264"/>
      </c>
      <c r="I420" s="64">
        <f t="shared" si="55"/>
      </c>
      <c r="J420" s="65">
        <f t="shared" si="17"/>
      </c>
      <c r="K420" s="61">
        <f t="shared" si="131"/>
      </c>
      <c r="L420" s="66">
        <f t="shared" si="93"/>
      </c>
      <c r="M420" s="65">
        <f t="shared" si="226"/>
      </c>
      <c r="N420" s="67">
        <f t="shared" si="169"/>
      </c>
      <c r="O420" s="67">
        <f t="shared" si="188"/>
      </c>
      <c r="P420" s="68">
        <f t="shared" si="321"/>
      </c>
      <c r="Q420" s="68">
        <f t="shared" si="283"/>
      </c>
      <c r="R420" s="69">
        <f t="shared" si="74"/>
      </c>
      <c r="S420" s="70">
        <f t="shared" si="36"/>
      </c>
      <c r="T420" s="68">
        <f t="shared" si="150"/>
      </c>
      <c r="U420" s="68">
        <f t="shared" si="112"/>
      </c>
      <c r="V420" s="68">
        <f t="shared" si="245"/>
      </c>
      <c r="W420" s="68">
        <f t="shared" si="207"/>
      </c>
      <c r="X420" s="68"/>
      <c r="Y420" s="71"/>
      <c r="Z420" s="59">
        <f>SUM(Z416:Z419)</f>
      </c>
      <c r="AA420" s="59">
        <f>SUM(AA416:AA419)</f>
      </c>
      <c r="AB420" s="59">
        <f>SUM(AB416:AB419)</f>
      </c>
      <c r="AC420" s="59">
        <f>SUM(AC416:AC419)</f>
      </c>
      <c r="AD420" s="59">
        <f>SUM(AD416:AD419)</f>
      </c>
      <c r="AE420" s="59">
        <f>SUM(AE416:AE419)</f>
      </c>
      <c r="AF420" s="59">
        <f>SUM(AF416:AF419)</f>
      </c>
      <c r="AG420" s="59">
        <f>SUM(AG416:AG419)</f>
      </c>
      <c r="AH420" s="59">
        <f>SUM(AH416:AH419)</f>
      </c>
      <c r="AI420" s="59">
        <f>SUM(AI416:AI419)</f>
      </c>
      <c r="AJ420" s="24"/>
      <c r="AK420" s="24"/>
      <c r="AL420" s="24"/>
      <c r="AM420" s="24"/>
      <c r="AN420" s="24"/>
    </row>
    <row r="421">
      <c r="A421" s="25"/>
      <c r="B421" s="72" t="s">
        <v>64</v>
      </c>
      <c r="C421" s="38" t="s">
        <v>51</v>
      </c>
      <c r="D421" s="57">
        <v>2314.228</v>
      </c>
      <c r="E421" s="45">
        <v>5</v>
      </c>
      <c r="F421" s="47">
        <f t="shared" si="302"/>
      </c>
      <c r="G421" s="23">
        <v>1729.2000000000007</v>
      </c>
      <c r="H421" s="49">
        <f t="shared" si="264"/>
      </c>
      <c r="I421" s="50">
        <f t="shared" si="55"/>
      </c>
      <c r="J421" s="51">
        <f t="shared" si="17"/>
      </c>
      <c r="K421" s="52">
        <f t="shared" si="131"/>
      </c>
      <c r="L421" s="53">
        <f t="shared" si="93"/>
      </c>
      <c r="M421" s="54">
        <f t="shared" si="226"/>
      </c>
      <c r="N421" s="55">
        <f t="shared" si="169"/>
      </c>
      <c r="O421" s="55">
        <f t="shared" si="188"/>
      </c>
      <c r="P421" s="55">
        <f t="shared" si="321"/>
      </c>
      <c r="Q421" s="55">
        <f t="shared" si="283"/>
      </c>
      <c r="R421" s="54">
        <f t="shared" si="74"/>
      </c>
      <c r="S421" s="56">
        <f t="shared" si="36"/>
      </c>
      <c r="T421" s="55">
        <f t="shared" si="150"/>
      </c>
      <c r="U421" s="55">
        <f t="shared" si="112"/>
      </c>
      <c r="V421" s="55">
        <f t="shared" si="245"/>
      </c>
      <c r="W421" s="55">
        <f t="shared" si="207"/>
      </c>
      <c r="X421" s="38" t="s">
        <v>52</v>
      </c>
      <c r="Y421" s="86" t="s">
        <v>67</v>
      </c>
      <c r="Z421" s="40">
        <v>69165</v>
      </c>
      <c r="AA421" s="40">
        <v>17621</v>
      </c>
      <c r="AB421" s="40">
        <v>91432</v>
      </c>
      <c r="AC421" s="40">
        <v>76</v>
      </c>
      <c r="AD421" s="40">
        <v>5</v>
      </c>
      <c r="AE421" s="40">
        <v>7393</v>
      </c>
      <c r="AF421" s="41">
        <v>208</v>
      </c>
      <c r="AG421" s="41">
        <v>41</v>
      </c>
      <c r="AH421" s="41">
        <v>10</v>
      </c>
      <c r="AI421" s="42">
        <v>1</v>
      </c>
      <c r="AJ421" s="24"/>
      <c r="AK421" s="24"/>
      <c r="AL421" s="24"/>
      <c r="AM421" s="24"/>
      <c r="AN421" s="24"/>
    </row>
    <row r="422">
      <c r="A422" s="25"/>
      <c r="B422" s="72" t="s">
        <v>64</v>
      </c>
      <c r="C422" s="78" t="s">
        <v>53</v>
      </c>
      <c r="D422" s="44">
        <v>3471.748</v>
      </c>
      <c r="E422" s="45">
        <v>7</v>
      </c>
      <c r="F422" s="30">
        <f t="shared" si="302"/>
      </c>
      <c r="G422" s="23">
        <v>2153.2000000000007</v>
      </c>
      <c r="H422" s="49">
        <f t="shared" si="264"/>
      </c>
      <c r="I422" s="33">
        <f t="shared" si="55"/>
      </c>
      <c r="J422" s="34">
        <f t="shared" si="17"/>
      </c>
      <c r="K422" s="35">
        <f t="shared" si="131"/>
      </c>
      <c r="L422" s="79">
        <f t="shared" si="93"/>
      </c>
      <c r="M422" s="54">
        <f t="shared" si="226"/>
      </c>
      <c r="N422" s="55">
        <f t="shared" si="169"/>
      </c>
      <c r="O422" s="55">
        <f t="shared" si="188"/>
      </c>
      <c r="P422" s="55">
        <f t="shared" si="321"/>
      </c>
      <c r="Q422" s="55">
        <f t="shared" si="283"/>
      </c>
      <c r="R422" s="54">
        <f t="shared" si="74"/>
      </c>
      <c r="S422" s="56">
        <f t="shared" si="36"/>
      </c>
      <c r="T422" s="55">
        <f t="shared" si="150"/>
      </c>
      <c r="U422" s="55">
        <f t="shared" si="112"/>
      </c>
      <c r="V422" s="55">
        <f t="shared" si="245"/>
      </c>
      <c r="W422" s="55">
        <f t="shared" si="207"/>
      </c>
      <c r="X422" s="38" t="s">
        <v>52</v>
      </c>
      <c r="Y422" s="86" t="s">
        <v>39</v>
      </c>
      <c r="Z422" s="41">
        <v>105120</v>
      </c>
      <c r="AA422" s="41">
        <v>30203</v>
      </c>
      <c r="AB422" s="41">
        <v>191737</v>
      </c>
      <c r="AC422" s="41">
        <v>284</v>
      </c>
      <c r="AD422" s="41">
        <v>6</v>
      </c>
      <c r="AE422" s="41">
        <v>16655</v>
      </c>
      <c r="AF422" s="41">
        <v>320</v>
      </c>
      <c r="AG422" s="41">
        <v>40</v>
      </c>
      <c r="AH422" s="41">
        <v>13</v>
      </c>
      <c r="AI422" s="42">
        <v>1</v>
      </c>
      <c r="AJ422" s="24"/>
      <c r="AK422" s="24"/>
      <c r="AL422" s="24"/>
      <c r="AM422" s="24"/>
      <c r="AN422" s="24"/>
    </row>
    <row r="423">
      <c r="A423" s="25"/>
      <c r="B423" s="72" t="s">
        <v>64</v>
      </c>
      <c r="C423" s="78" t="s">
        <v>55</v>
      </c>
      <c r="D423" s="57">
        <v>1871.92</v>
      </c>
      <c r="E423" s="45">
        <v>2</v>
      </c>
      <c r="F423" s="30">
        <f t="shared" si="302"/>
      </c>
      <c r="G423" s="23">
        <v>936</v>
      </c>
      <c r="H423" s="49">
        <f t="shared" si="264"/>
      </c>
      <c r="I423" s="33">
        <f t="shared" si="55"/>
      </c>
      <c r="J423" s="34">
        <f t="shared" si="17"/>
      </c>
      <c r="K423" s="35">
        <f t="shared" si="131"/>
      </c>
      <c r="L423" s="79">
        <f t="shared" si="93"/>
      </c>
      <c r="M423" s="54">
        <f t="shared" si="226"/>
      </c>
      <c r="N423" s="55">
        <f t="shared" si="169"/>
      </c>
      <c r="O423" s="55">
        <f t="shared" si="188"/>
      </c>
      <c r="P423" s="55">
        <f t="shared" si="321"/>
      </c>
      <c r="Q423" s="55">
        <f t="shared" si="283"/>
      </c>
      <c r="R423" s="54">
        <f t="shared" si="74"/>
      </c>
      <c r="S423" s="56">
        <f t="shared" si="36"/>
      </c>
      <c r="T423" s="55">
        <f t="shared" si="150"/>
      </c>
      <c r="U423" s="55">
        <f t="shared" si="112"/>
      </c>
      <c r="V423" s="55">
        <f t="shared" si="245"/>
      </c>
      <c r="W423" s="55">
        <f t="shared" si="207"/>
      </c>
      <c r="X423" s="38" t="s">
        <v>52</v>
      </c>
      <c r="Y423" s="86" t="s">
        <v>39</v>
      </c>
      <c r="Z423" s="41">
        <v>84384</v>
      </c>
      <c r="AA423" s="41">
        <v>30976</v>
      </c>
      <c r="AB423" s="41">
        <v>112989</v>
      </c>
      <c r="AC423" s="41">
        <v>24</v>
      </c>
      <c r="AD423" s="41">
        <v>1</v>
      </c>
      <c r="AE423" s="41">
        <v>12702</v>
      </c>
      <c r="AF423" s="41">
        <v>230</v>
      </c>
      <c r="AG423" s="41">
        <v>39</v>
      </c>
      <c r="AH423" s="41">
        <v>9</v>
      </c>
      <c r="AI423" s="42">
        <v>0</v>
      </c>
      <c r="AJ423" s="24"/>
      <c r="AK423" s="24"/>
      <c r="AL423" s="24"/>
      <c r="AM423" s="24"/>
      <c r="AN423" s="24"/>
    </row>
    <row r="424">
      <c r="A424" s="25"/>
      <c r="B424" s="72" t="s">
        <v>64</v>
      </c>
      <c r="C424" s="78" t="s">
        <v>56</v>
      </c>
      <c r="D424" s="57">
        <v>1633.664</v>
      </c>
      <c r="E424" s="45">
        <v>3</v>
      </c>
      <c r="F424" s="30">
        <f t="shared" si="302"/>
      </c>
      <c r="G424" s="23">
        <v>1220</v>
      </c>
      <c r="H424" s="49">
        <f t="shared" si="264"/>
      </c>
      <c r="I424" s="33">
        <f t="shared" si="55"/>
      </c>
      <c r="J424" s="34">
        <f t="shared" si="17"/>
      </c>
      <c r="K424" s="35">
        <f t="shared" si="131"/>
      </c>
      <c r="L424" s="79">
        <f t="shared" si="93"/>
      </c>
      <c r="M424" s="54">
        <f t="shared" si="226"/>
      </c>
      <c r="N424" s="55">
        <f t="shared" si="169"/>
      </c>
      <c r="O424" s="55">
        <f t="shared" si="188"/>
      </c>
      <c r="P424" s="55">
        <f t="shared" si="321"/>
      </c>
      <c r="Q424" s="55">
        <f t="shared" si="283"/>
      </c>
      <c r="R424" s="54">
        <f t="shared" si="74"/>
      </c>
      <c r="S424" s="56">
        <f t="shared" si="36"/>
      </c>
      <c r="T424" s="55">
        <f t="shared" si="150"/>
      </c>
      <c r="U424" s="55">
        <f t="shared" si="112"/>
      </c>
      <c r="V424" s="55">
        <f t="shared" si="245"/>
      </c>
      <c r="W424" s="55">
        <f t="shared" si="207"/>
      </c>
      <c r="X424" s="38" t="s">
        <v>52</v>
      </c>
      <c r="Y424" s="86" t="s">
        <v>39</v>
      </c>
      <c r="Z424" s="41">
        <v>66639</v>
      </c>
      <c r="AA424" s="41">
        <v>19989</v>
      </c>
      <c r="AB424" s="41">
        <v>84212</v>
      </c>
      <c r="AC424" s="41">
        <v>13</v>
      </c>
      <c r="AD424" s="41">
        <v>3</v>
      </c>
      <c r="AE424" s="41">
        <v>8592</v>
      </c>
      <c r="AF424" s="41">
        <v>204</v>
      </c>
      <c r="AG424" s="41">
        <v>30</v>
      </c>
      <c r="AH424" s="41">
        <v>4</v>
      </c>
      <c r="AI424" s="42">
        <v>0</v>
      </c>
      <c r="AJ424" s="24"/>
      <c r="AK424" s="24"/>
      <c r="AL424" s="24"/>
      <c r="AM424" s="24"/>
      <c r="AN424" s="24"/>
    </row>
    <row r="425">
      <c r="A425" s="25"/>
      <c r="B425" s="58" t="s">
        <v>44</v>
      </c>
      <c r="C425" s="58"/>
      <c r="D425" s="59">
        <f>SUM(D421:D424)</f>
      </c>
      <c r="E425" s="59">
        <f>SUM(E421:E424)</f>
      </c>
      <c r="F425" s="70">
        <f t="shared" si="302"/>
      </c>
      <c r="G425" s="80">
        <f>SUM(G421:G424)</f>
      </c>
      <c r="H425" s="81">
        <f t="shared" si="264"/>
      </c>
      <c r="I425" s="82">
        <f t="shared" si="55"/>
      </c>
      <c r="J425" s="69">
        <f t="shared" si="17"/>
      </c>
      <c r="K425" s="70">
        <f t="shared" si="131"/>
      </c>
      <c r="L425" s="83">
        <f t="shared" si="93"/>
      </c>
      <c r="M425" s="69">
        <f t="shared" si="226"/>
      </c>
      <c r="N425" s="68">
        <f t="shared" si="169"/>
      </c>
      <c r="O425" s="68">
        <f t="shared" si="188"/>
      </c>
      <c r="P425" s="68">
        <f t="shared" si="321"/>
      </c>
      <c r="Q425" s="68">
        <f t="shared" si="283"/>
      </c>
      <c r="R425" s="69">
        <f t="shared" si="74"/>
      </c>
      <c r="S425" s="70">
        <f t="shared" si="36"/>
      </c>
      <c r="T425" s="68">
        <f t="shared" si="150"/>
      </c>
      <c r="U425" s="68">
        <f t="shared" si="112"/>
      </c>
      <c r="V425" s="68">
        <f t="shared" si="245"/>
      </c>
      <c r="W425" s="68">
        <f t="shared" si="207"/>
      </c>
      <c r="X425" s="68"/>
      <c r="Y425" s="71"/>
      <c r="Z425" s="59">
        <f>SUM(Z421:Z424)</f>
      </c>
      <c r="AA425" s="59">
        <f>SUM(AA421:AA424)</f>
      </c>
      <c r="AB425" s="59">
        <f>SUM(AB421:AB424)</f>
      </c>
      <c r="AC425" s="59">
        <f>SUM(AC421:AC424)</f>
      </c>
      <c r="AD425" s="59">
        <f>SUM(AD421:AD424)</f>
      </c>
      <c r="AE425" s="59">
        <f>SUM(AE421:AE424)</f>
      </c>
      <c r="AF425" s="59">
        <f>SUM(AF421:AF424)</f>
      </c>
      <c r="AG425" s="59">
        <f>SUM(AG421:AG424)</f>
      </c>
      <c r="AH425" s="59">
        <f>SUM(AH421:AH424)</f>
      </c>
      <c r="AI425" s="59">
        <f>SUM(AI421:AI424)</f>
      </c>
      <c r="AJ425" s="24"/>
      <c r="AK425" s="24"/>
      <c r="AL425" s="24"/>
      <c r="AM425" s="24"/>
      <c r="AN425" s="24"/>
    </row>
    <row r="426">
      <c r="A426" s="25"/>
      <c r="B426" s="72" t="s">
        <v>36</v>
      </c>
      <c r="C426" s="78" t="s">
        <v>58</v>
      </c>
      <c r="D426" s="57">
        <v>871.0640000000001</v>
      </c>
      <c r="E426" s="45">
        <v>6</v>
      </c>
      <c r="F426" s="30">
        <f t="shared" si="302"/>
      </c>
      <c r="G426" s="23">
        <v>1325.2000000000007</v>
      </c>
      <c r="H426" s="49">
        <f t="shared" si="264"/>
      </c>
      <c r="I426" s="33">
        <f t="shared" si="55"/>
      </c>
      <c r="J426" s="34">
        <f t="shared" si="17"/>
      </c>
      <c r="K426" s="35">
        <f t="shared" si="131"/>
      </c>
      <c r="L426" s="79">
        <f t="shared" si="93"/>
      </c>
      <c r="M426" s="54">
        <f t="shared" si="226"/>
      </c>
      <c r="N426" s="55">
        <f t="shared" si="169"/>
      </c>
      <c r="O426" s="55">
        <f t="shared" si="188"/>
      </c>
      <c r="P426" s="55">
        <f t="shared" si="321"/>
      </c>
      <c r="Q426" s="55">
        <f t="shared" si="283"/>
      </c>
      <c r="R426" s="54">
        <f t="shared" si="74"/>
      </c>
      <c r="S426" s="56">
        <f t="shared" si="36"/>
      </c>
      <c r="T426" s="55">
        <f t="shared" si="150"/>
      </c>
      <c r="U426" s="55">
        <f t="shared" si="112"/>
      </c>
      <c r="V426" s="55">
        <f t="shared" si="245"/>
      </c>
      <c r="W426" s="55">
        <f t="shared" si="207"/>
      </c>
      <c r="X426" s="38" t="s">
        <v>52</v>
      </c>
      <c r="Y426" s="86" t="s">
        <v>39</v>
      </c>
      <c r="Z426" s="41">
        <v>35120</v>
      </c>
      <c r="AA426" s="41">
        <v>7256</v>
      </c>
      <c r="AB426" s="41">
        <v>34368</v>
      </c>
      <c r="AC426" s="41">
        <v>59</v>
      </c>
      <c r="AD426" s="41">
        <v>6</v>
      </c>
      <c r="AE426" s="41">
        <v>2705</v>
      </c>
      <c r="AF426" s="41">
        <v>93</v>
      </c>
      <c r="AG426" s="41">
        <v>11</v>
      </c>
      <c r="AH426" s="41">
        <v>5</v>
      </c>
      <c r="AI426" s="42">
        <v>1</v>
      </c>
      <c r="AJ426" s="24"/>
      <c r="AK426" s="24"/>
      <c r="AL426" s="24"/>
      <c r="AM426" s="24"/>
      <c r="AN426" s="24"/>
    </row>
    <row r="427">
      <c r="A427" s="25"/>
      <c r="B427" s="72" t="s">
        <v>36</v>
      </c>
      <c r="C427" s="78" t="s">
        <v>59</v>
      </c>
      <c r="D427" s="57">
        <v>3437.0740000000005</v>
      </c>
      <c r="E427" s="45">
        <v>17</v>
      </c>
      <c r="F427" s="30">
        <f t="shared" si="302"/>
      </c>
      <c r="G427" s="23">
        <v>6903.000000000007</v>
      </c>
      <c r="H427" s="49">
        <f t="shared" si="264"/>
      </c>
      <c r="I427" s="33">
        <f t="shared" si="55"/>
      </c>
      <c r="J427" s="34">
        <f t="shared" si="17"/>
      </c>
      <c r="K427" s="35">
        <f t="shared" si="131"/>
      </c>
      <c r="L427" s="79">
        <f t="shared" si="93"/>
      </c>
      <c r="M427" s="54">
        <f t="shared" si="226"/>
      </c>
      <c r="N427" s="55">
        <f t="shared" si="169"/>
      </c>
      <c r="O427" s="55">
        <f t="shared" si="188"/>
      </c>
      <c r="P427" s="55">
        <f t="shared" si="321"/>
      </c>
      <c r="Q427" s="55">
        <f t="shared" si="283"/>
      </c>
      <c r="R427" s="54">
        <f t="shared" si="74"/>
      </c>
      <c r="S427" s="56">
        <f t="shared" si="36"/>
      </c>
      <c r="T427" s="55">
        <f t="shared" si="150"/>
      </c>
      <c r="U427" s="55">
        <f t="shared" si="112"/>
      </c>
      <c r="V427" s="55">
        <f t="shared" si="245"/>
      </c>
      <c r="W427" s="55">
        <f t="shared" si="207"/>
      </c>
      <c r="X427" s="38" t="s">
        <v>52</v>
      </c>
      <c r="Y427" s="86" t="s">
        <v>39</v>
      </c>
      <c r="Z427" s="41">
        <v>105126</v>
      </c>
      <c r="AA427" s="41">
        <v>26086</v>
      </c>
      <c r="AB427" s="41">
        <v>210682</v>
      </c>
      <c r="AC427" s="41">
        <v>491</v>
      </c>
      <c r="AD427" s="41">
        <v>11</v>
      </c>
      <c r="AE427" s="41">
        <v>13002</v>
      </c>
      <c r="AF427" s="41">
        <v>254</v>
      </c>
      <c r="AG427" s="41">
        <v>45</v>
      </c>
      <c r="AH427" s="41">
        <v>10</v>
      </c>
      <c r="AI427" s="42">
        <v>3</v>
      </c>
      <c r="AJ427" s="24"/>
      <c r="AK427" s="24"/>
      <c r="AL427" s="24"/>
      <c r="AM427" s="24"/>
      <c r="AN427" s="24"/>
    </row>
    <row r="428">
      <c r="A428" s="25"/>
      <c r="B428" s="72" t="s">
        <v>36</v>
      </c>
      <c r="C428" s="78" t="s">
        <v>60</v>
      </c>
      <c r="D428" s="57">
        <v>4391.856</v>
      </c>
      <c r="E428" s="45">
        <v>16</v>
      </c>
      <c r="F428" s="30">
        <f t="shared" si="302"/>
      </c>
      <c r="G428" s="23">
        <v>4742.299999999996</v>
      </c>
      <c r="H428" s="49">
        <f t="shared" si="264"/>
      </c>
      <c r="I428" s="33">
        <f t="shared" si="55"/>
      </c>
      <c r="J428" s="34">
        <f t="shared" si="17"/>
      </c>
      <c r="K428" s="35">
        <f t="shared" si="131"/>
      </c>
      <c r="L428" s="79">
        <f t="shared" si="93"/>
      </c>
      <c r="M428" s="54">
        <f t="shared" si="226"/>
      </c>
      <c r="N428" s="55">
        <f t="shared" si="169"/>
      </c>
      <c r="O428" s="55">
        <f t="shared" si="188"/>
      </c>
      <c r="P428" s="55">
        <f t="shared" si="321"/>
      </c>
      <c r="Q428" s="55">
        <f t="shared" si="283"/>
      </c>
      <c r="R428" s="54">
        <f t="shared" si="74"/>
      </c>
      <c r="S428" s="56">
        <f t="shared" si="36"/>
      </c>
      <c r="T428" s="55">
        <f t="shared" si="150"/>
      </c>
      <c r="U428" s="55">
        <f t="shared" si="112"/>
      </c>
      <c r="V428" s="55">
        <f t="shared" si="245"/>
      </c>
      <c r="W428" s="55">
        <f t="shared" si="207"/>
      </c>
      <c r="X428" s="38" t="s">
        <v>52</v>
      </c>
      <c r="Y428" s="86" t="s">
        <v>39</v>
      </c>
      <c r="Z428" s="41">
        <v>174384</v>
      </c>
      <c r="AA428" s="41">
        <v>49657</v>
      </c>
      <c r="AB428" s="41">
        <v>302002</v>
      </c>
      <c r="AC428" s="41">
        <v>675</v>
      </c>
      <c r="AD428" s="41">
        <v>16</v>
      </c>
      <c r="AE428" s="41">
        <v>22687</v>
      </c>
      <c r="AF428" s="41">
        <v>381</v>
      </c>
      <c r="AG428" s="41">
        <v>121</v>
      </c>
      <c r="AH428" s="41">
        <v>19</v>
      </c>
      <c r="AI428" s="42">
        <v>1</v>
      </c>
      <c r="AJ428" s="24"/>
      <c r="AK428" s="24"/>
      <c r="AL428" s="24"/>
      <c r="AM428" s="24"/>
      <c r="AN428" s="24"/>
    </row>
    <row r="429">
      <c r="A429" s="25"/>
      <c r="B429" s="72" t="s">
        <v>36</v>
      </c>
      <c r="C429" s="78" t="s">
        <v>61</v>
      </c>
      <c r="D429" s="57">
        <v>1861.437</v>
      </c>
      <c r="E429" s="45">
        <v>8</v>
      </c>
      <c r="F429" s="30">
        <f t="shared" si="302"/>
      </c>
      <c r="G429" s="23">
        <v>4651.199999999997</v>
      </c>
      <c r="H429" s="49">
        <f t="shared" si="264"/>
      </c>
      <c r="I429" s="33">
        <f t="shared" si="55"/>
      </c>
      <c r="J429" s="34">
        <f t="shared" si="17"/>
      </c>
      <c r="K429" s="35">
        <f t="shared" si="131"/>
      </c>
      <c r="L429" s="79">
        <f t="shared" si="93"/>
      </c>
      <c r="M429" s="54">
        <f t="shared" si="226"/>
      </c>
      <c r="N429" s="55">
        <f t="shared" si="169"/>
      </c>
      <c r="O429" s="55">
        <f t="shared" si="188"/>
      </c>
      <c r="P429" s="55">
        <f t="shared" si="321"/>
      </c>
      <c r="Q429" s="55">
        <f t="shared" si="283"/>
      </c>
      <c r="R429" s="54">
        <f t="shared" si="74"/>
      </c>
      <c r="S429" s="56">
        <f t="shared" si="36"/>
      </c>
      <c r="T429" s="55">
        <f t="shared" si="150"/>
      </c>
      <c r="U429" s="55">
        <f t="shared" si="112"/>
      </c>
      <c r="V429" s="55">
        <f t="shared" si="245"/>
      </c>
      <c r="W429" s="55">
        <f t="shared" si="207"/>
      </c>
      <c r="X429" s="38" t="s">
        <v>52</v>
      </c>
      <c r="Y429" s="86" t="s">
        <v>39</v>
      </c>
      <c r="Z429" s="41">
        <v>60845</v>
      </c>
      <c r="AA429" s="41">
        <v>13517</v>
      </c>
      <c r="AB429" s="41">
        <v>86756</v>
      </c>
      <c r="AC429" s="41">
        <v>101</v>
      </c>
      <c r="AD429" s="41">
        <v>5</v>
      </c>
      <c r="AE429" s="41">
        <v>6254</v>
      </c>
      <c r="AF429" s="41">
        <v>154</v>
      </c>
      <c r="AG429" s="41">
        <v>30</v>
      </c>
      <c r="AH429" s="41">
        <v>6</v>
      </c>
      <c r="AI429" s="42">
        <v>1</v>
      </c>
      <c r="AJ429" s="24"/>
      <c r="AK429" s="24"/>
      <c r="AL429" s="24"/>
      <c r="AM429" s="24"/>
      <c r="AN429" s="24"/>
    </row>
    <row r="430">
      <c r="A430" s="25"/>
      <c r="B430" s="72" t="s">
        <v>36</v>
      </c>
      <c r="C430" s="78" t="s">
        <v>62</v>
      </c>
      <c r="D430" s="57">
        <v>1673.525</v>
      </c>
      <c r="E430" s="45">
        <v>7</v>
      </c>
      <c r="F430" s="47">
        <f t="shared" si="302"/>
      </c>
      <c r="G430" s="23">
        <v>2164.7999999999956</v>
      </c>
      <c r="H430" s="49">
        <f t="shared" si="264"/>
      </c>
      <c r="I430" s="50">
        <f t="shared" si="55"/>
      </c>
      <c r="J430" s="51">
        <f t="shared" si="17"/>
      </c>
      <c r="K430" s="52">
        <f t="shared" si="131"/>
      </c>
      <c r="L430" s="53">
        <f t="shared" si="93"/>
      </c>
      <c r="M430" s="54">
        <f t="shared" si="226"/>
      </c>
      <c r="N430" s="55">
        <f t="shared" si="169"/>
      </c>
      <c r="O430" s="55">
        <f t="shared" si="188"/>
      </c>
      <c r="P430" s="55">
        <f t="shared" si="321"/>
      </c>
      <c r="Q430" s="55">
        <f t="shared" si="283"/>
      </c>
      <c r="R430" s="54">
        <f t="shared" si="74"/>
      </c>
      <c r="S430" s="56">
        <f t="shared" si="36"/>
      </c>
      <c r="T430" s="55">
        <f t="shared" si="150"/>
      </c>
      <c r="U430" s="55">
        <f t="shared" si="112"/>
      </c>
      <c r="V430" s="55">
        <f t="shared" si="245"/>
      </c>
      <c r="W430" s="55">
        <f t="shared" si="207"/>
      </c>
      <c r="X430" s="38" t="s">
        <v>52</v>
      </c>
      <c r="Y430" s="86" t="s">
        <v>39</v>
      </c>
      <c r="Z430" s="40">
        <v>61459</v>
      </c>
      <c r="AA430" s="40">
        <v>12830</v>
      </c>
      <c r="AB430" s="40">
        <v>105488</v>
      </c>
      <c r="AC430" s="40">
        <v>259</v>
      </c>
      <c r="AD430" s="40">
        <v>4</v>
      </c>
      <c r="AE430" s="40">
        <v>6474</v>
      </c>
      <c r="AF430" s="41">
        <v>99</v>
      </c>
      <c r="AG430" s="41">
        <v>36</v>
      </c>
      <c r="AH430" s="41">
        <v>6</v>
      </c>
      <c r="AI430" s="42">
        <v>2</v>
      </c>
      <c r="AJ430" s="24"/>
      <c r="AK430" s="24"/>
      <c r="AL430" s="24"/>
      <c r="AM430" s="24"/>
      <c r="AN430" s="24"/>
    </row>
    <row r="431">
      <c r="A431" s="25"/>
      <c r="B431" s="58" t="s">
        <v>44</v>
      </c>
      <c r="C431" s="58"/>
      <c r="D431" s="59">
        <f>SUM(D426:D430)</f>
      </c>
      <c r="E431" s="59">
        <f>SUM(E426:E430)</f>
      </c>
      <c r="F431" s="61">
        <f t="shared" si="302"/>
      </c>
      <c r="G431" s="62">
        <f>SUM(G426:G430)</f>
      </c>
      <c r="H431" s="63">
        <f t="shared" si="264"/>
      </c>
      <c r="I431" s="64">
        <f t="shared" si="55"/>
      </c>
      <c r="J431" s="65">
        <f t="shared" si="17"/>
      </c>
      <c r="K431" s="61">
        <f t="shared" si="131"/>
      </c>
      <c r="L431" s="66">
        <f t="shared" si="93"/>
      </c>
      <c r="M431" s="65">
        <f t="shared" si="226"/>
      </c>
      <c r="N431" s="67">
        <f t="shared" si="169"/>
      </c>
      <c r="O431" s="67">
        <f t="shared" si="188"/>
      </c>
      <c r="P431" s="68">
        <f t="shared" si="321"/>
      </c>
      <c r="Q431" s="68">
        <f t="shared" si="283"/>
      </c>
      <c r="R431" s="69">
        <f t="shared" si="74"/>
      </c>
      <c r="S431" s="70">
        <f t="shared" si="36"/>
      </c>
      <c r="T431" s="68">
        <f t="shared" si="150"/>
      </c>
      <c r="U431" s="68">
        <f t="shared" si="112"/>
      </c>
      <c r="V431" s="68">
        <f t="shared" si="245"/>
      </c>
      <c r="W431" s="68">
        <f t="shared" si="207"/>
      </c>
      <c r="X431" s="68"/>
      <c r="Y431" s="71"/>
      <c r="Z431" s="59">
        <f>SUM(Z426:Z430)</f>
      </c>
      <c r="AA431" s="59">
        <f>SUM(AA426:AA430)</f>
      </c>
      <c r="AB431" s="59">
        <f>SUM(AB426:AB430)</f>
      </c>
      <c r="AC431" s="59">
        <f>SUM(AC426:AC430)</f>
      </c>
      <c r="AD431" s="59">
        <f>SUM(AD426:AD430)</f>
      </c>
      <c r="AE431" s="59">
        <f>SUM(AE426:AE430)</f>
      </c>
      <c r="AF431" s="59">
        <f>SUM(AF426:AF430)</f>
      </c>
      <c r="AG431" s="59">
        <f>SUM(AG426:AG430)</f>
      </c>
      <c r="AH431" s="59">
        <f>SUM(AH426:AH430)</f>
      </c>
      <c r="AI431" s="59">
        <f>SUM(AI426:AI430)</f>
      </c>
      <c r="AJ431" s="24"/>
      <c r="AK431" s="24"/>
      <c r="AL431" s="24"/>
      <c r="AM431" s="24"/>
      <c r="AN431" s="24"/>
    </row>
    <row r="432">
      <c r="A432" s="25"/>
      <c r="B432" s="89" t="s">
        <v>63</v>
      </c>
      <c r="C432" s="89"/>
      <c r="D432" s="90">
        <f>SUM(D431+D415+D420+D425)</f>
      </c>
      <c r="E432" s="91">
        <f>SUM(E431+E415+E420+E425)</f>
      </c>
      <c r="F432" s="92">
        <f t="shared" si="302"/>
      </c>
      <c r="G432" s="93">
        <f>SUM(G431+G415+G420+G425)</f>
      </c>
      <c r="H432" s="94">
        <f t="shared" si="264"/>
      </c>
      <c r="I432" s="95">
        <f t="shared" si="55"/>
      </c>
      <c r="J432" s="96">
        <f t="shared" si="17"/>
      </c>
      <c r="K432" s="92">
        <f t="shared" si="131"/>
      </c>
      <c r="L432" s="97">
        <f t="shared" si="93"/>
      </c>
      <c r="M432" s="97">
        <f t="shared" si="226"/>
      </c>
      <c r="N432" s="98">
        <f t="shared" si="169"/>
      </c>
      <c r="O432" s="98">
        <f t="shared" si="188"/>
      </c>
      <c r="P432" s="98">
        <f t="shared" si="321"/>
      </c>
      <c r="Q432" s="98">
        <f t="shared" si="283"/>
      </c>
      <c r="R432" s="99">
        <f t="shared" si="74"/>
      </c>
      <c r="S432" s="100">
        <f t="shared" si="36"/>
      </c>
      <c r="T432" s="101">
        <f t="shared" si="150"/>
      </c>
      <c r="U432" s="101">
        <f t="shared" si="112"/>
      </c>
      <c r="V432" s="101">
        <f t="shared" si="245"/>
      </c>
      <c r="W432" s="101">
        <f t="shared" si="207"/>
      </c>
      <c r="X432" s="101"/>
      <c r="Y432" s="102"/>
      <c r="Z432" s="103">
        <f>SUM(Z415+Z431+Z420+Z425)</f>
      </c>
      <c r="AA432" s="103">
        <f>SUM(AA415+AA431+AA420+AA425)</f>
      </c>
      <c r="AB432" s="103">
        <f>SUM(AB415+AB431+AB420+AB425)</f>
      </c>
      <c r="AC432" s="103">
        <f>SUM(AC415+AC431+AC420+AC425)</f>
      </c>
      <c r="AD432" s="103">
        <f>SUM(AD415+AD431+AD420+AD425)</f>
      </c>
      <c r="AE432" s="103">
        <f>SUM(AE415+AE431+AE420+AE425)</f>
      </c>
      <c r="AF432" s="103">
        <f>SUM(AF415+AF431+AF420+AF425)</f>
      </c>
      <c r="AG432" s="103">
        <f>SUM(AG415+AG431+AG420+AG425)</f>
      </c>
      <c r="AH432" s="103">
        <f>SUM(AH415+AH431+AH420+AH425)</f>
      </c>
      <c r="AI432" s="103">
        <f>SUM(AI415+AI431+AI420+AI425)</f>
      </c>
      <c r="AJ432" s="24"/>
      <c r="AK432" s="24"/>
      <c r="AL432" s="24"/>
      <c r="AM432" s="24"/>
      <c r="AN432" s="24"/>
    </row>
    <row r="433">
      <c r="A433" s="1" t="s">
        <v>1</v>
      </c>
      <c r="B433" s="2" t="s">
        <v>2</v>
      </c>
      <c r="C433" s="3" t="s">
        <v>3</v>
      </c>
      <c r="D433" s="4" t="s">
        <v>4</v>
      </c>
      <c r="E433" s="5" t="s">
        <v>5</v>
      </c>
      <c r="F433" s="6" t="s">
        <v>6</v>
      </c>
      <c r="G433" s="7" t="s">
        <v>7</v>
      </c>
      <c r="H433" s="8" t="s">
        <v>8</v>
      </c>
      <c r="I433" s="9" t="s">
        <v>9</v>
      </c>
      <c r="J433" s="10" t="s">
        <v>10</v>
      </c>
      <c r="K433" s="11" t="s">
        <v>11</v>
      </c>
      <c r="L433" s="12" t="s">
        <v>12</v>
      </c>
      <c r="M433" s="12" t="s">
        <v>13</v>
      </c>
      <c r="N433" s="13" t="s">
        <v>14</v>
      </c>
      <c r="O433" s="13" t="s">
        <v>15</v>
      </c>
      <c r="P433" s="13" t="s">
        <v>16</v>
      </c>
      <c r="Q433" s="13" t="s">
        <v>17</v>
      </c>
      <c r="R433" s="14" t="s">
        <v>18</v>
      </c>
      <c r="S433" s="15" t="s">
        <v>19</v>
      </c>
      <c r="T433" s="16" t="s">
        <v>20</v>
      </c>
      <c r="U433" s="16" t="s">
        <v>21</v>
      </c>
      <c r="V433" s="16" t="s">
        <v>22</v>
      </c>
      <c r="W433" s="16" t="s">
        <v>23</v>
      </c>
      <c r="X433" s="17" t="s">
        <v>24</v>
      </c>
      <c r="Y433" s="18" t="s">
        <v>25</v>
      </c>
      <c r="Z433" s="19" t="s">
        <v>26</v>
      </c>
      <c r="AA433" s="19" t="s">
        <v>27</v>
      </c>
      <c r="AB433" s="19" t="s">
        <v>28</v>
      </c>
      <c r="AC433" s="20" t="s">
        <v>29</v>
      </c>
      <c r="AD433" s="20" t="s">
        <v>30</v>
      </c>
      <c r="AE433" s="21" t="s">
        <v>31</v>
      </c>
      <c r="AF433" s="20" t="s">
        <v>32</v>
      </c>
      <c r="AG433" s="20" t="s">
        <v>33</v>
      </c>
      <c r="AH433" s="22" t="s">
        <v>34</v>
      </c>
      <c r="AI433" s="23" t="s">
        <v>35</v>
      </c>
      <c r="AJ433" s="24"/>
      <c r="AK433" s="24"/>
      <c r="AL433" s="24"/>
      <c r="AM433" s="24"/>
      <c r="AN433" s="24"/>
    </row>
    <row r="434">
      <c r="A434" s="25">
        <v>46314</v>
      </c>
      <c r="B434" s="26" t="s">
        <v>57</v>
      </c>
      <c r="C434" s="27" t="s">
        <v>37</v>
      </c>
      <c r="D434" s="104">
        <v>885.19</v>
      </c>
      <c r="E434" s="29">
        <v>2</v>
      </c>
      <c r="F434" s="30">
        <f t="shared" ref="F434:F456" si="303">D434/E434</f>
      </c>
      <c r="G434" s="31">
        <v>456</v>
      </c>
      <c r="H434" s="49">
        <f t="shared" ref="H434:H456" si="265">AD434</f>
      </c>
      <c r="I434" s="33">
        <f t="shared" ref="I434:I456" si="56">D434/AD434</f>
      </c>
      <c r="J434" s="34">
        <f t="shared" ref="J434:J456" si="18">G434/E434</f>
      </c>
      <c r="K434" s="35">
        <f t="shared" ref="K434:K456" si="132">G434/D434</f>
      </c>
      <c r="L434" s="36">
        <f t="shared" ref="L434:L456" si="94">D434/AB434</f>
      </c>
      <c r="M434" s="34">
        <f t="shared" ref="M434:M456" si="227">D434/AC434</f>
      </c>
      <c r="N434" s="37">
        <f t="shared" ref="N434:N456" si="170">AC434/AB434</f>
      </c>
      <c r="O434" s="37">
        <f t="shared" ref="O434:O456" si="189">AD434/AC434</f>
      </c>
      <c r="P434" s="37">
        <f t="shared" ref="P434:P456" si="322">AA434/Z434</f>
      </c>
      <c r="Q434" s="37">
        <f t="shared" ref="Q434:Q456" si="284">AD434/AA434</f>
      </c>
      <c r="R434" s="34">
        <f t="shared" ref="R434:R456" si="75">D434/Z434*1000</f>
      </c>
      <c r="S434" s="35">
        <f t="shared" ref="S434:S456" si="37">D434/AA434</f>
      </c>
      <c r="T434" s="37">
        <f t="shared" ref="T434:T456" si="151">AE434/AB434</f>
      </c>
      <c r="U434" s="37">
        <f t="shared" ref="U434:U456" si="113">AF434/AB434</f>
      </c>
      <c r="V434" s="37">
        <f t="shared" ref="V434:V456" si="246">AG434/AB434</f>
      </c>
      <c r="W434" s="37">
        <f t="shared" ref="W434:W456" si="208">AH434/AB434</f>
      </c>
      <c r="X434" s="38" t="s">
        <v>52</v>
      </c>
      <c r="Y434" s="86" t="s">
        <v>67</v>
      </c>
      <c r="Z434" s="40">
        <v>26567</v>
      </c>
      <c r="AA434" s="40">
        <v>8584</v>
      </c>
      <c r="AB434" s="40">
        <v>35674</v>
      </c>
      <c r="AC434" s="40">
        <v>115</v>
      </c>
      <c r="AD434" s="41">
        <v>1</v>
      </c>
      <c r="AE434" s="40">
        <v>4424</v>
      </c>
      <c r="AF434" s="41">
        <v>111</v>
      </c>
      <c r="AG434" s="41">
        <v>16</v>
      </c>
      <c r="AH434" s="41">
        <v>3</v>
      </c>
      <c r="AI434" s="42">
        <v>0</v>
      </c>
      <c r="AJ434" s="24"/>
      <c r="AK434" s="24"/>
      <c r="AL434" s="24"/>
      <c r="AM434" s="24"/>
      <c r="AN434" s="24"/>
    </row>
    <row r="435">
      <c r="A435" s="25"/>
      <c r="B435" s="26" t="s">
        <v>57</v>
      </c>
      <c r="C435" s="27" t="s">
        <v>40</v>
      </c>
      <c r="D435" s="104">
        <v>2221.331</v>
      </c>
      <c r="E435" s="29">
        <v>6</v>
      </c>
      <c r="F435" s="30">
        <f t="shared" si="303"/>
      </c>
      <c r="G435" s="31">
        <v>1335.6000000000001</v>
      </c>
      <c r="H435" s="49">
        <f t="shared" si="265"/>
      </c>
      <c r="I435" s="33">
        <f t="shared" si="56"/>
      </c>
      <c r="J435" s="34">
        <f t="shared" si="18"/>
      </c>
      <c r="K435" s="35">
        <f t="shared" si="132"/>
      </c>
      <c r="L435" s="36">
        <f t="shared" si="94"/>
      </c>
      <c r="M435" s="34">
        <f t="shared" si="227"/>
      </c>
      <c r="N435" s="37">
        <f t="shared" si="170"/>
      </c>
      <c r="O435" s="37">
        <f t="shared" si="189"/>
      </c>
      <c r="P435" s="37">
        <f t="shared" si="322"/>
      </c>
      <c r="Q435" s="37">
        <f t="shared" si="284"/>
      </c>
      <c r="R435" s="34">
        <f t="shared" si="75"/>
      </c>
      <c r="S435" s="35">
        <f t="shared" si="37"/>
      </c>
      <c r="T435" s="37">
        <f t="shared" si="151"/>
      </c>
      <c r="U435" s="37">
        <f t="shared" si="113"/>
      </c>
      <c r="V435" s="37">
        <f t="shared" si="246"/>
      </c>
      <c r="W435" s="37">
        <f t="shared" si="208"/>
      </c>
      <c r="X435" s="38" t="s">
        <v>52</v>
      </c>
      <c r="Y435" s="86" t="s">
        <v>67</v>
      </c>
      <c r="Z435" s="41">
        <v>68111</v>
      </c>
      <c r="AA435" s="40">
        <v>21060</v>
      </c>
      <c r="AB435" s="40">
        <v>98585</v>
      </c>
      <c r="AC435" s="40">
        <v>202</v>
      </c>
      <c r="AD435" s="41">
        <v>7</v>
      </c>
      <c r="AE435" s="40">
        <v>12886</v>
      </c>
      <c r="AF435" s="41">
        <v>262</v>
      </c>
      <c r="AG435" s="41">
        <v>41</v>
      </c>
      <c r="AH435" s="41">
        <v>8</v>
      </c>
      <c r="AI435" s="42">
        <v>1</v>
      </c>
      <c r="AJ435" s="24"/>
      <c r="AK435" s="24"/>
      <c r="AL435" s="24"/>
      <c r="AM435" s="24"/>
      <c r="AN435" s="24"/>
    </row>
    <row r="436">
      <c r="A436" s="25"/>
      <c r="B436" s="26" t="s">
        <v>57</v>
      </c>
      <c r="C436" s="43" t="s">
        <v>41</v>
      </c>
      <c r="D436" s="84">
        <v>1763.4940000000001</v>
      </c>
      <c r="E436" s="45">
        <v>2</v>
      </c>
      <c r="F436" s="47">
        <f t="shared" si="303"/>
      </c>
      <c r="G436" s="45">
        <v>1056.0000000000002</v>
      </c>
      <c r="H436" s="49">
        <f t="shared" si="265"/>
      </c>
      <c r="I436" s="50">
        <f t="shared" si="56"/>
      </c>
      <c r="J436" s="51">
        <f t="shared" si="18"/>
      </c>
      <c r="K436" s="52">
        <f t="shared" si="132"/>
      </c>
      <c r="L436" s="76">
        <f t="shared" si="94"/>
      </c>
      <c r="M436" s="34">
        <f t="shared" si="227"/>
      </c>
      <c r="N436" s="37">
        <f t="shared" si="170"/>
      </c>
      <c r="O436" s="37">
        <f t="shared" si="189"/>
      </c>
      <c r="P436" s="37">
        <f t="shared" si="322"/>
      </c>
      <c r="Q436" s="37">
        <f t="shared" si="284"/>
      </c>
      <c r="R436" s="34">
        <f t="shared" si="75"/>
      </c>
      <c r="S436" s="35">
        <f t="shared" si="37"/>
      </c>
      <c r="T436" s="37">
        <f t="shared" si="151"/>
      </c>
      <c r="U436" s="37">
        <f t="shared" si="113"/>
      </c>
      <c r="V436" s="37">
        <f t="shared" si="246"/>
      </c>
      <c r="W436" s="37">
        <f t="shared" si="208"/>
      </c>
      <c r="X436" s="38" t="s">
        <v>52</v>
      </c>
      <c r="Y436" s="86" t="s">
        <v>67</v>
      </c>
      <c r="Z436" s="41">
        <v>69094</v>
      </c>
      <c r="AA436" s="41">
        <v>19705</v>
      </c>
      <c r="AB436" s="41">
        <v>89382</v>
      </c>
      <c r="AC436" s="41">
        <v>308</v>
      </c>
      <c r="AD436" s="41">
        <v>2</v>
      </c>
      <c r="AE436" s="41">
        <v>11511</v>
      </c>
      <c r="AF436" s="41">
        <v>315</v>
      </c>
      <c r="AG436" s="41">
        <v>44</v>
      </c>
      <c r="AH436" s="41">
        <v>6</v>
      </c>
      <c r="AI436" s="42">
        <v>0</v>
      </c>
      <c r="AJ436" s="24"/>
      <c r="AK436" s="24"/>
      <c r="AL436" s="24"/>
      <c r="AM436" s="24"/>
      <c r="AN436" s="24"/>
    </row>
    <row r="437">
      <c r="A437" s="25"/>
      <c r="B437" s="26" t="s">
        <v>57</v>
      </c>
      <c r="C437" s="46" t="s">
        <v>42</v>
      </c>
      <c r="D437" s="84">
        <v>2712.923</v>
      </c>
      <c r="E437" s="45">
        <v>4</v>
      </c>
      <c r="F437" s="47">
        <f t="shared" si="303"/>
      </c>
      <c r="G437" s="45">
        <v>2080</v>
      </c>
      <c r="H437" s="49">
        <f t="shared" si="265"/>
      </c>
      <c r="I437" s="50">
        <f t="shared" si="56"/>
      </c>
      <c r="J437" s="51">
        <f t="shared" si="18"/>
      </c>
      <c r="K437" s="52">
        <f t="shared" si="132"/>
      </c>
      <c r="L437" s="53">
        <f t="shared" si="94"/>
      </c>
      <c r="M437" s="54">
        <f t="shared" si="227"/>
      </c>
      <c r="N437" s="55">
        <f t="shared" si="170"/>
      </c>
      <c r="O437" s="55">
        <f t="shared" si="189"/>
      </c>
      <c r="P437" s="55">
        <f t="shared" si="322"/>
      </c>
      <c r="Q437" s="55">
        <f t="shared" si="284"/>
      </c>
      <c r="R437" s="54">
        <f t="shared" si="75"/>
      </c>
      <c r="S437" s="56">
        <f t="shared" si="37"/>
      </c>
      <c r="T437" s="55">
        <f t="shared" si="151"/>
      </c>
      <c r="U437" s="55">
        <f t="shared" si="113"/>
      </c>
      <c r="V437" s="55">
        <f t="shared" si="246"/>
      </c>
      <c r="W437" s="55">
        <f t="shared" si="208"/>
      </c>
      <c r="X437" s="38" t="s">
        <v>52</v>
      </c>
      <c r="Y437" s="86" t="s">
        <v>67</v>
      </c>
      <c r="Z437" s="40">
        <v>88269</v>
      </c>
      <c r="AA437" s="40">
        <v>24767</v>
      </c>
      <c r="AB437" s="40">
        <v>142215</v>
      </c>
      <c r="AC437" s="40">
        <v>469</v>
      </c>
      <c r="AD437" s="40">
        <v>4</v>
      </c>
      <c r="AE437" s="40">
        <v>15295</v>
      </c>
      <c r="AF437" s="41">
        <v>401</v>
      </c>
      <c r="AG437" s="41">
        <v>68</v>
      </c>
      <c r="AH437" s="41">
        <v>12</v>
      </c>
      <c r="AI437" s="42">
        <v>0</v>
      </c>
      <c r="AJ437" s="24"/>
      <c r="AK437" s="24"/>
      <c r="AL437" s="24"/>
      <c r="AM437" s="24"/>
      <c r="AN437" s="24"/>
    </row>
    <row r="438">
      <c r="A438" s="25"/>
      <c r="B438" s="26" t="s">
        <v>57</v>
      </c>
      <c r="C438" s="46" t="s">
        <v>43</v>
      </c>
      <c r="D438" s="85">
        <v>2811.885</v>
      </c>
      <c r="E438" s="45">
        <v>10</v>
      </c>
      <c r="F438" s="47">
        <f t="shared" si="303"/>
      </c>
      <c r="G438" s="45">
        <v>5699.4</v>
      </c>
      <c r="H438" s="49">
        <f t="shared" si="265"/>
      </c>
      <c r="I438" s="50">
        <f t="shared" si="56"/>
      </c>
      <c r="J438" s="51">
        <f t="shared" si="18"/>
      </c>
      <c r="K438" s="52">
        <f t="shared" si="132"/>
      </c>
      <c r="L438" s="53">
        <f t="shared" si="94"/>
      </c>
      <c r="M438" s="108">
        <f t="shared" si="227"/>
      </c>
      <c r="N438" s="109">
        <f t="shared" si="170"/>
      </c>
      <c r="O438" s="109">
        <f t="shared" si="189"/>
      </c>
      <c r="P438" s="55">
        <f t="shared" si="322"/>
      </c>
      <c r="Q438" s="55">
        <f t="shared" si="284"/>
      </c>
      <c r="R438" s="54">
        <f t="shared" si="75"/>
      </c>
      <c r="S438" s="56">
        <f t="shared" si="37"/>
      </c>
      <c r="T438" s="55">
        <f t="shared" si="151"/>
      </c>
      <c r="U438" s="55">
        <f t="shared" si="113"/>
      </c>
      <c r="V438" s="55">
        <f t="shared" si="246"/>
      </c>
      <c r="W438" s="55">
        <f t="shared" si="208"/>
      </c>
      <c r="X438" s="38" t="s">
        <v>52</v>
      </c>
      <c r="Y438" s="86" t="s">
        <v>67</v>
      </c>
      <c r="Z438" s="40">
        <v>90541</v>
      </c>
      <c r="AA438" s="40">
        <v>22549</v>
      </c>
      <c r="AB438" s="40">
        <v>138357</v>
      </c>
      <c r="AC438" s="40">
        <v>455</v>
      </c>
      <c r="AD438" s="40">
        <v>4</v>
      </c>
      <c r="AE438" s="40">
        <v>13997</v>
      </c>
      <c r="AF438" s="41">
        <v>309</v>
      </c>
      <c r="AG438" s="41">
        <v>41</v>
      </c>
      <c r="AH438" s="41">
        <v>7</v>
      </c>
      <c r="AI438" s="42">
        <v>3</v>
      </c>
      <c r="AJ438" s="24"/>
      <c r="AK438" s="24"/>
      <c r="AL438" s="24"/>
      <c r="AM438" s="24"/>
      <c r="AN438" s="24"/>
    </row>
    <row r="439">
      <c r="A439" s="25"/>
      <c r="B439" s="58" t="s">
        <v>44</v>
      </c>
      <c r="C439" s="58"/>
      <c r="D439" s="59">
        <f>SUM(D434:D438)</f>
      </c>
      <c r="E439" s="60">
        <f>SUM(E434:E438)</f>
      </c>
      <c r="F439" s="61">
        <f t="shared" si="303"/>
      </c>
      <c r="G439" s="62">
        <f>SUM(G434:G438)</f>
      </c>
      <c r="H439" s="63">
        <f t="shared" si="265"/>
      </c>
      <c r="I439" s="64">
        <f t="shared" si="56"/>
      </c>
      <c r="J439" s="65">
        <f t="shared" si="18"/>
      </c>
      <c r="K439" s="61">
        <f t="shared" si="132"/>
      </c>
      <c r="L439" s="66">
        <f t="shared" si="94"/>
      </c>
      <c r="M439" s="65">
        <f t="shared" si="227"/>
      </c>
      <c r="N439" s="67">
        <f t="shared" si="170"/>
      </c>
      <c r="O439" s="67">
        <f t="shared" si="189"/>
      </c>
      <c r="P439" s="68">
        <f t="shared" si="322"/>
      </c>
      <c r="Q439" s="68">
        <f t="shared" si="284"/>
      </c>
      <c r="R439" s="69">
        <f t="shared" si="75"/>
      </c>
      <c r="S439" s="70">
        <f t="shared" si="37"/>
      </c>
      <c r="T439" s="68">
        <f t="shared" si="151"/>
      </c>
      <c r="U439" s="68">
        <f t="shared" si="113"/>
      </c>
      <c r="V439" s="68">
        <f t="shared" si="246"/>
      </c>
      <c r="W439" s="68">
        <f t="shared" si="208"/>
      </c>
      <c r="X439" s="68"/>
      <c r="Y439" s="71"/>
      <c r="Z439" s="59">
        <f>SUM(Z434:Z438)</f>
      </c>
      <c r="AA439" s="59">
        <f>SUM(AA434:AA438)</f>
      </c>
      <c r="AB439" s="59">
        <f>SUM(AB434:AB438)</f>
      </c>
      <c r="AC439" s="59">
        <f>SUM(AC434:AC438)</f>
      </c>
      <c r="AD439" s="59">
        <f>SUM(AD434:AD438)</f>
      </c>
      <c r="AE439" s="59">
        <f>SUM(AE434:AE438)</f>
      </c>
      <c r="AF439" s="59">
        <f>SUM(AF434:AF438)</f>
      </c>
      <c r="AG439" s="59">
        <f>SUM(AG434:AG438)</f>
      </c>
      <c r="AH439" s="59">
        <f>SUM(AH434:AH438)</f>
      </c>
      <c r="AI439" s="59">
        <f>SUM(AI434:AI438)</f>
      </c>
      <c r="AJ439" s="24"/>
      <c r="AK439" s="24"/>
      <c r="AL439" s="24"/>
      <c r="AM439" s="24"/>
      <c r="AN439" s="24"/>
    </row>
    <row r="440">
      <c r="A440" s="25"/>
      <c r="B440" s="72" t="s">
        <v>45</v>
      </c>
      <c r="C440" s="73" t="s">
        <v>46</v>
      </c>
      <c r="D440" s="105">
        <v>2811.4779999999996</v>
      </c>
      <c r="E440" s="75">
        <v>2</v>
      </c>
      <c r="F440" s="47">
        <f t="shared" si="303"/>
      </c>
      <c r="G440" s="45">
        <v>1056</v>
      </c>
      <c r="H440" s="49">
        <f t="shared" si="265"/>
      </c>
      <c r="I440" s="50">
        <f t="shared" si="56"/>
      </c>
      <c r="J440" s="51">
        <f t="shared" si="18"/>
      </c>
      <c r="K440" s="52">
        <f t="shared" si="132"/>
      </c>
      <c r="L440" s="76">
        <f t="shared" si="94"/>
      </c>
      <c r="M440" s="34">
        <f t="shared" si="227"/>
      </c>
      <c r="N440" s="37">
        <f t="shared" si="170"/>
      </c>
      <c r="O440" s="37">
        <f t="shared" si="189"/>
      </c>
      <c r="P440" s="37">
        <f t="shared" si="322"/>
      </c>
      <c r="Q440" s="37">
        <f t="shared" si="284"/>
      </c>
      <c r="R440" s="34">
        <f t="shared" si="75"/>
      </c>
      <c r="S440" s="35">
        <f t="shared" si="37"/>
      </c>
      <c r="T440" s="37">
        <f t="shared" si="151"/>
      </c>
      <c r="U440" s="37">
        <f t="shared" si="113"/>
      </c>
      <c r="V440" s="37">
        <f t="shared" si="246"/>
      </c>
      <c r="W440" s="37">
        <f t="shared" si="208"/>
      </c>
      <c r="X440" s="38" t="s">
        <v>52</v>
      </c>
      <c r="Y440" s="86" t="s">
        <v>67</v>
      </c>
      <c r="Z440" s="41">
        <v>86502</v>
      </c>
      <c r="AA440" s="41">
        <v>23176</v>
      </c>
      <c r="AB440" s="41">
        <v>146476</v>
      </c>
      <c r="AC440" s="41">
        <v>392</v>
      </c>
      <c r="AD440" s="41">
        <v>4</v>
      </c>
      <c r="AE440" s="41">
        <v>14078</v>
      </c>
      <c r="AF440" s="41">
        <v>312</v>
      </c>
      <c r="AG440" s="41">
        <v>43</v>
      </c>
      <c r="AH440" s="41">
        <v>4</v>
      </c>
      <c r="AI440" s="42">
        <v>0</v>
      </c>
      <c r="AJ440" s="24"/>
      <c r="AK440" s="24"/>
      <c r="AL440" s="24"/>
      <c r="AM440" s="24"/>
      <c r="AN440" s="24"/>
    </row>
    <row r="441">
      <c r="A441" s="25"/>
      <c r="B441" s="72" t="s">
        <v>45</v>
      </c>
      <c r="C441" s="77" t="s">
        <v>47</v>
      </c>
      <c r="D441" s="84">
        <v>3136.049</v>
      </c>
      <c r="E441" s="45">
        <v>7</v>
      </c>
      <c r="F441" s="47">
        <f t="shared" si="303"/>
      </c>
      <c r="G441" s="45">
        <v>3364</v>
      </c>
      <c r="H441" s="49">
        <f t="shared" si="265"/>
      </c>
      <c r="I441" s="50">
        <f t="shared" si="56"/>
      </c>
      <c r="J441" s="51">
        <f t="shared" si="18"/>
      </c>
      <c r="K441" s="52">
        <f t="shared" si="132"/>
      </c>
      <c r="L441" s="76">
        <f t="shared" si="94"/>
      </c>
      <c r="M441" s="34">
        <f t="shared" si="227"/>
      </c>
      <c r="N441" s="37">
        <f t="shared" si="170"/>
      </c>
      <c r="O441" s="37">
        <f t="shared" si="189"/>
      </c>
      <c r="P441" s="37">
        <f t="shared" si="322"/>
      </c>
      <c r="Q441" s="37">
        <f t="shared" si="284"/>
      </c>
      <c r="R441" s="34">
        <f t="shared" si="75"/>
      </c>
      <c r="S441" s="35">
        <f t="shared" si="37"/>
      </c>
      <c r="T441" s="37">
        <f t="shared" si="151"/>
      </c>
      <c r="U441" s="37">
        <f t="shared" si="113"/>
      </c>
      <c r="V441" s="37">
        <f t="shared" si="246"/>
      </c>
      <c r="W441" s="37">
        <f t="shared" si="208"/>
      </c>
      <c r="X441" s="38" t="s">
        <v>52</v>
      </c>
      <c r="Y441" s="86" t="s">
        <v>67</v>
      </c>
      <c r="Z441" s="41">
        <v>100186</v>
      </c>
      <c r="AA441" s="41">
        <v>17663</v>
      </c>
      <c r="AB441" s="41">
        <v>176497</v>
      </c>
      <c r="AC441" s="41">
        <v>460</v>
      </c>
      <c r="AD441" s="41">
        <v>7</v>
      </c>
      <c r="AE441" s="41">
        <v>13311</v>
      </c>
      <c r="AF441" s="41">
        <v>259</v>
      </c>
      <c r="AG441" s="41">
        <v>35</v>
      </c>
      <c r="AH441" s="41">
        <v>10</v>
      </c>
      <c r="AI441" s="42">
        <v>0</v>
      </c>
      <c r="AJ441" s="24"/>
      <c r="AK441" s="24"/>
      <c r="AL441" s="24"/>
      <c r="AM441" s="24"/>
      <c r="AN441" s="24"/>
    </row>
    <row r="442">
      <c r="A442" s="25"/>
      <c r="B442" s="72" t="s">
        <v>45</v>
      </c>
      <c r="C442" s="78" t="s">
        <v>48</v>
      </c>
      <c r="D442" s="84">
        <v>2847.868</v>
      </c>
      <c r="E442" s="110">
        <v>6</v>
      </c>
      <c r="F442" s="30">
        <f t="shared" si="303"/>
      </c>
      <c r="G442" s="45">
        <v>1304</v>
      </c>
      <c r="H442" s="49">
        <f t="shared" si="265"/>
      </c>
      <c r="I442" s="33">
        <f t="shared" si="56"/>
      </c>
      <c r="J442" s="34">
        <f t="shared" si="18"/>
      </c>
      <c r="K442" s="35">
        <f t="shared" si="132"/>
      </c>
      <c r="L442" s="79">
        <f t="shared" si="94"/>
      </c>
      <c r="M442" s="54">
        <f t="shared" si="227"/>
      </c>
      <c r="N442" s="55">
        <f t="shared" si="170"/>
      </c>
      <c r="O442" s="55">
        <f t="shared" si="189"/>
      </c>
      <c r="P442" s="55">
        <f t="shared" si="322"/>
      </c>
      <c r="Q442" s="55">
        <f t="shared" si="284"/>
      </c>
      <c r="R442" s="54">
        <f t="shared" si="75"/>
      </c>
      <c r="S442" s="56">
        <f t="shared" si="37"/>
      </c>
      <c r="T442" s="55">
        <f t="shared" si="151"/>
      </c>
      <c r="U442" s="55">
        <f t="shared" si="113"/>
      </c>
      <c r="V442" s="55">
        <f t="shared" si="246"/>
      </c>
      <c r="W442" s="55">
        <f t="shared" si="208"/>
      </c>
      <c r="X442" s="38" t="s">
        <v>52</v>
      </c>
      <c r="Y442" s="86" t="s">
        <v>67</v>
      </c>
      <c r="Z442" s="41">
        <v>88490</v>
      </c>
      <c r="AA442" s="41">
        <v>15339</v>
      </c>
      <c r="AB442" s="41">
        <v>144457</v>
      </c>
      <c r="AC442" s="41">
        <v>324</v>
      </c>
      <c r="AD442" s="41">
        <v>6</v>
      </c>
      <c r="AE442" s="41">
        <v>10750</v>
      </c>
      <c r="AF442" s="41">
        <v>246</v>
      </c>
      <c r="AG442" s="41">
        <v>43</v>
      </c>
      <c r="AH442" s="41">
        <v>13</v>
      </c>
      <c r="AI442" s="111">
        <v>0</v>
      </c>
      <c r="AJ442" s="24"/>
      <c r="AK442" s="24"/>
      <c r="AL442" s="24"/>
      <c r="AM442" s="24"/>
      <c r="AN442" s="24"/>
    </row>
    <row r="443">
      <c r="A443" s="25"/>
      <c r="B443" s="72" t="s">
        <v>45</v>
      </c>
      <c r="C443" s="78" t="s">
        <v>49</v>
      </c>
      <c r="D443" s="85"/>
      <c r="E443" s="45"/>
      <c r="F443" s="30">
        <f t="shared" si="303"/>
      </c>
      <c r="G443" s="45"/>
      <c r="H443" s="49">
        <f t="shared" si="265"/>
      </c>
      <c r="I443" s="33">
        <f t="shared" si="56"/>
      </c>
      <c r="J443" s="34">
        <f t="shared" si="18"/>
      </c>
      <c r="K443" s="35">
        <f t="shared" si="132"/>
      </c>
      <c r="L443" s="79">
        <f t="shared" si="94"/>
      </c>
      <c r="M443" s="54">
        <f t="shared" si="227"/>
      </c>
      <c r="N443" s="55">
        <f t="shared" si="170"/>
      </c>
      <c r="O443" s="55">
        <f t="shared" si="189"/>
      </c>
      <c r="P443" s="55">
        <f t="shared" si="322"/>
      </c>
      <c r="Q443" s="55">
        <f t="shared" si="284"/>
      </c>
      <c r="R443" s="54">
        <f t="shared" si="75"/>
      </c>
      <c r="S443" s="56">
        <f t="shared" si="37"/>
      </c>
      <c r="T443" s="55">
        <f t="shared" si="151"/>
      </c>
      <c r="U443" s="55">
        <f t="shared" si="113"/>
      </c>
      <c r="V443" s="55">
        <f t="shared" si="246"/>
      </c>
      <c r="W443" s="55">
        <f t="shared" si="208"/>
      </c>
      <c r="X443" s="38" t="s">
        <v>52</v>
      </c>
      <c r="Y443" s="86" t="s">
        <v>67</v>
      </c>
      <c r="Z443" s="41"/>
      <c r="AA443" s="41"/>
      <c r="AB443" s="41"/>
      <c r="AC443" s="41"/>
      <c r="AD443" s="41"/>
      <c r="AE443" s="41"/>
      <c r="AF443" s="41"/>
      <c r="AG443" s="41"/>
      <c r="AH443" s="41"/>
      <c r="AI443" s="42"/>
      <c r="AJ443" s="24"/>
      <c r="AK443" s="24"/>
      <c r="AL443" s="24"/>
      <c r="AM443" s="24"/>
      <c r="AN443" s="24"/>
    </row>
    <row r="444">
      <c r="A444" s="25"/>
      <c r="B444" s="58" t="s">
        <v>44</v>
      </c>
      <c r="C444" s="58"/>
      <c r="D444" s="59">
        <f>SUM(D440:D443)</f>
      </c>
      <c r="E444" s="60">
        <f>SUM(E440:E443)</f>
      </c>
      <c r="F444" s="61">
        <f t="shared" si="303"/>
      </c>
      <c r="G444" s="62">
        <f>SUM(G440:G443)</f>
      </c>
      <c r="H444" s="63">
        <f t="shared" si="265"/>
      </c>
      <c r="I444" s="64">
        <f t="shared" si="56"/>
      </c>
      <c r="J444" s="65">
        <f t="shared" si="18"/>
      </c>
      <c r="K444" s="61">
        <f t="shared" si="132"/>
      </c>
      <c r="L444" s="66">
        <f t="shared" si="94"/>
      </c>
      <c r="M444" s="65">
        <f t="shared" si="227"/>
      </c>
      <c r="N444" s="67">
        <f t="shared" si="170"/>
      </c>
      <c r="O444" s="67">
        <f t="shared" si="189"/>
      </c>
      <c r="P444" s="68">
        <f t="shared" si="322"/>
      </c>
      <c r="Q444" s="68">
        <f t="shared" si="284"/>
      </c>
      <c r="R444" s="69">
        <f t="shared" si="75"/>
      </c>
      <c r="S444" s="70">
        <f t="shared" si="37"/>
      </c>
      <c r="T444" s="68">
        <f t="shared" si="151"/>
      </c>
      <c r="U444" s="68">
        <f t="shared" si="113"/>
      </c>
      <c r="V444" s="68">
        <f t="shared" si="246"/>
      </c>
      <c r="W444" s="68">
        <f t="shared" si="208"/>
      </c>
      <c r="X444" s="68"/>
      <c r="Y444" s="71"/>
      <c r="Z444" s="59">
        <f>SUM(Z440:Z443)</f>
      </c>
      <c r="AA444" s="59">
        <f>SUM(AA440:AA443)</f>
      </c>
      <c r="AB444" s="59">
        <f>SUM(AB440:AB443)</f>
      </c>
      <c r="AC444" s="59">
        <f>SUM(AC440:AC443)</f>
      </c>
      <c r="AD444" s="59">
        <f>SUM(AD440:AD443)</f>
      </c>
      <c r="AE444" s="59">
        <f>SUM(AE440:AE443)</f>
      </c>
      <c r="AF444" s="59">
        <f>SUM(AF440:AF443)</f>
      </c>
      <c r="AG444" s="59">
        <f>SUM(AG440:AG443)</f>
      </c>
      <c r="AH444" s="59">
        <f>SUM(AH440:AH443)</f>
      </c>
      <c r="AI444" s="59">
        <f>SUM(AI440:AI443)</f>
      </c>
      <c r="AJ444" s="24"/>
      <c r="AK444" s="24"/>
      <c r="AL444" s="24"/>
      <c r="AM444" s="24"/>
      <c r="AN444" s="24"/>
    </row>
    <row r="445">
      <c r="A445" s="25"/>
      <c r="B445" s="72" t="s">
        <v>64</v>
      </c>
      <c r="C445" s="38" t="s">
        <v>51</v>
      </c>
      <c r="D445" s="57"/>
      <c r="E445" s="45"/>
      <c r="F445" s="47">
        <f t="shared" si="303"/>
      </c>
      <c r="G445" s="23"/>
      <c r="H445" s="49">
        <f t="shared" si="265"/>
      </c>
      <c r="I445" s="50">
        <f t="shared" si="56"/>
      </c>
      <c r="J445" s="51">
        <f t="shared" si="18"/>
      </c>
      <c r="K445" s="52">
        <f t="shared" si="132"/>
      </c>
      <c r="L445" s="53">
        <f t="shared" si="94"/>
      </c>
      <c r="M445" s="54">
        <f t="shared" si="227"/>
      </c>
      <c r="N445" s="55">
        <f t="shared" si="170"/>
      </c>
      <c r="O445" s="55">
        <f t="shared" si="189"/>
      </c>
      <c r="P445" s="55">
        <f t="shared" si="322"/>
      </c>
      <c r="Q445" s="55">
        <f t="shared" si="284"/>
      </c>
      <c r="R445" s="54">
        <f t="shared" si="75"/>
      </c>
      <c r="S445" s="56">
        <f t="shared" si="37"/>
      </c>
      <c r="T445" s="55">
        <f t="shared" si="151"/>
      </c>
      <c r="U445" s="55">
        <f t="shared" si="113"/>
      </c>
      <c r="V445" s="55">
        <f t="shared" si="246"/>
      </c>
      <c r="W445" s="55">
        <f t="shared" si="208"/>
      </c>
      <c r="X445" s="38" t="s">
        <v>52</v>
      </c>
      <c r="Y445" s="86" t="s">
        <v>67</v>
      </c>
      <c r="Z445" s="40"/>
      <c r="AA445" s="40"/>
      <c r="AB445" s="40"/>
      <c r="AC445" s="40"/>
      <c r="AD445" s="40"/>
      <c r="AE445" s="40"/>
      <c r="AF445" s="41"/>
      <c r="AG445" s="41"/>
      <c r="AH445" s="41"/>
      <c r="AI445" s="42"/>
      <c r="AJ445" s="24"/>
      <c r="AK445" s="24"/>
      <c r="AL445" s="24"/>
      <c r="AM445" s="24"/>
      <c r="AN445" s="24"/>
    </row>
    <row r="446">
      <c r="A446" s="25"/>
      <c r="B446" s="72" t="s">
        <v>64</v>
      </c>
      <c r="C446" s="78" t="s">
        <v>53</v>
      </c>
      <c r="D446" s="44"/>
      <c r="E446" s="45"/>
      <c r="F446" s="30">
        <f t="shared" si="303"/>
      </c>
      <c r="G446" s="23"/>
      <c r="H446" s="49">
        <f t="shared" si="265"/>
      </c>
      <c r="I446" s="33">
        <f t="shared" si="56"/>
      </c>
      <c r="J446" s="34">
        <f t="shared" si="18"/>
      </c>
      <c r="K446" s="35">
        <f t="shared" si="132"/>
      </c>
      <c r="L446" s="79">
        <f t="shared" si="94"/>
      </c>
      <c r="M446" s="54">
        <f t="shared" si="227"/>
      </c>
      <c r="N446" s="55">
        <f t="shared" si="170"/>
      </c>
      <c r="O446" s="55">
        <f t="shared" si="189"/>
      </c>
      <c r="P446" s="55">
        <f t="shared" si="322"/>
      </c>
      <c r="Q446" s="55">
        <f t="shared" si="284"/>
      </c>
      <c r="R446" s="54">
        <f t="shared" si="75"/>
      </c>
      <c r="S446" s="56">
        <f t="shared" si="37"/>
      </c>
      <c r="T446" s="55">
        <f t="shared" si="151"/>
      </c>
      <c r="U446" s="55">
        <f t="shared" si="113"/>
      </c>
      <c r="V446" s="55">
        <f t="shared" si="246"/>
      </c>
      <c r="W446" s="55">
        <f t="shared" si="208"/>
      </c>
      <c r="X446" s="38" t="s">
        <v>52</v>
      </c>
      <c r="Y446" s="39" t="s">
        <v>54</v>
      </c>
      <c r="Z446" s="41"/>
      <c r="AA446" s="41"/>
      <c r="AB446" s="41"/>
      <c r="AC446" s="41"/>
      <c r="AD446" s="41"/>
      <c r="AE446" s="41"/>
      <c r="AF446" s="41"/>
      <c r="AG446" s="41"/>
      <c r="AH446" s="41"/>
      <c r="AI446" s="42"/>
      <c r="AJ446" s="24"/>
      <c r="AK446" s="24"/>
      <c r="AL446" s="24"/>
      <c r="AM446" s="24"/>
      <c r="AN446" s="24"/>
    </row>
    <row r="447">
      <c r="A447" s="25"/>
      <c r="B447" s="72" t="s">
        <v>64</v>
      </c>
      <c r="C447" s="78" t="s">
        <v>55</v>
      </c>
      <c r="D447" s="57"/>
      <c r="E447" s="45"/>
      <c r="F447" s="30">
        <f t="shared" si="303"/>
      </c>
      <c r="G447" s="23"/>
      <c r="H447" s="49">
        <f t="shared" si="265"/>
      </c>
      <c r="I447" s="33">
        <f t="shared" si="56"/>
      </c>
      <c r="J447" s="34">
        <f t="shared" si="18"/>
      </c>
      <c r="K447" s="35">
        <f t="shared" si="132"/>
      </c>
      <c r="L447" s="79">
        <f t="shared" si="94"/>
      </c>
      <c r="M447" s="54">
        <f t="shared" si="227"/>
      </c>
      <c r="N447" s="55">
        <f t="shared" si="170"/>
      </c>
      <c r="O447" s="55">
        <f t="shared" si="189"/>
      </c>
      <c r="P447" s="55">
        <f t="shared" si="322"/>
      </c>
      <c r="Q447" s="55">
        <f t="shared" si="284"/>
      </c>
      <c r="R447" s="54">
        <f t="shared" si="75"/>
      </c>
      <c r="S447" s="56">
        <f t="shared" si="37"/>
      </c>
      <c r="T447" s="55">
        <f t="shared" si="151"/>
      </c>
      <c r="U447" s="55">
        <f t="shared" si="113"/>
      </c>
      <c r="V447" s="55">
        <f t="shared" si="246"/>
      </c>
      <c r="W447" s="55">
        <f t="shared" si="208"/>
      </c>
      <c r="X447" s="38" t="s">
        <v>52</v>
      </c>
      <c r="Y447" s="39" t="s">
        <v>54</v>
      </c>
      <c r="Z447" s="41"/>
      <c r="AA447" s="41"/>
      <c r="AB447" s="41"/>
      <c r="AC447" s="41"/>
      <c r="AD447" s="41"/>
      <c r="AE447" s="41"/>
      <c r="AF447" s="41"/>
      <c r="AG447" s="41"/>
      <c r="AH447" s="41"/>
      <c r="AI447" s="42"/>
      <c r="AJ447" s="24"/>
      <c r="AK447" s="24"/>
      <c r="AL447" s="24"/>
      <c r="AM447" s="24"/>
      <c r="AN447" s="24"/>
    </row>
    <row r="448">
      <c r="A448" s="25"/>
      <c r="B448" s="72" t="s">
        <v>64</v>
      </c>
      <c r="C448" s="78" t="s">
        <v>56</v>
      </c>
      <c r="D448" s="57"/>
      <c r="E448" s="45"/>
      <c r="F448" s="30">
        <f t="shared" si="303"/>
      </c>
      <c r="G448" s="23"/>
      <c r="H448" s="49">
        <f t="shared" si="265"/>
      </c>
      <c r="I448" s="33">
        <f t="shared" si="56"/>
      </c>
      <c r="J448" s="34">
        <f t="shared" si="18"/>
      </c>
      <c r="K448" s="35">
        <f t="shared" si="132"/>
      </c>
      <c r="L448" s="79">
        <f t="shared" si="94"/>
      </c>
      <c r="M448" s="54">
        <f t="shared" si="227"/>
      </c>
      <c r="N448" s="55">
        <f t="shared" si="170"/>
      </c>
      <c r="O448" s="55">
        <f t="shared" si="189"/>
      </c>
      <c r="P448" s="55">
        <f t="shared" si="322"/>
      </c>
      <c r="Q448" s="55">
        <f t="shared" si="284"/>
      </c>
      <c r="R448" s="54">
        <f t="shared" si="75"/>
      </c>
      <c r="S448" s="56">
        <f t="shared" si="37"/>
      </c>
      <c r="T448" s="55">
        <f t="shared" si="151"/>
      </c>
      <c r="U448" s="55">
        <f t="shared" si="113"/>
      </c>
      <c r="V448" s="55">
        <f t="shared" si="246"/>
      </c>
      <c r="W448" s="55">
        <f t="shared" si="208"/>
      </c>
      <c r="X448" s="38" t="s">
        <v>52</v>
      </c>
      <c r="Y448" s="39" t="s">
        <v>54</v>
      </c>
      <c r="Z448" s="41"/>
      <c r="AA448" s="41"/>
      <c r="AB448" s="41"/>
      <c r="AC448" s="41"/>
      <c r="AD448" s="41"/>
      <c r="AE448" s="41"/>
      <c r="AF448" s="41"/>
      <c r="AG448" s="41"/>
      <c r="AH448" s="41"/>
      <c r="AI448" s="42"/>
      <c r="AJ448" s="24"/>
      <c r="AK448" s="24"/>
      <c r="AL448" s="24"/>
      <c r="AM448" s="24"/>
      <c r="AN448" s="24"/>
    </row>
    <row r="449">
      <c r="A449" s="25"/>
      <c r="B449" s="58" t="s">
        <v>44</v>
      </c>
      <c r="C449" s="58"/>
      <c r="D449" s="59">
        <f>SUM(D445:D448)</f>
      </c>
      <c r="E449" s="59">
        <f>SUM(E445:E448)</f>
      </c>
      <c r="F449" s="70">
        <f t="shared" si="303"/>
      </c>
      <c r="G449" s="80">
        <f>SUM(G445:G448)</f>
      </c>
      <c r="H449" s="81">
        <f t="shared" si="265"/>
      </c>
      <c r="I449" s="82">
        <f t="shared" si="56"/>
      </c>
      <c r="J449" s="69">
        <f t="shared" si="18"/>
      </c>
      <c r="K449" s="70">
        <f t="shared" si="132"/>
      </c>
      <c r="L449" s="83">
        <f t="shared" si="94"/>
      </c>
      <c r="M449" s="69">
        <f t="shared" si="227"/>
      </c>
      <c r="N449" s="68">
        <f t="shared" si="170"/>
      </c>
      <c r="O449" s="68">
        <f t="shared" si="189"/>
      </c>
      <c r="P449" s="68">
        <f t="shared" si="322"/>
      </c>
      <c r="Q449" s="68">
        <f t="shared" si="284"/>
      </c>
      <c r="R449" s="69">
        <f t="shared" si="75"/>
      </c>
      <c r="S449" s="70">
        <f t="shared" si="37"/>
      </c>
      <c r="T449" s="68">
        <f t="shared" si="151"/>
      </c>
      <c r="U449" s="68">
        <f t="shared" si="113"/>
      </c>
      <c r="V449" s="68">
        <f t="shared" si="246"/>
      </c>
      <c r="W449" s="68">
        <f t="shared" si="208"/>
      </c>
      <c r="X449" s="68"/>
      <c r="Y449" s="71"/>
      <c r="Z449" s="59">
        <f>SUM(Z445:Z448)</f>
      </c>
      <c r="AA449" s="59">
        <f>SUM(AA445:AA448)</f>
      </c>
      <c r="AB449" s="59">
        <f>SUM(AB445:AB448)</f>
      </c>
      <c r="AC449" s="59">
        <f>SUM(AC445:AC448)</f>
      </c>
      <c r="AD449" s="59">
        <f>SUM(AD445:AD448)</f>
      </c>
      <c r="AE449" s="59">
        <f>SUM(AE445:AE448)</f>
      </c>
      <c r="AF449" s="59">
        <f>SUM(AF445:AF448)</f>
      </c>
      <c r="AG449" s="59">
        <f>SUM(AG445:AG448)</f>
      </c>
      <c r="AH449" s="59">
        <f>SUM(AH445:AH448)</f>
      </c>
      <c r="AI449" s="59">
        <f>SUM(AI445:AI448)</f>
      </c>
      <c r="AJ449" s="24"/>
      <c r="AK449" s="24"/>
      <c r="AL449" s="24"/>
      <c r="AM449" s="24"/>
      <c r="AN449" s="24"/>
    </row>
    <row r="450">
      <c r="A450" s="25"/>
      <c r="B450" s="72" t="s">
        <v>36</v>
      </c>
      <c r="C450" s="78" t="s">
        <v>58</v>
      </c>
      <c r="D450" s="57"/>
      <c r="E450" s="45"/>
      <c r="F450" s="30">
        <f t="shared" si="303"/>
      </c>
      <c r="G450" s="23"/>
      <c r="H450" s="49">
        <f t="shared" si="265"/>
      </c>
      <c r="I450" s="33">
        <f t="shared" si="56"/>
      </c>
      <c r="J450" s="34">
        <f t="shared" si="18"/>
      </c>
      <c r="K450" s="35">
        <f t="shared" si="132"/>
      </c>
      <c r="L450" s="79">
        <f t="shared" si="94"/>
      </c>
      <c r="M450" s="54">
        <f t="shared" si="227"/>
      </c>
      <c r="N450" s="55">
        <f t="shared" si="170"/>
      </c>
      <c r="O450" s="55">
        <f t="shared" si="189"/>
      </c>
      <c r="P450" s="55">
        <f t="shared" si="322"/>
      </c>
      <c r="Q450" s="55">
        <f t="shared" si="284"/>
      </c>
      <c r="R450" s="54">
        <f t="shared" si="75"/>
      </c>
      <c r="S450" s="56">
        <f t="shared" si="37"/>
      </c>
      <c r="T450" s="55">
        <f t="shared" si="151"/>
      </c>
      <c r="U450" s="55">
        <f t="shared" si="113"/>
      </c>
      <c r="V450" s="55">
        <f t="shared" si="246"/>
      </c>
      <c r="W450" s="55">
        <f t="shared" si="208"/>
      </c>
      <c r="X450" s="38" t="s">
        <v>52</v>
      </c>
      <c r="Y450" s="39" t="s">
        <v>54</v>
      </c>
      <c r="Z450" s="41"/>
      <c r="AA450" s="41"/>
      <c r="AB450" s="41"/>
      <c r="AC450" s="41"/>
      <c r="AD450" s="41"/>
      <c r="AE450" s="41"/>
      <c r="AF450" s="41"/>
      <c r="AG450" s="41"/>
      <c r="AH450" s="41"/>
      <c r="AI450" s="42"/>
      <c r="AJ450" s="24"/>
      <c r="AK450" s="24"/>
      <c r="AL450" s="24"/>
      <c r="AM450" s="24"/>
      <c r="AN450" s="24"/>
    </row>
    <row r="451">
      <c r="A451" s="25"/>
      <c r="B451" s="72" t="s">
        <v>36</v>
      </c>
      <c r="C451" s="78" t="s">
        <v>59</v>
      </c>
      <c r="D451" s="57"/>
      <c r="E451" s="45"/>
      <c r="F451" s="30">
        <f t="shared" si="303"/>
      </c>
      <c r="G451" s="23"/>
      <c r="H451" s="49">
        <f t="shared" si="265"/>
      </c>
      <c r="I451" s="33">
        <f t="shared" si="56"/>
      </c>
      <c r="J451" s="34">
        <f t="shared" si="18"/>
      </c>
      <c r="K451" s="35">
        <f t="shared" si="132"/>
      </c>
      <c r="L451" s="79">
        <f t="shared" si="94"/>
      </c>
      <c r="M451" s="54">
        <f t="shared" si="227"/>
      </c>
      <c r="N451" s="55">
        <f t="shared" si="170"/>
      </c>
      <c r="O451" s="55">
        <f t="shared" si="189"/>
      </c>
      <c r="P451" s="55">
        <f t="shared" si="322"/>
      </c>
      <c r="Q451" s="55">
        <f t="shared" si="284"/>
      </c>
      <c r="R451" s="54">
        <f t="shared" si="75"/>
      </c>
      <c r="S451" s="56">
        <f t="shared" si="37"/>
      </c>
      <c r="T451" s="55">
        <f t="shared" si="151"/>
      </c>
      <c r="U451" s="55">
        <f t="shared" si="113"/>
      </c>
      <c r="V451" s="55">
        <f t="shared" si="246"/>
      </c>
      <c r="W451" s="55">
        <f t="shared" si="208"/>
      </c>
      <c r="X451" s="38" t="s">
        <v>52</v>
      </c>
      <c r="Y451" s="39" t="s">
        <v>54</v>
      </c>
      <c r="Z451" s="41"/>
      <c r="AA451" s="41"/>
      <c r="AB451" s="41"/>
      <c r="AC451" s="41"/>
      <c r="AD451" s="41"/>
      <c r="AE451" s="41"/>
      <c r="AF451" s="41"/>
      <c r="AG451" s="41"/>
      <c r="AH451" s="41"/>
      <c r="AI451" s="42"/>
      <c r="AJ451" s="24"/>
      <c r="AK451" s="24"/>
      <c r="AL451" s="24"/>
      <c r="AM451" s="24"/>
      <c r="AN451" s="24"/>
    </row>
    <row r="452">
      <c r="A452" s="25"/>
      <c r="B452" s="72" t="s">
        <v>36</v>
      </c>
      <c r="C452" s="78" t="s">
        <v>60</v>
      </c>
      <c r="D452" s="57"/>
      <c r="E452" s="45"/>
      <c r="F452" s="30">
        <f t="shared" si="303"/>
      </c>
      <c r="G452" s="23"/>
      <c r="H452" s="49">
        <f t="shared" si="265"/>
      </c>
      <c r="I452" s="33">
        <f t="shared" si="56"/>
      </c>
      <c r="J452" s="34">
        <f t="shared" si="18"/>
      </c>
      <c r="K452" s="35">
        <f t="shared" si="132"/>
      </c>
      <c r="L452" s="79">
        <f t="shared" si="94"/>
      </c>
      <c r="M452" s="54">
        <f t="shared" si="227"/>
      </c>
      <c r="N452" s="55">
        <f t="shared" si="170"/>
      </c>
      <c r="O452" s="55">
        <f t="shared" si="189"/>
      </c>
      <c r="P452" s="55">
        <f t="shared" si="322"/>
      </c>
      <c r="Q452" s="55">
        <f t="shared" si="284"/>
      </c>
      <c r="R452" s="54">
        <f t="shared" si="75"/>
      </c>
      <c r="S452" s="56">
        <f t="shared" si="37"/>
      </c>
      <c r="T452" s="55">
        <f t="shared" si="151"/>
      </c>
      <c r="U452" s="55">
        <f t="shared" si="113"/>
      </c>
      <c r="V452" s="55">
        <f t="shared" si="246"/>
      </c>
      <c r="W452" s="55">
        <f t="shared" si="208"/>
      </c>
      <c r="X452" s="38" t="s">
        <v>52</v>
      </c>
      <c r="Y452" s="39" t="s">
        <v>54</v>
      </c>
      <c r="Z452" s="41"/>
      <c r="AA452" s="41"/>
      <c r="AB452" s="41"/>
      <c r="AC452" s="41"/>
      <c r="AD452" s="41"/>
      <c r="AE452" s="41"/>
      <c r="AF452" s="41"/>
      <c r="AG452" s="41"/>
      <c r="AH452" s="41"/>
      <c r="AI452" s="42"/>
      <c r="AJ452" s="24"/>
      <c r="AK452" s="24"/>
      <c r="AL452" s="24"/>
      <c r="AM452" s="24"/>
      <c r="AN452" s="24"/>
    </row>
    <row r="453">
      <c r="A453" s="25"/>
      <c r="B453" s="72" t="s">
        <v>36</v>
      </c>
      <c r="C453" s="78" t="s">
        <v>61</v>
      </c>
      <c r="D453" s="57"/>
      <c r="E453" s="45"/>
      <c r="F453" s="30">
        <f t="shared" si="303"/>
      </c>
      <c r="G453" s="23"/>
      <c r="H453" s="49">
        <f t="shared" si="265"/>
      </c>
      <c r="I453" s="33">
        <f t="shared" si="56"/>
      </c>
      <c r="J453" s="34">
        <f t="shared" si="18"/>
      </c>
      <c r="K453" s="35">
        <f t="shared" si="132"/>
      </c>
      <c r="L453" s="79">
        <f t="shared" si="94"/>
      </c>
      <c r="M453" s="54">
        <f t="shared" si="227"/>
      </c>
      <c r="N453" s="55">
        <f t="shared" si="170"/>
      </c>
      <c r="O453" s="55">
        <f t="shared" si="189"/>
      </c>
      <c r="P453" s="55">
        <f t="shared" si="322"/>
      </c>
      <c r="Q453" s="55">
        <f t="shared" si="284"/>
      </c>
      <c r="R453" s="54">
        <f t="shared" si="75"/>
      </c>
      <c r="S453" s="56">
        <f t="shared" si="37"/>
      </c>
      <c r="T453" s="55">
        <f t="shared" si="151"/>
      </c>
      <c r="U453" s="55">
        <f t="shared" si="113"/>
      </c>
      <c r="V453" s="55">
        <f t="shared" si="246"/>
      </c>
      <c r="W453" s="55">
        <f t="shared" si="208"/>
      </c>
      <c r="X453" s="38" t="s">
        <v>52</v>
      </c>
      <c r="Y453" s="39" t="s">
        <v>54</v>
      </c>
      <c r="Z453" s="41"/>
      <c r="AA453" s="41"/>
      <c r="AB453" s="41"/>
      <c r="AC453" s="41"/>
      <c r="AD453" s="41"/>
      <c r="AE453" s="41"/>
      <c r="AF453" s="41"/>
      <c r="AG453" s="41"/>
      <c r="AH453" s="41"/>
      <c r="AI453" s="42"/>
      <c r="AJ453" s="24"/>
      <c r="AK453" s="24"/>
      <c r="AL453" s="24"/>
      <c r="AM453" s="24"/>
      <c r="AN453" s="24"/>
    </row>
    <row r="454">
      <c r="A454" s="25"/>
      <c r="B454" s="72" t="s">
        <v>36</v>
      </c>
      <c r="C454" s="78" t="s">
        <v>62</v>
      </c>
      <c r="D454" s="57"/>
      <c r="E454" s="45"/>
      <c r="F454" s="47">
        <f t="shared" si="303"/>
      </c>
      <c r="G454" s="23"/>
      <c r="H454" s="49">
        <f t="shared" si="265"/>
      </c>
      <c r="I454" s="50">
        <f t="shared" si="56"/>
      </c>
      <c r="J454" s="51">
        <f t="shared" si="18"/>
      </c>
      <c r="K454" s="52">
        <f t="shared" si="132"/>
      </c>
      <c r="L454" s="53">
        <f t="shared" si="94"/>
      </c>
      <c r="M454" s="54">
        <f t="shared" si="227"/>
      </c>
      <c r="N454" s="55">
        <f t="shared" si="170"/>
      </c>
      <c r="O454" s="55">
        <f t="shared" si="189"/>
      </c>
      <c r="P454" s="55">
        <f t="shared" si="322"/>
      </c>
      <c r="Q454" s="55">
        <f t="shared" si="284"/>
      </c>
      <c r="R454" s="54">
        <f t="shared" si="75"/>
      </c>
      <c r="S454" s="56">
        <f t="shared" si="37"/>
      </c>
      <c r="T454" s="55">
        <f t="shared" si="151"/>
      </c>
      <c r="U454" s="55">
        <f t="shared" si="113"/>
      </c>
      <c r="V454" s="55">
        <f t="shared" si="246"/>
      </c>
      <c r="W454" s="55">
        <f t="shared" si="208"/>
      </c>
      <c r="X454" s="38" t="s">
        <v>52</v>
      </c>
      <c r="Y454" s="39" t="s">
        <v>54</v>
      </c>
      <c r="Z454" s="40"/>
      <c r="AA454" s="40"/>
      <c r="AB454" s="40"/>
      <c r="AC454" s="40"/>
      <c r="AD454" s="40"/>
      <c r="AE454" s="40"/>
      <c r="AF454" s="41"/>
      <c r="AG454" s="41"/>
      <c r="AH454" s="41"/>
      <c r="AI454" s="42"/>
      <c r="AJ454" s="24"/>
      <c r="AK454" s="24"/>
      <c r="AL454" s="24"/>
      <c r="AM454" s="24"/>
      <c r="AN454" s="24"/>
    </row>
    <row r="455">
      <c r="A455" s="25"/>
      <c r="B455" s="58" t="s">
        <v>44</v>
      </c>
      <c r="C455" s="58"/>
      <c r="D455" s="59">
        <f>SUM(D450:D454)</f>
      </c>
      <c r="E455" s="59">
        <f>SUM(E450:E454)</f>
      </c>
      <c r="F455" s="61">
        <f t="shared" si="303"/>
      </c>
      <c r="G455" s="62">
        <f>SUM(G450:G454)</f>
      </c>
      <c r="H455" s="63">
        <f t="shared" si="265"/>
      </c>
      <c r="I455" s="64">
        <f t="shared" si="56"/>
      </c>
      <c r="J455" s="65">
        <f t="shared" si="18"/>
      </c>
      <c r="K455" s="61">
        <f t="shared" si="132"/>
      </c>
      <c r="L455" s="66">
        <f t="shared" si="94"/>
      </c>
      <c r="M455" s="65">
        <f t="shared" si="227"/>
      </c>
      <c r="N455" s="67">
        <f t="shared" si="170"/>
      </c>
      <c r="O455" s="67">
        <f t="shared" si="189"/>
      </c>
      <c r="P455" s="68">
        <f t="shared" si="322"/>
      </c>
      <c r="Q455" s="68">
        <f t="shared" si="284"/>
      </c>
      <c r="R455" s="69">
        <f t="shared" si="75"/>
      </c>
      <c r="S455" s="70">
        <f t="shared" si="37"/>
      </c>
      <c r="T455" s="68">
        <f t="shared" si="151"/>
      </c>
      <c r="U455" s="68">
        <f t="shared" si="113"/>
      </c>
      <c r="V455" s="68">
        <f t="shared" si="246"/>
      </c>
      <c r="W455" s="68">
        <f t="shared" si="208"/>
      </c>
      <c r="X455" s="68"/>
      <c r="Y455" s="71"/>
      <c r="Z455" s="59">
        <f>SUM(Z450:Z454)</f>
      </c>
      <c r="AA455" s="59">
        <f>SUM(AA450:AA454)</f>
      </c>
      <c r="AB455" s="59">
        <f>SUM(AB450:AB454)</f>
      </c>
      <c r="AC455" s="59">
        <f>SUM(AC450:AC454)</f>
      </c>
      <c r="AD455" s="59">
        <f>SUM(AD450:AD454)</f>
      </c>
      <c r="AE455" s="59">
        <f>SUM(AE450:AE454)</f>
      </c>
      <c r="AF455" s="59">
        <f>SUM(AF450:AF454)</f>
      </c>
      <c r="AG455" s="59">
        <f>SUM(AG450:AG454)</f>
      </c>
      <c r="AH455" s="59">
        <f>SUM(AH450:AH454)</f>
      </c>
      <c r="AI455" s="59">
        <f>SUM(AI450:AI454)</f>
      </c>
      <c r="AJ455" s="24"/>
      <c r="AK455" s="24"/>
      <c r="AL455" s="24"/>
      <c r="AM455" s="24"/>
      <c r="AN455" s="24"/>
    </row>
    <row r="456">
      <c r="A456" s="25"/>
      <c r="B456" s="89" t="s">
        <v>63</v>
      </c>
      <c r="C456" s="89"/>
      <c r="D456" s="90">
        <f>SUM(D455+D439+D444+D449)</f>
      </c>
      <c r="E456" s="91">
        <f>SUM(E455+E439+E444+E449)</f>
      </c>
      <c r="F456" s="92">
        <f t="shared" si="303"/>
      </c>
      <c r="G456" s="93">
        <f>SUM(G455+G439+G444+G449)</f>
      </c>
      <c r="H456" s="94">
        <f t="shared" si="265"/>
      </c>
      <c r="I456" s="95">
        <f t="shared" si="56"/>
      </c>
      <c r="J456" s="96">
        <f t="shared" si="18"/>
      </c>
      <c r="K456" s="92">
        <f t="shared" si="132"/>
      </c>
      <c r="L456" s="97">
        <f t="shared" si="94"/>
      </c>
      <c r="M456" s="97">
        <f t="shared" si="227"/>
      </c>
      <c r="N456" s="98">
        <f t="shared" si="170"/>
      </c>
      <c r="O456" s="98">
        <f t="shared" si="189"/>
      </c>
      <c r="P456" s="98">
        <f t="shared" si="322"/>
      </c>
      <c r="Q456" s="98">
        <f t="shared" si="284"/>
      </c>
      <c r="R456" s="99">
        <f t="shared" si="75"/>
      </c>
      <c r="S456" s="100">
        <f t="shared" si="37"/>
      </c>
      <c r="T456" s="101">
        <f t="shared" si="151"/>
      </c>
      <c r="U456" s="101">
        <f t="shared" si="113"/>
      </c>
      <c r="V456" s="101">
        <f t="shared" si="246"/>
      </c>
      <c r="W456" s="101">
        <f t="shared" si="208"/>
      </c>
      <c r="X456" s="101"/>
      <c r="Y456" s="102"/>
      <c r="Z456" s="103">
        <f>SUM(Z439+Z455+Z444+Z449)</f>
      </c>
      <c r="AA456" s="103">
        <f>SUM(AA439+AA455+AA444+AA449)</f>
      </c>
      <c r="AB456" s="103">
        <f>SUM(AB439+AB455+AB444+AB449)</f>
      </c>
      <c r="AC456" s="103">
        <f>SUM(AC439+AC455+AC444+AC449)</f>
      </c>
      <c r="AD456" s="103">
        <f>SUM(AD439+AD455+AD444+AD449)</f>
      </c>
      <c r="AE456" s="103">
        <f>SUM(AE439+AE455+AE444+AE449)</f>
      </c>
      <c r="AF456" s="103">
        <f>SUM(AF439+AF455+AF444+AF449)</f>
      </c>
      <c r="AG456" s="103">
        <f>SUM(AG439+AG455+AG444+AG449)</f>
      </c>
      <c r="AH456" s="103">
        <f>SUM(AH439+AH455+AH444+AH449)</f>
      </c>
      <c r="AI456" s="103">
        <f>SUM(AI439+AI455+AI444+AI449)</f>
      </c>
      <c r="AJ456" s="24"/>
      <c r="AK456" s="24"/>
      <c r="AL456" s="24"/>
      <c r="AM456" s="24"/>
      <c r="AN456" s="24"/>
    </row>
    <row r="457">
      <c r="A457" s="24"/>
      <c r="B457" s="24"/>
      <c r="C457" s="24"/>
      <c r="D457" s="24"/>
      <c r="E457" s="24">
        <f>E458-E456</f>
      </c>
      <c r="F457" s="24"/>
      <c r="G457" s="112">
        <f>G458-G456</f>
      </c>
      <c r="H457" s="112"/>
      <c r="I457" s="113"/>
      <c r="J457" s="112"/>
      <c r="K457" s="114"/>
      <c r="L457" s="112"/>
      <c r="M457" s="112"/>
      <c r="N457" s="112"/>
      <c r="O457" s="112"/>
      <c r="P457" s="115"/>
      <c r="Q457" s="115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</row>
    <row r="458">
      <c r="A458" s="24"/>
      <c r="B458" s="24"/>
      <c r="C458" s="24"/>
      <c r="D458" s="24"/>
      <c r="E458" s="116" cm="1">
        <f t="array" ref="E458:E458">IMPORTRANGE("https://meimeiwangluo.feishu.cn/sheets/CIpWsYvjKhxKJGt54epcdpaqnMc","'Sheet1'!D1")</f>
      </c>
      <c r="F458" s="24"/>
      <c r="G458" s="117" cm="1">
        <f t="array" ref="G458:G458">IMPORTRANGE("https://meimeiwangluo.feishu.cn/sheets/CIpWsYvjKhxKJGt54epcdpaqnMc","'Sheet1'!E1")</f>
      </c>
      <c r="H458" s="24"/>
      <c r="I458" s="24"/>
      <c r="J458" s="24"/>
      <c r="K458" s="24"/>
      <c r="L458" s="24"/>
      <c r="M458" s="24"/>
      <c r="N458" s="24"/>
      <c r="O458" s="24"/>
      <c r="P458" s="115"/>
      <c r="Q458" s="115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</row>
    <row r="459">
      <c r="A459" s="24"/>
      <c r="B459" s="24"/>
      <c r="C459" s="24"/>
      <c r="D459" s="24"/>
      <c r="E459" s="116" t="s">
        <v>68</v>
      </c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115"/>
      <c r="Q459" s="115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</row>
    <row r="460">
      <c r="A460" s="24"/>
      <c r="B460" s="24"/>
      <c r="C460" s="24"/>
      <c r="D460" s="24"/>
      <c r="E460" s="24"/>
      <c r="F460" s="118">
        <v>216.93</v>
      </c>
      <c r="G460" s="119">
        <v>17568</v>
      </c>
      <c r="H460" s="120">
        <v>204</v>
      </c>
      <c r="I460" s="120">
        <v>188</v>
      </c>
      <c r="J460" s="120">
        <v>0</v>
      </c>
      <c r="K460" s="120">
        <v>0</v>
      </c>
      <c r="L460" s="120">
        <v>2</v>
      </c>
      <c r="M460" s="121">
        <v>12</v>
      </c>
      <c r="N460" s="121">
        <v>5</v>
      </c>
      <c r="O460" s="121">
        <v>1</v>
      </c>
      <c r="P460" s="122"/>
      <c r="Q460" s="115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</row>
    <row r="461">
      <c r="A461" s="24"/>
      <c r="B461" s="24"/>
      <c r="C461" s="24"/>
      <c r="D461" s="24"/>
      <c r="E461" s="24"/>
      <c r="F461" s="123">
        <v>1434.769</v>
      </c>
      <c r="G461" s="119">
        <v>35041</v>
      </c>
      <c r="H461" s="119">
        <v>7712</v>
      </c>
      <c r="I461" s="119">
        <v>74776</v>
      </c>
      <c r="J461" s="120">
        <v>0</v>
      </c>
      <c r="K461" s="120">
        <v>3</v>
      </c>
      <c r="L461" s="119">
        <v>5506</v>
      </c>
      <c r="M461" s="121">
        <v>148</v>
      </c>
      <c r="N461" s="121">
        <v>15</v>
      </c>
      <c r="O461" s="121">
        <v>4</v>
      </c>
      <c r="P461" s="124"/>
      <c r="Q461" s="115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</row>
    <row r="462">
      <c r="A462" s="24"/>
      <c r="B462" s="24"/>
      <c r="C462" s="24"/>
      <c r="D462" s="24"/>
      <c r="E462" s="24"/>
      <c r="F462" s="118">
        <v>657.542</v>
      </c>
      <c r="G462" s="119">
        <v>12388</v>
      </c>
      <c r="H462" s="120">
        <v>811</v>
      </c>
      <c r="I462" s="119">
        <v>33060</v>
      </c>
      <c r="J462" s="118">
        <v>126</v>
      </c>
      <c r="K462" s="118">
        <v>2</v>
      </c>
      <c r="L462" s="119">
        <v>2072</v>
      </c>
      <c r="M462" s="118">
        <v>19</v>
      </c>
      <c r="N462" s="118">
        <v>7</v>
      </c>
      <c r="O462" s="118">
        <v>2</v>
      </c>
      <c r="P462" s="125"/>
      <c r="Q462" s="115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</row>
    <row r="463">
      <c r="A463" s="24"/>
      <c r="B463" s="24"/>
      <c r="C463" s="24"/>
      <c r="D463" s="24"/>
      <c r="E463" s="24"/>
      <c r="F463" s="118">
        <v>538.627</v>
      </c>
      <c r="G463" s="119">
        <v>23493</v>
      </c>
      <c r="H463" s="119">
        <v>6612</v>
      </c>
      <c r="I463" s="119">
        <v>36433</v>
      </c>
      <c r="J463" s="120">
        <v>198</v>
      </c>
      <c r="K463" s="120">
        <v>1</v>
      </c>
      <c r="L463" s="119">
        <v>3170</v>
      </c>
      <c r="M463" s="121">
        <v>67</v>
      </c>
      <c r="N463" s="121">
        <v>16</v>
      </c>
      <c r="O463" s="121">
        <v>6</v>
      </c>
      <c r="P463" s="122"/>
      <c r="Q463" s="122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</row>
    <row r="464">
      <c r="A464" s="24"/>
      <c r="B464" s="24"/>
      <c r="C464" s="24"/>
      <c r="D464" s="24"/>
      <c r="E464" s="24"/>
      <c r="F464" s="126"/>
      <c r="G464" s="127"/>
      <c r="H464" s="127"/>
      <c r="I464" s="127"/>
      <c r="J464" s="127"/>
      <c r="K464" s="127"/>
      <c r="L464" s="127"/>
      <c r="M464" s="128"/>
      <c r="N464" s="128"/>
      <c r="O464" s="128"/>
      <c r="P464" s="122"/>
      <c r="Q464" s="122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</row>
    <row r="465">
      <c r="A465" s="24"/>
      <c r="B465" s="24"/>
      <c r="C465" s="24"/>
      <c r="D465" s="24"/>
      <c r="E465" s="129"/>
      <c r="F465" s="130">
        <f>SUM(F460:F464)</f>
      </c>
      <c r="G465" s="117">
        <f>SUM(G460:G464)</f>
      </c>
      <c r="H465" s="117">
        <f>SUM(H460:H464)</f>
      </c>
      <c r="I465" s="117">
        <f>SUM(I460:I464)</f>
      </c>
      <c r="J465" s="117">
        <f>SUM(J460:J464)</f>
      </c>
      <c r="K465" s="117">
        <f>SUM(K460:K464)</f>
      </c>
      <c r="L465" s="117">
        <f>SUM(L460:L464)</f>
      </c>
      <c r="M465" s="117">
        <f>SUM(M460:M464)</f>
      </c>
      <c r="N465" s="117">
        <f>SUM(N460:N464)</f>
      </c>
      <c r="O465" s="117">
        <f>SUM(O460:O464)</f>
      </c>
      <c r="P465" s="115"/>
      <c r="Q465" s="115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</row>
    <row r="466">
      <c r="A466" s="24"/>
      <c r="B466" s="24"/>
      <c r="C466" s="24"/>
      <c r="D466" s="24"/>
      <c r="E466" s="24"/>
      <c r="F466" s="131" t="s">
        <v>69</v>
      </c>
      <c r="G466" s="132" t="s">
        <v>26</v>
      </c>
      <c r="H466" s="132" t="s">
        <v>27</v>
      </c>
      <c r="I466" s="132" t="s">
        <v>28</v>
      </c>
      <c r="J466" s="132" t="s">
        <v>29</v>
      </c>
      <c r="K466" s="132" t="s">
        <v>30</v>
      </c>
      <c r="L466" s="132" t="s">
        <v>31</v>
      </c>
      <c r="M466" s="132" t="s">
        <v>32</v>
      </c>
      <c r="N466" s="132" t="s">
        <v>33</v>
      </c>
      <c r="O466" s="132" t="s">
        <v>34</v>
      </c>
      <c r="P466" s="115"/>
      <c r="Q466" s="115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</row>
  </sheetData>
  <mergeCells>
    <mergeCell ref="B391:C391"/>
    <mergeCell ref="B384:C384"/>
    <mergeCell ref="B383:C383"/>
    <mergeCell ref="B377:C377"/>
    <mergeCell ref="B372:C372"/>
    <mergeCell ref="B367:C367"/>
    <mergeCell ref="A362:A384"/>
    <mergeCell ref="B353:C353"/>
    <mergeCell ref="B348:C348"/>
    <mergeCell ref="B343:C343"/>
    <mergeCell ref="B336:C336"/>
    <mergeCell ref="B335:C335"/>
    <mergeCell ref="B330:C330"/>
    <mergeCell ref="B325:C325"/>
    <mergeCell ref="B319:C319"/>
    <mergeCell ref="A314:A336"/>
    <mergeCell ref="B312:C312"/>
    <mergeCell ref="B311:C311"/>
    <mergeCell ref="B306:C306"/>
    <mergeCell ref="B301:C301"/>
    <mergeCell ref="B295:C295"/>
    <mergeCell ref="A290:A312"/>
    <mergeCell ref="B288:C288"/>
    <mergeCell ref="B287:C287"/>
    <mergeCell ref="A266:A288"/>
    <mergeCell ref="B281:C281"/>
    <mergeCell ref="B276:C276"/>
    <mergeCell ref="B271:C271"/>
    <mergeCell ref="B264:C264"/>
    <mergeCell ref="B263:C263"/>
    <mergeCell ref="B258:C258"/>
    <mergeCell ref="B253:C253"/>
    <mergeCell ref="B247:C247"/>
    <mergeCell ref="A242:A264"/>
    <mergeCell ref="B240:C240"/>
    <mergeCell ref="B239:C239"/>
    <mergeCell ref="B234:C234"/>
    <mergeCell ref="B229:C229"/>
    <mergeCell ref="B223:C223"/>
    <mergeCell ref="A218:A240"/>
    <mergeCell ref="B113:C113"/>
    <mergeCell ref="B108:C108"/>
    <mergeCell ref="A50:A72"/>
    <mergeCell ref="B71:C71"/>
    <mergeCell ref="B72:C72"/>
    <mergeCell ref="B55:C55"/>
    <mergeCell ref="B65:C65"/>
    <mergeCell ref="B60:C60"/>
    <mergeCell ref="A2:A24"/>
    <mergeCell ref="B7:C7"/>
    <mergeCell ref="B12:C12"/>
    <mergeCell ref="B17:C17"/>
    <mergeCell ref="B23:C23"/>
    <mergeCell ref="B24:C24"/>
    <mergeCell ref="B31:C31"/>
    <mergeCell ref="B48:C48"/>
    <mergeCell ref="B47:C47"/>
    <mergeCell ref="B42:C42"/>
    <mergeCell ref="B37:C37"/>
    <mergeCell ref="A26:A48"/>
    <mergeCell ref="A74:A96"/>
    <mergeCell ref="B95:C95"/>
    <mergeCell ref="B96:C96"/>
    <mergeCell ref="B79:C79"/>
    <mergeCell ref="B89:C89"/>
    <mergeCell ref="B84:C84"/>
    <mergeCell ref="B103:C103"/>
    <mergeCell ref="A98:A120"/>
    <mergeCell ref="B119:C119"/>
    <mergeCell ref="B120:C120"/>
    <mergeCell ref="B137:C137"/>
    <mergeCell ref="B132:C132"/>
    <mergeCell ref="B127:C127"/>
    <mergeCell ref="A122:A144"/>
    <mergeCell ref="B143:C143"/>
    <mergeCell ref="B144:C144"/>
    <mergeCell ref="B161:C161"/>
    <mergeCell ref="B156:C156"/>
    <mergeCell ref="B151:C151"/>
    <mergeCell ref="A146:A168"/>
    <mergeCell ref="B167:C167"/>
    <mergeCell ref="B168:C168"/>
    <mergeCell ref="A170:A192"/>
    <mergeCell ref="B175:C175"/>
    <mergeCell ref="B180:C180"/>
    <mergeCell ref="B185:C185"/>
    <mergeCell ref="B191:C191"/>
    <mergeCell ref="B192:C192"/>
    <mergeCell ref="B199:C199"/>
    <mergeCell ref="B216:C216"/>
    <mergeCell ref="B215:C215"/>
    <mergeCell ref="B210:C210"/>
    <mergeCell ref="B205:C205"/>
    <mergeCell ref="A194:A216"/>
    <mergeCell ref="B360:C360"/>
    <mergeCell ref="B359:C359"/>
    <mergeCell ref="A338:A360"/>
    <mergeCell ref="A386:A408"/>
    <mergeCell ref="B397:C397"/>
    <mergeCell ref="B402:C402"/>
    <mergeCell ref="B407:C407"/>
    <mergeCell ref="B408:C408"/>
    <mergeCell ref="A410:A432"/>
    <mergeCell ref="B415:C415"/>
    <mergeCell ref="B420:C420"/>
    <mergeCell ref="B425:C425"/>
    <mergeCell ref="B431:C431"/>
    <mergeCell ref="B432:C432"/>
    <mergeCell ref="A434:A456"/>
    <mergeCell ref="B439:C439"/>
    <mergeCell ref="B444:C444"/>
    <mergeCell ref="B449:C449"/>
    <mergeCell ref="B455:C455"/>
    <mergeCell ref="B456:C456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24" min="24" style="0" width="11.211267605633802"/>
    <col collapsed="false" customWidth="true" hidden="false" max="25" min="25" style="0" width="11.211267605633802"/>
    <col collapsed="false" customWidth="true" hidden="false" max="16" min="16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</cols>
  <sheetData>
    <row r="1">
      <c r="A1" s="133" t="s">
        <v>70</v>
      </c>
      <c r="B1" s="134" t="s">
        <v>71</v>
      </c>
      <c r="C1" s="135" t="s">
        <v>72</v>
      </c>
      <c r="D1" s="136" t="s">
        <v>73</v>
      </c>
      <c r="E1" s="137" t="s">
        <v>74</v>
      </c>
      <c r="F1" s="138" t="s">
        <v>75</v>
      </c>
      <c r="G1" s="139" t="s">
        <v>76</v>
      </c>
      <c r="H1" s="138" t="s">
        <v>77</v>
      </c>
      <c r="I1" s="139" t="s">
        <v>78</v>
      </c>
      <c r="J1" s="140" t="s">
        <v>79</v>
      </c>
      <c r="K1" s="140" t="s">
        <v>80</v>
      </c>
      <c r="L1" s="141" t="s">
        <v>81</v>
      </c>
      <c r="M1" s="141" t="s">
        <v>82</v>
      </c>
      <c r="N1" s="141" t="s">
        <v>83</v>
      </c>
      <c r="O1" s="141" t="s">
        <v>84</v>
      </c>
      <c r="P1" s="141" t="s">
        <v>85</v>
      </c>
      <c r="Q1" s="141" t="s">
        <v>86</v>
      </c>
      <c r="R1" s="141" t="s">
        <v>87</v>
      </c>
      <c r="S1" s="141" t="s">
        <v>88</v>
      </c>
      <c r="T1" s="142" t="s">
        <v>89</v>
      </c>
      <c r="U1" s="142" t="s">
        <v>90</v>
      </c>
      <c r="V1" s="142" t="s">
        <v>91</v>
      </c>
      <c r="W1" s="142" t="s">
        <v>92</v>
      </c>
      <c r="X1" s="143" t="s">
        <v>93</v>
      </c>
      <c r="Y1" s="143" t="s">
        <v>94</v>
      </c>
      <c r="Z1" s="144" t="s">
        <v>95</v>
      </c>
      <c r="AA1" s="144" t="s">
        <v>96</v>
      </c>
      <c r="AB1" s="144" t="s">
        <v>97</v>
      </c>
      <c r="AC1" s="145" t="s">
        <v>98</v>
      </c>
      <c r="AD1" s="145" t="s">
        <v>99</v>
      </c>
      <c r="AE1" s="146" t="s">
        <v>100</v>
      </c>
      <c r="AF1" s="145" t="s">
        <v>101</v>
      </c>
      <c r="AG1" s="145" t="s">
        <v>102</v>
      </c>
      <c r="AH1" s="147" t="s">
        <v>103</v>
      </c>
      <c r="AI1" s="148" t="s">
        <v>104</v>
      </c>
    </row>
    <row r="2">
      <c r="A2" s="149">
        <v>46266</v>
      </c>
      <c r="B2" s="150" t="s">
        <v>105</v>
      </c>
      <c r="C2" s="151" t="s">
        <v>106</v>
      </c>
      <c r="D2" s="152">
        <v>910.462</v>
      </c>
      <c r="E2" s="153">
        <v>6</v>
      </c>
      <c r="F2" s="154">
        <f t="shared" ref="F2:F22" si="420">D2/E2</f>
      </c>
      <c r="G2" s="155">
        <v>4329.6</v>
      </c>
      <c r="H2" s="156">
        <f t="shared" ref="H2:H22" si="450">AD2</f>
      </c>
      <c r="I2" s="157">
        <f t="shared" ref="I2:I22" si="360">D2/AD2</f>
      </c>
      <c r="J2" s="158">
        <f t="shared" ref="J2:J22" si="390">G2/E2</f>
      </c>
      <c r="K2" s="159">
        <f t="shared" ref="K2:K22" si="300">G2/D2</f>
      </c>
      <c r="L2" s="160">
        <f t="shared" ref="L2:L22" si="330">D2/AB2</f>
      </c>
      <c r="M2" s="158">
        <f t="shared" ref="M2:M22" si="210">D2/AC2</f>
      </c>
      <c r="N2" s="161">
        <f t="shared" ref="N2:N22" si="240">AC2/AB2</f>
      </c>
      <c r="O2" s="161">
        <f t="shared" ref="O2:O22" si="270">AD2/AC2</f>
      </c>
      <c r="P2" s="161">
        <f t="shared" ref="P2:P22" si="150">AA2/Z2</f>
      </c>
      <c r="Q2" s="161">
        <f t="shared" ref="Q2:Q22" si="180">AD2/AA2</f>
      </c>
      <c r="R2" s="158">
        <f t="shared" ref="R2:R22" si="90">D2/Z2*1000</f>
      </c>
      <c r="S2" s="159">
        <f t="shared" ref="S2:S22" si="120">D2/AA2</f>
      </c>
      <c r="T2" s="161">
        <f t="shared" ref="T2:T22" si="30">AE2/AB2</f>
      </c>
      <c r="U2" s="161">
        <f t="shared" ref="U2:U22" si="60">AF2/AB2</f>
      </c>
      <c r="V2" s="161">
        <f t="shared" ref="V2:V22" si="480">AG2/AB2</f>
      </c>
      <c r="W2" s="161">
        <f t="shared" ref="W2:W22" si="0">AH2/AB2</f>
      </c>
      <c r="X2" s="162" t="s">
        <v>107</v>
      </c>
      <c r="Y2" s="163" t="s">
        <v>108</v>
      </c>
      <c r="Z2" s="164">
        <v>48087</v>
      </c>
      <c r="AA2" s="164">
        <v>30246</v>
      </c>
      <c r="AB2" s="164">
        <v>40471</v>
      </c>
      <c r="AC2" s="164">
        <v>820</v>
      </c>
      <c r="AD2" s="165">
        <v>5</v>
      </c>
      <c r="AE2" s="164">
        <v>10719</v>
      </c>
      <c r="AF2" s="166">
        <v>354</v>
      </c>
      <c r="AG2" s="166">
        <v>44</v>
      </c>
      <c r="AH2" s="166">
        <v>7</v>
      </c>
      <c r="AI2" s="167">
        <v>1</v>
      </c>
    </row>
    <row r="3">
      <c r="A3" s="149"/>
      <c r="B3" s="150" t="s">
        <v>105</v>
      </c>
      <c r="C3" s="168" t="s">
        <v>109</v>
      </c>
      <c r="D3" s="152">
        <v>2418.667</v>
      </c>
      <c r="E3" s="153">
        <v>3</v>
      </c>
      <c r="F3" s="154">
        <f t="shared" si="420"/>
      </c>
      <c r="G3" s="155">
        <v>652</v>
      </c>
      <c r="H3" s="156">
        <f t="shared" si="450"/>
      </c>
      <c r="I3" s="157">
        <f t="shared" si="360"/>
      </c>
      <c r="J3" s="158">
        <f t="shared" si="390"/>
      </c>
      <c r="K3" s="159">
        <f t="shared" si="300"/>
      </c>
      <c r="L3" s="160">
        <f t="shared" si="330"/>
      </c>
      <c r="M3" s="158">
        <f t="shared" si="210"/>
      </c>
      <c r="N3" s="161">
        <f t="shared" si="240"/>
      </c>
      <c r="O3" s="161">
        <f t="shared" si="270"/>
      </c>
      <c r="P3" s="161">
        <f t="shared" si="150"/>
      </c>
      <c r="Q3" s="161">
        <f t="shared" si="180"/>
      </c>
      <c r="R3" s="158">
        <f t="shared" si="90"/>
      </c>
      <c r="S3" s="159">
        <f t="shared" si="120"/>
      </c>
      <c r="T3" s="161">
        <f t="shared" si="30"/>
      </c>
      <c r="U3" s="161">
        <f t="shared" si="60"/>
      </c>
      <c r="V3" s="161">
        <f t="shared" si="480"/>
      </c>
      <c r="W3" s="161">
        <f t="shared" si="0"/>
      </c>
      <c r="X3" s="169" t="s">
        <v>107</v>
      </c>
      <c r="Y3" s="163" t="s">
        <v>108</v>
      </c>
      <c r="Z3" s="166">
        <v>119361</v>
      </c>
      <c r="AA3" s="164">
        <v>42870</v>
      </c>
      <c r="AB3" s="164">
        <v>83616</v>
      </c>
      <c r="AC3" s="164">
        <v>920</v>
      </c>
      <c r="AD3" s="166">
        <v>4</v>
      </c>
      <c r="AE3" s="164">
        <v>14473</v>
      </c>
      <c r="AF3" s="166">
        <v>330</v>
      </c>
      <c r="AG3" s="166">
        <v>96</v>
      </c>
      <c r="AH3" s="165">
        <v>17</v>
      </c>
      <c r="AI3" s="167">
        <v>0</v>
      </c>
    </row>
    <row r="4">
      <c r="A4" s="149"/>
      <c r="B4" s="150" t="s">
        <v>105</v>
      </c>
      <c r="C4" s="170" t="s">
        <v>110</v>
      </c>
      <c r="D4" s="171">
        <v>4069.434</v>
      </c>
      <c r="E4" s="172">
        <v>13</v>
      </c>
      <c r="F4" s="154">
        <f t="shared" si="420"/>
      </c>
      <c r="G4" s="172">
        <v>4089.2</v>
      </c>
      <c r="H4" s="156">
        <f t="shared" si="450"/>
      </c>
      <c r="I4" s="157">
        <f t="shared" si="360"/>
      </c>
      <c r="J4" s="158">
        <f t="shared" si="390"/>
      </c>
      <c r="K4" s="159">
        <f t="shared" si="300"/>
      </c>
      <c r="L4" s="160">
        <f t="shared" si="330"/>
      </c>
      <c r="M4" s="158">
        <f t="shared" si="210"/>
      </c>
      <c r="N4" s="161">
        <f t="shared" si="240"/>
      </c>
      <c r="O4" s="161">
        <f t="shared" si="270"/>
      </c>
      <c r="P4" s="161">
        <f t="shared" si="150"/>
      </c>
      <c r="Q4" s="161">
        <f t="shared" si="180"/>
      </c>
      <c r="R4" s="158">
        <f t="shared" si="90"/>
      </c>
      <c r="S4" s="159">
        <f t="shared" si="120"/>
      </c>
      <c r="T4" s="161">
        <f t="shared" si="30"/>
      </c>
      <c r="U4" s="161">
        <f t="shared" si="60"/>
      </c>
      <c r="V4" s="161">
        <f t="shared" si="480"/>
      </c>
      <c r="W4" s="161">
        <f t="shared" si="0"/>
      </c>
      <c r="X4" s="169" t="s">
        <v>107</v>
      </c>
      <c r="Y4" s="163" t="s">
        <v>108</v>
      </c>
      <c r="Z4" s="166">
        <v>291728</v>
      </c>
      <c r="AA4" s="166">
        <v>131157</v>
      </c>
      <c r="AB4" s="166">
        <v>218841</v>
      </c>
      <c r="AC4" s="166">
        <v>2465</v>
      </c>
      <c r="AD4" s="166">
        <v>13</v>
      </c>
      <c r="AE4" s="166">
        <v>43140</v>
      </c>
      <c r="AF4" s="166">
        <v>941</v>
      </c>
      <c r="AG4" s="166">
        <v>305</v>
      </c>
      <c r="AH4" s="166">
        <v>48</v>
      </c>
      <c r="AI4" s="167">
        <v>1</v>
      </c>
    </row>
    <row r="5">
      <c r="A5" s="149"/>
      <c r="B5" s="150" t="s">
        <v>105</v>
      </c>
      <c r="C5" s="173" t="s">
        <v>111</v>
      </c>
      <c r="D5" s="171">
        <v>5001.917</v>
      </c>
      <c r="E5" s="172">
        <v>17</v>
      </c>
      <c r="F5" s="154">
        <f t="shared" si="420"/>
      </c>
      <c r="G5" s="172">
        <v>6190.4</v>
      </c>
      <c r="H5" s="156">
        <f t="shared" si="450"/>
      </c>
      <c r="I5" s="157">
        <f t="shared" si="360"/>
      </c>
      <c r="J5" s="158">
        <f t="shared" si="390"/>
      </c>
      <c r="K5" s="159">
        <f t="shared" si="300"/>
      </c>
      <c r="L5" s="174">
        <f t="shared" si="330"/>
      </c>
      <c r="M5" s="175">
        <f t="shared" si="210"/>
      </c>
      <c r="N5" s="176">
        <f t="shared" si="240"/>
      </c>
      <c r="O5" s="176">
        <f t="shared" si="270"/>
      </c>
      <c r="P5" s="176">
        <f t="shared" si="150"/>
      </c>
      <c r="Q5" s="176">
        <f t="shared" si="180"/>
      </c>
      <c r="R5" s="175">
        <f t="shared" si="90"/>
      </c>
      <c r="S5" s="177">
        <f t="shared" si="120"/>
      </c>
      <c r="T5" s="176">
        <f t="shared" si="30"/>
      </c>
      <c r="U5" s="176">
        <f t="shared" si="60"/>
      </c>
      <c r="V5" s="176">
        <f t="shared" si="480"/>
      </c>
      <c r="W5" s="176">
        <f t="shared" si="0"/>
      </c>
      <c r="X5" s="169" t="s">
        <v>107</v>
      </c>
      <c r="Y5" s="163" t="s">
        <v>108</v>
      </c>
      <c r="Z5" s="166">
        <v>357617</v>
      </c>
      <c r="AA5" s="166">
        <v>141879</v>
      </c>
      <c r="AB5" s="166">
        <v>267269</v>
      </c>
      <c r="AC5" s="166">
        <v>2499</v>
      </c>
      <c r="AD5" s="166">
        <v>15</v>
      </c>
      <c r="AE5" s="166">
        <v>45535</v>
      </c>
      <c r="AF5" s="166">
        <v>1030</v>
      </c>
      <c r="AG5" s="166">
        <v>325</v>
      </c>
      <c r="AH5" s="165">
        <v>48</v>
      </c>
      <c r="AI5" s="167">
        <v>2</v>
      </c>
    </row>
    <row r="6">
      <c r="A6" s="149"/>
      <c r="B6" s="178" t="s">
        <v>112</v>
      </c>
      <c r="C6" s="178"/>
      <c r="D6" s="179">
        <f>SUM(D2:D5)</f>
      </c>
      <c r="E6" s="180">
        <f>SUM(E2:E5)</f>
      </c>
      <c r="F6" s="181">
        <f t="shared" si="420"/>
      </c>
      <c r="G6" s="182">
        <f>SUM(G2:G5)</f>
      </c>
      <c r="H6" s="183">
        <f t="shared" si="450"/>
      </c>
      <c r="I6" s="184">
        <f t="shared" si="360"/>
      </c>
      <c r="J6" s="185">
        <f t="shared" si="390"/>
      </c>
      <c r="K6" s="181">
        <f t="shared" si="300"/>
      </c>
      <c r="L6" s="186">
        <f t="shared" si="330"/>
      </c>
      <c r="M6" s="185">
        <f t="shared" si="210"/>
      </c>
      <c r="N6" s="187">
        <f t="shared" si="240"/>
      </c>
      <c r="O6" s="187">
        <f t="shared" si="270"/>
      </c>
      <c r="P6" s="187">
        <f t="shared" si="150"/>
      </c>
      <c r="Q6" s="187">
        <f t="shared" si="180"/>
      </c>
      <c r="R6" s="185">
        <f t="shared" si="90"/>
      </c>
      <c r="S6" s="181">
        <f t="shared" si="120"/>
      </c>
      <c r="T6" s="187">
        <f t="shared" si="30"/>
      </c>
      <c r="U6" s="187">
        <f t="shared" si="60"/>
      </c>
      <c r="V6" s="187">
        <f t="shared" si="480"/>
      </c>
      <c r="W6" s="187">
        <f t="shared" si="0"/>
      </c>
      <c r="X6" s="187"/>
      <c r="Y6" s="188"/>
      <c r="Z6" s="179">
        <f>SUM(Z2:Z5)</f>
      </c>
      <c r="AA6" s="179">
        <f>SUM(AA2:AA5)</f>
      </c>
      <c r="AB6" s="179">
        <f>SUM(AB2:AB5)</f>
      </c>
      <c r="AC6" s="179">
        <f>SUM(AC2:AC5)</f>
      </c>
      <c r="AD6" s="179">
        <f>SUM(AD2:AD5)</f>
      </c>
      <c r="AE6" s="179">
        <f>SUM(AE2:AE5)</f>
      </c>
      <c r="AF6" s="179">
        <f>SUM(AF2:AF5)</f>
      </c>
      <c r="AG6" s="179">
        <f>SUM(AG2:AG5)</f>
      </c>
      <c r="AH6" s="179">
        <f>SUM(AH2:AH5)</f>
      </c>
      <c r="AI6" s="179">
        <f>SUM(AI2:AI5)</f>
      </c>
    </row>
    <row r="7">
      <c r="A7" s="149"/>
      <c r="B7" s="189" t="s">
        <v>113</v>
      </c>
      <c r="C7" s="173" t="s">
        <v>114</v>
      </c>
      <c r="D7" s="190">
        <v>5129.528</v>
      </c>
      <c r="E7" s="191">
        <v>12</v>
      </c>
      <c r="F7" s="154">
        <f t="shared" si="420"/>
      </c>
      <c r="G7" s="172">
        <v>2586.4</v>
      </c>
      <c r="H7" s="156">
        <f t="shared" si="450"/>
      </c>
      <c r="I7" s="157">
        <f t="shared" si="360"/>
      </c>
      <c r="J7" s="158">
        <f t="shared" si="390"/>
      </c>
      <c r="K7" s="159">
        <f t="shared" si="300"/>
      </c>
      <c r="L7" s="160">
        <f t="shared" si="330"/>
      </c>
      <c r="M7" s="158">
        <f t="shared" si="210"/>
      </c>
      <c r="N7" s="161">
        <f t="shared" si="240"/>
      </c>
      <c r="O7" s="161">
        <f t="shared" si="270"/>
      </c>
      <c r="P7" s="161">
        <f t="shared" si="150"/>
      </c>
      <c r="Q7" s="161">
        <f t="shared" si="180"/>
      </c>
      <c r="R7" s="158">
        <f t="shared" si="90"/>
      </c>
      <c r="S7" s="159">
        <f t="shared" si="120"/>
      </c>
      <c r="T7" s="161">
        <f t="shared" si="30"/>
      </c>
      <c r="U7" s="161">
        <f t="shared" si="60"/>
      </c>
      <c r="V7" s="161">
        <f t="shared" si="480"/>
      </c>
      <c r="W7" s="161">
        <f t="shared" si="0"/>
      </c>
      <c r="X7" s="169" t="s">
        <v>107</v>
      </c>
      <c r="Y7" s="163" t="s">
        <v>108</v>
      </c>
      <c r="Z7" s="166">
        <v>393861</v>
      </c>
      <c r="AA7" s="166">
        <v>106967</v>
      </c>
      <c r="AB7" s="166">
        <v>224863</v>
      </c>
      <c r="AC7" s="166">
        <v>2542</v>
      </c>
      <c r="AD7" s="166">
        <v>8</v>
      </c>
      <c r="AE7" s="166">
        <v>34249</v>
      </c>
      <c r="AF7" s="166">
        <v>893</v>
      </c>
      <c r="AG7" s="166">
        <v>292</v>
      </c>
      <c r="AH7" s="166">
        <v>36</v>
      </c>
      <c r="AI7" s="167">
        <v>2</v>
      </c>
    </row>
    <row r="8">
      <c r="A8" s="149"/>
      <c r="B8" s="189" t="s">
        <v>113</v>
      </c>
      <c r="C8" s="192" t="s">
        <v>115</v>
      </c>
      <c r="D8" s="171">
        <v>3006.948</v>
      </c>
      <c r="E8" s="172">
        <v>4</v>
      </c>
      <c r="F8" s="154">
        <f t="shared" si="420"/>
      </c>
      <c r="G8" s="172">
        <v>1512</v>
      </c>
      <c r="H8" s="156">
        <f t="shared" si="450"/>
      </c>
      <c r="I8" s="157">
        <f t="shared" si="360"/>
      </c>
      <c r="J8" s="158">
        <f t="shared" si="390"/>
      </c>
      <c r="K8" s="159">
        <f t="shared" si="300"/>
      </c>
      <c r="L8" s="160">
        <f t="shared" si="330"/>
      </c>
      <c r="M8" s="158">
        <f t="shared" si="210"/>
      </c>
      <c r="N8" s="161">
        <f t="shared" si="240"/>
      </c>
      <c r="O8" s="161">
        <f t="shared" si="270"/>
      </c>
      <c r="P8" s="161">
        <f t="shared" si="150"/>
      </c>
      <c r="Q8" s="161">
        <f t="shared" si="180"/>
      </c>
      <c r="R8" s="158">
        <f t="shared" si="90"/>
      </c>
      <c r="S8" s="159">
        <f t="shared" si="120"/>
      </c>
      <c r="T8" s="161">
        <f t="shared" si="30"/>
      </c>
      <c r="U8" s="161">
        <f t="shared" si="60"/>
      </c>
      <c r="V8" s="161">
        <f t="shared" si="480"/>
      </c>
      <c r="W8" s="161">
        <f t="shared" si="0"/>
      </c>
      <c r="X8" s="169" t="s">
        <v>107</v>
      </c>
      <c r="Y8" s="163" t="s">
        <v>108</v>
      </c>
      <c r="Z8" s="166">
        <v>162957</v>
      </c>
      <c r="AA8" s="166">
        <v>45557</v>
      </c>
      <c r="AB8" s="166">
        <v>69759</v>
      </c>
      <c r="AC8" s="166">
        <v>1365</v>
      </c>
      <c r="AD8" s="166">
        <v>5</v>
      </c>
      <c r="AE8" s="166">
        <v>13518</v>
      </c>
      <c r="AF8" s="166">
        <v>366</v>
      </c>
      <c r="AG8" s="166">
        <v>108</v>
      </c>
      <c r="AH8" s="166">
        <v>25</v>
      </c>
      <c r="AI8" s="167">
        <v>0</v>
      </c>
    </row>
    <row r="9">
      <c r="A9" s="149"/>
      <c r="B9" s="189" t="s">
        <v>113</v>
      </c>
      <c r="C9" s="193" t="s">
        <v>116</v>
      </c>
      <c r="D9" s="171">
        <v>2927.041</v>
      </c>
      <c r="E9" s="172">
        <v>6</v>
      </c>
      <c r="F9" s="154">
        <f t="shared" si="420"/>
      </c>
      <c r="G9" s="172">
        <v>1957.2</v>
      </c>
      <c r="H9" s="156">
        <f t="shared" si="450"/>
      </c>
      <c r="I9" s="157">
        <f t="shared" si="360"/>
      </c>
      <c r="J9" s="158">
        <f t="shared" si="390"/>
      </c>
      <c r="K9" s="159">
        <f t="shared" si="300"/>
      </c>
      <c r="L9" s="174">
        <f t="shared" si="330"/>
      </c>
      <c r="M9" s="175">
        <f t="shared" si="210"/>
      </c>
      <c r="N9" s="176">
        <f t="shared" si="240"/>
      </c>
      <c r="O9" s="176">
        <f t="shared" si="270"/>
      </c>
      <c r="P9" s="176">
        <f t="shared" si="150"/>
      </c>
      <c r="Q9" s="176">
        <f t="shared" si="180"/>
      </c>
      <c r="R9" s="175">
        <f t="shared" si="90"/>
      </c>
      <c r="S9" s="177">
        <f t="shared" si="120"/>
      </c>
      <c r="T9" s="176">
        <f t="shared" si="30"/>
      </c>
      <c r="U9" s="176">
        <f t="shared" si="60"/>
      </c>
      <c r="V9" s="176">
        <f t="shared" si="480"/>
      </c>
      <c r="W9" s="176">
        <f t="shared" si="0"/>
      </c>
      <c r="X9" s="169" t="s">
        <v>107</v>
      </c>
      <c r="Y9" s="163" t="s">
        <v>108</v>
      </c>
      <c r="Z9" s="166">
        <v>148643</v>
      </c>
      <c r="AA9" s="166">
        <v>54306</v>
      </c>
      <c r="AB9" s="166">
        <v>97350</v>
      </c>
      <c r="AC9" s="166">
        <v>1363</v>
      </c>
      <c r="AD9" s="166">
        <v>5</v>
      </c>
      <c r="AE9" s="166">
        <v>16810</v>
      </c>
      <c r="AF9" s="166">
        <v>586</v>
      </c>
      <c r="AG9" s="166">
        <v>128</v>
      </c>
      <c r="AH9" s="165">
        <v>29</v>
      </c>
      <c r="AI9" s="167">
        <v>0</v>
      </c>
    </row>
    <row r="10">
      <c r="A10" s="149"/>
      <c r="B10" s="189" t="s">
        <v>113</v>
      </c>
      <c r="C10" s="194" t="s">
        <v>117</v>
      </c>
      <c r="D10" s="195">
        <v>3720.3380000000006</v>
      </c>
      <c r="E10" s="172">
        <v>6</v>
      </c>
      <c r="F10" s="154">
        <f t="shared" si="420"/>
      </c>
      <c r="G10" s="172">
        <v>2465.600000000002</v>
      </c>
      <c r="H10" s="156">
        <f t="shared" si="450"/>
      </c>
      <c r="I10" s="157">
        <f t="shared" si="360"/>
      </c>
      <c r="J10" s="158">
        <f t="shared" si="390"/>
      </c>
      <c r="K10" s="159">
        <f t="shared" si="300"/>
      </c>
      <c r="L10" s="174">
        <f t="shared" si="330"/>
      </c>
      <c r="M10" s="175">
        <f t="shared" si="210"/>
      </c>
      <c r="N10" s="176">
        <f t="shared" si="240"/>
      </c>
      <c r="O10" s="176">
        <f t="shared" si="270"/>
      </c>
      <c r="P10" s="176">
        <f t="shared" si="150"/>
      </c>
      <c r="Q10" s="176">
        <f t="shared" si="180"/>
      </c>
      <c r="R10" s="175">
        <f t="shared" si="90"/>
      </c>
      <c r="S10" s="177">
        <f t="shared" si="120"/>
      </c>
      <c r="T10" s="176">
        <f t="shared" si="30"/>
      </c>
      <c r="U10" s="176">
        <f t="shared" si="60"/>
      </c>
      <c r="V10" s="176">
        <f t="shared" si="480"/>
      </c>
      <c r="W10" s="176">
        <f t="shared" si="0"/>
      </c>
      <c r="X10" s="169" t="s">
        <v>107</v>
      </c>
      <c r="Y10" s="163" t="s">
        <v>108</v>
      </c>
      <c r="Z10" s="166">
        <v>199607</v>
      </c>
      <c r="AA10" s="166">
        <v>63777</v>
      </c>
      <c r="AB10" s="166">
        <v>150866</v>
      </c>
      <c r="AC10" s="166">
        <v>1309</v>
      </c>
      <c r="AD10" s="166">
        <v>4</v>
      </c>
      <c r="AE10" s="166">
        <v>19297</v>
      </c>
      <c r="AF10" s="166">
        <v>580</v>
      </c>
      <c r="AG10" s="166">
        <v>152</v>
      </c>
      <c r="AH10" s="165">
        <v>29</v>
      </c>
      <c r="AI10" s="167">
        <v>0</v>
      </c>
    </row>
    <row r="11">
      <c r="A11" s="149"/>
      <c r="B11" s="178" t="s">
        <v>112</v>
      </c>
      <c r="C11" s="178"/>
      <c r="D11" s="179">
        <f>SUM(D7:D10)</f>
      </c>
      <c r="E11" s="180">
        <f>SUM(E7:E10)</f>
      </c>
      <c r="F11" s="181">
        <f t="shared" si="420"/>
      </c>
      <c r="G11" s="182">
        <f>SUM(G7:G10)</f>
      </c>
      <c r="H11" s="183">
        <f t="shared" si="450"/>
      </c>
      <c r="I11" s="184">
        <f t="shared" si="360"/>
      </c>
      <c r="J11" s="185">
        <f t="shared" si="390"/>
      </c>
      <c r="K11" s="181">
        <f t="shared" si="300"/>
      </c>
      <c r="L11" s="186">
        <f t="shared" si="330"/>
      </c>
      <c r="M11" s="185">
        <f t="shared" si="210"/>
      </c>
      <c r="N11" s="187">
        <f t="shared" si="240"/>
      </c>
      <c r="O11" s="187">
        <f t="shared" si="270"/>
      </c>
      <c r="P11" s="187">
        <f t="shared" si="150"/>
      </c>
      <c r="Q11" s="187">
        <f t="shared" si="180"/>
      </c>
      <c r="R11" s="185">
        <f t="shared" si="90"/>
      </c>
      <c r="S11" s="181">
        <f t="shared" si="120"/>
      </c>
      <c r="T11" s="187">
        <f t="shared" si="30"/>
      </c>
      <c r="U11" s="187">
        <f t="shared" si="60"/>
      </c>
      <c r="V11" s="187">
        <f t="shared" si="480"/>
      </c>
      <c r="W11" s="187">
        <f t="shared" si="0"/>
      </c>
      <c r="X11" s="187"/>
      <c r="Y11" s="188"/>
      <c r="Z11" s="179">
        <f>SUM(Z7:Z10)</f>
      </c>
      <c r="AA11" s="179">
        <f>SUM(AA7:AA10)</f>
      </c>
      <c r="AB11" s="179">
        <f>SUM(AB7:AB10)</f>
      </c>
      <c r="AC11" s="179">
        <f>SUM(AC7:AC10)</f>
      </c>
      <c r="AD11" s="179">
        <f>SUM(AD7:AD10)</f>
      </c>
      <c r="AE11" s="179">
        <f>SUM(AE7:AE10)</f>
      </c>
      <c r="AF11" s="179">
        <f>SUM(AF7:AF10)</f>
      </c>
      <c r="AG11" s="179">
        <f>SUM(AG7:AG10)</f>
      </c>
      <c r="AH11" s="179">
        <f>SUM(AH7:AH10)</f>
      </c>
      <c r="AI11" s="179">
        <f>SUM(AI7:AI10)</f>
      </c>
    </row>
    <row r="12">
      <c r="A12" s="149"/>
      <c r="B12" s="150" t="s">
        <v>118</v>
      </c>
      <c r="C12" s="196" t="s">
        <v>119</v>
      </c>
      <c r="D12" s="171">
        <v>1917.4560000000001</v>
      </c>
      <c r="E12" s="172">
        <v>6</v>
      </c>
      <c r="F12" s="154">
        <f t="shared" si="420"/>
      </c>
      <c r="G12" s="172">
        <v>2494.399999999998</v>
      </c>
      <c r="H12" s="156">
        <f t="shared" si="450"/>
      </c>
      <c r="I12" s="157">
        <f t="shared" si="360"/>
      </c>
      <c r="J12" s="158">
        <f t="shared" si="390"/>
      </c>
      <c r="K12" s="159">
        <f t="shared" si="300"/>
      </c>
      <c r="L12" s="160">
        <f t="shared" si="330"/>
      </c>
      <c r="M12" s="158">
        <f t="shared" si="210"/>
      </c>
      <c r="N12" s="161">
        <f t="shared" si="240"/>
      </c>
      <c r="O12" s="161">
        <f t="shared" si="270"/>
      </c>
      <c r="P12" s="161">
        <f t="shared" si="150"/>
      </c>
      <c r="Q12" s="161">
        <f t="shared" si="180"/>
      </c>
      <c r="R12" s="158">
        <f t="shared" si="90"/>
      </c>
      <c r="S12" s="159">
        <f t="shared" si="120"/>
      </c>
      <c r="T12" s="161">
        <f t="shared" si="30"/>
      </c>
      <c r="U12" s="161">
        <f t="shared" si="60"/>
      </c>
      <c r="V12" s="161">
        <f t="shared" si="480"/>
      </c>
      <c r="W12" s="161">
        <f t="shared" si="0"/>
      </c>
      <c r="X12" s="169" t="s">
        <v>107</v>
      </c>
      <c r="Y12" s="163" t="s">
        <v>120</v>
      </c>
      <c r="Z12" s="166">
        <v>110649</v>
      </c>
      <c r="AA12" s="166">
        <v>35752</v>
      </c>
      <c r="AB12" s="166">
        <v>69623</v>
      </c>
      <c r="AC12" s="166">
        <v>1003</v>
      </c>
      <c r="AD12" s="166">
        <v>5</v>
      </c>
      <c r="AE12" s="166">
        <v>10404</v>
      </c>
      <c r="AF12" s="166">
        <v>429</v>
      </c>
      <c r="AG12" s="166">
        <v>70</v>
      </c>
      <c r="AH12" s="166">
        <v>7</v>
      </c>
      <c r="AI12" s="167">
        <v>0</v>
      </c>
    </row>
    <row r="13">
      <c r="A13" s="149"/>
      <c r="B13" s="150" t="s">
        <v>118</v>
      </c>
      <c r="C13" s="197" t="s">
        <v>121</v>
      </c>
      <c r="D13" s="171">
        <v>1377.1309999999999</v>
      </c>
      <c r="E13" s="172">
        <v>5</v>
      </c>
      <c r="F13" s="154">
        <f t="shared" si="420"/>
      </c>
      <c r="G13" s="172">
        <v>1718.3999999999978</v>
      </c>
      <c r="H13" s="156">
        <f t="shared" si="450"/>
      </c>
      <c r="I13" s="157">
        <f t="shared" si="360"/>
      </c>
      <c r="J13" s="158">
        <f t="shared" si="390"/>
      </c>
      <c r="K13" s="159">
        <f t="shared" si="300"/>
      </c>
      <c r="L13" s="160">
        <f t="shared" si="330"/>
      </c>
      <c r="M13" s="158">
        <f t="shared" si="210"/>
      </c>
      <c r="N13" s="161">
        <f t="shared" si="240"/>
      </c>
      <c r="O13" s="161">
        <f t="shared" si="270"/>
      </c>
      <c r="P13" s="161">
        <f t="shared" si="150"/>
      </c>
      <c r="Q13" s="161">
        <f t="shared" si="180"/>
      </c>
      <c r="R13" s="158">
        <f t="shared" si="90"/>
      </c>
      <c r="S13" s="159">
        <f t="shared" si="120"/>
      </c>
      <c r="T13" s="161">
        <f t="shared" si="30"/>
      </c>
      <c r="U13" s="161">
        <f t="shared" si="60"/>
      </c>
      <c r="V13" s="161">
        <f t="shared" si="480"/>
      </c>
      <c r="W13" s="161">
        <f t="shared" si="0"/>
      </c>
      <c r="X13" s="169" t="s">
        <v>107</v>
      </c>
      <c r="Y13" s="163" t="s">
        <v>120</v>
      </c>
      <c r="Z13" s="166">
        <v>89582</v>
      </c>
      <c r="AA13" s="166">
        <v>33625</v>
      </c>
      <c r="AB13" s="166">
        <v>60043</v>
      </c>
      <c r="AC13" s="166">
        <v>860</v>
      </c>
      <c r="AD13" s="166">
        <v>4</v>
      </c>
      <c r="AE13" s="166">
        <v>10272</v>
      </c>
      <c r="AF13" s="166">
        <v>305</v>
      </c>
      <c r="AG13" s="166">
        <v>66</v>
      </c>
      <c r="AH13" s="165">
        <v>6</v>
      </c>
      <c r="AI13" s="167">
        <v>2</v>
      </c>
    </row>
    <row r="14">
      <c r="A14" s="149"/>
      <c r="B14" s="150" t="s">
        <v>118</v>
      </c>
      <c r="C14" s="194" t="s">
        <v>122</v>
      </c>
      <c r="D14" s="171">
        <v>1665.6870000000001</v>
      </c>
      <c r="E14" s="172">
        <v>4</v>
      </c>
      <c r="F14" s="154">
        <f t="shared" si="420"/>
      </c>
      <c r="G14" s="172">
        <v>1480</v>
      </c>
      <c r="H14" s="156">
        <f t="shared" si="450"/>
      </c>
      <c r="I14" s="157">
        <f t="shared" si="360"/>
      </c>
      <c r="J14" s="158">
        <f t="shared" si="390"/>
      </c>
      <c r="K14" s="159">
        <f t="shared" si="300"/>
      </c>
      <c r="L14" s="174">
        <f t="shared" si="330"/>
      </c>
      <c r="M14" s="175">
        <f t="shared" si="210"/>
      </c>
      <c r="N14" s="176">
        <f t="shared" si="240"/>
      </c>
      <c r="O14" s="176">
        <f t="shared" si="270"/>
      </c>
      <c r="P14" s="176">
        <f t="shared" si="150"/>
      </c>
      <c r="Q14" s="176">
        <f t="shared" si="180"/>
      </c>
      <c r="R14" s="175">
        <f t="shared" si="90"/>
      </c>
      <c r="S14" s="177">
        <f t="shared" si="120"/>
      </c>
      <c r="T14" s="176">
        <f t="shared" si="30"/>
      </c>
      <c r="U14" s="176">
        <f t="shared" si="60"/>
      </c>
      <c r="V14" s="176">
        <f t="shared" si="480"/>
      </c>
      <c r="W14" s="176">
        <f t="shared" si="0"/>
      </c>
      <c r="X14" s="169" t="s">
        <v>107</v>
      </c>
      <c r="Y14" s="163" t="s">
        <v>120</v>
      </c>
      <c r="Z14" s="166">
        <v>135840</v>
      </c>
      <c r="AA14" s="166">
        <v>27329</v>
      </c>
      <c r="AB14" s="166">
        <v>78716</v>
      </c>
      <c r="AC14" s="166">
        <v>732</v>
      </c>
      <c r="AD14" s="166">
        <v>4</v>
      </c>
      <c r="AE14" s="166">
        <v>9575</v>
      </c>
      <c r="AF14" s="166">
        <v>286</v>
      </c>
      <c r="AG14" s="166">
        <v>45</v>
      </c>
      <c r="AH14" s="165">
        <v>9</v>
      </c>
      <c r="AI14" s="167">
        <v>0</v>
      </c>
    </row>
    <row r="15">
      <c r="A15" s="149"/>
      <c r="B15" s="150" t="s">
        <v>118</v>
      </c>
      <c r="C15" s="194" t="s">
        <v>123</v>
      </c>
      <c r="D15" s="195">
        <v>2501.4779999999996</v>
      </c>
      <c r="E15" s="172">
        <v>3</v>
      </c>
      <c r="F15" s="154">
        <f t="shared" si="420"/>
      </c>
      <c r="G15" s="172">
        <v>1252</v>
      </c>
      <c r="H15" s="156">
        <f t="shared" si="450"/>
      </c>
      <c r="I15" s="157">
        <f t="shared" si="360"/>
      </c>
      <c r="J15" s="158">
        <f t="shared" si="390"/>
      </c>
      <c r="K15" s="159">
        <f t="shared" si="300"/>
      </c>
      <c r="L15" s="174">
        <f t="shared" si="330"/>
      </c>
      <c r="M15" s="175">
        <f t="shared" si="210"/>
      </c>
      <c r="N15" s="176">
        <f t="shared" si="240"/>
      </c>
      <c r="O15" s="176">
        <f t="shared" si="270"/>
      </c>
      <c r="P15" s="176">
        <f t="shared" si="150"/>
      </c>
      <c r="Q15" s="176">
        <f t="shared" si="180"/>
      </c>
      <c r="R15" s="175">
        <f t="shared" si="90"/>
      </c>
      <c r="S15" s="177">
        <f t="shared" si="120"/>
      </c>
      <c r="T15" s="176">
        <f t="shared" si="30"/>
      </c>
      <c r="U15" s="176">
        <f t="shared" si="60"/>
      </c>
      <c r="V15" s="176">
        <f t="shared" si="480"/>
      </c>
      <c r="W15" s="176">
        <f t="shared" si="0"/>
      </c>
      <c r="X15" s="169" t="s">
        <v>107</v>
      </c>
      <c r="Y15" s="163" t="s">
        <v>120</v>
      </c>
      <c r="Z15" s="166">
        <v>288733</v>
      </c>
      <c r="AA15" s="166">
        <v>25164</v>
      </c>
      <c r="AB15" s="166">
        <v>109672</v>
      </c>
      <c r="AC15" s="166">
        <v>1305</v>
      </c>
      <c r="AD15" s="166">
        <v>4</v>
      </c>
      <c r="AE15" s="166">
        <v>8610</v>
      </c>
      <c r="AF15" s="166">
        <v>238</v>
      </c>
      <c r="AG15" s="166">
        <v>35</v>
      </c>
      <c r="AH15" s="165">
        <v>8</v>
      </c>
      <c r="AI15" s="167">
        <v>0</v>
      </c>
    </row>
    <row r="16">
      <c r="A16" s="149"/>
      <c r="B16" s="178" t="s">
        <v>112</v>
      </c>
      <c r="C16" s="178"/>
      <c r="D16" s="179">
        <f>SUM(D12:D15)</f>
      </c>
      <c r="E16" s="180">
        <f>SUM(E12:E15)</f>
      </c>
      <c r="F16" s="181">
        <f t="shared" si="420"/>
      </c>
      <c r="G16" s="182">
        <f>SUM(G12:G15)</f>
      </c>
      <c r="H16" s="183">
        <f t="shared" si="450"/>
      </c>
      <c r="I16" s="184">
        <f t="shared" si="360"/>
      </c>
      <c r="J16" s="185">
        <f t="shared" si="390"/>
      </c>
      <c r="K16" s="181">
        <f t="shared" si="300"/>
      </c>
      <c r="L16" s="186">
        <f t="shared" si="330"/>
      </c>
      <c r="M16" s="185">
        <f t="shared" si="210"/>
      </c>
      <c r="N16" s="187">
        <f t="shared" si="240"/>
      </c>
      <c r="O16" s="187">
        <f t="shared" si="270"/>
      </c>
      <c r="P16" s="187">
        <f t="shared" si="150"/>
      </c>
      <c r="Q16" s="187">
        <f t="shared" si="180"/>
      </c>
      <c r="R16" s="185">
        <f t="shared" si="90"/>
      </c>
      <c r="S16" s="181">
        <f t="shared" si="120"/>
      </c>
      <c r="T16" s="187">
        <f t="shared" si="30"/>
      </c>
      <c r="U16" s="187">
        <f t="shared" si="60"/>
      </c>
      <c r="V16" s="187">
        <f t="shared" si="480"/>
      </c>
      <c r="W16" s="187">
        <f t="shared" si="0"/>
      </c>
      <c r="X16" s="187"/>
      <c r="Y16" s="188"/>
      <c r="Z16" s="179">
        <f>SUM(Z12:Z15)</f>
      </c>
      <c r="AA16" s="179">
        <f>SUM(AA12:AA15)</f>
      </c>
      <c r="AB16" s="179">
        <f>SUM(AB12:AB15)</f>
      </c>
      <c r="AC16" s="179">
        <f>SUM(AC12:AC15)</f>
      </c>
      <c r="AD16" s="179">
        <f>SUM(AD12:AD15)</f>
      </c>
      <c r="AE16" s="179">
        <f>SUM(AE12:AE15)</f>
      </c>
      <c r="AF16" s="179">
        <f>SUM(AF12:AF15)</f>
      </c>
      <c r="AG16" s="179">
        <f>SUM(AG12:AG15)</f>
      </c>
      <c r="AH16" s="179">
        <f>SUM(AH12:AH15)</f>
      </c>
      <c r="AI16" s="179">
        <f>SUM(AI12:AI15)</f>
      </c>
    </row>
    <row r="17">
      <c r="A17" s="149"/>
      <c r="B17" s="150" t="s">
        <v>124</v>
      </c>
      <c r="C17" s="196" t="s">
        <v>125</v>
      </c>
      <c r="D17" s="198">
        <v>2307.249</v>
      </c>
      <c r="E17" s="153">
        <v>7</v>
      </c>
      <c r="F17" s="154">
        <f t="shared" si="420"/>
      </c>
      <c r="G17" s="155">
        <v>3910.800000000003</v>
      </c>
      <c r="H17" s="156">
        <f t="shared" si="450"/>
      </c>
      <c r="I17" s="157">
        <f t="shared" si="360"/>
      </c>
      <c r="J17" s="158">
        <f t="shared" si="390"/>
      </c>
      <c r="K17" s="159">
        <f t="shared" si="300"/>
      </c>
      <c r="L17" s="174">
        <f t="shared" si="330"/>
      </c>
      <c r="M17" s="175">
        <f t="shared" si="210"/>
      </c>
      <c r="N17" s="176">
        <f t="shared" si="240"/>
      </c>
      <c r="O17" s="176">
        <f t="shared" si="270"/>
      </c>
      <c r="P17" s="176">
        <f t="shared" si="150"/>
      </c>
      <c r="Q17" s="176">
        <f t="shared" si="180"/>
      </c>
      <c r="R17" s="175">
        <f t="shared" si="90"/>
      </c>
      <c r="S17" s="177">
        <f t="shared" si="120"/>
      </c>
      <c r="T17" s="176">
        <f t="shared" si="30"/>
      </c>
      <c r="U17" s="176">
        <f t="shared" si="60"/>
      </c>
      <c r="V17" s="176">
        <f t="shared" si="480"/>
      </c>
      <c r="W17" s="176">
        <f t="shared" si="0"/>
      </c>
      <c r="X17" s="169" t="s">
        <v>107</v>
      </c>
      <c r="Y17" s="163" t="s">
        <v>120</v>
      </c>
      <c r="Z17" s="166">
        <v>282145</v>
      </c>
      <c r="AA17" s="166">
        <v>21754</v>
      </c>
      <c r="AB17" s="166">
        <v>126203</v>
      </c>
      <c r="AC17" s="199">
        <v>1238</v>
      </c>
      <c r="AD17" s="199">
        <v>5</v>
      </c>
      <c r="AE17" s="199">
        <v>7581</v>
      </c>
      <c r="AF17" s="199">
        <v>265</v>
      </c>
      <c r="AG17" s="199">
        <v>75</v>
      </c>
      <c r="AH17" s="199">
        <v>11</v>
      </c>
      <c r="AI17" s="167">
        <v>2</v>
      </c>
    </row>
    <row r="18">
      <c r="A18" s="149"/>
      <c r="B18" s="150" t="s">
        <v>124</v>
      </c>
      <c r="C18" s="194" t="s">
        <v>126</v>
      </c>
      <c r="D18" s="198">
        <v>3081.955</v>
      </c>
      <c r="E18" s="153">
        <v>15</v>
      </c>
      <c r="F18" s="154">
        <f t="shared" si="420"/>
      </c>
      <c r="G18" s="155">
        <v>7969.5</v>
      </c>
      <c r="H18" s="156">
        <f t="shared" si="450"/>
      </c>
      <c r="I18" s="157">
        <f t="shared" si="360"/>
      </c>
      <c r="J18" s="158">
        <f t="shared" si="390"/>
      </c>
      <c r="K18" s="159">
        <f t="shared" si="300"/>
      </c>
      <c r="L18" s="174">
        <f t="shared" si="330"/>
      </c>
      <c r="M18" s="175">
        <f t="shared" si="210"/>
      </c>
      <c r="N18" s="176">
        <f t="shared" si="240"/>
      </c>
      <c r="O18" s="176">
        <f t="shared" si="270"/>
      </c>
      <c r="P18" s="176">
        <f t="shared" si="150"/>
      </c>
      <c r="Q18" s="176">
        <f t="shared" si="180"/>
      </c>
      <c r="R18" s="175">
        <f t="shared" si="90"/>
      </c>
      <c r="S18" s="177">
        <f t="shared" si="120"/>
      </c>
      <c r="T18" s="176">
        <f t="shared" si="30"/>
      </c>
      <c r="U18" s="176">
        <f t="shared" si="60"/>
      </c>
      <c r="V18" s="176">
        <f t="shared" si="480"/>
      </c>
      <c r="W18" s="176">
        <f t="shared" si="0"/>
      </c>
      <c r="X18" s="169" t="s">
        <v>107</v>
      </c>
      <c r="Y18" s="163" t="s">
        <v>120</v>
      </c>
      <c r="Z18" s="166">
        <v>431015</v>
      </c>
      <c r="AA18" s="166">
        <v>24570</v>
      </c>
      <c r="AB18" s="166">
        <v>129550</v>
      </c>
      <c r="AC18" s="199">
        <v>1775</v>
      </c>
      <c r="AD18" s="199">
        <v>11</v>
      </c>
      <c r="AE18" s="199">
        <v>7861</v>
      </c>
      <c r="AF18" s="199">
        <v>323</v>
      </c>
      <c r="AG18" s="199">
        <v>68</v>
      </c>
      <c r="AH18" s="199">
        <v>17</v>
      </c>
      <c r="AI18" s="167">
        <v>1</v>
      </c>
    </row>
    <row r="19">
      <c r="A19" s="149"/>
      <c r="B19" s="150" t="s">
        <v>124</v>
      </c>
      <c r="C19" s="200" t="s">
        <v>127</v>
      </c>
      <c r="D19" s="171">
        <v>2729.9529999999995</v>
      </c>
      <c r="E19" s="172">
        <v>7</v>
      </c>
      <c r="F19" s="154">
        <f t="shared" si="420"/>
      </c>
      <c r="G19" s="172">
        <v>2132.0000000000073</v>
      </c>
      <c r="H19" s="156">
        <f t="shared" si="450"/>
      </c>
      <c r="I19" s="157">
        <f t="shared" si="360"/>
      </c>
      <c r="J19" s="158">
        <f t="shared" si="390"/>
      </c>
      <c r="K19" s="159">
        <f t="shared" si="300"/>
      </c>
      <c r="L19" s="174">
        <f t="shared" si="330"/>
      </c>
      <c r="M19" s="175">
        <f t="shared" si="210"/>
      </c>
      <c r="N19" s="176">
        <f t="shared" si="240"/>
      </c>
      <c r="O19" s="176">
        <f t="shared" si="270"/>
      </c>
      <c r="P19" s="176">
        <f t="shared" si="150"/>
      </c>
      <c r="Q19" s="176">
        <f t="shared" si="180"/>
      </c>
      <c r="R19" s="175">
        <f t="shared" si="90"/>
      </c>
      <c r="S19" s="177">
        <f t="shared" si="120"/>
      </c>
      <c r="T19" s="176">
        <f t="shared" si="30"/>
      </c>
      <c r="U19" s="176">
        <f t="shared" si="60"/>
      </c>
      <c r="V19" s="176">
        <f t="shared" si="480"/>
      </c>
      <c r="W19" s="176">
        <f t="shared" si="0"/>
      </c>
      <c r="X19" s="169" t="s">
        <v>107</v>
      </c>
      <c r="Y19" s="163" t="s">
        <v>120</v>
      </c>
      <c r="Z19" s="166">
        <v>348217</v>
      </c>
      <c r="AA19" s="166">
        <v>23683</v>
      </c>
      <c r="AB19" s="166">
        <v>84077</v>
      </c>
      <c r="AC19" s="166">
        <v>1794</v>
      </c>
      <c r="AD19" s="166">
        <v>6</v>
      </c>
      <c r="AE19" s="166">
        <v>7001</v>
      </c>
      <c r="AF19" s="166">
        <v>388</v>
      </c>
      <c r="AG19" s="166">
        <v>58</v>
      </c>
      <c r="AH19" s="165">
        <v>9</v>
      </c>
      <c r="AI19" s="167">
        <v>0</v>
      </c>
    </row>
    <row r="20">
      <c r="A20" s="149"/>
      <c r="B20" s="150" t="s">
        <v>124</v>
      </c>
      <c r="C20" s="201" t="s">
        <v>128</v>
      </c>
      <c r="D20" s="195">
        <f>1447.71+1.876</f>
      </c>
      <c r="E20" s="172">
        <v>4</v>
      </c>
      <c r="F20" s="154">
        <f t="shared" si="420"/>
      </c>
      <c r="G20" s="172">
        <v>911.9999999999927</v>
      </c>
      <c r="H20" s="156">
        <f t="shared" si="450"/>
      </c>
      <c r="I20" s="157">
        <f t="shared" si="360"/>
      </c>
      <c r="J20" s="158">
        <f t="shared" si="390"/>
      </c>
      <c r="K20" s="159">
        <f t="shared" si="300"/>
      </c>
      <c r="L20" s="174">
        <f t="shared" si="330"/>
      </c>
      <c r="M20" s="175">
        <f t="shared" si="210"/>
      </c>
      <c r="N20" s="176">
        <f t="shared" si="240"/>
      </c>
      <c r="O20" s="176">
        <f t="shared" si="270"/>
      </c>
      <c r="P20" s="176">
        <f t="shared" si="150"/>
      </c>
      <c r="Q20" s="176">
        <f t="shared" si="180"/>
      </c>
      <c r="R20" s="175">
        <f t="shared" si="90"/>
      </c>
      <c r="S20" s="177">
        <f t="shared" si="120"/>
      </c>
      <c r="T20" s="176">
        <f t="shared" si="30"/>
      </c>
      <c r="U20" s="176">
        <f t="shared" si="60"/>
      </c>
      <c r="V20" s="176">
        <f t="shared" si="480"/>
      </c>
      <c r="W20" s="176">
        <f t="shared" si="0"/>
      </c>
      <c r="X20" s="169" t="s">
        <v>107</v>
      </c>
      <c r="Y20" s="163" t="s">
        <v>120</v>
      </c>
      <c r="Z20" s="166">
        <v>163656</v>
      </c>
      <c r="AA20" s="166">
        <v>13716</v>
      </c>
      <c r="AB20" s="166">
        <v>25822</v>
      </c>
      <c r="AC20" s="166">
        <v>611</v>
      </c>
      <c r="AD20" s="166">
        <v>4</v>
      </c>
      <c r="AE20" s="166">
        <v>3364</v>
      </c>
      <c r="AF20" s="166">
        <v>207</v>
      </c>
      <c r="AG20" s="166">
        <v>34</v>
      </c>
      <c r="AH20" s="165">
        <v>7</v>
      </c>
      <c r="AI20" s="167">
        <v>0</v>
      </c>
    </row>
    <row r="21">
      <c r="A21" s="149"/>
      <c r="B21" s="178" t="s">
        <v>112</v>
      </c>
      <c r="C21" s="178"/>
      <c r="D21" s="179">
        <f>SUM(D17:D20)</f>
      </c>
      <c r="E21" s="180">
        <f>SUM(E17:E20)</f>
      </c>
      <c r="F21" s="181">
        <f t="shared" si="420"/>
      </c>
      <c r="G21" s="182">
        <f>SUM(G17:G20)</f>
      </c>
      <c r="H21" s="183">
        <f t="shared" si="450"/>
      </c>
      <c r="I21" s="184">
        <f t="shared" si="360"/>
      </c>
      <c r="J21" s="185">
        <f t="shared" si="390"/>
      </c>
      <c r="K21" s="181">
        <f t="shared" si="300"/>
      </c>
      <c r="L21" s="186">
        <f t="shared" si="330"/>
      </c>
      <c r="M21" s="185">
        <f t="shared" si="210"/>
      </c>
      <c r="N21" s="187">
        <f t="shared" si="240"/>
      </c>
      <c r="O21" s="187">
        <f t="shared" si="270"/>
      </c>
      <c r="P21" s="187">
        <f t="shared" si="150"/>
      </c>
      <c r="Q21" s="187">
        <f t="shared" si="180"/>
      </c>
      <c r="R21" s="185">
        <f t="shared" si="90"/>
      </c>
      <c r="S21" s="181">
        <f t="shared" si="120"/>
      </c>
      <c r="T21" s="187">
        <f t="shared" si="30"/>
      </c>
      <c r="U21" s="187">
        <f t="shared" si="60"/>
      </c>
      <c r="V21" s="187">
        <f t="shared" si="480"/>
      </c>
      <c r="W21" s="187">
        <f t="shared" si="0"/>
      </c>
      <c r="X21" s="187"/>
      <c r="Y21" s="188"/>
      <c r="Z21" s="179">
        <f>SUM(Z17:Z20)</f>
      </c>
      <c r="AA21" s="179">
        <f>SUM(AA17:AA20)</f>
      </c>
      <c r="AB21" s="179">
        <f>SUM(AB17:AB20)</f>
      </c>
      <c r="AC21" s="179">
        <f>SUM(AC17:AC20)</f>
      </c>
      <c r="AD21" s="179">
        <f>SUM(AD17:AD20)</f>
      </c>
      <c r="AE21" s="179">
        <f>SUM(AE17:AE20)</f>
      </c>
      <c r="AF21" s="179">
        <f>SUM(AF17:AF20)</f>
      </c>
      <c r="AG21" s="179">
        <f>SUM(AG17:AG20)</f>
      </c>
      <c r="AH21" s="179">
        <f>SUM(AH17:AH20)</f>
      </c>
      <c r="AI21" s="179">
        <f>SUM(AI17:AI20)</f>
      </c>
    </row>
    <row r="22">
      <c r="A22" s="149"/>
      <c r="B22" s="202" t="s">
        <v>129</v>
      </c>
      <c r="C22" s="202"/>
      <c r="D22" s="203">
        <f>SUM(D21+D6+D11+D16)</f>
      </c>
      <c r="E22" s="204">
        <f>SUM(E21+E6+E11+E16)</f>
      </c>
      <c r="F22" s="205">
        <f t="shared" si="420"/>
      </c>
      <c r="G22" s="206">
        <f>SUM(G21+G6+G11+G16)</f>
      </c>
      <c r="H22" s="207">
        <f t="shared" si="450"/>
      </c>
      <c r="I22" s="208">
        <f t="shared" si="360"/>
      </c>
      <c r="J22" s="209">
        <f t="shared" si="390"/>
      </c>
      <c r="K22" s="205">
        <f t="shared" si="300"/>
      </c>
      <c r="L22" s="210">
        <f t="shared" si="330"/>
      </c>
      <c r="M22" s="210">
        <f t="shared" si="210"/>
      </c>
      <c r="N22" s="211">
        <f t="shared" si="240"/>
      </c>
      <c r="O22" s="211">
        <f t="shared" si="270"/>
      </c>
      <c r="P22" s="211">
        <f t="shared" si="150"/>
      </c>
      <c r="Q22" s="211">
        <f t="shared" si="180"/>
      </c>
      <c r="R22" s="212">
        <f t="shared" si="90"/>
      </c>
      <c r="S22" s="213">
        <f t="shared" si="120"/>
      </c>
      <c r="T22" s="214">
        <f t="shared" si="30"/>
      </c>
      <c r="U22" s="214">
        <f t="shared" si="60"/>
      </c>
      <c r="V22" s="214">
        <f t="shared" si="480"/>
      </c>
      <c r="W22" s="214">
        <f t="shared" si="0"/>
      </c>
      <c r="X22" s="214"/>
      <c r="Y22" s="215"/>
      <c r="Z22" s="216">
        <f>SUM(Z6+Z21+Z11+Z16)</f>
      </c>
      <c r="AA22" s="216">
        <f>SUM(AA6+AA21+AA11+AA16)</f>
      </c>
      <c r="AB22" s="216">
        <f>SUM(AB6+AB21+AB11+AB16)</f>
      </c>
      <c r="AC22" s="216">
        <f>SUM(AC6+AC21+AC11+AC16)</f>
      </c>
      <c r="AD22" s="216">
        <f>SUM(AD6+AD21+AD11+AD16)</f>
      </c>
      <c r="AE22" s="216">
        <f>SUM(AE6+AE21+AE11+AE16)</f>
      </c>
      <c r="AF22" s="216">
        <f>SUM(AF6+AF21+AF11+AF16)</f>
      </c>
      <c r="AG22" s="216">
        <f>SUM(AG6+AG21+AG11+AG16)</f>
      </c>
      <c r="AH22" s="216">
        <f>SUM(AH6+AH21+AH11+AH16)</f>
      </c>
      <c r="AI22" s="216">
        <f>SUM(AI6+AI21+AI11+AI16)</f>
      </c>
    </row>
    <row r="23">
      <c r="A23" s="133" t="s">
        <v>70</v>
      </c>
      <c r="B23" s="134" t="s">
        <v>71</v>
      </c>
      <c r="C23" s="135" t="s">
        <v>72</v>
      </c>
      <c r="D23" s="136" t="s">
        <v>73</v>
      </c>
      <c r="E23" s="137" t="s">
        <v>74</v>
      </c>
      <c r="F23" s="138" t="s">
        <v>75</v>
      </c>
      <c r="G23" s="139" t="s">
        <v>76</v>
      </c>
      <c r="H23" s="138" t="s">
        <v>77</v>
      </c>
      <c r="I23" s="139" t="s">
        <v>78</v>
      </c>
      <c r="J23" s="140" t="s">
        <v>79</v>
      </c>
      <c r="K23" s="140" t="s">
        <v>80</v>
      </c>
      <c r="L23" s="141" t="s">
        <v>81</v>
      </c>
      <c r="M23" s="141" t="s">
        <v>82</v>
      </c>
      <c r="N23" s="141" t="s">
        <v>83</v>
      </c>
      <c r="O23" s="141" t="s">
        <v>84</v>
      </c>
      <c r="P23" s="141" t="s">
        <v>85</v>
      </c>
      <c r="Q23" s="141" t="s">
        <v>86</v>
      </c>
      <c r="R23" s="141" t="s">
        <v>87</v>
      </c>
      <c r="S23" s="141" t="s">
        <v>88</v>
      </c>
      <c r="T23" s="142" t="s">
        <v>89</v>
      </c>
      <c r="U23" s="142" t="s">
        <v>90</v>
      </c>
      <c r="V23" s="142" t="s">
        <v>91</v>
      </c>
      <c r="W23" s="142" t="s">
        <v>92</v>
      </c>
      <c r="X23" s="143" t="s">
        <v>93</v>
      </c>
      <c r="Y23" s="143" t="s">
        <v>94</v>
      </c>
      <c r="Z23" s="144" t="s">
        <v>95</v>
      </c>
      <c r="AA23" s="144" t="s">
        <v>96</v>
      </c>
      <c r="AB23" s="144" t="s">
        <v>97</v>
      </c>
      <c r="AC23" s="145" t="s">
        <v>98</v>
      </c>
      <c r="AD23" s="145" t="s">
        <v>99</v>
      </c>
      <c r="AE23" s="146" t="s">
        <v>100</v>
      </c>
      <c r="AF23" s="145" t="s">
        <v>101</v>
      </c>
      <c r="AG23" s="145" t="s">
        <v>102</v>
      </c>
      <c r="AH23" s="147" t="s">
        <v>103</v>
      </c>
      <c r="AI23" s="148" t="s">
        <v>104</v>
      </c>
    </row>
    <row r="24">
      <c r="A24" s="149">
        <v>46267</v>
      </c>
      <c r="B24" s="150" t="s">
        <v>105</v>
      </c>
      <c r="C24" s="151" t="s">
        <v>106</v>
      </c>
      <c r="D24" s="152">
        <v>2105.397</v>
      </c>
      <c r="E24" s="153">
        <v>3</v>
      </c>
      <c r="F24" s="154">
        <f t="shared" ref="F24:F44" si="421">D24/E24</f>
      </c>
      <c r="G24" s="155">
        <v>1884</v>
      </c>
      <c r="H24" s="156">
        <f t="shared" ref="H24:H44" si="451">AD24</f>
      </c>
      <c r="I24" s="157">
        <f t="shared" ref="I24:I44" si="361">D24/AD24</f>
      </c>
      <c r="J24" s="158">
        <f t="shared" ref="J24:J44" si="391">G24/E24</f>
      </c>
      <c r="K24" s="159">
        <f t="shared" ref="K24:K44" si="301">G24/D24</f>
      </c>
      <c r="L24" s="160">
        <f t="shared" ref="L24:L44" si="331">D24/AB24</f>
      </c>
      <c r="M24" s="158">
        <f t="shared" ref="M24:M44" si="211">D24/AC24</f>
      </c>
      <c r="N24" s="161">
        <f t="shared" ref="N24:N44" si="241">AC24/AB24</f>
      </c>
      <c r="O24" s="161">
        <f t="shared" ref="O24:O44" si="271">AD24/AC24</f>
      </c>
      <c r="P24" s="161">
        <f t="shared" ref="P24:P44" si="151">AA24/Z24</f>
      </c>
      <c r="Q24" s="161">
        <f t="shared" ref="Q24:Q44" si="181">AD24/AA24</f>
      </c>
      <c r="R24" s="158">
        <f t="shared" ref="R24:R44" si="91">D24/Z24*1000</f>
      </c>
      <c r="S24" s="159">
        <f t="shared" ref="S24:S44" si="121">D24/AA24</f>
      </c>
      <c r="T24" s="161">
        <f t="shared" ref="T24:T44" si="31">AE24/AB24</f>
      </c>
      <c r="U24" s="161">
        <f t="shared" ref="U24:U44" si="61">AF24/AB24</f>
      </c>
      <c r="V24" s="161">
        <f t="shared" ref="V24:V44" si="481">AG24/AB24</f>
      </c>
      <c r="W24" s="161">
        <f t="shared" ref="W24:W44" si="1">AH24/AB24</f>
      </c>
      <c r="X24" s="162" t="s">
        <v>107</v>
      </c>
      <c r="Y24" s="163" t="s">
        <v>108</v>
      </c>
      <c r="Z24" s="164">
        <v>111820</v>
      </c>
      <c r="AA24" s="164">
        <v>50447</v>
      </c>
      <c r="AB24" s="164">
        <v>67257</v>
      </c>
      <c r="AC24" s="164">
        <v>1362</v>
      </c>
      <c r="AD24" s="165">
        <v>3</v>
      </c>
      <c r="AE24" s="164">
        <v>17977</v>
      </c>
      <c r="AF24" s="166">
        <v>452</v>
      </c>
      <c r="AG24" s="166">
        <v>81</v>
      </c>
      <c r="AH24" s="166">
        <v>12</v>
      </c>
      <c r="AI24" s="167">
        <v>0</v>
      </c>
    </row>
    <row r="25">
      <c r="A25" s="149"/>
      <c r="B25" s="150" t="s">
        <v>105</v>
      </c>
      <c r="C25" s="168" t="s">
        <v>109</v>
      </c>
      <c r="D25" s="152">
        <v>1820.144</v>
      </c>
      <c r="E25" s="153">
        <v>7</v>
      </c>
      <c r="F25" s="154">
        <f t="shared" si="421"/>
      </c>
      <c r="G25" s="155">
        <v>1500</v>
      </c>
      <c r="H25" s="156">
        <f t="shared" si="451"/>
      </c>
      <c r="I25" s="157">
        <f t="shared" si="361"/>
      </c>
      <c r="J25" s="158">
        <f t="shared" si="391"/>
      </c>
      <c r="K25" s="159">
        <f t="shared" si="301"/>
      </c>
      <c r="L25" s="160">
        <f t="shared" si="331"/>
      </c>
      <c r="M25" s="158">
        <f t="shared" si="211"/>
      </c>
      <c r="N25" s="161">
        <f t="shared" si="241"/>
      </c>
      <c r="O25" s="161">
        <f t="shared" si="271"/>
      </c>
      <c r="P25" s="161">
        <f t="shared" si="151"/>
      </c>
      <c r="Q25" s="161">
        <f t="shared" si="181"/>
      </c>
      <c r="R25" s="158">
        <f t="shared" si="91"/>
      </c>
      <c r="S25" s="159">
        <f t="shared" si="121"/>
      </c>
      <c r="T25" s="161">
        <f t="shared" si="31"/>
      </c>
      <c r="U25" s="161">
        <f t="shared" si="61"/>
      </c>
      <c r="V25" s="161">
        <f t="shared" si="481"/>
      </c>
      <c r="W25" s="161">
        <f t="shared" si="1"/>
      </c>
      <c r="X25" s="169" t="s">
        <v>107</v>
      </c>
      <c r="Y25" s="163" t="s">
        <v>108</v>
      </c>
      <c r="Z25" s="166">
        <v>118037</v>
      </c>
      <c r="AA25" s="164">
        <v>29136</v>
      </c>
      <c r="AB25" s="164">
        <v>51482</v>
      </c>
      <c r="AC25" s="164">
        <v>1356</v>
      </c>
      <c r="AD25" s="166">
        <v>7</v>
      </c>
      <c r="AE25" s="164">
        <v>10156</v>
      </c>
      <c r="AF25" s="166">
        <v>457</v>
      </c>
      <c r="AG25" s="166">
        <v>45</v>
      </c>
      <c r="AH25" s="165">
        <v>15</v>
      </c>
      <c r="AI25" s="167">
        <v>0</v>
      </c>
    </row>
    <row r="26">
      <c r="A26" s="149"/>
      <c r="B26" s="150" t="s">
        <v>105</v>
      </c>
      <c r="C26" s="170" t="s">
        <v>110</v>
      </c>
      <c r="D26" s="171">
        <v>1580.697</v>
      </c>
      <c r="E26" s="172">
        <v>4</v>
      </c>
      <c r="F26" s="154">
        <f t="shared" si="421"/>
      </c>
      <c r="G26" s="172">
        <v>2112</v>
      </c>
      <c r="H26" s="156">
        <f t="shared" si="451"/>
      </c>
      <c r="I26" s="157">
        <f t="shared" si="361"/>
      </c>
      <c r="J26" s="158">
        <f t="shared" si="391"/>
      </c>
      <c r="K26" s="159">
        <f t="shared" si="301"/>
      </c>
      <c r="L26" s="160">
        <f t="shared" si="331"/>
      </c>
      <c r="M26" s="158">
        <f t="shared" si="211"/>
      </c>
      <c r="N26" s="161">
        <f t="shared" si="241"/>
      </c>
      <c r="O26" s="161">
        <f t="shared" si="271"/>
      </c>
      <c r="P26" s="161">
        <f t="shared" si="151"/>
      </c>
      <c r="Q26" s="161">
        <f t="shared" si="181"/>
      </c>
      <c r="R26" s="158">
        <f t="shared" si="91"/>
      </c>
      <c r="S26" s="159">
        <f t="shared" si="121"/>
      </c>
      <c r="T26" s="161">
        <f t="shared" si="31"/>
      </c>
      <c r="U26" s="161">
        <f t="shared" si="61"/>
      </c>
      <c r="V26" s="161">
        <f t="shared" si="481"/>
      </c>
      <c r="W26" s="161">
        <f t="shared" si="1"/>
      </c>
      <c r="X26" s="169" t="s">
        <v>107</v>
      </c>
      <c r="Y26" s="163" t="s">
        <v>108</v>
      </c>
      <c r="Z26" s="166">
        <v>142176</v>
      </c>
      <c r="AA26" s="166">
        <v>12153</v>
      </c>
      <c r="AB26" s="166">
        <v>44463</v>
      </c>
      <c r="AC26" s="166">
        <v>1006</v>
      </c>
      <c r="AD26" s="166">
        <v>4</v>
      </c>
      <c r="AE26" s="166">
        <v>4929</v>
      </c>
      <c r="AF26" s="166">
        <v>300</v>
      </c>
      <c r="AG26" s="166">
        <v>28</v>
      </c>
      <c r="AH26" s="166">
        <v>5</v>
      </c>
      <c r="AI26" s="167">
        <v>0</v>
      </c>
    </row>
    <row r="27">
      <c r="A27" s="149"/>
      <c r="B27" s="150" t="s">
        <v>105</v>
      </c>
      <c r="C27" s="173" t="s">
        <v>111</v>
      </c>
      <c r="D27" s="171">
        <v>2613.965</v>
      </c>
      <c r="E27" s="172">
        <v>3</v>
      </c>
      <c r="F27" s="154">
        <f t="shared" si="421"/>
      </c>
      <c r="G27" s="172">
        <v>684</v>
      </c>
      <c r="H27" s="156">
        <f t="shared" si="451"/>
      </c>
      <c r="I27" s="157">
        <f t="shared" si="361"/>
      </c>
      <c r="J27" s="158">
        <f t="shared" si="391"/>
      </c>
      <c r="K27" s="159">
        <f t="shared" si="301"/>
      </c>
      <c r="L27" s="174">
        <f t="shared" si="331"/>
      </c>
      <c r="M27" s="175">
        <f t="shared" si="211"/>
      </c>
      <c r="N27" s="176">
        <f t="shared" si="241"/>
      </c>
      <c r="O27" s="176">
        <f t="shared" si="271"/>
      </c>
      <c r="P27" s="176">
        <f t="shared" si="151"/>
      </c>
      <c r="Q27" s="176">
        <f t="shared" si="181"/>
      </c>
      <c r="R27" s="175">
        <f t="shared" si="91"/>
      </c>
      <c r="S27" s="177">
        <f t="shared" si="121"/>
      </c>
      <c r="T27" s="176">
        <f t="shared" si="31"/>
      </c>
      <c r="U27" s="176">
        <f t="shared" si="61"/>
      </c>
      <c r="V27" s="176">
        <f t="shared" si="481"/>
      </c>
      <c r="W27" s="176">
        <f t="shared" si="1"/>
      </c>
      <c r="X27" s="169" t="s">
        <v>107</v>
      </c>
      <c r="Y27" s="163" t="s">
        <v>108</v>
      </c>
      <c r="Z27" s="166">
        <v>259344</v>
      </c>
      <c r="AA27" s="166">
        <v>26956</v>
      </c>
      <c r="AB27" s="166">
        <v>100119</v>
      </c>
      <c r="AC27" s="166">
        <v>1706</v>
      </c>
      <c r="AD27" s="166">
        <v>3</v>
      </c>
      <c r="AE27" s="166">
        <v>11333</v>
      </c>
      <c r="AF27" s="166">
        <v>470</v>
      </c>
      <c r="AG27" s="166">
        <v>60</v>
      </c>
      <c r="AH27" s="165">
        <v>17</v>
      </c>
      <c r="AI27" s="167">
        <v>0</v>
      </c>
    </row>
    <row r="28">
      <c r="A28" s="149"/>
      <c r="B28" s="178" t="s">
        <v>112</v>
      </c>
      <c r="C28" s="178"/>
      <c r="D28" s="179">
        <f>SUM(D24:D27)</f>
      </c>
      <c r="E28" s="180">
        <f>SUM(E24:E27)</f>
      </c>
      <c r="F28" s="181">
        <f t="shared" si="421"/>
      </c>
      <c r="G28" s="182">
        <f>SUM(G24:G27)</f>
      </c>
      <c r="H28" s="183">
        <f t="shared" si="451"/>
      </c>
      <c r="I28" s="184">
        <f t="shared" si="361"/>
      </c>
      <c r="J28" s="185">
        <f t="shared" si="391"/>
      </c>
      <c r="K28" s="181">
        <f t="shared" si="301"/>
      </c>
      <c r="L28" s="186">
        <f t="shared" si="331"/>
      </c>
      <c r="M28" s="185">
        <f t="shared" si="211"/>
      </c>
      <c r="N28" s="187">
        <f t="shared" si="241"/>
      </c>
      <c r="O28" s="187">
        <f t="shared" si="271"/>
      </c>
      <c r="P28" s="187">
        <f t="shared" si="151"/>
      </c>
      <c r="Q28" s="187">
        <f t="shared" si="181"/>
      </c>
      <c r="R28" s="185">
        <f t="shared" si="91"/>
      </c>
      <c r="S28" s="181">
        <f t="shared" si="121"/>
      </c>
      <c r="T28" s="187">
        <f t="shared" si="31"/>
      </c>
      <c r="U28" s="187">
        <f t="shared" si="61"/>
      </c>
      <c r="V28" s="187">
        <f t="shared" si="481"/>
      </c>
      <c r="W28" s="187">
        <f t="shared" si="1"/>
      </c>
      <c r="X28" s="187"/>
      <c r="Y28" s="188"/>
      <c r="Z28" s="179">
        <f>SUM(Z24:Z27)</f>
      </c>
      <c r="AA28" s="179">
        <f>SUM(AA24:AA27)</f>
      </c>
      <c r="AB28" s="179">
        <f>SUM(AB24:AB27)</f>
      </c>
      <c r="AC28" s="179">
        <f>SUM(AC24:AC27)</f>
      </c>
      <c r="AD28" s="179">
        <f>SUM(AD24:AD27)</f>
      </c>
      <c r="AE28" s="179">
        <f>SUM(AE24:AE27)</f>
      </c>
      <c r="AF28" s="179">
        <f>SUM(AF24:AF27)</f>
      </c>
      <c r="AG28" s="179">
        <f>SUM(AG24:AG27)</f>
      </c>
      <c r="AH28" s="179">
        <f>SUM(AH24:AH27)</f>
      </c>
      <c r="AI28" s="179">
        <f>SUM(AI24:AI27)</f>
      </c>
    </row>
    <row r="29">
      <c r="A29" s="149"/>
      <c r="B29" s="189" t="s">
        <v>130</v>
      </c>
      <c r="C29" s="173" t="s">
        <v>114</v>
      </c>
      <c r="D29" s="190">
        <v>3806.725</v>
      </c>
      <c r="E29" s="191">
        <v>6</v>
      </c>
      <c r="F29" s="154">
        <f t="shared" si="421"/>
      </c>
      <c r="G29" s="172">
        <v>2529.6</v>
      </c>
      <c r="H29" s="156">
        <f t="shared" si="451"/>
      </c>
      <c r="I29" s="157">
        <f t="shared" si="361"/>
      </c>
      <c r="J29" s="158">
        <f t="shared" si="391"/>
      </c>
      <c r="K29" s="159">
        <f t="shared" si="301"/>
      </c>
      <c r="L29" s="160">
        <f t="shared" si="331"/>
      </c>
      <c r="M29" s="158">
        <f t="shared" si="211"/>
      </c>
      <c r="N29" s="161">
        <f t="shared" si="241"/>
      </c>
      <c r="O29" s="161">
        <f t="shared" si="271"/>
      </c>
      <c r="P29" s="161">
        <f t="shared" si="151"/>
      </c>
      <c r="Q29" s="161">
        <f t="shared" si="181"/>
      </c>
      <c r="R29" s="158">
        <f t="shared" si="91"/>
      </c>
      <c r="S29" s="159">
        <f t="shared" si="121"/>
      </c>
      <c r="T29" s="161">
        <f t="shared" si="31"/>
      </c>
      <c r="U29" s="161">
        <f t="shared" si="61"/>
      </c>
      <c r="V29" s="161">
        <f t="shared" si="481"/>
      </c>
      <c r="W29" s="161">
        <f t="shared" si="1"/>
      </c>
      <c r="X29" s="169" t="s">
        <v>107</v>
      </c>
      <c r="Y29" s="163" t="s">
        <v>108</v>
      </c>
      <c r="Z29" s="166">
        <v>349322</v>
      </c>
      <c r="AA29" s="166">
        <v>42523</v>
      </c>
      <c r="AB29" s="166">
        <v>152331</v>
      </c>
      <c r="AC29" s="166">
        <v>2157</v>
      </c>
      <c r="AD29" s="166">
        <v>5</v>
      </c>
      <c r="AE29" s="166">
        <v>16721</v>
      </c>
      <c r="AF29" s="166">
        <v>493</v>
      </c>
      <c r="AG29" s="166">
        <v>93</v>
      </c>
      <c r="AH29" s="166">
        <v>19</v>
      </c>
      <c r="AI29" s="167">
        <v>1</v>
      </c>
    </row>
    <row r="30">
      <c r="A30" s="149"/>
      <c r="B30" s="189" t="s">
        <v>130</v>
      </c>
      <c r="C30" s="192" t="s">
        <v>115</v>
      </c>
      <c r="D30" s="171">
        <v>2279.636</v>
      </c>
      <c r="E30" s="172">
        <v>8</v>
      </c>
      <c r="F30" s="154">
        <f t="shared" si="421"/>
      </c>
      <c r="G30" s="172">
        <v>4147.2</v>
      </c>
      <c r="H30" s="156">
        <f t="shared" si="451"/>
      </c>
      <c r="I30" s="157">
        <f t="shared" si="361"/>
      </c>
      <c r="J30" s="158">
        <f t="shared" si="391"/>
      </c>
      <c r="K30" s="159">
        <f t="shared" si="301"/>
      </c>
      <c r="L30" s="160">
        <f t="shared" si="331"/>
      </c>
      <c r="M30" s="158">
        <f t="shared" si="211"/>
      </c>
      <c r="N30" s="161">
        <f t="shared" si="241"/>
      </c>
      <c r="O30" s="161">
        <f t="shared" si="271"/>
      </c>
      <c r="P30" s="161">
        <f t="shared" si="151"/>
      </c>
      <c r="Q30" s="161">
        <f t="shared" si="181"/>
      </c>
      <c r="R30" s="158">
        <f t="shared" si="91"/>
      </c>
      <c r="S30" s="159">
        <f t="shared" si="121"/>
      </c>
      <c r="T30" s="161">
        <f t="shared" si="31"/>
      </c>
      <c r="U30" s="161">
        <f t="shared" si="61"/>
      </c>
      <c r="V30" s="161">
        <f t="shared" si="481"/>
      </c>
      <c r="W30" s="161">
        <f t="shared" si="1"/>
      </c>
      <c r="X30" s="169" t="s">
        <v>107</v>
      </c>
      <c r="Y30" s="163" t="s">
        <v>108</v>
      </c>
      <c r="Z30" s="166">
        <v>91146</v>
      </c>
      <c r="AA30" s="166">
        <v>18280</v>
      </c>
      <c r="AB30" s="166">
        <v>69538</v>
      </c>
      <c r="AC30" s="166">
        <v>764</v>
      </c>
      <c r="AD30" s="166">
        <v>6</v>
      </c>
      <c r="AE30" s="166">
        <v>6884</v>
      </c>
      <c r="AF30" s="166">
        <v>306</v>
      </c>
      <c r="AG30" s="166">
        <v>40</v>
      </c>
      <c r="AH30" s="166">
        <v>21</v>
      </c>
      <c r="AI30" s="167">
        <v>2</v>
      </c>
    </row>
    <row r="31">
      <c r="A31" s="149"/>
      <c r="B31" s="189" t="s">
        <v>130</v>
      </c>
      <c r="C31" s="193" t="s">
        <v>116</v>
      </c>
      <c r="D31" s="171">
        <v>3416.036</v>
      </c>
      <c r="E31" s="172">
        <v>7</v>
      </c>
      <c r="F31" s="154">
        <f t="shared" si="421"/>
      </c>
      <c r="G31" s="172">
        <v>2132</v>
      </c>
      <c r="H31" s="156">
        <f t="shared" si="451"/>
      </c>
      <c r="I31" s="157">
        <f t="shared" si="361"/>
      </c>
      <c r="J31" s="158">
        <f t="shared" si="391"/>
      </c>
      <c r="K31" s="159">
        <f t="shared" si="301"/>
      </c>
      <c r="L31" s="174">
        <f t="shared" si="331"/>
      </c>
      <c r="M31" s="175">
        <f t="shared" si="211"/>
      </c>
      <c r="N31" s="176">
        <f t="shared" si="241"/>
      </c>
      <c r="O31" s="176">
        <f t="shared" si="271"/>
      </c>
      <c r="P31" s="176">
        <f t="shared" si="151"/>
      </c>
      <c r="Q31" s="176">
        <f t="shared" si="181"/>
      </c>
      <c r="R31" s="175">
        <f t="shared" si="91"/>
      </c>
      <c r="S31" s="177">
        <f t="shared" si="121"/>
      </c>
      <c r="T31" s="176">
        <f t="shared" si="31"/>
      </c>
      <c r="U31" s="176">
        <f t="shared" si="61"/>
      </c>
      <c r="V31" s="176">
        <f t="shared" si="481"/>
      </c>
      <c r="W31" s="176">
        <f t="shared" si="1"/>
      </c>
      <c r="X31" s="169" t="s">
        <v>107</v>
      </c>
      <c r="Y31" s="163" t="s">
        <v>108</v>
      </c>
      <c r="Z31" s="166">
        <v>112925</v>
      </c>
      <c r="AA31" s="166">
        <v>28701</v>
      </c>
      <c r="AB31" s="166">
        <v>101047</v>
      </c>
      <c r="AC31" s="166">
        <v>689</v>
      </c>
      <c r="AD31" s="166">
        <v>6</v>
      </c>
      <c r="AE31" s="166">
        <v>10317</v>
      </c>
      <c r="AF31" s="166">
        <v>357</v>
      </c>
      <c r="AG31" s="166">
        <v>73</v>
      </c>
      <c r="AH31" s="165">
        <v>28</v>
      </c>
      <c r="AI31" s="167">
        <v>0</v>
      </c>
    </row>
    <row r="32">
      <c r="A32" s="149"/>
      <c r="B32" s="189" t="s">
        <v>130</v>
      </c>
      <c r="C32" s="194" t="s">
        <v>117</v>
      </c>
      <c r="D32" s="195">
        <v>4014.743</v>
      </c>
      <c r="E32" s="172">
        <v>5</v>
      </c>
      <c r="F32" s="154">
        <f t="shared" si="421"/>
      </c>
      <c r="G32" s="172">
        <v>1729.2000000000007</v>
      </c>
      <c r="H32" s="156">
        <f t="shared" si="451"/>
      </c>
      <c r="I32" s="157">
        <f t="shared" si="361"/>
      </c>
      <c r="J32" s="158">
        <f t="shared" si="391"/>
      </c>
      <c r="K32" s="159">
        <f t="shared" si="301"/>
      </c>
      <c r="L32" s="174">
        <f t="shared" si="331"/>
      </c>
      <c r="M32" s="175">
        <f t="shared" si="211"/>
      </c>
      <c r="N32" s="176">
        <f t="shared" si="241"/>
      </c>
      <c r="O32" s="176">
        <f t="shared" si="271"/>
      </c>
      <c r="P32" s="176">
        <f t="shared" si="151"/>
      </c>
      <c r="Q32" s="176">
        <f t="shared" si="181"/>
      </c>
      <c r="R32" s="175">
        <f t="shared" si="91"/>
      </c>
      <c r="S32" s="177">
        <f t="shared" si="121"/>
      </c>
      <c r="T32" s="176">
        <f t="shared" si="31"/>
      </c>
      <c r="U32" s="176">
        <f t="shared" si="61"/>
      </c>
      <c r="V32" s="176">
        <f t="shared" si="481"/>
      </c>
      <c r="W32" s="176">
        <f t="shared" si="1"/>
      </c>
      <c r="X32" s="169" t="s">
        <v>107</v>
      </c>
      <c r="Y32" s="163" t="s">
        <v>108</v>
      </c>
      <c r="Z32" s="166">
        <v>128450</v>
      </c>
      <c r="AA32" s="166">
        <v>30842</v>
      </c>
      <c r="AB32" s="166">
        <v>187283</v>
      </c>
      <c r="AC32" s="166">
        <v>932</v>
      </c>
      <c r="AD32" s="166">
        <v>4</v>
      </c>
      <c r="AE32" s="166">
        <v>14430</v>
      </c>
      <c r="AF32" s="166">
        <v>421</v>
      </c>
      <c r="AG32" s="166">
        <v>57</v>
      </c>
      <c r="AH32" s="165">
        <v>8</v>
      </c>
      <c r="AI32" s="167">
        <v>1</v>
      </c>
    </row>
    <row customHeight="true" ht="16.071428571428573" r="33">
      <c r="A33" s="149"/>
      <c r="B33" s="178" t="s">
        <v>112</v>
      </c>
      <c r="C33" s="178"/>
      <c r="D33" s="179">
        <f>SUM(D29:D32)</f>
      </c>
      <c r="E33" s="180">
        <f>SUM(E29:E32)</f>
      </c>
      <c r="F33" s="181">
        <f t="shared" si="421"/>
      </c>
      <c r="G33" s="182">
        <f>SUM(G29:G32)</f>
      </c>
      <c r="H33" s="183">
        <f t="shared" si="451"/>
      </c>
      <c r="I33" s="184">
        <f t="shared" si="361"/>
      </c>
      <c r="J33" s="185">
        <f t="shared" si="391"/>
      </c>
      <c r="K33" s="181">
        <f t="shared" si="301"/>
      </c>
      <c r="L33" s="186">
        <f t="shared" si="331"/>
      </c>
      <c r="M33" s="185">
        <f t="shared" si="211"/>
      </c>
      <c r="N33" s="187">
        <f t="shared" si="241"/>
      </c>
      <c r="O33" s="187">
        <f t="shared" si="271"/>
      </c>
      <c r="P33" s="187">
        <f t="shared" si="151"/>
      </c>
      <c r="Q33" s="187">
        <f t="shared" si="181"/>
      </c>
      <c r="R33" s="185">
        <f t="shared" si="91"/>
      </c>
      <c r="S33" s="181">
        <f t="shared" si="121"/>
      </c>
      <c r="T33" s="187">
        <f t="shared" si="31"/>
      </c>
      <c r="U33" s="187">
        <f t="shared" si="61"/>
      </c>
      <c r="V33" s="187">
        <f t="shared" si="481"/>
      </c>
      <c r="W33" s="187">
        <f t="shared" si="1"/>
      </c>
      <c r="X33" s="187"/>
      <c r="Y33" s="188"/>
      <c r="Z33" s="179">
        <f>SUM(Z29:Z32)</f>
      </c>
      <c r="AA33" s="179">
        <f>SUM(AA29:AA32)</f>
      </c>
      <c r="AB33" s="179">
        <f>SUM(AB29:AB32)</f>
      </c>
      <c r="AC33" s="179">
        <f>SUM(AC29:AC32)</f>
      </c>
      <c r="AD33" s="179">
        <f>SUM(AD29:AD32)</f>
      </c>
      <c r="AE33" s="179">
        <f>SUM(AE29:AE32)</f>
      </c>
      <c r="AF33" s="179">
        <f>SUM(AF29:AF32)</f>
      </c>
      <c r="AG33" s="179">
        <f>SUM(AG29:AG32)</f>
      </c>
      <c r="AH33" s="179">
        <f>SUM(AH29:AH32)</f>
      </c>
      <c r="AI33" s="179">
        <f>SUM(AI29:AI32)</f>
      </c>
    </row>
    <row customHeight="true" ht="16.071428571428573" r="34">
      <c r="A34" s="149"/>
      <c r="B34" s="150" t="s">
        <v>131</v>
      </c>
      <c r="C34" s="196" t="s">
        <v>119</v>
      </c>
      <c r="D34" s="171">
        <v>3472.7</v>
      </c>
      <c r="E34" s="172">
        <v>9</v>
      </c>
      <c r="F34" s="154">
        <f t="shared" si="421"/>
      </c>
      <c r="G34" s="172">
        <v>1881.2000000000007</v>
      </c>
      <c r="H34" s="156">
        <f t="shared" si="451"/>
      </c>
      <c r="I34" s="157">
        <f t="shared" si="361"/>
      </c>
      <c r="J34" s="158">
        <f t="shared" si="391"/>
      </c>
      <c r="K34" s="159">
        <f t="shared" si="301"/>
      </c>
      <c r="L34" s="160">
        <f t="shared" si="331"/>
      </c>
      <c r="M34" s="158">
        <f t="shared" si="211"/>
      </c>
      <c r="N34" s="161">
        <f t="shared" si="241"/>
      </c>
      <c r="O34" s="161">
        <f t="shared" si="271"/>
      </c>
      <c r="P34" s="161">
        <f t="shared" si="151"/>
      </c>
      <c r="Q34" s="161">
        <f t="shared" si="181"/>
      </c>
      <c r="R34" s="158">
        <f t="shared" si="91"/>
      </c>
      <c r="S34" s="159">
        <f t="shared" si="121"/>
      </c>
      <c r="T34" s="161">
        <f t="shared" si="31"/>
      </c>
      <c r="U34" s="161">
        <f t="shared" si="61"/>
      </c>
      <c r="V34" s="161">
        <f t="shared" si="481"/>
      </c>
      <c r="W34" s="161">
        <f t="shared" si="1"/>
      </c>
      <c r="X34" s="169" t="s">
        <v>107</v>
      </c>
      <c r="Y34" s="163" t="s">
        <v>120</v>
      </c>
      <c r="Z34" s="166">
        <v>137366</v>
      </c>
      <c r="AA34" s="166">
        <v>30138</v>
      </c>
      <c r="AB34" s="166">
        <v>161794</v>
      </c>
      <c r="AC34" s="166">
        <v>908</v>
      </c>
      <c r="AD34" s="166">
        <v>9</v>
      </c>
      <c r="AE34" s="166">
        <v>13806</v>
      </c>
      <c r="AF34" s="166">
        <v>328</v>
      </c>
      <c r="AG34" s="166">
        <v>76</v>
      </c>
      <c r="AH34" s="166">
        <v>15</v>
      </c>
      <c r="AI34" s="167">
        <v>1</v>
      </c>
    </row>
    <row customHeight="true" ht="16.071428571428573" r="35">
      <c r="A35" s="149"/>
      <c r="B35" s="150" t="s">
        <v>131</v>
      </c>
      <c r="C35" s="197" t="s">
        <v>121</v>
      </c>
      <c r="D35" s="171">
        <v>2791.7770000000005</v>
      </c>
      <c r="E35" s="172">
        <v>15</v>
      </c>
      <c r="F35" s="154">
        <f t="shared" si="421"/>
      </c>
      <c r="G35" s="172">
        <v>6601.200000000001</v>
      </c>
      <c r="H35" s="156">
        <f t="shared" si="451"/>
      </c>
      <c r="I35" s="157">
        <f t="shared" si="361"/>
      </c>
      <c r="J35" s="158">
        <f t="shared" si="391"/>
      </c>
      <c r="K35" s="159">
        <f t="shared" si="301"/>
      </c>
      <c r="L35" s="160">
        <f t="shared" si="331"/>
      </c>
      <c r="M35" s="158">
        <f t="shared" si="211"/>
      </c>
      <c r="N35" s="161">
        <f t="shared" si="241"/>
      </c>
      <c r="O35" s="161">
        <f t="shared" si="271"/>
      </c>
      <c r="P35" s="161">
        <f t="shared" si="151"/>
      </c>
      <c r="Q35" s="161">
        <f t="shared" si="181"/>
      </c>
      <c r="R35" s="158">
        <f t="shared" si="91"/>
      </c>
      <c r="S35" s="159">
        <f t="shared" si="121"/>
      </c>
      <c r="T35" s="161">
        <f t="shared" si="31"/>
      </c>
      <c r="U35" s="161">
        <f t="shared" si="61"/>
      </c>
      <c r="V35" s="161">
        <f t="shared" si="481"/>
      </c>
      <c r="W35" s="161">
        <f t="shared" si="1"/>
      </c>
      <c r="X35" s="169" t="s">
        <v>107</v>
      </c>
      <c r="Y35" s="163" t="s">
        <v>120</v>
      </c>
      <c r="Z35" s="166">
        <v>117659</v>
      </c>
      <c r="AA35" s="166">
        <v>31863</v>
      </c>
      <c r="AB35" s="166">
        <v>130289</v>
      </c>
      <c r="AC35" s="166">
        <v>890</v>
      </c>
      <c r="AD35" s="166">
        <v>12</v>
      </c>
      <c r="AE35" s="166">
        <v>12889</v>
      </c>
      <c r="AF35" s="166">
        <v>278</v>
      </c>
      <c r="AG35" s="166">
        <v>74</v>
      </c>
      <c r="AH35" s="165">
        <v>7</v>
      </c>
      <c r="AI35" s="167">
        <v>3</v>
      </c>
    </row>
    <row customHeight="true" ht="16.071428571428573" r="36">
      <c r="A36" s="149"/>
      <c r="B36" s="150" t="s">
        <v>131</v>
      </c>
      <c r="C36" s="194" t="s">
        <v>122</v>
      </c>
      <c r="D36" s="171">
        <v>2476.972</v>
      </c>
      <c r="E36" s="172">
        <v>9</v>
      </c>
      <c r="F36" s="154">
        <f t="shared" si="421"/>
      </c>
      <c r="G36" s="172">
        <v>3188</v>
      </c>
      <c r="H36" s="156">
        <f t="shared" si="451"/>
      </c>
      <c r="I36" s="157">
        <f t="shared" si="361"/>
      </c>
      <c r="J36" s="158">
        <f t="shared" si="391"/>
      </c>
      <c r="K36" s="159">
        <f t="shared" si="301"/>
      </c>
      <c r="L36" s="174">
        <f t="shared" si="331"/>
      </c>
      <c r="M36" s="175">
        <f t="shared" si="211"/>
      </c>
      <c r="N36" s="176">
        <f t="shared" si="241"/>
      </c>
      <c r="O36" s="176">
        <f t="shared" si="271"/>
      </c>
      <c r="P36" s="176">
        <f t="shared" si="151"/>
      </c>
      <c r="Q36" s="176">
        <f t="shared" si="181"/>
      </c>
      <c r="R36" s="175">
        <f t="shared" si="91"/>
      </c>
      <c r="S36" s="177">
        <f t="shared" si="121"/>
      </c>
      <c r="T36" s="176">
        <f t="shared" si="31"/>
      </c>
      <c r="U36" s="176">
        <f t="shared" si="61"/>
      </c>
      <c r="V36" s="176">
        <f t="shared" si="481"/>
      </c>
      <c r="W36" s="176">
        <f t="shared" si="1"/>
      </c>
      <c r="X36" s="169" t="s">
        <v>107</v>
      </c>
      <c r="Y36" s="163" t="s">
        <v>120</v>
      </c>
      <c r="Z36" s="166">
        <v>104587</v>
      </c>
      <c r="AA36" s="166">
        <v>25058</v>
      </c>
      <c r="AB36" s="166">
        <v>122420</v>
      </c>
      <c r="AC36" s="166">
        <v>791</v>
      </c>
      <c r="AD36" s="166">
        <v>9</v>
      </c>
      <c r="AE36" s="166">
        <v>11117</v>
      </c>
      <c r="AF36" s="166">
        <v>325</v>
      </c>
      <c r="AG36" s="166">
        <v>69</v>
      </c>
      <c r="AH36" s="165">
        <v>8</v>
      </c>
      <c r="AI36" s="167">
        <v>0</v>
      </c>
    </row>
    <row customHeight="true" ht="16.071428571428573" r="37">
      <c r="A37" s="149"/>
      <c r="B37" s="150" t="s">
        <v>131</v>
      </c>
      <c r="C37" s="194" t="s">
        <v>123</v>
      </c>
      <c r="D37" s="195">
        <v>1978.371</v>
      </c>
      <c r="E37" s="172">
        <v>11</v>
      </c>
      <c r="F37" s="154">
        <f t="shared" si="421"/>
      </c>
      <c r="G37" s="172">
        <v>5925.499999999993</v>
      </c>
      <c r="H37" s="156">
        <f t="shared" si="451"/>
      </c>
      <c r="I37" s="157">
        <f t="shared" si="361"/>
      </c>
      <c r="J37" s="158">
        <f t="shared" si="391"/>
      </c>
      <c r="K37" s="159">
        <f t="shared" si="301"/>
      </c>
      <c r="L37" s="174">
        <f t="shared" si="331"/>
      </c>
      <c r="M37" s="175">
        <f t="shared" si="211"/>
      </c>
      <c r="N37" s="176">
        <f t="shared" si="241"/>
      </c>
      <c r="O37" s="176">
        <f t="shared" si="271"/>
      </c>
      <c r="P37" s="176">
        <f t="shared" si="151"/>
      </c>
      <c r="Q37" s="176">
        <f t="shared" si="181"/>
      </c>
      <c r="R37" s="175">
        <f t="shared" si="91"/>
      </c>
      <c r="S37" s="177">
        <f t="shared" si="121"/>
      </c>
      <c r="T37" s="176">
        <f t="shared" si="31"/>
      </c>
      <c r="U37" s="176">
        <f t="shared" si="61"/>
      </c>
      <c r="V37" s="176">
        <f t="shared" si="481"/>
      </c>
      <c r="W37" s="176">
        <f t="shared" si="1"/>
      </c>
      <c r="X37" s="169" t="s">
        <v>107</v>
      </c>
      <c r="Y37" s="163" t="s">
        <v>120</v>
      </c>
      <c r="Z37" s="166">
        <v>94587</v>
      </c>
      <c r="AA37" s="166">
        <v>20647</v>
      </c>
      <c r="AB37" s="166">
        <v>119699</v>
      </c>
      <c r="AC37" s="166">
        <v>739</v>
      </c>
      <c r="AD37" s="166">
        <v>8</v>
      </c>
      <c r="AE37" s="166">
        <v>9467</v>
      </c>
      <c r="AF37" s="166">
        <v>247</v>
      </c>
      <c r="AG37" s="166">
        <v>46</v>
      </c>
      <c r="AH37" s="165">
        <v>12</v>
      </c>
      <c r="AI37" s="167">
        <v>2</v>
      </c>
    </row>
    <row customHeight="true" ht="16.071428571428573" r="38">
      <c r="A38" s="149"/>
      <c r="B38" s="178" t="s">
        <v>112</v>
      </c>
      <c r="C38" s="178"/>
      <c r="D38" s="179">
        <f>SUM(D34:D37)</f>
      </c>
      <c r="E38" s="180">
        <f>SUM(E34:E37)</f>
      </c>
      <c r="F38" s="181">
        <f t="shared" si="421"/>
      </c>
      <c r="G38" s="182">
        <f>SUM(G34:G37)</f>
      </c>
      <c r="H38" s="183">
        <f t="shared" si="451"/>
      </c>
      <c r="I38" s="184">
        <f t="shared" si="361"/>
      </c>
      <c r="J38" s="185">
        <f t="shared" si="391"/>
      </c>
      <c r="K38" s="181">
        <f t="shared" si="301"/>
      </c>
      <c r="L38" s="186">
        <f t="shared" si="331"/>
      </c>
      <c r="M38" s="185">
        <f t="shared" si="211"/>
      </c>
      <c r="N38" s="187">
        <f t="shared" si="241"/>
      </c>
      <c r="O38" s="187">
        <f t="shared" si="271"/>
      </c>
      <c r="P38" s="187">
        <f t="shared" si="151"/>
      </c>
      <c r="Q38" s="187">
        <f t="shared" si="181"/>
      </c>
      <c r="R38" s="185">
        <f t="shared" si="91"/>
      </c>
      <c r="S38" s="181">
        <f t="shared" si="121"/>
      </c>
      <c r="T38" s="187">
        <f t="shared" si="31"/>
      </c>
      <c r="U38" s="187">
        <f t="shared" si="61"/>
      </c>
      <c r="V38" s="187">
        <f t="shared" si="481"/>
      </c>
      <c r="W38" s="187">
        <f t="shared" si="1"/>
      </c>
      <c r="X38" s="187"/>
      <c r="Y38" s="188"/>
      <c r="Z38" s="179">
        <f>SUM(Z34:Z37)</f>
      </c>
      <c r="AA38" s="179">
        <f>SUM(AA34:AA37)</f>
      </c>
      <c r="AB38" s="179">
        <f>SUM(AB34:AB37)</f>
      </c>
      <c r="AC38" s="179">
        <f>SUM(AC34:AC37)</f>
      </c>
      <c r="AD38" s="179">
        <f>SUM(AD34:AD37)</f>
      </c>
      <c r="AE38" s="179">
        <f>SUM(AE34:AE37)</f>
      </c>
      <c r="AF38" s="179">
        <f>SUM(AF34:AF37)</f>
      </c>
      <c r="AG38" s="179">
        <f>SUM(AG34:AG37)</f>
      </c>
      <c r="AH38" s="179">
        <f>SUM(AH34:AH37)</f>
      </c>
      <c r="AI38" s="179">
        <f>SUM(AI34:AI37)</f>
      </c>
    </row>
    <row customHeight="true" ht="16.071428571428573" r="39">
      <c r="A39" s="149"/>
      <c r="B39" s="189" t="s">
        <v>113</v>
      </c>
      <c r="C39" s="196" t="s">
        <v>125</v>
      </c>
      <c r="D39" s="198">
        <v>2692.893</v>
      </c>
      <c r="E39" s="153">
        <v>9</v>
      </c>
      <c r="F39" s="154">
        <f t="shared" si="421"/>
      </c>
      <c r="G39" s="155">
        <v>1825.1000000000058</v>
      </c>
      <c r="H39" s="156">
        <f t="shared" si="451"/>
      </c>
      <c r="I39" s="157">
        <f t="shared" si="361"/>
      </c>
      <c r="J39" s="158">
        <f t="shared" si="391"/>
      </c>
      <c r="K39" s="159">
        <f t="shared" si="301"/>
      </c>
      <c r="L39" s="174">
        <f t="shared" si="331"/>
      </c>
      <c r="M39" s="175">
        <f t="shared" si="211"/>
      </c>
      <c r="N39" s="176">
        <f t="shared" si="241"/>
      </c>
      <c r="O39" s="176">
        <f t="shared" si="271"/>
      </c>
      <c r="P39" s="176">
        <f t="shared" si="151"/>
      </c>
      <c r="Q39" s="176">
        <f t="shared" si="181"/>
      </c>
      <c r="R39" s="175">
        <f t="shared" si="91"/>
      </c>
      <c r="S39" s="177">
        <f t="shared" si="121"/>
      </c>
      <c r="T39" s="176">
        <f t="shared" si="31"/>
      </c>
      <c r="U39" s="176">
        <f t="shared" si="61"/>
      </c>
      <c r="V39" s="176">
        <f t="shared" si="481"/>
      </c>
      <c r="W39" s="176">
        <f t="shared" si="1"/>
      </c>
      <c r="X39" s="169" t="s">
        <v>107</v>
      </c>
      <c r="Y39" s="163" t="s">
        <v>120</v>
      </c>
      <c r="Z39" s="166">
        <v>115549</v>
      </c>
      <c r="AA39" s="166">
        <v>22423</v>
      </c>
      <c r="AB39" s="166">
        <v>175804</v>
      </c>
      <c r="AC39" s="199">
        <v>673</v>
      </c>
      <c r="AD39" s="199">
        <v>7</v>
      </c>
      <c r="AE39" s="199">
        <v>11764</v>
      </c>
      <c r="AF39" s="199">
        <v>241</v>
      </c>
      <c r="AG39" s="199">
        <v>64</v>
      </c>
      <c r="AH39" s="199">
        <v>15</v>
      </c>
      <c r="AI39" s="167">
        <v>0</v>
      </c>
    </row>
    <row customHeight="true" ht="16.071428571428573" r="40">
      <c r="A40" s="149"/>
      <c r="B40" s="189" t="s">
        <v>113</v>
      </c>
      <c r="C40" s="194" t="s">
        <v>126</v>
      </c>
      <c r="D40" s="198">
        <v>2443.705</v>
      </c>
      <c r="E40" s="153">
        <v>10</v>
      </c>
      <c r="F40" s="154">
        <f t="shared" si="421"/>
      </c>
      <c r="G40" s="155">
        <v>3879.7999999999956</v>
      </c>
      <c r="H40" s="156">
        <f t="shared" si="451"/>
      </c>
      <c r="I40" s="157">
        <f t="shared" si="361"/>
      </c>
      <c r="J40" s="158">
        <f t="shared" si="391"/>
      </c>
      <c r="K40" s="159">
        <f t="shared" si="301"/>
      </c>
      <c r="L40" s="174">
        <f t="shared" si="331"/>
      </c>
      <c r="M40" s="175">
        <f t="shared" si="211"/>
      </c>
      <c r="N40" s="176">
        <f t="shared" si="241"/>
      </c>
      <c r="O40" s="176">
        <f t="shared" si="271"/>
      </c>
      <c r="P40" s="176">
        <f t="shared" si="151"/>
      </c>
      <c r="Q40" s="176">
        <f t="shared" si="181"/>
      </c>
      <c r="R40" s="175">
        <f t="shared" si="91"/>
      </c>
      <c r="S40" s="177">
        <f t="shared" si="121"/>
      </c>
      <c r="T40" s="176">
        <f t="shared" si="31"/>
      </c>
      <c r="U40" s="176">
        <f t="shared" si="61"/>
      </c>
      <c r="V40" s="176">
        <f t="shared" si="481"/>
      </c>
      <c r="W40" s="176">
        <f t="shared" si="1"/>
      </c>
      <c r="X40" s="169" t="s">
        <v>107</v>
      </c>
      <c r="Y40" s="163" t="s">
        <v>120</v>
      </c>
      <c r="Z40" s="166">
        <v>115667</v>
      </c>
      <c r="AA40" s="166">
        <v>21120</v>
      </c>
      <c r="AB40" s="166">
        <v>166551</v>
      </c>
      <c r="AC40" s="199">
        <v>645</v>
      </c>
      <c r="AD40" s="199">
        <v>8</v>
      </c>
      <c r="AE40" s="199">
        <v>10944</v>
      </c>
      <c r="AF40" s="199">
        <v>227</v>
      </c>
      <c r="AG40" s="199">
        <v>62</v>
      </c>
      <c r="AH40" s="199">
        <v>15</v>
      </c>
      <c r="AI40" s="167">
        <v>1</v>
      </c>
    </row>
    <row customHeight="true" ht="16.071428571428573" r="41">
      <c r="A41" s="149"/>
      <c r="B41" s="189" t="s">
        <v>113</v>
      </c>
      <c r="C41" s="200" t="s">
        <v>127</v>
      </c>
      <c r="D41" s="171">
        <v>4379.965</v>
      </c>
      <c r="E41" s="172">
        <v>20</v>
      </c>
      <c r="F41" s="154">
        <f t="shared" si="421"/>
      </c>
      <c r="G41" s="172">
        <v>7154.5999999999985</v>
      </c>
      <c r="H41" s="156">
        <f t="shared" si="451"/>
      </c>
      <c r="I41" s="157">
        <f t="shared" si="361"/>
      </c>
      <c r="J41" s="158">
        <f t="shared" si="391"/>
      </c>
      <c r="K41" s="159">
        <f t="shared" si="301"/>
      </c>
      <c r="L41" s="174">
        <f t="shared" si="331"/>
      </c>
      <c r="M41" s="175">
        <f t="shared" si="211"/>
      </c>
      <c r="N41" s="176">
        <f t="shared" si="241"/>
      </c>
      <c r="O41" s="176">
        <f t="shared" si="271"/>
      </c>
      <c r="P41" s="176">
        <f t="shared" si="151"/>
      </c>
      <c r="Q41" s="176">
        <f t="shared" si="181"/>
      </c>
      <c r="R41" s="175">
        <f t="shared" si="91"/>
      </c>
      <c r="S41" s="177">
        <f t="shared" si="121"/>
      </c>
      <c r="T41" s="176">
        <f t="shared" si="31"/>
      </c>
      <c r="U41" s="176">
        <f t="shared" si="61"/>
      </c>
      <c r="V41" s="176">
        <f t="shared" si="481"/>
      </c>
      <c r="W41" s="176">
        <f t="shared" si="1"/>
      </c>
      <c r="X41" s="169" t="s">
        <v>107</v>
      </c>
      <c r="Y41" s="163" t="s">
        <v>120</v>
      </c>
      <c r="Z41" s="166">
        <v>177896</v>
      </c>
      <c r="AA41" s="166">
        <v>17584</v>
      </c>
      <c r="AB41" s="166">
        <v>237733</v>
      </c>
      <c r="AC41" s="166">
        <v>958</v>
      </c>
      <c r="AD41" s="166">
        <v>12</v>
      </c>
      <c r="AE41" s="166">
        <v>12778</v>
      </c>
      <c r="AF41" s="166">
        <v>176</v>
      </c>
      <c r="AG41" s="166">
        <v>52</v>
      </c>
      <c r="AH41" s="165">
        <v>15</v>
      </c>
      <c r="AI41" s="167">
        <v>2</v>
      </c>
    </row>
    <row customHeight="true" ht="16.071428571428573" r="42">
      <c r="A42" s="149"/>
      <c r="B42" s="189" t="s">
        <v>113</v>
      </c>
      <c r="C42" s="201" t="s">
        <v>128</v>
      </c>
      <c r="D42" s="195">
        <v>3794.815</v>
      </c>
      <c r="E42" s="172">
        <v>10</v>
      </c>
      <c r="F42" s="154">
        <f t="shared" si="421"/>
      </c>
      <c r="G42" s="172">
        <v>2630.4000000000015</v>
      </c>
      <c r="H42" s="156">
        <f t="shared" si="451"/>
      </c>
      <c r="I42" s="157">
        <f t="shared" si="361"/>
      </c>
      <c r="J42" s="158">
        <f t="shared" si="391"/>
      </c>
      <c r="K42" s="159">
        <f t="shared" si="301"/>
      </c>
      <c r="L42" s="174">
        <f t="shared" si="331"/>
      </c>
      <c r="M42" s="175">
        <f t="shared" si="211"/>
      </c>
      <c r="N42" s="176">
        <f t="shared" si="241"/>
      </c>
      <c r="O42" s="176">
        <f t="shared" si="271"/>
      </c>
      <c r="P42" s="176">
        <f t="shared" si="151"/>
      </c>
      <c r="Q42" s="176">
        <f t="shared" si="181"/>
      </c>
      <c r="R42" s="175">
        <f t="shared" si="91"/>
      </c>
      <c r="S42" s="177">
        <f t="shared" si="121"/>
      </c>
      <c r="T42" s="176">
        <f t="shared" si="31"/>
      </c>
      <c r="U42" s="176">
        <f t="shared" si="61"/>
      </c>
      <c r="V42" s="176">
        <f t="shared" si="481"/>
      </c>
      <c r="W42" s="176">
        <f t="shared" si="1"/>
      </c>
      <c r="X42" s="169" t="s">
        <v>107</v>
      </c>
      <c r="Y42" s="163" t="s">
        <v>120</v>
      </c>
      <c r="Z42" s="166">
        <v>148057</v>
      </c>
      <c r="AA42" s="166">
        <v>15663</v>
      </c>
      <c r="AB42" s="166">
        <v>201766</v>
      </c>
      <c r="AC42" s="166">
        <v>652</v>
      </c>
      <c r="AD42" s="166">
        <v>9</v>
      </c>
      <c r="AE42" s="166">
        <v>11900</v>
      </c>
      <c r="AF42" s="166">
        <v>175</v>
      </c>
      <c r="AG42" s="166">
        <v>64</v>
      </c>
      <c r="AH42" s="165">
        <v>18</v>
      </c>
      <c r="AI42" s="167">
        <v>1</v>
      </c>
    </row>
    <row customHeight="true" ht="16.071428571428573" r="43">
      <c r="A43" s="149"/>
      <c r="B43" s="178" t="s">
        <v>112</v>
      </c>
      <c r="C43" s="178"/>
      <c r="D43" s="179">
        <f>SUM(D39:D42)</f>
      </c>
      <c r="E43" s="180">
        <f>SUM(E39:E42)</f>
      </c>
      <c r="F43" s="181">
        <f t="shared" si="421"/>
      </c>
      <c r="G43" s="182">
        <f>SUM(G39:G42)</f>
      </c>
      <c r="H43" s="183">
        <f t="shared" si="451"/>
      </c>
      <c r="I43" s="184">
        <f t="shared" si="361"/>
      </c>
      <c r="J43" s="185">
        <f t="shared" si="391"/>
      </c>
      <c r="K43" s="181">
        <f t="shared" si="301"/>
      </c>
      <c r="L43" s="186">
        <f t="shared" si="331"/>
      </c>
      <c r="M43" s="185">
        <f t="shared" si="211"/>
      </c>
      <c r="N43" s="187">
        <f t="shared" si="241"/>
      </c>
      <c r="O43" s="187">
        <f t="shared" si="271"/>
      </c>
      <c r="P43" s="187">
        <f t="shared" si="151"/>
      </c>
      <c r="Q43" s="187">
        <f t="shared" si="181"/>
      </c>
      <c r="R43" s="185">
        <f t="shared" si="91"/>
      </c>
      <c r="S43" s="181">
        <f t="shared" si="121"/>
      </c>
      <c r="T43" s="187">
        <f t="shared" si="31"/>
      </c>
      <c r="U43" s="187">
        <f t="shared" si="61"/>
      </c>
      <c r="V43" s="187">
        <f t="shared" si="481"/>
      </c>
      <c r="W43" s="187">
        <f t="shared" si="1"/>
      </c>
      <c r="X43" s="187"/>
      <c r="Y43" s="188"/>
      <c r="Z43" s="179">
        <f>SUM(Z39:Z42)</f>
      </c>
      <c r="AA43" s="179">
        <f>SUM(AA39:AA42)</f>
      </c>
      <c r="AB43" s="179">
        <f>SUM(AB39:AB42)</f>
      </c>
      <c r="AC43" s="179">
        <f>SUM(AC39:AC42)</f>
      </c>
      <c r="AD43" s="179">
        <f>SUM(AD39:AD42)</f>
      </c>
      <c r="AE43" s="179">
        <f>SUM(AE39:AE42)</f>
      </c>
      <c r="AF43" s="179">
        <f>SUM(AF39:AF42)</f>
      </c>
      <c r="AG43" s="179">
        <f>SUM(AG39:AG42)</f>
      </c>
      <c r="AH43" s="179">
        <f>SUM(AH39:AH42)</f>
      </c>
      <c r="AI43" s="179">
        <f>SUM(AI39:AI42)</f>
      </c>
    </row>
    <row customHeight="true" ht="16.071428571428573" r="44">
      <c r="A44" s="149"/>
      <c r="B44" s="202" t="s">
        <v>129</v>
      </c>
      <c r="C44" s="202"/>
      <c r="D44" s="203">
        <f>SUM(D43+D28+D33+D38)</f>
      </c>
      <c r="E44" s="204">
        <f>SUM(E43+E28+E33+E38)</f>
      </c>
      <c r="F44" s="205">
        <f t="shared" si="421"/>
      </c>
      <c r="G44" s="206">
        <f>SUM(G43+G28+G33+G38)</f>
      </c>
      <c r="H44" s="207">
        <f t="shared" si="451"/>
      </c>
      <c r="I44" s="208">
        <f t="shared" si="361"/>
      </c>
      <c r="J44" s="209">
        <f t="shared" si="391"/>
      </c>
      <c r="K44" s="205">
        <f t="shared" si="301"/>
      </c>
      <c r="L44" s="210">
        <f t="shared" si="331"/>
      </c>
      <c r="M44" s="210">
        <f t="shared" si="211"/>
      </c>
      <c r="N44" s="211">
        <f t="shared" si="241"/>
      </c>
      <c r="O44" s="211">
        <f t="shared" si="271"/>
      </c>
      <c r="P44" s="211">
        <f t="shared" si="151"/>
      </c>
      <c r="Q44" s="211">
        <f t="shared" si="181"/>
      </c>
      <c r="R44" s="212">
        <f t="shared" si="91"/>
      </c>
      <c r="S44" s="213">
        <f t="shared" si="121"/>
      </c>
      <c r="T44" s="214">
        <f t="shared" si="31"/>
      </c>
      <c r="U44" s="214">
        <f t="shared" si="61"/>
      </c>
      <c r="V44" s="214">
        <f t="shared" si="481"/>
      </c>
      <c r="W44" s="214">
        <f t="shared" si="1"/>
      </c>
      <c r="X44" s="214"/>
      <c r="Y44" s="215"/>
      <c r="Z44" s="216">
        <f>SUM(Z28+Z43+Z33+Z38)</f>
      </c>
      <c r="AA44" s="216">
        <f>SUM(AA28+AA43+AA33+AA38)</f>
      </c>
      <c r="AB44" s="216">
        <f>SUM(AB28+AB43+AB33+AB38)</f>
      </c>
      <c r="AC44" s="216">
        <f>SUM(AC28+AC43+AC33+AC38)</f>
      </c>
      <c r="AD44" s="216">
        <f>SUM(AD28+AD43+AD33+AD38)</f>
      </c>
      <c r="AE44" s="216">
        <f>SUM(AE28+AE43+AE33+AE38)</f>
      </c>
      <c r="AF44" s="216">
        <f>SUM(AF28+AF43+AF33+AF38)</f>
      </c>
      <c r="AG44" s="216">
        <f>SUM(AG28+AG43+AG33+AG38)</f>
      </c>
      <c r="AH44" s="216">
        <f>SUM(AH28+AH43+AH33+AH38)</f>
      </c>
      <c r="AI44" s="216">
        <f>SUM(AI28+AI43+AI33+AI38)</f>
      </c>
    </row>
    <row customHeight="true" ht="16.071428571428573" r="45">
      <c r="A45" s="133" t="s">
        <v>70</v>
      </c>
      <c r="B45" s="134" t="s">
        <v>71</v>
      </c>
      <c r="C45" s="135" t="s">
        <v>72</v>
      </c>
      <c r="D45" s="136" t="s">
        <v>73</v>
      </c>
      <c r="E45" s="137" t="s">
        <v>74</v>
      </c>
      <c r="F45" s="138" t="s">
        <v>75</v>
      </c>
      <c r="G45" s="139" t="s">
        <v>76</v>
      </c>
      <c r="H45" s="138" t="s">
        <v>77</v>
      </c>
      <c r="I45" s="139" t="s">
        <v>78</v>
      </c>
      <c r="J45" s="140" t="s">
        <v>79</v>
      </c>
      <c r="K45" s="140" t="s">
        <v>80</v>
      </c>
      <c r="L45" s="141" t="s">
        <v>81</v>
      </c>
      <c r="M45" s="141" t="s">
        <v>82</v>
      </c>
      <c r="N45" s="141" t="s">
        <v>83</v>
      </c>
      <c r="O45" s="141" t="s">
        <v>84</v>
      </c>
      <c r="P45" s="141" t="s">
        <v>85</v>
      </c>
      <c r="Q45" s="141" t="s">
        <v>86</v>
      </c>
      <c r="R45" s="141" t="s">
        <v>87</v>
      </c>
      <c r="S45" s="141" t="s">
        <v>88</v>
      </c>
      <c r="T45" s="142" t="s">
        <v>89</v>
      </c>
      <c r="U45" s="142" t="s">
        <v>90</v>
      </c>
      <c r="V45" s="142" t="s">
        <v>91</v>
      </c>
      <c r="W45" s="142" t="s">
        <v>92</v>
      </c>
      <c r="X45" s="143" t="s">
        <v>93</v>
      </c>
      <c r="Y45" s="143" t="s">
        <v>94</v>
      </c>
      <c r="Z45" s="144" t="s">
        <v>95</v>
      </c>
      <c r="AA45" s="144" t="s">
        <v>96</v>
      </c>
      <c r="AB45" s="144" t="s">
        <v>97</v>
      </c>
      <c r="AC45" s="145" t="s">
        <v>98</v>
      </c>
      <c r="AD45" s="145" t="s">
        <v>99</v>
      </c>
      <c r="AE45" s="146" t="s">
        <v>100</v>
      </c>
      <c r="AF45" s="145" t="s">
        <v>101</v>
      </c>
      <c r="AG45" s="145" t="s">
        <v>102</v>
      </c>
      <c r="AH45" s="147" t="s">
        <v>103</v>
      </c>
      <c r="AI45" s="148" t="s">
        <v>104</v>
      </c>
    </row>
    <row customHeight="true" ht="16.071428571428573" r="46">
      <c r="A46" s="149">
        <v>46268</v>
      </c>
      <c r="B46" s="150" t="s">
        <v>105</v>
      </c>
      <c r="C46" s="151" t="s">
        <v>106</v>
      </c>
      <c r="D46" s="152">
        <v>2468.93</v>
      </c>
      <c r="E46" s="153">
        <v>7</v>
      </c>
      <c r="F46" s="154">
        <f t="shared" ref="F46:F66" si="422">D46/E46</f>
      </c>
      <c r="G46" s="155">
        <v>2164</v>
      </c>
      <c r="H46" s="156">
        <f t="shared" ref="H46:H66" si="452">AD46</f>
      </c>
      <c r="I46" s="157">
        <f t="shared" ref="I46:I66" si="362">D46/AD46</f>
      </c>
      <c r="J46" s="158">
        <f t="shared" ref="J46:J66" si="392">G46/E46</f>
      </c>
      <c r="K46" s="159">
        <f t="shared" ref="K46:K66" si="302">G46/D46</f>
      </c>
      <c r="L46" s="160">
        <f t="shared" ref="L46:L66" si="332">D46/AB46</f>
      </c>
      <c r="M46" s="158">
        <f t="shared" ref="M46:M66" si="212">D46/AC46</f>
      </c>
      <c r="N46" s="161">
        <f t="shared" ref="N46:N66" si="242">AC46/AB46</f>
      </c>
      <c r="O46" s="161">
        <f t="shared" ref="O46:O66" si="272">AD46/AC46</f>
      </c>
      <c r="P46" s="161">
        <f t="shared" ref="P46:P66" si="152">AA46/Z46</f>
      </c>
      <c r="Q46" s="161">
        <f t="shared" ref="Q46:Q66" si="182">AD46/AA46</f>
      </c>
      <c r="R46" s="158">
        <f t="shared" ref="R46:R66" si="92">D46/Z46*1000</f>
      </c>
      <c r="S46" s="159">
        <f t="shared" ref="S46:S66" si="122">D46/AA46</f>
      </c>
      <c r="T46" s="161">
        <f t="shared" ref="T46:T66" si="32">AE46/AB46</f>
      </c>
      <c r="U46" s="161">
        <f t="shared" ref="U46:U66" si="62">AF46/AB46</f>
      </c>
      <c r="V46" s="161">
        <f t="shared" ref="V46:V66" si="482">AG46/AB46</f>
      </c>
      <c r="W46" s="161">
        <f t="shared" ref="W46:W66" si="2">AH46/AB46</f>
      </c>
      <c r="X46" s="162" t="s">
        <v>107</v>
      </c>
      <c r="Y46" s="163" t="s">
        <v>108</v>
      </c>
      <c r="Z46" s="164">
        <v>68127</v>
      </c>
      <c r="AA46" s="164">
        <v>26907</v>
      </c>
      <c r="AB46" s="164">
        <v>97523</v>
      </c>
      <c r="AC46" s="164">
        <v>782</v>
      </c>
      <c r="AD46" s="165">
        <v>7</v>
      </c>
      <c r="AE46" s="164">
        <v>14189</v>
      </c>
      <c r="AF46" s="166">
        <v>233</v>
      </c>
      <c r="AG46" s="166">
        <v>58</v>
      </c>
      <c r="AH46" s="166">
        <v>13</v>
      </c>
      <c r="AI46" s="167">
        <v>0</v>
      </c>
    </row>
    <row customHeight="true" ht="16.071428571428573" r="47">
      <c r="A47" s="149"/>
      <c r="B47" s="150" t="s">
        <v>105</v>
      </c>
      <c r="C47" s="168" t="s">
        <v>109</v>
      </c>
      <c r="D47" s="152">
        <v>2782.537</v>
      </c>
      <c r="E47" s="153">
        <v>10</v>
      </c>
      <c r="F47" s="154">
        <f t="shared" si="422"/>
      </c>
      <c r="G47" s="155">
        <v>2773.9</v>
      </c>
      <c r="H47" s="156">
        <f t="shared" si="452"/>
      </c>
      <c r="I47" s="157">
        <f t="shared" si="362"/>
      </c>
      <c r="J47" s="158">
        <f t="shared" si="392"/>
      </c>
      <c r="K47" s="159">
        <f t="shared" si="302"/>
      </c>
      <c r="L47" s="160">
        <f t="shared" si="332"/>
      </c>
      <c r="M47" s="158">
        <f t="shared" si="212"/>
      </c>
      <c r="N47" s="161">
        <f t="shared" si="242"/>
      </c>
      <c r="O47" s="161">
        <f t="shared" si="272"/>
      </c>
      <c r="P47" s="161">
        <f t="shared" si="152"/>
      </c>
      <c r="Q47" s="161">
        <f t="shared" si="182"/>
      </c>
      <c r="R47" s="158">
        <f t="shared" si="92"/>
      </c>
      <c r="S47" s="159">
        <f t="shared" si="122"/>
      </c>
      <c r="T47" s="161">
        <f t="shared" si="32"/>
      </c>
      <c r="U47" s="161">
        <f t="shared" si="62"/>
      </c>
      <c r="V47" s="161">
        <f t="shared" si="482"/>
      </c>
      <c r="W47" s="161">
        <f t="shared" si="2"/>
      </c>
      <c r="X47" s="169" t="s">
        <v>107</v>
      </c>
      <c r="Y47" s="163" t="s">
        <v>108</v>
      </c>
      <c r="Z47" s="166">
        <v>69143</v>
      </c>
      <c r="AA47" s="164">
        <v>19491</v>
      </c>
      <c r="AB47" s="164">
        <v>98471</v>
      </c>
      <c r="AC47" s="164">
        <v>757</v>
      </c>
      <c r="AD47" s="166">
        <v>8</v>
      </c>
      <c r="AE47" s="164">
        <v>11433</v>
      </c>
      <c r="AF47" s="166">
        <v>279</v>
      </c>
      <c r="AG47" s="166">
        <v>51</v>
      </c>
      <c r="AH47" s="165">
        <v>15</v>
      </c>
      <c r="AI47" s="167">
        <v>2</v>
      </c>
    </row>
    <row customHeight="true" ht="16.071428571428573" r="48">
      <c r="A48" s="149"/>
      <c r="B48" s="150" t="s">
        <v>105</v>
      </c>
      <c r="C48" s="170" t="s">
        <v>110</v>
      </c>
      <c r="D48" s="171">
        <v>3759.424</v>
      </c>
      <c r="E48" s="172">
        <v>13</v>
      </c>
      <c r="F48" s="154">
        <f t="shared" si="422"/>
      </c>
      <c r="G48" s="172">
        <v>4584</v>
      </c>
      <c r="H48" s="156">
        <f t="shared" si="452"/>
      </c>
      <c r="I48" s="157">
        <f t="shared" si="362"/>
      </c>
      <c r="J48" s="158">
        <f t="shared" si="392"/>
      </c>
      <c r="K48" s="159">
        <f t="shared" si="302"/>
      </c>
      <c r="L48" s="160">
        <f t="shared" si="332"/>
      </c>
      <c r="M48" s="158">
        <f t="shared" si="212"/>
      </c>
      <c r="N48" s="161">
        <f t="shared" si="242"/>
      </c>
      <c r="O48" s="161">
        <f t="shared" si="272"/>
      </c>
      <c r="P48" s="161">
        <f t="shared" si="152"/>
      </c>
      <c r="Q48" s="161">
        <f t="shared" si="182"/>
      </c>
      <c r="R48" s="158">
        <f t="shared" si="92"/>
      </c>
      <c r="S48" s="159">
        <f t="shared" si="122"/>
      </c>
      <c r="T48" s="161">
        <f t="shared" si="32"/>
      </c>
      <c r="U48" s="161">
        <f t="shared" si="62"/>
      </c>
      <c r="V48" s="161">
        <f t="shared" si="482"/>
      </c>
      <c r="W48" s="161">
        <f t="shared" si="2"/>
      </c>
      <c r="X48" s="169" t="s">
        <v>107</v>
      </c>
      <c r="Y48" s="163" t="s">
        <v>108</v>
      </c>
      <c r="Z48" s="166">
        <v>85204</v>
      </c>
      <c r="AA48" s="166">
        <v>26489</v>
      </c>
      <c r="AB48" s="166">
        <v>138835</v>
      </c>
      <c r="AC48" s="166">
        <v>949</v>
      </c>
      <c r="AD48" s="166">
        <v>10</v>
      </c>
      <c r="AE48" s="166">
        <v>15653</v>
      </c>
      <c r="AF48" s="166">
        <v>299</v>
      </c>
      <c r="AG48" s="166">
        <v>55</v>
      </c>
      <c r="AH48" s="166">
        <v>21</v>
      </c>
      <c r="AI48" s="167">
        <v>2</v>
      </c>
    </row>
    <row customHeight="true" ht="16.071428571428573" r="49">
      <c r="A49" s="149"/>
      <c r="B49" s="150" t="s">
        <v>105</v>
      </c>
      <c r="C49" s="173" t="s">
        <v>111</v>
      </c>
      <c r="D49" s="171">
        <v>3630.664</v>
      </c>
      <c r="E49" s="172">
        <v>17</v>
      </c>
      <c r="F49" s="154">
        <f t="shared" si="422"/>
      </c>
      <c r="G49" s="172">
        <v>6129</v>
      </c>
      <c r="H49" s="156">
        <f t="shared" si="452"/>
      </c>
      <c r="I49" s="157">
        <f t="shared" si="362"/>
      </c>
      <c r="J49" s="158">
        <f t="shared" si="392"/>
      </c>
      <c r="K49" s="159">
        <f t="shared" si="302"/>
      </c>
      <c r="L49" s="174">
        <f t="shared" si="332"/>
      </c>
      <c r="M49" s="175">
        <f t="shared" si="212"/>
      </c>
      <c r="N49" s="176">
        <f t="shared" si="242"/>
      </c>
      <c r="O49" s="176">
        <f t="shared" si="272"/>
      </c>
      <c r="P49" s="176">
        <f t="shared" si="152"/>
      </c>
      <c r="Q49" s="176">
        <f t="shared" si="182"/>
      </c>
      <c r="R49" s="175">
        <f t="shared" si="92"/>
      </c>
      <c r="S49" s="177">
        <f t="shared" si="122"/>
      </c>
      <c r="T49" s="176">
        <f t="shared" si="32"/>
      </c>
      <c r="U49" s="176">
        <f t="shared" si="62"/>
      </c>
      <c r="V49" s="176">
        <f t="shared" si="482"/>
      </c>
      <c r="W49" s="176">
        <f t="shared" si="2"/>
      </c>
      <c r="X49" s="169" t="s">
        <v>107</v>
      </c>
      <c r="Y49" s="163" t="s">
        <v>108</v>
      </c>
      <c r="Z49" s="166">
        <v>95623</v>
      </c>
      <c r="AA49" s="166">
        <v>26190</v>
      </c>
      <c r="AB49" s="166">
        <v>166945</v>
      </c>
      <c r="AC49" s="166">
        <v>967</v>
      </c>
      <c r="AD49" s="166">
        <v>14</v>
      </c>
      <c r="AE49" s="166">
        <v>17643</v>
      </c>
      <c r="AF49" s="166">
        <v>280</v>
      </c>
      <c r="AG49" s="166">
        <v>63</v>
      </c>
      <c r="AH49" s="165">
        <v>17</v>
      </c>
      <c r="AI49" s="167">
        <v>2</v>
      </c>
    </row>
    <row customHeight="true" ht="16.071428571428573" r="50">
      <c r="A50" s="149"/>
      <c r="B50" s="178" t="s">
        <v>112</v>
      </c>
      <c r="C50" s="178"/>
      <c r="D50" s="179">
        <f>SUM(D46:D49)</f>
      </c>
      <c r="E50" s="180">
        <f>SUM(E46:E49)</f>
      </c>
      <c r="F50" s="181">
        <f t="shared" si="422"/>
      </c>
      <c r="G50" s="182">
        <f>SUM(G46:G49)</f>
      </c>
      <c r="H50" s="183">
        <f t="shared" si="452"/>
      </c>
      <c r="I50" s="184">
        <f t="shared" si="362"/>
      </c>
      <c r="J50" s="185">
        <f t="shared" si="392"/>
      </c>
      <c r="K50" s="181">
        <f t="shared" si="302"/>
      </c>
      <c r="L50" s="186">
        <f t="shared" si="332"/>
      </c>
      <c r="M50" s="185">
        <f t="shared" si="212"/>
      </c>
      <c r="N50" s="187">
        <f t="shared" si="242"/>
      </c>
      <c r="O50" s="187">
        <f t="shared" si="272"/>
      </c>
      <c r="P50" s="187">
        <f t="shared" si="152"/>
      </c>
      <c r="Q50" s="187">
        <f t="shared" si="182"/>
      </c>
      <c r="R50" s="185">
        <f t="shared" si="92"/>
      </c>
      <c r="S50" s="181">
        <f t="shared" si="122"/>
      </c>
      <c r="T50" s="187">
        <f t="shared" si="32"/>
      </c>
      <c r="U50" s="187">
        <f t="shared" si="62"/>
      </c>
      <c r="V50" s="187">
        <f t="shared" si="482"/>
      </c>
      <c r="W50" s="187">
        <f t="shared" si="2"/>
      </c>
      <c r="X50" s="187"/>
      <c r="Y50" s="188"/>
      <c r="Z50" s="179">
        <f>SUM(Z46:Z49)</f>
      </c>
      <c r="AA50" s="179">
        <f>SUM(AA46:AA49)</f>
      </c>
      <c r="AB50" s="179">
        <f>SUM(AB46:AB49)</f>
      </c>
      <c r="AC50" s="179">
        <f>SUM(AC46:AC49)</f>
      </c>
      <c r="AD50" s="179">
        <f>SUM(AD46:AD49)</f>
      </c>
      <c r="AE50" s="179">
        <f>SUM(AE46:AE49)</f>
      </c>
      <c r="AF50" s="179">
        <f>SUM(AF46:AF49)</f>
      </c>
      <c r="AG50" s="179">
        <f>SUM(AG46:AG49)</f>
      </c>
      <c r="AH50" s="179">
        <f>SUM(AH46:AH49)</f>
      </c>
      <c r="AI50" s="179">
        <f>SUM(AI46:AI49)</f>
      </c>
    </row>
    <row customHeight="true" ht="16.071428571428573" r="51">
      <c r="A51" s="149"/>
      <c r="B51" s="217" t="s">
        <v>130</v>
      </c>
      <c r="C51" s="173" t="s">
        <v>114</v>
      </c>
      <c r="D51" s="190">
        <v>4733.137</v>
      </c>
      <c r="E51" s="191">
        <v>12</v>
      </c>
      <c r="F51" s="154">
        <f t="shared" si="422"/>
      </c>
      <c r="G51" s="172">
        <v>4314.7</v>
      </c>
      <c r="H51" s="156">
        <f t="shared" si="452"/>
      </c>
      <c r="I51" s="157">
        <f t="shared" si="362"/>
      </c>
      <c r="J51" s="158">
        <f t="shared" si="392"/>
      </c>
      <c r="K51" s="159">
        <f t="shared" si="302"/>
      </c>
      <c r="L51" s="160">
        <f t="shared" si="332"/>
      </c>
      <c r="M51" s="158">
        <f t="shared" si="212"/>
      </c>
      <c r="N51" s="161">
        <f t="shared" si="242"/>
      </c>
      <c r="O51" s="161">
        <f t="shared" si="272"/>
      </c>
      <c r="P51" s="161">
        <f t="shared" si="152"/>
      </c>
      <c r="Q51" s="161">
        <f t="shared" si="182"/>
      </c>
      <c r="R51" s="158">
        <f t="shared" si="92"/>
      </c>
      <c r="S51" s="159">
        <f t="shared" si="122"/>
      </c>
      <c r="T51" s="161">
        <f t="shared" si="32"/>
      </c>
      <c r="U51" s="161">
        <f t="shared" si="62"/>
      </c>
      <c r="V51" s="161">
        <f t="shared" si="482"/>
      </c>
      <c r="W51" s="161">
        <f t="shared" si="2"/>
      </c>
      <c r="X51" s="169" t="s">
        <v>107</v>
      </c>
      <c r="Y51" s="163" t="s">
        <v>108</v>
      </c>
      <c r="Z51" s="166">
        <v>140304</v>
      </c>
      <c r="AA51" s="166">
        <v>28390</v>
      </c>
      <c r="AB51" s="166">
        <v>276932</v>
      </c>
      <c r="AC51" s="166">
        <v>1141</v>
      </c>
      <c r="AD51" s="166">
        <v>11</v>
      </c>
      <c r="AE51" s="166">
        <v>20821</v>
      </c>
      <c r="AF51" s="166">
        <v>474</v>
      </c>
      <c r="AG51" s="166">
        <v>73</v>
      </c>
      <c r="AH51" s="166">
        <v>25</v>
      </c>
      <c r="AI51" s="167">
        <v>1</v>
      </c>
    </row>
    <row customHeight="true" ht="16.071428571428573" r="52">
      <c r="A52" s="149"/>
      <c r="B52" s="217" t="s">
        <v>130</v>
      </c>
      <c r="C52" s="192" t="s">
        <v>115</v>
      </c>
      <c r="D52" s="171">
        <v>3373.7</v>
      </c>
      <c r="E52" s="172">
        <v>2</v>
      </c>
      <c r="F52" s="154">
        <f t="shared" si="422"/>
      </c>
      <c r="G52" s="172">
        <v>1024</v>
      </c>
      <c r="H52" s="156">
        <f t="shared" si="452"/>
      </c>
      <c r="I52" s="157">
        <f t="shared" si="362"/>
      </c>
      <c r="J52" s="158">
        <f t="shared" si="392"/>
      </c>
      <c r="K52" s="159">
        <f t="shared" si="302"/>
      </c>
      <c r="L52" s="160">
        <f t="shared" si="332"/>
      </c>
      <c r="M52" s="158">
        <f t="shared" si="212"/>
      </c>
      <c r="N52" s="161">
        <f t="shared" si="242"/>
      </c>
      <c r="O52" s="161">
        <f t="shared" si="272"/>
      </c>
      <c r="P52" s="161">
        <f t="shared" si="152"/>
      </c>
      <c r="Q52" s="161">
        <f t="shared" si="182"/>
      </c>
      <c r="R52" s="158">
        <f t="shared" si="92"/>
      </c>
      <c r="S52" s="159">
        <f t="shared" si="122"/>
      </c>
      <c r="T52" s="161">
        <f t="shared" si="32"/>
      </c>
      <c r="U52" s="161">
        <f t="shared" si="62"/>
      </c>
      <c r="V52" s="161">
        <f t="shared" si="482"/>
      </c>
      <c r="W52" s="161">
        <f t="shared" si="2"/>
      </c>
      <c r="X52" s="169" t="s">
        <v>107</v>
      </c>
      <c r="Y52" s="163" t="s">
        <v>108</v>
      </c>
      <c r="Z52" s="166">
        <v>94012</v>
      </c>
      <c r="AA52" s="166">
        <v>17577</v>
      </c>
      <c r="AB52" s="166">
        <v>166933</v>
      </c>
      <c r="AC52" s="166">
        <v>796</v>
      </c>
      <c r="AD52" s="166">
        <v>3</v>
      </c>
      <c r="AE52" s="166">
        <v>12333</v>
      </c>
      <c r="AF52" s="166">
        <v>306</v>
      </c>
      <c r="AG52" s="166">
        <v>49</v>
      </c>
      <c r="AH52" s="166">
        <v>20</v>
      </c>
      <c r="AI52" s="167">
        <v>0</v>
      </c>
    </row>
    <row customHeight="true" ht="16.071428571428573" r="53">
      <c r="A53" s="149"/>
      <c r="B53" s="217" t="s">
        <v>130</v>
      </c>
      <c r="C53" s="193" t="s">
        <v>116</v>
      </c>
      <c r="D53" s="171">
        <v>1810.043</v>
      </c>
      <c r="E53" s="172">
        <v>4</v>
      </c>
      <c r="F53" s="154">
        <f t="shared" si="422"/>
      </c>
      <c r="G53" s="172">
        <v>2101.2</v>
      </c>
      <c r="H53" s="156">
        <f t="shared" si="452"/>
      </c>
      <c r="I53" s="157">
        <f t="shared" si="362"/>
      </c>
      <c r="J53" s="158">
        <f t="shared" si="392"/>
      </c>
      <c r="K53" s="159">
        <f t="shared" si="302"/>
      </c>
      <c r="L53" s="174">
        <f t="shared" si="332"/>
      </c>
      <c r="M53" s="175">
        <f t="shared" si="212"/>
      </c>
      <c r="N53" s="176">
        <f t="shared" si="242"/>
      </c>
      <c r="O53" s="176">
        <f t="shared" si="272"/>
      </c>
      <c r="P53" s="176">
        <f t="shared" si="152"/>
      </c>
      <c r="Q53" s="176">
        <f t="shared" si="182"/>
      </c>
      <c r="R53" s="175">
        <f t="shared" si="92"/>
      </c>
      <c r="S53" s="177">
        <f t="shared" si="122"/>
      </c>
      <c r="T53" s="176">
        <f t="shared" si="32"/>
      </c>
      <c r="U53" s="176">
        <f t="shared" si="62"/>
      </c>
      <c r="V53" s="176">
        <f t="shared" si="482"/>
      </c>
      <c r="W53" s="176">
        <f t="shared" si="2"/>
      </c>
      <c r="X53" s="169" t="s">
        <v>107</v>
      </c>
      <c r="Y53" s="163" t="s">
        <v>108</v>
      </c>
      <c r="Z53" s="166">
        <v>56465</v>
      </c>
      <c r="AA53" s="166">
        <v>12024</v>
      </c>
      <c r="AB53" s="166">
        <v>68507</v>
      </c>
      <c r="AC53" s="166">
        <v>483</v>
      </c>
      <c r="AD53" s="166">
        <v>3</v>
      </c>
      <c r="AE53" s="166">
        <v>5937</v>
      </c>
      <c r="AF53" s="166">
        <v>134</v>
      </c>
      <c r="AG53" s="166">
        <v>24</v>
      </c>
      <c r="AH53" s="165">
        <v>6</v>
      </c>
      <c r="AI53" s="167">
        <v>0</v>
      </c>
    </row>
    <row customHeight="true" ht="16.071428571428573" r="54">
      <c r="A54" s="149"/>
      <c r="B54" s="217" t="s">
        <v>130</v>
      </c>
      <c r="C54" s="194" t="s">
        <v>117</v>
      </c>
      <c r="D54" s="195">
        <v>2113.997</v>
      </c>
      <c r="E54" s="172">
        <v>7</v>
      </c>
      <c r="F54" s="154">
        <f t="shared" si="422"/>
      </c>
      <c r="G54" s="172">
        <v>1495.6000000000022</v>
      </c>
      <c r="H54" s="156">
        <f t="shared" si="452"/>
      </c>
      <c r="I54" s="157">
        <f t="shared" si="362"/>
      </c>
      <c r="J54" s="158">
        <f t="shared" si="392"/>
      </c>
      <c r="K54" s="159">
        <f t="shared" si="302"/>
      </c>
      <c r="L54" s="174">
        <f t="shared" si="332"/>
      </c>
      <c r="M54" s="175">
        <f t="shared" si="212"/>
      </c>
      <c r="N54" s="176">
        <f t="shared" si="242"/>
      </c>
      <c r="O54" s="176">
        <f t="shared" si="272"/>
      </c>
      <c r="P54" s="176">
        <f t="shared" si="152"/>
      </c>
      <c r="Q54" s="176">
        <f t="shared" si="182"/>
      </c>
      <c r="R54" s="175">
        <f t="shared" si="92"/>
      </c>
      <c r="S54" s="177">
        <f t="shared" si="122"/>
      </c>
      <c r="T54" s="176">
        <f t="shared" si="32"/>
      </c>
      <c r="U54" s="176">
        <f t="shared" si="62"/>
      </c>
      <c r="V54" s="176">
        <f t="shared" si="482"/>
      </c>
      <c r="W54" s="176">
        <f t="shared" si="2"/>
      </c>
      <c r="X54" s="169" t="s">
        <v>107</v>
      </c>
      <c r="Y54" s="163" t="s">
        <v>108</v>
      </c>
      <c r="Z54" s="166">
        <v>72260</v>
      </c>
      <c r="AA54" s="166">
        <v>16237</v>
      </c>
      <c r="AB54" s="166">
        <v>83622</v>
      </c>
      <c r="AC54" s="166">
        <v>549</v>
      </c>
      <c r="AD54" s="166">
        <v>5</v>
      </c>
      <c r="AE54" s="166">
        <v>7794</v>
      </c>
      <c r="AF54" s="166">
        <v>187</v>
      </c>
      <c r="AG54" s="166">
        <v>22</v>
      </c>
      <c r="AH54" s="165">
        <v>12</v>
      </c>
      <c r="AI54" s="167">
        <v>1</v>
      </c>
    </row>
    <row customHeight="true" ht="16.071428571428573" r="55">
      <c r="A55" s="149"/>
      <c r="B55" s="178" t="s">
        <v>112</v>
      </c>
      <c r="C55" s="178"/>
      <c r="D55" s="179">
        <f>SUM(D51:D54)</f>
      </c>
      <c r="E55" s="180">
        <f>SUM(E51:E54)</f>
      </c>
      <c r="F55" s="181">
        <f t="shared" si="422"/>
      </c>
      <c r="G55" s="182">
        <f>SUM(G51:G54)</f>
      </c>
      <c r="H55" s="183">
        <f t="shared" si="452"/>
      </c>
      <c r="I55" s="184">
        <f t="shared" si="362"/>
      </c>
      <c r="J55" s="185">
        <f t="shared" si="392"/>
      </c>
      <c r="K55" s="181">
        <f t="shared" si="302"/>
      </c>
      <c r="L55" s="186">
        <f t="shared" si="332"/>
      </c>
      <c r="M55" s="185">
        <f t="shared" si="212"/>
      </c>
      <c r="N55" s="187">
        <f t="shared" si="242"/>
      </c>
      <c r="O55" s="187">
        <f t="shared" si="272"/>
      </c>
      <c r="P55" s="187">
        <f t="shared" si="152"/>
      </c>
      <c r="Q55" s="187">
        <f t="shared" si="182"/>
      </c>
      <c r="R55" s="185">
        <f t="shared" si="92"/>
      </c>
      <c r="S55" s="181">
        <f t="shared" si="122"/>
      </c>
      <c r="T55" s="187">
        <f t="shared" si="32"/>
      </c>
      <c r="U55" s="187">
        <f t="shared" si="62"/>
      </c>
      <c r="V55" s="187">
        <f t="shared" si="482"/>
      </c>
      <c r="W55" s="187">
        <f t="shared" si="2"/>
      </c>
      <c r="X55" s="187"/>
      <c r="Y55" s="188"/>
      <c r="Z55" s="179">
        <f>SUM(Z51:Z54)</f>
      </c>
      <c r="AA55" s="179">
        <f>SUM(AA51:AA54)</f>
      </c>
      <c r="AB55" s="179">
        <f>SUM(AB51:AB54)</f>
      </c>
      <c r="AC55" s="179">
        <f>SUM(AC51:AC54)</f>
      </c>
      <c r="AD55" s="179">
        <f>SUM(AD51:AD54)</f>
      </c>
      <c r="AE55" s="179">
        <f>SUM(AE51:AE54)</f>
      </c>
      <c r="AF55" s="179">
        <f>SUM(AF51:AF54)</f>
      </c>
      <c r="AG55" s="179">
        <f>SUM(AG51:AG54)</f>
      </c>
      <c r="AH55" s="179">
        <f>SUM(AH51:AH54)</f>
      </c>
      <c r="AI55" s="179">
        <f>SUM(AI51:AI54)</f>
      </c>
    </row>
    <row customHeight="true" ht="16.071428571428573" r="56">
      <c r="A56" s="149"/>
      <c r="B56" s="150" t="s">
        <v>118</v>
      </c>
      <c r="C56" s="196" t="s">
        <v>119</v>
      </c>
      <c r="D56" s="171">
        <v>1802.5140000000001</v>
      </c>
      <c r="E56" s="172">
        <v>6</v>
      </c>
      <c r="F56" s="154">
        <f t="shared" si="422"/>
      </c>
      <c r="G56" s="172">
        <v>2536</v>
      </c>
      <c r="H56" s="156">
        <f t="shared" si="452"/>
      </c>
      <c r="I56" s="157">
        <f t="shared" si="362"/>
      </c>
      <c r="J56" s="158">
        <f t="shared" si="392"/>
      </c>
      <c r="K56" s="159">
        <f t="shared" si="302"/>
      </c>
      <c r="L56" s="160">
        <f t="shared" si="332"/>
      </c>
      <c r="M56" s="158">
        <f t="shared" si="212"/>
      </c>
      <c r="N56" s="161">
        <f t="shared" si="242"/>
      </c>
      <c r="O56" s="161">
        <f t="shared" si="272"/>
      </c>
      <c r="P56" s="161">
        <f t="shared" si="152"/>
      </c>
      <c r="Q56" s="161">
        <f t="shared" si="182"/>
      </c>
      <c r="R56" s="158">
        <f t="shared" si="92"/>
      </c>
      <c r="S56" s="159">
        <f t="shared" si="122"/>
      </c>
      <c r="T56" s="161">
        <f t="shared" si="32"/>
      </c>
      <c r="U56" s="161">
        <f t="shared" si="62"/>
      </c>
      <c r="V56" s="161">
        <f t="shared" si="482"/>
      </c>
      <c r="W56" s="161">
        <f t="shared" si="2"/>
      </c>
      <c r="X56" s="169" t="s">
        <v>107</v>
      </c>
      <c r="Y56" s="163" t="s">
        <v>120</v>
      </c>
      <c r="Z56" s="166">
        <v>71822</v>
      </c>
      <c r="AA56" s="166">
        <v>14778</v>
      </c>
      <c r="AB56" s="166">
        <v>92143</v>
      </c>
      <c r="AC56" s="166">
        <v>450</v>
      </c>
      <c r="AD56" s="166">
        <v>6</v>
      </c>
      <c r="AE56" s="166">
        <v>7720</v>
      </c>
      <c r="AF56" s="166">
        <v>181</v>
      </c>
      <c r="AG56" s="166">
        <v>22</v>
      </c>
      <c r="AH56" s="166">
        <v>8</v>
      </c>
      <c r="AI56" s="167">
        <v>0</v>
      </c>
    </row>
    <row customHeight="true" ht="16.071428571428573" r="57">
      <c r="A57" s="149"/>
      <c r="B57" s="150" t="s">
        <v>118</v>
      </c>
      <c r="C57" s="197" t="s">
        <v>121</v>
      </c>
      <c r="D57" s="171">
        <v>4642.503</v>
      </c>
      <c r="E57" s="172">
        <v>8</v>
      </c>
      <c r="F57" s="154">
        <f t="shared" si="422"/>
      </c>
      <c r="G57" s="172">
        <v>2960</v>
      </c>
      <c r="H57" s="156">
        <f t="shared" si="452"/>
      </c>
      <c r="I57" s="157">
        <f t="shared" si="362"/>
      </c>
      <c r="J57" s="158">
        <f t="shared" si="392"/>
      </c>
      <c r="K57" s="159">
        <f t="shared" si="302"/>
      </c>
      <c r="L57" s="160">
        <f t="shared" si="332"/>
      </c>
      <c r="M57" s="158">
        <f t="shared" si="212"/>
      </c>
      <c r="N57" s="161">
        <f t="shared" si="242"/>
      </c>
      <c r="O57" s="161">
        <f t="shared" si="272"/>
      </c>
      <c r="P57" s="161">
        <f t="shared" si="152"/>
      </c>
      <c r="Q57" s="161">
        <f t="shared" si="182"/>
      </c>
      <c r="R57" s="158">
        <f t="shared" si="92"/>
      </c>
      <c r="S57" s="159">
        <f t="shared" si="122"/>
      </c>
      <c r="T57" s="161">
        <f t="shared" si="32"/>
      </c>
      <c r="U57" s="161">
        <f t="shared" si="62"/>
      </c>
      <c r="V57" s="161">
        <f t="shared" si="482"/>
      </c>
      <c r="W57" s="161">
        <f t="shared" si="2"/>
      </c>
      <c r="X57" s="169" t="s">
        <v>107</v>
      </c>
      <c r="Y57" s="163" t="s">
        <v>120</v>
      </c>
      <c r="Z57" s="166">
        <v>191945</v>
      </c>
      <c r="AA57" s="166">
        <v>35750</v>
      </c>
      <c r="AB57" s="166">
        <v>357359</v>
      </c>
      <c r="AC57" s="166">
        <v>1201</v>
      </c>
      <c r="AD57" s="166">
        <v>9</v>
      </c>
      <c r="AE57" s="166">
        <v>26593</v>
      </c>
      <c r="AF57" s="166">
        <v>344</v>
      </c>
      <c r="AG57" s="166">
        <v>84</v>
      </c>
      <c r="AH57" s="165">
        <v>13</v>
      </c>
      <c r="AI57" s="167">
        <v>0</v>
      </c>
    </row>
    <row customHeight="true" ht="16.071428571428573" r="58">
      <c r="A58" s="149"/>
      <c r="B58" s="150" t="s">
        <v>118</v>
      </c>
      <c r="C58" s="194" t="s">
        <v>122</v>
      </c>
      <c r="D58" s="171">
        <v>3219.6530000000002</v>
      </c>
      <c r="E58" s="172">
        <v>6</v>
      </c>
      <c r="F58" s="154">
        <f t="shared" si="422"/>
      </c>
      <c r="G58" s="172">
        <v>3093.2000000000044</v>
      </c>
      <c r="H58" s="156">
        <f t="shared" si="452"/>
      </c>
      <c r="I58" s="157">
        <f t="shared" si="362"/>
      </c>
      <c r="J58" s="158">
        <f t="shared" si="392"/>
      </c>
      <c r="K58" s="159">
        <f t="shared" si="302"/>
      </c>
      <c r="L58" s="174">
        <f t="shared" si="332"/>
      </c>
      <c r="M58" s="175">
        <f t="shared" si="212"/>
      </c>
      <c r="N58" s="176">
        <f t="shared" si="242"/>
      </c>
      <c r="O58" s="176">
        <f t="shared" si="272"/>
      </c>
      <c r="P58" s="176">
        <f t="shared" si="152"/>
      </c>
      <c r="Q58" s="176">
        <f t="shared" si="182"/>
      </c>
      <c r="R58" s="175">
        <f t="shared" si="92"/>
      </c>
      <c r="S58" s="177">
        <f t="shared" si="122"/>
      </c>
      <c r="T58" s="176">
        <f t="shared" si="32"/>
      </c>
      <c r="U58" s="176">
        <f t="shared" si="62"/>
      </c>
      <c r="V58" s="176">
        <f t="shared" si="482"/>
      </c>
      <c r="W58" s="176">
        <f t="shared" si="2"/>
      </c>
      <c r="X58" s="169" t="s">
        <v>107</v>
      </c>
      <c r="Y58" s="163" t="s">
        <v>120</v>
      </c>
      <c r="Z58" s="166">
        <v>140662</v>
      </c>
      <c r="AA58" s="166">
        <v>20744</v>
      </c>
      <c r="AB58" s="166">
        <v>229050</v>
      </c>
      <c r="AC58" s="166">
        <v>741</v>
      </c>
      <c r="AD58" s="166">
        <v>5</v>
      </c>
      <c r="AE58" s="166">
        <v>16093</v>
      </c>
      <c r="AF58" s="166">
        <v>220</v>
      </c>
      <c r="AG58" s="166">
        <v>59</v>
      </c>
      <c r="AH58" s="165">
        <v>26</v>
      </c>
      <c r="AI58" s="167">
        <v>1</v>
      </c>
    </row>
    <row customHeight="true" ht="16.071428571428573" r="59">
      <c r="A59" s="149"/>
      <c r="B59" s="150" t="s">
        <v>118</v>
      </c>
      <c r="C59" s="194" t="s">
        <v>123</v>
      </c>
      <c r="D59" s="195">
        <v>1381.139</v>
      </c>
      <c r="E59" s="172">
        <v>6</v>
      </c>
      <c r="F59" s="154">
        <f t="shared" si="422"/>
      </c>
      <c r="G59" s="172">
        <v>1779.699999999997</v>
      </c>
      <c r="H59" s="156">
        <f t="shared" si="452"/>
      </c>
      <c r="I59" s="157">
        <f t="shared" si="362"/>
      </c>
      <c r="J59" s="158">
        <f t="shared" si="392"/>
      </c>
      <c r="K59" s="159">
        <f t="shared" si="302"/>
      </c>
      <c r="L59" s="174">
        <f t="shared" si="332"/>
      </c>
      <c r="M59" s="175">
        <f t="shared" si="212"/>
      </c>
      <c r="N59" s="176">
        <f t="shared" si="242"/>
      </c>
      <c r="O59" s="176">
        <f t="shared" si="272"/>
      </c>
      <c r="P59" s="176">
        <f t="shared" si="152"/>
      </c>
      <c r="Q59" s="176">
        <f t="shared" si="182"/>
      </c>
      <c r="R59" s="175">
        <f t="shared" si="92"/>
      </c>
      <c r="S59" s="177">
        <f t="shared" si="122"/>
      </c>
      <c r="T59" s="176">
        <f t="shared" si="32"/>
      </c>
      <c r="U59" s="176">
        <f t="shared" si="62"/>
      </c>
      <c r="V59" s="176">
        <f t="shared" si="482"/>
      </c>
      <c r="W59" s="176">
        <f t="shared" si="2"/>
      </c>
      <c r="X59" s="169" t="s">
        <v>107</v>
      </c>
      <c r="Y59" s="163" t="s">
        <v>120</v>
      </c>
      <c r="Z59" s="166">
        <v>62282</v>
      </c>
      <c r="AA59" s="166">
        <v>10965</v>
      </c>
      <c r="AB59" s="166">
        <v>63966</v>
      </c>
      <c r="AC59" s="166">
        <v>298</v>
      </c>
      <c r="AD59" s="166">
        <v>3</v>
      </c>
      <c r="AE59" s="166">
        <v>4888</v>
      </c>
      <c r="AF59" s="166">
        <v>115</v>
      </c>
      <c r="AG59" s="166">
        <v>22</v>
      </c>
      <c r="AH59" s="165">
        <v>7</v>
      </c>
      <c r="AI59" s="167">
        <v>3</v>
      </c>
    </row>
    <row customHeight="true" ht="16.071428571428573" r="60">
      <c r="A60" s="149"/>
      <c r="B60" s="178" t="s">
        <v>112</v>
      </c>
      <c r="C60" s="178"/>
      <c r="D60" s="179">
        <f>SUM(D56:D59)</f>
      </c>
      <c r="E60" s="180">
        <f>SUM(E56:E59)</f>
      </c>
      <c r="F60" s="181">
        <f t="shared" si="422"/>
      </c>
      <c r="G60" s="182">
        <f>SUM(G56:G59)</f>
      </c>
      <c r="H60" s="183">
        <f t="shared" si="452"/>
      </c>
      <c r="I60" s="184">
        <f t="shared" si="362"/>
      </c>
      <c r="J60" s="185">
        <f t="shared" si="392"/>
      </c>
      <c r="K60" s="181">
        <f t="shared" si="302"/>
      </c>
      <c r="L60" s="186">
        <f t="shared" si="332"/>
      </c>
      <c r="M60" s="185">
        <f t="shared" si="212"/>
      </c>
      <c r="N60" s="187">
        <f t="shared" si="242"/>
      </c>
      <c r="O60" s="187">
        <f t="shared" si="272"/>
      </c>
      <c r="P60" s="187">
        <f t="shared" si="152"/>
      </c>
      <c r="Q60" s="187">
        <f t="shared" si="182"/>
      </c>
      <c r="R60" s="185">
        <f t="shared" si="92"/>
      </c>
      <c r="S60" s="181">
        <f t="shared" si="122"/>
      </c>
      <c r="T60" s="187">
        <f t="shared" si="32"/>
      </c>
      <c r="U60" s="187">
        <f t="shared" si="62"/>
      </c>
      <c r="V60" s="187">
        <f t="shared" si="482"/>
      </c>
      <c r="W60" s="187">
        <f t="shared" si="2"/>
      </c>
      <c r="X60" s="187"/>
      <c r="Y60" s="188"/>
      <c r="Z60" s="179">
        <f>SUM(Z56:Z59)</f>
      </c>
      <c r="AA60" s="179">
        <f>SUM(AA56:AA59)</f>
      </c>
      <c r="AB60" s="179">
        <f>SUM(AB56:AB59)</f>
      </c>
      <c r="AC60" s="179">
        <f>SUM(AC56:AC59)</f>
      </c>
      <c r="AD60" s="179">
        <f>SUM(AD56:AD59)</f>
      </c>
      <c r="AE60" s="179">
        <f>SUM(AE56:AE59)</f>
      </c>
      <c r="AF60" s="179">
        <f>SUM(AF56:AF59)</f>
      </c>
      <c r="AG60" s="179">
        <f>SUM(AG56:AG59)</f>
      </c>
      <c r="AH60" s="179">
        <f>SUM(AH56:AH59)</f>
      </c>
      <c r="AI60" s="179">
        <f>SUM(AI56:AI59)</f>
      </c>
    </row>
    <row customHeight="true" ht="16.071428571428573" r="61">
      <c r="A61" s="149"/>
      <c r="B61" s="189" t="s">
        <v>113</v>
      </c>
      <c r="C61" s="196" t="s">
        <v>125</v>
      </c>
      <c r="D61" s="198">
        <v>1798.856</v>
      </c>
      <c r="E61" s="153">
        <v>7</v>
      </c>
      <c r="F61" s="154">
        <f t="shared" si="422"/>
      </c>
      <c r="G61" s="155">
        <v>2601.100000000006</v>
      </c>
      <c r="H61" s="156">
        <f t="shared" si="452"/>
      </c>
      <c r="I61" s="157">
        <f t="shared" si="362"/>
      </c>
      <c r="J61" s="158">
        <f t="shared" si="392"/>
      </c>
      <c r="K61" s="159">
        <f t="shared" si="302"/>
      </c>
      <c r="L61" s="174">
        <f t="shared" si="332"/>
      </c>
      <c r="M61" s="175">
        <f t="shared" si="212"/>
      </c>
      <c r="N61" s="176">
        <f t="shared" si="242"/>
      </c>
      <c r="O61" s="176">
        <f t="shared" si="272"/>
      </c>
      <c r="P61" s="176">
        <f t="shared" si="152"/>
      </c>
      <c r="Q61" s="176">
        <f t="shared" si="182"/>
      </c>
      <c r="R61" s="175">
        <f t="shared" si="92"/>
      </c>
      <c r="S61" s="177">
        <f t="shared" si="122"/>
      </c>
      <c r="T61" s="176">
        <f t="shared" si="32"/>
      </c>
      <c r="U61" s="176">
        <f t="shared" si="62"/>
      </c>
      <c r="V61" s="176">
        <f t="shared" si="482"/>
      </c>
      <c r="W61" s="176">
        <f t="shared" si="2"/>
      </c>
      <c r="X61" s="169" t="s">
        <v>107</v>
      </c>
      <c r="Y61" s="163" t="s">
        <v>120</v>
      </c>
      <c r="Z61" s="166">
        <v>76131</v>
      </c>
      <c r="AA61" s="166">
        <v>16546</v>
      </c>
      <c r="AB61" s="166">
        <v>77270</v>
      </c>
      <c r="AC61" s="199">
        <v>454</v>
      </c>
      <c r="AD61" s="199">
        <v>4</v>
      </c>
      <c r="AE61" s="199">
        <v>6412</v>
      </c>
      <c r="AF61" s="199">
        <v>162</v>
      </c>
      <c r="AG61" s="199">
        <v>26</v>
      </c>
      <c r="AH61" s="199">
        <v>4</v>
      </c>
      <c r="AI61" s="167">
        <v>2</v>
      </c>
    </row>
    <row customHeight="true" ht="16.071428571428573" r="62">
      <c r="A62" s="149"/>
      <c r="B62" s="189" t="s">
        <v>113</v>
      </c>
      <c r="C62" s="194" t="s">
        <v>126</v>
      </c>
      <c r="D62" s="198">
        <v>2244.667</v>
      </c>
      <c r="E62" s="153">
        <v>6</v>
      </c>
      <c r="F62" s="154">
        <f t="shared" si="422"/>
      </c>
      <c r="G62" s="155">
        <v>2892.699999999997</v>
      </c>
      <c r="H62" s="156">
        <f t="shared" si="452"/>
      </c>
      <c r="I62" s="157">
        <f t="shared" si="362"/>
      </c>
      <c r="J62" s="158">
        <f t="shared" si="392"/>
      </c>
      <c r="K62" s="159">
        <f t="shared" si="302"/>
      </c>
      <c r="L62" s="174">
        <f t="shared" si="332"/>
      </c>
      <c r="M62" s="175">
        <f t="shared" si="212"/>
      </c>
      <c r="N62" s="176">
        <f t="shared" si="242"/>
      </c>
      <c r="O62" s="176">
        <f t="shared" si="272"/>
      </c>
      <c r="P62" s="176">
        <f t="shared" si="152"/>
      </c>
      <c r="Q62" s="176">
        <f t="shared" si="182"/>
      </c>
      <c r="R62" s="175">
        <f t="shared" si="92"/>
      </c>
      <c r="S62" s="177">
        <f t="shared" si="122"/>
      </c>
      <c r="T62" s="176">
        <f t="shared" si="32"/>
      </c>
      <c r="U62" s="176">
        <f t="shared" si="62"/>
      </c>
      <c r="V62" s="176">
        <f t="shared" si="482"/>
      </c>
      <c r="W62" s="176">
        <f t="shared" si="2"/>
      </c>
      <c r="X62" s="169" t="s">
        <v>107</v>
      </c>
      <c r="Y62" s="163" t="s">
        <v>120</v>
      </c>
      <c r="Z62" s="166">
        <v>93172</v>
      </c>
      <c r="AA62" s="166">
        <v>24306</v>
      </c>
      <c r="AB62" s="166">
        <v>103982</v>
      </c>
      <c r="AC62" s="199">
        <v>547</v>
      </c>
      <c r="AD62" s="199">
        <v>4</v>
      </c>
      <c r="AE62" s="199">
        <v>8861</v>
      </c>
      <c r="AF62" s="199">
        <v>228</v>
      </c>
      <c r="AG62" s="199">
        <v>42</v>
      </c>
      <c r="AH62" s="199">
        <v>12</v>
      </c>
      <c r="AI62" s="167">
        <v>2</v>
      </c>
    </row>
    <row customHeight="true" ht="16.071428571428573" r="63">
      <c r="A63" s="149"/>
      <c r="B63" s="189" t="s">
        <v>113</v>
      </c>
      <c r="C63" s="200" t="s">
        <v>127</v>
      </c>
      <c r="D63" s="171">
        <v>2654.2149999999997</v>
      </c>
      <c r="E63" s="172">
        <v>2</v>
      </c>
      <c r="F63" s="154">
        <f t="shared" si="422"/>
      </c>
      <c r="G63" s="172">
        <v>424</v>
      </c>
      <c r="H63" s="156">
        <f t="shared" si="452"/>
      </c>
      <c r="I63" s="157">
        <f t="shared" si="362"/>
      </c>
      <c r="J63" s="158">
        <f t="shared" si="392"/>
      </c>
      <c r="K63" s="159">
        <f t="shared" si="302"/>
      </c>
      <c r="L63" s="174">
        <f t="shared" si="332"/>
      </c>
      <c r="M63" s="175">
        <f t="shared" si="212"/>
      </c>
      <c r="N63" s="176">
        <f t="shared" si="242"/>
      </c>
      <c r="O63" s="176">
        <f t="shared" si="272"/>
      </c>
      <c r="P63" s="176">
        <f t="shared" si="152"/>
      </c>
      <c r="Q63" s="176">
        <f t="shared" si="182"/>
      </c>
      <c r="R63" s="175">
        <f t="shared" si="92"/>
      </c>
      <c r="S63" s="177">
        <f t="shared" si="122"/>
      </c>
      <c r="T63" s="176">
        <f t="shared" si="32"/>
      </c>
      <c r="U63" s="176">
        <f t="shared" si="62"/>
      </c>
      <c r="V63" s="176">
        <f t="shared" si="482"/>
      </c>
      <c r="W63" s="176">
        <f t="shared" si="2"/>
      </c>
      <c r="X63" s="169" t="s">
        <v>107</v>
      </c>
      <c r="Y63" s="163" t="s">
        <v>120</v>
      </c>
      <c r="Z63" s="166">
        <v>105099</v>
      </c>
      <c r="AA63" s="166">
        <v>19271</v>
      </c>
      <c r="AB63" s="166">
        <v>104109</v>
      </c>
      <c r="AC63" s="166">
        <v>762</v>
      </c>
      <c r="AD63" s="166">
        <v>2</v>
      </c>
      <c r="AE63" s="166">
        <v>7702</v>
      </c>
      <c r="AF63" s="166">
        <v>246</v>
      </c>
      <c r="AG63" s="166">
        <v>54</v>
      </c>
      <c r="AH63" s="165">
        <v>11</v>
      </c>
      <c r="AI63" s="167">
        <v>0</v>
      </c>
    </row>
    <row customHeight="true" ht="16.071428571428573" r="64">
      <c r="A64" s="149"/>
      <c r="B64" s="189" t="s">
        <v>113</v>
      </c>
      <c r="C64" s="201" t="s">
        <v>128</v>
      </c>
      <c r="D64" s="195">
        <f>2956.482+1.639</f>
      </c>
      <c r="E64" s="172">
        <v>12</v>
      </c>
      <c r="F64" s="154">
        <f t="shared" si="422"/>
      </c>
      <c r="G64" s="172">
        <v>2492.5999999999985</v>
      </c>
      <c r="H64" s="156">
        <f t="shared" si="452"/>
      </c>
      <c r="I64" s="157">
        <f t="shared" si="362"/>
      </c>
      <c r="J64" s="158">
        <f t="shared" si="392"/>
      </c>
      <c r="K64" s="159">
        <f t="shared" si="302"/>
      </c>
      <c r="L64" s="174">
        <f t="shared" si="332"/>
      </c>
      <c r="M64" s="175">
        <f t="shared" si="212"/>
      </c>
      <c r="N64" s="176">
        <f t="shared" si="242"/>
      </c>
      <c r="O64" s="176">
        <f t="shared" si="272"/>
      </c>
      <c r="P64" s="176">
        <f t="shared" si="152"/>
      </c>
      <c r="Q64" s="176">
        <f t="shared" si="182"/>
      </c>
      <c r="R64" s="175">
        <f t="shared" si="92"/>
      </c>
      <c r="S64" s="177">
        <f t="shared" si="122"/>
      </c>
      <c r="T64" s="176">
        <f t="shared" si="32"/>
      </c>
      <c r="U64" s="176">
        <f t="shared" si="62"/>
      </c>
      <c r="V64" s="176">
        <f t="shared" si="482"/>
      </c>
      <c r="W64" s="176">
        <f t="shared" si="2"/>
      </c>
      <c r="X64" s="169" t="s">
        <v>107</v>
      </c>
      <c r="Y64" s="163" t="s">
        <v>120</v>
      </c>
      <c r="Z64" s="166">
        <v>89617</v>
      </c>
      <c r="AA64" s="166">
        <v>16909</v>
      </c>
      <c r="AB64" s="166">
        <v>114087</v>
      </c>
      <c r="AC64" s="166">
        <v>661</v>
      </c>
      <c r="AD64" s="166">
        <v>7</v>
      </c>
      <c r="AE64" s="166">
        <v>7660</v>
      </c>
      <c r="AF64" s="166">
        <v>194</v>
      </c>
      <c r="AG64" s="166">
        <v>61</v>
      </c>
      <c r="AH64" s="165">
        <v>15</v>
      </c>
      <c r="AI64" s="167">
        <v>1</v>
      </c>
    </row>
    <row customHeight="true" ht="16.071428571428573" r="65">
      <c r="A65" s="149"/>
      <c r="B65" s="178" t="s">
        <v>112</v>
      </c>
      <c r="C65" s="178"/>
      <c r="D65" s="179">
        <f>SUM(D61:D64)</f>
      </c>
      <c r="E65" s="180">
        <f>SUM(E61:E64)</f>
      </c>
      <c r="F65" s="181">
        <f t="shared" si="422"/>
      </c>
      <c r="G65" s="182">
        <f>SUM(G61:G64)</f>
      </c>
      <c r="H65" s="183">
        <f t="shared" si="452"/>
      </c>
      <c r="I65" s="184">
        <f t="shared" si="362"/>
      </c>
      <c r="J65" s="185">
        <f t="shared" si="392"/>
      </c>
      <c r="K65" s="181">
        <f t="shared" si="302"/>
      </c>
      <c r="L65" s="186">
        <f t="shared" si="332"/>
      </c>
      <c r="M65" s="185">
        <f t="shared" si="212"/>
      </c>
      <c r="N65" s="187">
        <f t="shared" si="242"/>
      </c>
      <c r="O65" s="187">
        <f t="shared" si="272"/>
      </c>
      <c r="P65" s="187">
        <f t="shared" si="152"/>
      </c>
      <c r="Q65" s="187">
        <f t="shared" si="182"/>
      </c>
      <c r="R65" s="185">
        <f t="shared" si="92"/>
      </c>
      <c r="S65" s="181">
        <f t="shared" si="122"/>
      </c>
      <c r="T65" s="187">
        <f t="shared" si="32"/>
      </c>
      <c r="U65" s="187">
        <f t="shared" si="62"/>
      </c>
      <c r="V65" s="187">
        <f t="shared" si="482"/>
      </c>
      <c r="W65" s="187">
        <f t="shared" si="2"/>
      </c>
      <c r="X65" s="187"/>
      <c r="Y65" s="188"/>
      <c r="Z65" s="179">
        <f>SUM(Z61:Z64)</f>
      </c>
      <c r="AA65" s="179">
        <f>SUM(AA61:AA64)</f>
      </c>
      <c r="AB65" s="179">
        <f>SUM(AB61:AB64)</f>
      </c>
      <c r="AC65" s="179">
        <f>SUM(AC61:AC64)</f>
      </c>
      <c r="AD65" s="179">
        <f>SUM(AD61:AD64)</f>
      </c>
      <c r="AE65" s="179">
        <f>SUM(AE61:AE64)</f>
      </c>
      <c r="AF65" s="179">
        <f>SUM(AF61:AF64)</f>
      </c>
      <c r="AG65" s="179">
        <f>SUM(AG61:AG64)</f>
      </c>
      <c r="AH65" s="179">
        <f>SUM(AH61:AH64)</f>
      </c>
      <c r="AI65" s="179">
        <f>SUM(AI61:AI64)</f>
      </c>
    </row>
    <row customHeight="true" ht="16.071428571428573" r="66">
      <c r="A66" s="149"/>
      <c r="B66" s="202" t="s">
        <v>129</v>
      </c>
      <c r="C66" s="202"/>
      <c r="D66" s="203">
        <f>SUM(D65+D50+D55+D60)</f>
      </c>
      <c r="E66" s="204">
        <f>SUM(E65+E50+E55+E60)</f>
      </c>
      <c r="F66" s="205">
        <f t="shared" si="422"/>
      </c>
      <c r="G66" s="206">
        <f>SUM(G65+G50+G55+G60)</f>
      </c>
      <c r="H66" s="207">
        <f t="shared" si="452"/>
      </c>
      <c r="I66" s="208">
        <f t="shared" si="362"/>
      </c>
      <c r="J66" s="209">
        <f t="shared" si="392"/>
      </c>
      <c r="K66" s="205">
        <f t="shared" si="302"/>
      </c>
      <c r="L66" s="210">
        <f t="shared" si="332"/>
      </c>
      <c r="M66" s="210">
        <f t="shared" si="212"/>
      </c>
      <c r="N66" s="211">
        <f t="shared" si="242"/>
      </c>
      <c r="O66" s="211">
        <f t="shared" si="272"/>
      </c>
      <c r="P66" s="211">
        <f t="shared" si="152"/>
      </c>
      <c r="Q66" s="211">
        <f t="shared" si="182"/>
      </c>
      <c r="R66" s="212">
        <f t="shared" si="92"/>
      </c>
      <c r="S66" s="213">
        <f t="shared" si="122"/>
      </c>
      <c r="T66" s="214">
        <f t="shared" si="32"/>
      </c>
      <c r="U66" s="214">
        <f t="shared" si="62"/>
      </c>
      <c r="V66" s="214">
        <f t="shared" si="482"/>
      </c>
      <c r="W66" s="214">
        <f t="shared" si="2"/>
      </c>
      <c r="X66" s="214"/>
      <c r="Y66" s="215"/>
      <c r="Z66" s="216">
        <f>SUM(Z50+Z65+Z55+Z60)</f>
      </c>
      <c r="AA66" s="216">
        <f>SUM(AA50+AA65+AA55+AA60)</f>
      </c>
      <c r="AB66" s="216">
        <f>SUM(AB50+AB65+AB55+AB60)</f>
      </c>
      <c r="AC66" s="216">
        <f>SUM(AC50+AC65+AC55+AC60)</f>
      </c>
      <c r="AD66" s="216">
        <f>SUM(AD50+AD65+AD55+AD60)</f>
      </c>
      <c r="AE66" s="216">
        <f>SUM(AE50+AE65+AE55+AE60)</f>
      </c>
      <c r="AF66" s="216">
        <f>SUM(AF50+AF65+AF55+AF60)</f>
      </c>
      <c r="AG66" s="216">
        <f>SUM(AG50+AG65+AG55+AG60)</f>
      </c>
      <c r="AH66" s="216">
        <f>SUM(AH50+AH65+AH55+AH60)</f>
      </c>
      <c r="AI66" s="216">
        <f>SUM(AI50+AI65+AI55+AI60)</f>
      </c>
    </row>
    <row customHeight="true" ht="16.071428571428573" r="67">
      <c r="A67" s="133" t="s">
        <v>70</v>
      </c>
      <c r="B67" s="134" t="s">
        <v>71</v>
      </c>
      <c r="C67" s="135" t="s">
        <v>72</v>
      </c>
      <c r="D67" s="136" t="s">
        <v>73</v>
      </c>
      <c r="E67" s="137" t="s">
        <v>74</v>
      </c>
      <c r="F67" s="138" t="s">
        <v>75</v>
      </c>
      <c r="G67" s="139" t="s">
        <v>76</v>
      </c>
      <c r="H67" s="138" t="s">
        <v>77</v>
      </c>
      <c r="I67" s="139" t="s">
        <v>78</v>
      </c>
      <c r="J67" s="140" t="s">
        <v>79</v>
      </c>
      <c r="K67" s="140" t="s">
        <v>80</v>
      </c>
      <c r="L67" s="141" t="s">
        <v>81</v>
      </c>
      <c r="M67" s="141" t="s">
        <v>82</v>
      </c>
      <c r="N67" s="141" t="s">
        <v>83</v>
      </c>
      <c r="O67" s="141" t="s">
        <v>84</v>
      </c>
      <c r="P67" s="141" t="s">
        <v>85</v>
      </c>
      <c r="Q67" s="141" t="s">
        <v>86</v>
      </c>
      <c r="R67" s="141" t="s">
        <v>87</v>
      </c>
      <c r="S67" s="141" t="s">
        <v>88</v>
      </c>
      <c r="T67" s="142" t="s">
        <v>89</v>
      </c>
      <c r="U67" s="142" t="s">
        <v>90</v>
      </c>
      <c r="V67" s="142" t="s">
        <v>91</v>
      </c>
      <c r="W67" s="142" t="s">
        <v>92</v>
      </c>
      <c r="X67" s="143" t="s">
        <v>93</v>
      </c>
      <c r="Y67" s="143" t="s">
        <v>94</v>
      </c>
      <c r="Z67" s="144" t="s">
        <v>95</v>
      </c>
      <c r="AA67" s="144" t="s">
        <v>96</v>
      </c>
      <c r="AB67" s="144" t="s">
        <v>97</v>
      </c>
      <c r="AC67" s="145" t="s">
        <v>98</v>
      </c>
      <c r="AD67" s="145" t="s">
        <v>99</v>
      </c>
      <c r="AE67" s="146" t="s">
        <v>100</v>
      </c>
      <c r="AF67" s="145" t="s">
        <v>101</v>
      </c>
      <c r="AG67" s="145" t="s">
        <v>102</v>
      </c>
      <c r="AH67" s="147" t="s">
        <v>103</v>
      </c>
      <c r="AI67" s="148" t="s">
        <v>104</v>
      </c>
    </row>
    <row customHeight="true" ht="16.071428571428573" r="68">
      <c r="A68" s="149">
        <v>46269</v>
      </c>
      <c r="B68" s="150" t="s">
        <v>124</v>
      </c>
      <c r="C68" s="151" t="s">
        <v>106</v>
      </c>
      <c r="D68" s="152">
        <v>2638.191</v>
      </c>
      <c r="E68" s="153">
        <v>10</v>
      </c>
      <c r="F68" s="154">
        <f t="shared" ref="F68:F88" si="423">D68/E68</f>
      </c>
      <c r="G68" s="155">
        <v>4630.8</v>
      </c>
      <c r="H68" s="156">
        <f t="shared" ref="H68:H88" si="453">AD68</f>
      </c>
      <c r="I68" s="157">
        <f t="shared" ref="I68:I88" si="363">D68/AD68</f>
      </c>
      <c r="J68" s="158">
        <f t="shared" ref="J68:J88" si="393">G68/E68</f>
      </c>
      <c r="K68" s="159">
        <f t="shared" ref="K68:K88" si="303">G68/D68</f>
      </c>
      <c r="L68" s="160">
        <f t="shared" ref="L68:L88" si="333">D68/AB68</f>
      </c>
      <c r="M68" s="158">
        <f t="shared" ref="M68:M88" si="213">D68/AC68</f>
      </c>
      <c r="N68" s="161">
        <f t="shared" ref="N68:N88" si="243">AC68/AB68</f>
      </c>
      <c r="O68" s="161">
        <f t="shared" ref="O68:O88" si="273">AD68/AC68</f>
      </c>
      <c r="P68" s="161">
        <f t="shared" ref="P68:P88" si="153">AA68/Z68</f>
      </c>
      <c r="Q68" s="161">
        <f t="shared" ref="Q68:Q88" si="183">AD68/AA68</f>
      </c>
      <c r="R68" s="158">
        <f t="shared" ref="R68:R88" si="93">D68/Z68*1000</f>
      </c>
      <c r="S68" s="159">
        <f t="shared" ref="S68:S88" si="123">D68/AA68</f>
      </c>
      <c r="T68" s="161">
        <f t="shared" ref="T68:T88" si="33">AE68/AB68</f>
      </c>
      <c r="U68" s="161">
        <f t="shared" ref="U68:U88" si="63">AF68/AB68</f>
      </c>
      <c r="V68" s="161">
        <f t="shared" ref="V68:V88" si="483">AG68/AB68</f>
      </c>
      <c r="W68" s="161">
        <f t="shared" ref="W68:W88" si="3">AH68/AB68</f>
      </c>
      <c r="X68" s="162" t="s">
        <v>107</v>
      </c>
      <c r="Y68" s="163" t="s">
        <v>108</v>
      </c>
      <c r="Z68" s="164">
        <v>79426</v>
      </c>
      <c r="AA68" s="164">
        <v>37593</v>
      </c>
      <c r="AB68" s="164">
        <v>90603</v>
      </c>
      <c r="AC68" s="164">
        <v>866</v>
      </c>
      <c r="AD68" s="165">
        <v>9</v>
      </c>
      <c r="AE68" s="164">
        <v>16411</v>
      </c>
      <c r="AF68" s="166">
        <v>336</v>
      </c>
      <c r="AG68" s="166">
        <v>81</v>
      </c>
      <c r="AH68" s="166">
        <v>16</v>
      </c>
      <c r="AI68" s="167">
        <v>2</v>
      </c>
    </row>
    <row customHeight="true" ht="16.071428571428573" r="69">
      <c r="A69" s="149"/>
      <c r="B69" s="150" t="s">
        <v>124</v>
      </c>
      <c r="C69" s="168" t="s">
        <v>109</v>
      </c>
      <c r="D69" s="152">
        <v>2563.075</v>
      </c>
      <c r="E69" s="153">
        <v>4</v>
      </c>
      <c r="F69" s="154">
        <f t="shared" si="423"/>
      </c>
      <c r="G69" s="155">
        <v>2041.6</v>
      </c>
      <c r="H69" s="156">
        <f t="shared" si="453"/>
      </c>
      <c r="I69" s="157">
        <f t="shared" si="363"/>
      </c>
      <c r="J69" s="158">
        <f t="shared" si="393"/>
      </c>
      <c r="K69" s="159">
        <f t="shared" si="303"/>
      </c>
      <c r="L69" s="160">
        <f t="shared" si="333"/>
      </c>
      <c r="M69" s="158">
        <f t="shared" si="213"/>
      </c>
      <c r="N69" s="161">
        <f t="shared" si="243"/>
      </c>
      <c r="O69" s="161">
        <f t="shared" si="273"/>
      </c>
      <c r="P69" s="161">
        <f t="shared" si="153"/>
      </c>
      <c r="Q69" s="161">
        <f t="shared" si="183"/>
      </c>
      <c r="R69" s="158">
        <f t="shared" si="93"/>
      </c>
      <c r="S69" s="159">
        <f t="shared" si="123"/>
      </c>
      <c r="T69" s="161">
        <f t="shared" si="33"/>
      </c>
      <c r="U69" s="161">
        <f t="shared" si="63"/>
      </c>
      <c r="V69" s="161">
        <f t="shared" si="483"/>
      </c>
      <c r="W69" s="161">
        <f t="shared" si="3"/>
      </c>
      <c r="X69" s="169" t="s">
        <v>107</v>
      </c>
      <c r="Y69" s="163" t="s">
        <v>108</v>
      </c>
      <c r="Z69" s="166">
        <v>75061</v>
      </c>
      <c r="AA69" s="164">
        <v>25414</v>
      </c>
      <c r="AB69" s="164">
        <v>70230</v>
      </c>
      <c r="AC69" s="164">
        <v>984</v>
      </c>
      <c r="AD69" s="166">
        <v>3</v>
      </c>
      <c r="AE69" s="164">
        <v>11040</v>
      </c>
      <c r="AF69" s="166">
        <v>372</v>
      </c>
      <c r="AG69" s="166">
        <v>47</v>
      </c>
      <c r="AH69" s="165">
        <v>14</v>
      </c>
      <c r="AI69" s="167">
        <v>1</v>
      </c>
    </row>
    <row customHeight="true" ht="16.071428571428573" r="70">
      <c r="A70" s="149"/>
      <c r="B70" s="150" t="s">
        <v>124</v>
      </c>
      <c r="C70" s="170" t="s">
        <v>110</v>
      </c>
      <c r="D70" s="171">
        <v>1613.446</v>
      </c>
      <c r="E70" s="172">
        <v>3</v>
      </c>
      <c r="F70" s="154">
        <f t="shared" si="423"/>
      </c>
      <c r="G70" s="172">
        <v>673.2</v>
      </c>
      <c r="H70" s="156">
        <f t="shared" si="453"/>
      </c>
      <c r="I70" s="157">
        <f t="shared" si="363"/>
      </c>
      <c r="J70" s="158">
        <f t="shared" si="393"/>
      </c>
      <c r="K70" s="159">
        <f t="shared" si="303"/>
      </c>
      <c r="L70" s="160">
        <f t="shared" si="333"/>
      </c>
      <c r="M70" s="158">
        <f t="shared" si="213"/>
      </c>
      <c r="N70" s="161">
        <f t="shared" si="243"/>
      </c>
      <c r="O70" s="161">
        <f t="shared" si="273"/>
      </c>
      <c r="P70" s="161">
        <f t="shared" si="153"/>
      </c>
      <c r="Q70" s="161">
        <f t="shared" si="183"/>
      </c>
      <c r="R70" s="158">
        <f t="shared" si="93"/>
      </c>
      <c r="S70" s="159">
        <f t="shared" si="123"/>
      </c>
      <c r="T70" s="161">
        <f t="shared" si="33"/>
      </c>
      <c r="U70" s="161">
        <f t="shared" si="63"/>
      </c>
      <c r="V70" s="161">
        <f t="shared" si="483"/>
      </c>
      <c r="W70" s="161">
        <f t="shared" si="3"/>
      </c>
      <c r="X70" s="169" t="s">
        <v>107</v>
      </c>
      <c r="Y70" s="163" t="s">
        <v>108</v>
      </c>
      <c r="Z70" s="166">
        <v>52047</v>
      </c>
      <c r="AA70" s="166">
        <v>15719</v>
      </c>
      <c r="AB70" s="166">
        <v>42197</v>
      </c>
      <c r="AC70" s="166">
        <v>655</v>
      </c>
      <c r="AD70" s="166">
        <v>2</v>
      </c>
      <c r="AE70" s="166">
        <v>6174</v>
      </c>
      <c r="AF70" s="166">
        <v>228</v>
      </c>
      <c r="AG70" s="166">
        <v>35</v>
      </c>
      <c r="AH70" s="166">
        <v>4</v>
      </c>
      <c r="AI70" s="167">
        <v>0</v>
      </c>
    </row>
    <row customHeight="true" ht="16.071428571428573" r="71">
      <c r="A71" s="149"/>
      <c r="B71" s="150" t="s">
        <v>124</v>
      </c>
      <c r="C71" s="173" t="s">
        <v>111</v>
      </c>
      <c r="D71" s="171">
        <v>2636.429</v>
      </c>
      <c r="E71" s="172">
        <v>8</v>
      </c>
      <c r="F71" s="154">
        <f t="shared" si="423"/>
      </c>
      <c r="G71" s="172">
        <v>2953.6</v>
      </c>
      <c r="H71" s="156">
        <f t="shared" si="453"/>
      </c>
      <c r="I71" s="157">
        <f t="shared" si="363"/>
      </c>
      <c r="J71" s="158">
        <f t="shared" si="393"/>
      </c>
      <c r="K71" s="159">
        <f t="shared" si="303"/>
      </c>
      <c r="L71" s="174">
        <f t="shared" si="333"/>
      </c>
      <c r="M71" s="175">
        <f t="shared" si="213"/>
      </c>
      <c r="N71" s="176">
        <f t="shared" si="243"/>
      </c>
      <c r="O71" s="176">
        <f t="shared" si="273"/>
      </c>
      <c r="P71" s="176">
        <f t="shared" si="153"/>
      </c>
      <c r="Q71" s="176">
        <f t="shared" si="183"/>
      </c>
      <c r="R71" s="175">
        <f t="shared" si="93"/>
      </c>
      <c r="S71" s="177">
        <f t="shared" si="123"/>
      </c>
      <c r="T71" s="176">
        <f t="shared" si="33"/>
      </c>
      <c r="U71" s="176">
        <f t="shared" si="63"/>
      </c>
      <c r="V71" s="176">
        <f t="shared" si="483"/>
      </c>
      <c r="W71" s="176">
        <f t="shared" si="3"/>
      </c>
      <c r="X71" s="169" t="s">
        <v>107</v>
      </c>
      <c r="Y71" s="163" t="s">
        <v>108</v>
      </c>
      <c r="Z71" s="166">
        <v>109820</v>
      </c>
      <c r="AA71" s="166">
        <v>23090</v>
      </c>
      <c r="AB71" s="166">
        <v>130345</v>
      </c>
      <c r="AC71" s="166">
        <v>698</v>
      </c>
      <c r="AD71" s="166">
        <v>4</v>
      </c>
      <c r="AE71" s="166">
        <v>12722</v>
      </c>
      <c r="AF71" s="166">
        <v>257</v>
      </c>
      <c r="AG71" s="166">
        <v>74</v>
      </c>
      <c r="AH71" s="165">
        <v>10</v>
      </c>
      <c r="AI71" s="167">
        <v>0</v>
      </c>
    </row>
    <row customHeight="true" ht="16.071428571428573" r="72">
      <c r="A72" s="149"/>
      <c r="B72" s="178" t="s">
        <v>112</v>
      </c>
      <c r="C72" s="178"/>
      <c r="D72" s="179">
        <f>SUM(D68:D71)</f>
      </c>
      <c r="E72" s="180">
        <f>SUM(E68:E71)</f>
      </c>
      <c r="F72" s="181">
        <f t="shared" si="423"/>
      </c>
      <c r="G72" s="182">
        <f>SUM(G68:G71)</f>
      </c>
      <c r="H72" s="183">
        <f t="shared" si="453"/>
      </c>
      <c r="I72" s="184">
        <f t="shared" si="363"/>
      </c>
      <c r="J72" s="185">
        <f t="shared" si="393"/>
      </c>
      <c r="K72" s="181">
        <f t="shared" si="303"/>
      </c>
      <c r="L72" s="186">
        <f t="shared" si="333"/>
      </c>
      <c r="M72" s="185">
        <f t="shared" si="213"/>
      </c>
      <c r="N72" s="187">
        <f t="shared" si="243"/>
      </c>
      <c r="O72" s="187">
        <f t="shared" si="273"/>
      </c>
      <c r="P72" s="187">
        <f t="shared" si="153"/>
      </c>
      <c r="Q72" s="187">
        <f t="shared" si="183"/>
      </c>
      <c r="R72" s="185">
        <f t="shared" si="93"/>
      </c>
      <c r="S72" s="181">
        <f t="shared" si="123"/>
      </c>
      <c r="T72" s="187">
        <f t="shared" si="33"/>
      </c>
      <c r="U72" s="187">
        <f t="shared" si="63"/>
      </c>
      <c r="V72" s="187">
        <f t="shared" si="483"/>
      </c>
      <c r="W72" s="187">
        <f t="shared" si="3"/>
      </c>
      <c r="X72" s="187"/>
      <c r="Y72" s="188"/>
      <c r="Z72" s="179">
        <f>SUM(Z68:Z71)</f>
      </c>
      <c r="AA72" s="179">
        <f>SUM(AA68:AA71)</f>
      </c>
      <c r="AB72" s="179">
        <f>SUM(AB68:AB71)</f>
      </c>
      <c r="AC72" s="179">
        <f>SUM(AC68:AC71)</f>
      </c>
      <c r="AD72" s="179">
        <f>SUM(AD68:AD71)</f>
      </c>
      <c r="AE72" s="179">
        <f>SUM(AE68:AE71)</f>
      </c>
      <c r="AF72" s="179">
        <f>SUM(AF68:AF71)</f>
      </c>
      <c r="AG72" s="179">
        <f>SUM(AG68:AG71)</f>
      </c>
      <c r="AH72" s="179">
        <f>SUM(AH68:AH71)</f>
      </c>
      <c r="AI72" s="179">
        <f>SUM(AI68:AI71)</f>
      </c>
    </row>
    <row customHeight="true" ht="16.071428571428573" r="73">
      <c r="A73" s="149"/>
      <c r="B73" s="218" t="s">
        <v>113</v>
      </c>
      <c r="C73" s="173" t="s">
        <v>114</v>
      </c>
      <c r="D73" s="190">
        <v>3531.565</v>
      </c>
      <c r="E73" s="191">
        <v>11</v>
      </c>
      <c r="F73" s="154">
        <f t="shared" si="423"/>
      </c>
      <c r="G73" s="172">
        <v>3527.1</v>
      </c>
      <c r="H73" s="156">
        <f t="shared" si="453"/>
      </c>
      <c r="I73" s="157">
        <f t="shared" si="363"/>
      </c>
      <c r="J73" s="158">
        <f t="shared" si="393"/>
      </c>
      <c r="K73" s="159">
        <f t="shared" si="303"/>
      </c>
      <c r="L73" s="160">
        <f t="shared" si="333"/>
      </c>
      <c r="M73" s="158">
        <f t="shared" si="213"/>
      </c>
      <c r="N73" s="161">
        <f t="shared" si="243"/>
      </c>
      <c r="O73" s="161">
        <f t="shared" si="273"/>
      </c>
      <c r="P73" s="161">
        <f t="shared" si="153"/>
      </c>
      <c r="Q73" s="161">
        <f t="shared" si="183"/>
      </c>
      <c r="R73" s="158">
        <f t="shared" si="93"/>
      </c>
      <c r="S73" s="159">
        <f t="shared" si="123"/>
      </c>
      <c r="T73" s="161">
        <f t="shared" si="33"/>
      </c>
      <c r="U73" s="161">
        <f t="shared" si="63"/>
      </c>
      <c r="V73" s="161">
        <f t="shared" si="483"/>
      </c>
      <c r="W73" s="161">
        <f t="shared" si="3"/>
      </c>
      <c r="X73" s="169" t="s">
        <v>107</v>
      </c>
      <c r="Y73" s="163" t="s">
        <v>108</v>
      </c>
      <c r="Z73" s="166">
        <v>129265</v>
      </c>
      <c r="AA73" s="166">
        <v>27946</v>
      </c>
      <c r="AB73" s="166">
        <v>207035</v>
      </c>
      <c r="AC73" s="166">
        <v>736</v>
      </c>
      <c r="AD73" s="166">
        <v>9</v>
      </c>
      <c r="AE73" s="166">
        <v>16413</v>
      </c>
      <c r="AF73" s="166">
        <v>441</v>
      </c>
      <c r="AG73" s="166">
        <v>89</v>
      </c>
      <c r="AH73" s="166">
        <v>19</v>
      </c>
      <c r="AI73" s="167">
        <v>2</v>
      </c>
    </row>
    <row customHeight="true" ht="16.071428571428573" r="74">
      <c r="A74" s="149"/>
      <c r="B74" s="218" t="s">
        <v>113</v>
      </c>
      <c r="C74" s="192" t="s">
        <v>115</v>
      </c>
      <c r="D74" s="171">
        <v>3492.59</v>
      </c>
      <c r="E74" s="172">
        <v>13</v>
      </c>
      <c r="F74" s="154">
        <f t="shared" si="423"/>
      </c>
      <c r="G74" s="172">
        <v>4089.2</v>
      </c>
      <c r="H74" s="156">
        <f t="shared" si="453"/>
      </c>
      <c r="I74" s="157">
        <f t="shared" si="363"/>
      </c>
      <c r="J74" s="158">
        <f t="shared" si="393"/>
      </c>
      <c r="K74" s="159">
        <f t="shared" si="303"/>
      </c>
      <c r="L74" s="160">
        <f t="shared" si="333"/>
      </c>
      <c r="M74" s="158">
        <f t="shared" si="213"/>
      </c>
      <c r="N74" s="161">
        <f t="shared" si="243"/>
      </c>
      <c r="O74" s="161">
        <f t="shared" si="273"/>
      </c>
      <c r="P74" s="161">
        <f t="shared" si="153"/>
      </c>
      <c r="Q74" s="161">
        <f t="shared" si="183"/>
      </c>
      <c r="R74" s="158">
        <f t="shared" si="93"/>
      </c>
      <c r="S74" s="159">
        <f t="shared" si="123"/>
      </c>
      <c r="T74" s="161">
        <f t="shared" si="33"/>
      </c>
      <c r="U74" s="161">
        <f t="shared" si="63"/>
      </c>
      <c r="V74" s="161">
        <f t="shared" si="483"/>
      </c>
      <c r="W74" s="161">
        <f t="shared" si="3"/>
      </c>
      <c r="X74" s="169" t="s">
        <v>107</v>
      </c>
      <c r="Y74" s="163" t="s">
        <v>108</v>
      </c>
      <c r="Z74" s="166">
        <v>130251</v>
      </c>
      <c r="AA74" s="166">
        <v>26859</v>
      </c>
      <c r="AB74" s="166">
        <v>163393</v>
      </c>
      <c r="AC74" s="166">
        <v>725</v>
      </c>
      <c r="AD74" s="166">
        <v>12</v>
      </c>
      <c r="AE74" s="166">
        <v>13749</v>
      </c>
      <c r="AF74" s="166">
        <v>310</v>
      </c>
      <c r="AG74" s="166">
        <v>57</v>
      </c>
      <c r="AH74" s="166">
        <v>17</v>
      </c>
      <c r="AI74" s="167">
        <v>1</v>
      </c>
    </row>
    <row customHeight="true" ht="16.071428571428573" r="75">
      <c r="A75" s="149"/>
      <c r="B75" s="218" t="s">
        <v>113</v>
      </c>
      <c r="C75" s="193" t="s">
        <v>116</v>
      </c>
      <c r="D75" s="171">
        <v>3846.103</v>
      </c>
      <c r="E75" s="172">
        <v>7</v>
      </c>
      <c r="F75" s="154">
        <f t="shared" si="423"/>
      </c>
      <c r="G75" s="172">
        <v>2174.4</v>
      </c>
      <c r="H75" s="156">
        <f t="shared" si="453"/>
      </c>
      <c r="I75" s="157">
        <f t="shared" si="363"/>
      </c>
      <c r="J75" s="158">
        <f t="shared" si="393"/>
      </c>
      <c r="K75" s="159">
        <f t="shared" si="303"/>
      </c>
      <c r="L75" s="174">
        <f t="shared" si="333"/>
      </c>
      <c r="M75" s="175">
        <f t="shared" si="213"/>
      </c>
      <c r="N75" s="176">
        <f t="shared" si="243"/>
      </c>
      <c r="O75" s="176">
        <f t="shared" si="273"/>
      </c>
      <c r="P75" s="176">
        <f t="shared" si="153"/>
      </c>
      <c r="Q75" s="176">
        <f t="shared" si="183"/>
      </c>
      <c r="R75" s="175">
        <f t="shared" si="93"/>
      </c>
      <c r="S75" s="177">
        <f t="shared" si="123"/>
      </c>
      <c r="T75" s="176">
        <f t="shared" si="33"/>
      </c>
      <c r="U75" s="176">
        <f t="shared" si="63"/>
      </c>
      <c r="V75" s="176">
        <f t="shared" si="483"/>
      </c>
      <c r="W75" s="176">
        <f t="shared" si="3"/>
      </c>
      <c r="X75" s="169" t="s">
        <v>107</v>
      </c>
      <c r="Y75" s="163" t="s">
        <v>108</v>
      </c>
      <c r="Z75" s="166">
        <v>135344</v>
      </c>
      <c r="AA75" s="166">
        <v>25873</v>
      </c>
      <c r="AB75" s="166">
        <v>150803</v>
      </c>
      <c r="AC75" s="166">
        <v>743</v>
      </c>
      <c r="AD75" s="166">
        <v>7</v>
      </c>
      <c r="AE75" s="166">
        <v>12840</v>
      </c>
      <c r="AF75" s="166">
        <v>363</v>
      </c>
      <c r="AG75" s="166">
        <v>58</v>
      </c>
      <c r="AH75" s="165">
        <v>20</v>
      </c>
      <c r="AI75" s="167">
        <v>1</v>
      </c>
    </row>
    <row customHeight="true" ht="16.071428571428573" r="76">
      <c r="A76" s="149"/>
      <c r="B76" s="218" t="s">
        <v>113</v>
      </c>
      <c r="C76" s="194" t="s">
        <v>117</v>
      </c>
      <c r="D76" s="195">
        <v>3742.163</v>
      </c>
      <c r="E76" s="172">
        <v>11</v>
      </c>
      <c r="F76" s="154">
        <f t="shared" si="423"/>
      </c>
      <c r="G76" s="172">
        <v>4706.800000000003</v>
      </c>
      <c r="H76" s="156">
        <f t="shared" si="453"/>
      </c>
      <c r="I76" s="157">
        <f t="shared" si="363"/>
      </c>
      <c r="J76" s="158">
        <f t="shared" si="393"/>
      </c>
      <c r="K76" s="159">
        <f t="shared" si="303"/>
      </c>
      <c r="L76" s="174">
        <f t="shared" si="333"/>
      </c>
      <c r="M76" s="175">
        <f t="shared" si="213"/>
      </c>
      <c r="N76" s="176">
        <f t="shared" si="243"/>
      </c>
      <c r="O76" s="176">
        <f t="shared" si="273"/>
      </c>
      <c r="P76" s="176">
        <f t="shared" si="153"/>
      </c>
      <c r="Q76" s="176">
        <f t="shared" si="183"/>
      </c>
      <c r="R76" s="175">
        <f t="shared" si="93"/>
      </c>
      <c r="S76" s="177">
        <f t="shared" si="123"/>
      </c>
      <c r="T76" s="176">
        <f t="shared" si="33"/>
      </c>
      <c r="U76" s="176">
        <f t="shared" si="63"/>
      </c>
      <c r="V76" s="176">
        <f t="shared" si="483"/>
      </c>
      <c r="W76" s="176">
        <f t="shared" si="3"/>
      </c>
      <c r="X76" s="169" t="s">
        <v>107</v>
      </c>
      <c r="Y76" s="163" t="s">
        <v>108</v>
      </c>
      <c r="Z76" s="166">
        <v>144704</v>
      </c>
      <c r="AA76" s="166">
        <v>25444</v>
      </c>
      <c r="AB76" s="166">
        <v>150256</v>
      </c>
      <c r="AC76" s="166">
        <v>695</v>
      </c>
      <c r="AD76" s="166">
        <v>10</v>
      </c>
      <c r="AE76" s="166">
        <v>12545</v>
      </c>
      <c r="AF76" s="166">
        <v>327</v>
      </c>
      <c r="AG76" s="166">
        <v>59</v>
      </c>
      <c r="AH76" s="165">
        <v>22</v>
      </c>
      <c r="AI76" s="167">
        <v>1</v>
      </c>
    </row>
    <row customHeight="true" ht="16.071428571428573" r="77">
      <c r="A77" s="149"/>
      <c r="B77" s="178" t="s">
        <v>112</v>
      </c>
      <c r="C77" s="178"/>
      <c r="D77" s="179">
        <f>SUM(D73:D76)</f>
      </c>
      <c r="E77" s="180">
        <f>SUM(E73:E76)</f>
      </c>
      <c r="F77" s="181">
        <f t="shared" si="423"/>
      </c>
      <c r="G77" s="182">
        <f>SUM(G73:G76)</f>
      </c>
      <c r="H77" s="183">
        <f t="shared" si="453"/>
      </c>
      <c r="I77" s="184">
        <f t="shared" si="363"/>
      </c>
      <c r="J77" s="185">
        <f t="shared" si="393"/>
      </c>
      <c r="K77" s="181">
        <f t="shared" si="303"/>
      </c>
      <c r="L77" s="186">
        <f t="shared" si="333"/>
      </c>
      <c r="M77" s="185">
        <f t="shared" si="213"/>
      </c>
      <c r="N77" s="187">
        <f t="shared" si="243"/>
      </c>
      <c r="O77" s="187">
        <f t="shared" si="273"/>
      </c>
      <c r="P77" s="187">
        <f t="shared" si="153"/>
      </c>
      <c r="Q77" s="187">
        <f t="shared" si="183"/>
      </c>
      <c r="R77" s="185">
        <f t="shared" si="93"/>
      </c>
      <c r="S77" s="181">
        <f t="shared" si="123"/>
      </c>
      <c r="T77" s="187">
        <f t="shared" si="33"/>
      </c>
      <c r="U77" s="187">
        <f t="shared" si="63"/>
      </c>
      <c r="V77" s="187">
        <f t="shared" si="483"/>
      </c>
      <c r="W77" s="187">
        <f t="shared" si="3"/>
      </c>
      <c r="X77" s="187"/>
      <c r="Y77" s="188"/>
      <c r="Z77" s="179">
        <f>SUM(Z73:Z76)</f>
      </c>
      <c r="AA77" s="179">
        <f>SUM(AA73:AA76)</f>
      </c>
      <c r="AB77" s="179">
        <f>SUM(AB73:AB76)</f>
      </c>
      <c r="AC77" s="179">
        <f>SUM(AC73:AC76)</f>
      </c>
      <c r="AD77" s="179">
        <f>SUM(AD73:AD76)</f>
      </c>
      <c r="AE77" s="179">
        <f>SUM(AE73:AE76)</f>
      </c>
      <c r="AF77" s="179">
        <f>SUM(AF73:AF76)</f>
      </c>
      <c r="AG77" s="179">
        <f>SUM(AG73:AG76)</f>
      </c>
      <c r="AH77" s="179">
        <f>SUM(AH73:AH76)</f>
      </c>
      <c r="AI77" s="179">
        <f>SUM(AI73:AI76)</f>
      </c>
    </row>
    <row customHeight="true" ht="16.071428571428573" r="78">
      <c r="A78" s="149"/>
      <c r="B78" s="150" t="s">
        <v>131</v>
      </c>
      <c r="C78" s="196" t="s">
        <v>119</v>
      </c>
      <c r="D78" s="171">
        <v>4194.267</v>
      </c>
      <c r="E78" s="172">
        <v>9</v>
      </c>
      <c r="F78" s="154">
        <f t="shared" si="423"/>
      </c>
      <c r="G78" s="172">
        <v>2581.2000000000007</v>
      </c>
      <c r="H78" s="156">
        <f t="shared" si="453"/>
      </c>
      <c r="I78" s="157">
        <f t="shared" si="363"/>
      </c>
      <c r="J78" s="158">
        <f t="shared" si="393"/>
      </c>
      <c r="K78" s="159">
        <f t="shared" si="303"/>
      </c>
      <c r="L78" s="160">
        <f t="shared" si="333"/>
      </c>
      <c r="M78" s="158">
        <f t="shared" si="213"/>
      </c>
      <c r="N78" s="161">
        <f t="shared" si="243"/>
      </c>
      <c r="O78" s="161">
        <f t="shared" si="273"/>
      </c>
      <c r="P78" s="161">
        <f t="shared" si="153"/>
      </c>
      <c r="Q78" s="161">
        <f t="shared" si="183"/>
      </c>
      <c r="R78" s="158">
        <f t="shared" si="93"/>
      </c>
      <c r="S78" s="159">
        <f t="shared" si="123"/>
      </c>
      <c r="T78" s="161">
        <f t="shared" si="33"/>
      </c>
      <c r="U78" s="161">
        <f t="shared" si="63"/>
      </c>
      <c r="V78" s="161">
        <f t="shared" si="483"/>
      </c>
      <c r="W78" s="161">
        <f t="shared" si="3"/>
      </c>
      <c r="X78" s="169" t="s">
        <v>107</v>
      </c>
      <c r="Y78" s="163" t="s">
        <v>120</v>
      </c>
      <c r="Z78" s="166">
        <v>160054</v>
      </c>
      <c r="AA78" s="166">
        <v>26096</v>
      </c>
      <c r="AB78" s="166">
        <v>151099</v>
      </c>
      <c r="AC78" s="166">
        <v>942</v>
      </c>
      <c r="AD78" s="166">
        <v>7</v>
      </c>
      <c r="AE78" s="166">
        <v>12726</v>
      </c>
      <c r="AF78" s="166">
        <v>321</v>
      </c>
      <c r="AG78" s="166">
        <v>45</v>
      </c>
      <c r="AH78" s="166">
        <v>14</v>
      </c>
      <c r="AI78" s="167">
        <v>2</v>
      </c>
    </row>
    <row customHeight="true" ht="16.071428571428573" r="79">
      <c r="A79" s="149"/>
      <c r="B79" s="150" t="s">
        <v>131</v>
      </c>
      <c r="C79" s="197" t="s">
        <v>121</v>
      </c>
      <c r="D79" s="171">
        <v>3923.696</v>
      </c>
      <c r="E79" s="172">
        <v>8</v>
      </c>
      <c r="F79" s="154">
        <f t="shared" si="423"/>
      </c>
      <c r="G79" s="172">
        <v>2328</v>
      </c>
      <c r="H79" s="156">
        <f t="shared" si="453"/>
      </c>
      <c r="I79" s="157">
        <f t="shared" si="363"/>
      </c>
      <c r="J79" s="158">
        <f t="shared" si="393"/>
      </c>
      <c r="K79" s="159">
        <f t="shared" si="303"/>
      </c>
      <c r="L79" s="160">
        <f t="shared" si="333"/>
      </c>
      <c r="M79" s="158">
        <f t="shared" si="213"/>
      </c>
      <c r="N79" s="161">
        <f t="shared" si="243"/>
      </c>
      <c r="O79" s="161">
        <f t="shared" si="273"/>
      </c>
      <c r="P79" s="161">
        <f t="shared" si="153"/>
      </c>
      <c r="Q79" s="161">
        <f t="shared" si="183"/>
      </c>
      <c r="R79" s="158">
        <f t="shared" si="93"/>
      </c>
      <c r="S79" s="159">
        <f t="shared" si="123"/>
      </c>
      <c r="T79" s="161">
        <f t="shared" si="33"/>
      </c>
      <c r="U79" s="161">
        <f t="shared" si="63"/>
      </c>
      <c r="V79" s="161">
        <f t="shared" si="483"/>
      </c>
      <c r="W79" s="161">
        <f t="shared" si="3"/>
      </c>
      <c r="X79" s="169" t="s">
        <v>107</v>
      </c>
      <c r="Y79" s="163" t="s">
        <v>120</v>
      </c>
      <c r="Z79" s="166">
        <v>160923</v>
      </c>
      <c r="AA79" s="166">
        <v>26706</v>
      </c>
      <c r="AB79" s="166">
        <v>154399</v>
      </c>
      <c r="AC79" s="166">
        <v>828</v>
      </c>
      <c r="AD79" s="166">
        <v>8</v>
      </c>
      <c r="AE79" s="166">
        <v>13466</v>
      </c>
      <c r="AF79" s="166">
        <v>347</v>
      </c>
      <c r="AG79" s="166">
        <v>63</v>
      </c>
      <c r="AH79" s="165">
        <v>12</v>
      </c>
      <c r="AI79" s="167">
        <v>0</v>
      </c>
    </row>
    <row customHeight="true" ht="16.071428571428573" r="80">
      <c r="A80" s="149"/>
      <c r="B80" s="150" t="s">
        <v>131</v>
      </c>
      <c r="C80" s="194" t="s">
        <v>122</v>
      </c>
      <c r="D80" s="171">
        <v>3125.357</v>
      </c>
      <c r="E80" s="172">
        <v>15</v>
      </c>
      <c r="F80" s="154">
        <f t="shared" si="423"/>
      </c>
      <c r="G80" s="172">
        <v>3377.2000000000044</v>
      </c>
      <c r="H80" s="156">
        <f t="shared" si="453"/>
      </c>
      <c r="I80" s="157">
        <f t="shared" si="363"/>
      </c>
      <c r="J80" s="158">
        <f t="shared" si="393"/>
      </c>
      <c r="K80" s="159">
        <f t="shared" si="303"/>
      </c>
      <c r="L80" s="174">
        <f t="shared" si="333"/>
      </c>
      <c r="M80" s="175">
        <f t="shared" si="213"/>
      </c>
      <c r="N80" s="176">
        <f t="shared" si="243"/>
      </c>
      <c r="O80" s="176">
        <f t="shared" si="273"/>
      </c>
      <c r="P80" s="176">
        <f t="shared" si="153"/>
      </c>
      <c r="Q80" s="176">
        <f t="shared" si="183"/>
      </c>
      <c r="R80" s="175">
        <f t="shared" si="93"/>
      </c>
      <c r="S80" s="177">
        <f t="shared" si="123"/>
      </c>
      <c r="T80" s="176">
        <f t="shared" si="33"/>
      </c>
      <c r="U80" s="176">
        <f t="shared" si="63"/>
      </c>
      <c r="V80" s="176">
        <f t="shared" si="483"/>
      </c>
      <c r="W80" s="176">
        <f t="shared" si="3"/>
      </c>
      <c r="X80" s="169" t="s">
        <v>107</v>
      </c>
      <c r="Y80" s="163" t="s">
        <v>120</v>
      </c>
      <c r="Z80" s="166">
        <v>135960</v>
      </c>
      <c r="AA80" s="166">
        <v>17312</v>
      </c>
      <c r="AB80" s="166">
        <v>163935</v>
      </c>
      <c r="AC80" s="166">
        <v>652</v>
      </c>
      <c r="AD80" s="166">
        <v>15</v>
      </c>
      <c r="AE80" s="166">
        <v>11564</v>
      </c>
      <c r="AF80" s="166">
        <v>218</v>
      </c>
      <c r="AG80" s="166">
        <v>55</v>
      </c>
      <c r="AH80" s="165">
        <v>13</v>
      </c>
      <c r="AI80" s="167">
        <v>0</v>
      </c>
    </row>
    <row customHeight="true" ht="16.071428571428573" r="81">
      <c r="A81" s="149"/>
      <c r="B81" s="150" t="s">
        <v>131</v>
      </c>
      <c r="C81" s="194" t="s">
        <v>123</v>
      </c>
      <c r="D81" s="195">
        <v>3957.5200000000004</v>
      </c>
      <c r="E81" s="172">
        <v>10</v>
      </c>
      <c r="F81" s="154">
        <f t="shared" si="423"/>
      </c>
      <c r="G81" s="172">
        <v>2777.5999999999913</v>
      </c>
      <c r="H81" s="156">
        <f t="shared" si="453"/>
      </c>
      <c r="I81" s="157">
        <f t="shared" si="363"/>
      </c>
      <c r="J81" s="158">
        <f t="shared" si="393"/>
      </c>
      <c r="K81" s="159">
        <f t="shared" si="303"/>
      </c>
      <c r="L81" s="174">
        <f t="shared" si="333"/>
      </c>
      <c r="M81" s="175">
        <f t="shared" si="213"/>
      </c>
      <c r="N81" s="176">
        <f t="shared" si="243"/>
      </c>
      <c r="O81" s="176">
        <f t="shared" si="273"/>
      </c>
      <c r="P81" s="176">
        <f t="shared" si="153"/>
      </c>
      <c r="Q81" s="176">
        <f t="shared" si="183"/>
      </c>
      <c r="R81" s="175">
        <f t="shared" si="93"/>
      </c>
      <c r="S81" s="177">
        <f t="shared" si="123"/>
      </c>
      <c r="T81" s="176">
        <f t="shared" si="33"/>
      </c>
      <c r="U81" s="176">
        <f t="shared" si="63"/>
      </c>
      <c r="V81" s="176">
        <f t="shared" si="483"/>
      </c>
      <c r="W81" s="176">
        <f t="shared" si="3"/>
      </c>
      <c r="X81" s="169" t="s">
        <v>107</v>
      </c>
      <c r="Y81" s="163" t="s">
        <v>120</v>
      </c>
      <c r="Z81" s="166">
        <v>168644</v>
      </c>
      <c r="AA81" s="166">
        <v>16600</v>
      </c>
      <c r="AB81" s="166">
        <v>186717</v>
      </c>
      <c r="AC81" s="166">
        <v>814</v>
      </c>
      <c r="AD81" s="166">
        <v>8</v>
      </c>
      <c r="AE81" s="166">
        <v>10476</v>
      </c>
      <c r="AF81" s="166">
        <v>210</v>
      </c>
      <c r="AG81" s="166">
        <v>40</v>
      </c>
      <c r="AH81" s="165">
        <v>10</v>
      </c>
      <c r="AI81" s="167">
        <v>0</v>
      </c>
    </row>
    <row customHeight="true" ht="16.071428571428573" r="82">
      <c r="A82" s="149"/>
      <c r="B82" s="178" t="s">
        <v>112</v>
      </c>
      <c r="C82" s="178"/>
      <c r="D82" s="179">
        <f>SUM(D78:D81)</f>
      </c>
      <c r="E82" s="180">
        <f>SUM(E78:E81)</f>
      </c>
      <c r="F82" s="181">
        <f t="shared" si="423"/>
      </c>
      <c r="G82" s="182">
        <f>SUM(G78:G81)</f>
      </c>
      <c r="H82" s="183">
        <f t="shared" si="453"/>
      </c>
      <c r="I82" s="184">
        <f t="shared" si="363"/>
      </c>
      <c r="J82" s="185">
        <f t="shared" si="393"/>
      </c>
      <c r="K82" s="181">
        <f t="shared" si="303"/>
      </c>
      <c r="L82" s="186">
        <f t="shared" si="333"/>
      </c>
      <c r="M82" s="185">
        <f t="shared" si="213"/>
      </c>
      <c r="N82" s="187">
        <f t="shared" si="243"/>
      </c>
      <c r="O82" s="187">
        <f t="shared" si="273"/>
      </c>
      <c r="P82" s="187">
        <f t="shared" si="153"/>
      </c>
      <c r="Q82" s="187">
        <f t="shared" si="183"/>
      </c>
      <c r="R82" s="185">
        <f t="shared" si="93"/>
      </c>
      <c r="S82" s="181">
        <f t="shared" si="123"/>
      </c>
      <c r="T82" s="187">
        <f t="shared" si="33"/>
      </c>
      <c r="U82" s="187">
        <f t="shared" si="63"/>
      </c>
      <c r="V82" s="187">
        <f t="shared" si="483"/>
      </c>
      <c r="W82" s="187">
        <f t="shared" si="3"/>
      </c>
      <c r="X82" s="187"/>
      <c r="Y82" s="188"/>
      <c r="Z82" s="179">
        <f>SUM(Z78:Z81)</f>
      </c>
      <c r="AA82" s="179">
        <f>SUM(AA78:AA81)</f>
      </c>
      <c r="AB82" s="179">
        <f>SUM(AB78:AB81)</f>
      </c>
      <c r="AC82" s="179">
        <f>SUM(AC78:AC81)</f>
      </c>
      <c r="AD82" s="179">
        <f>SUM(AD78:AD81)</f>
      </c>
      <c r="AE82" s="179">
        <f>SUM(AE78:AE81)</f>
      </c>
      <c r="AF82" s="179">
        <f>SUM(AF78:AF81)</f>
      </c>
      <c r="AG82" s="179">
        <f>SUM(AG78:AG81)</f>
      </c>
      <c r="AH82" s="179">
        <f>SUM(AH78:AH81)</f>
      </c>
      <c r="AI82" s="179">
        <f>SUM(AI78:AI81)</f>
      </c>
    </row>
    <row customHeight="true" ht="16.071428571428573" r="83">
      <c r="A83" s="149"/>
      <c r="B83" s="150" t="s">
        <v>105</v>
      </c>
      <c r="C83" s="196" t="s">
        <v>125</v>
      </c>
      <c r="D83" s="198">
        <v>4597.319</v>
      </c>
      <c r="E83" s="153">
        <v>12</v>
      </c>
      <c r="F83" s="154">
        <f t="shared" si="423"/>
      </c>
      <c r="G83" s="155">
        <v>3446.800000000003</v>
      </c>
      <c r="H83" s="156">
        <f t="shared" si="453"/>
      </c>
      <c r="I83" s="157">
        <f t="shared" si="363"/>
      </c>
      <c r="J83" s="158">
        <f t="shared" si="393"/>
      </c>
      <c r="K83" s="159">
        <f t="shared" si="303"/>
      </c>
      <c r="L83" s="174">
        <f t="shared" si="333"/>
      </c>
      <c r="M83" s="175">
        <f t="shared" si="213"/>
      </c>
      <c r="N83" s="176">
        <f t="shared" si="243"/>
      </c>
      <c r="O83" s="176">
        <f t="shared" si="273"/>
      </c>
      <c r="P83" s="176">
        <f t="shared" si="153"/>
      </c>
      <c r="Q83" s="176">
        <f t="shared" si="183"/>
      </c>
      <c r="R83" s="175">
        <f t="shared" si="93"/>
      </c>
      <c r="S83" s="177">
        <f t="shared" si="123"/>
      </c>
      <c r="T83" s="176">
        <f t="shared" si="33"/>
      </c>
      <c r="U83" s="176">
        <f t="shared" si="63"/>
      </c>
      <c r="V83" s="176">
        <f t="shared" si="483"/>
      </c>
      <c r="W83" s="176">
        <f t="shared" si="3"/>
      </c>
      <c r="X83" s="169" t="s">
        <v>107</v>
      </c>
      <c r="Y83" s="163" t="s">
        <v>120</v>
      </c>
      <c r="Z83" s="166">
        <v>205311</v>
      </c>
      <c r="AA83" s="166">
        <v>24254</v>
      </c>
      <c r="AB83" s="166">
        <v>236825</v>
      </c>
      <c r="AC83" s="199">
        <v>1111</v>
      </c>
      <c r="AD83" s="199">
        <v>11</v>
      </c>
      <c r="AE83" s="199">
        <v>12449</v>
      </c>
      <c r="AF83" s="199">
        <v>315</v>
      </c>
      <c r="AG83" s="199">
        <v>59</v>
      </c>
      <c r="AH83" s="199">
        <v>17</v>
      </c>
      <c r="AI83" s="167">
        <v>1</v>
      </c>
    </row>
    <row customHeight="true" ht="16.071428571428573" r="84">
      <c r="A84" s="149"/>
      <c r="B84" s="150" t="s">
        <v>105</v>
      </c>
      <c r="C84" s="194" t="s">
        <v>126</v>
      </c>
      <c r="D84" s="198">
        <v>5679.454</v>
      </c>
      <c r="E84" s="153">
        <v>20</v>
      </c>
      <c r="F84" s="154">
        <f t="shared" si="423"/>
      </c>
      <c r="G84" s="155">
        <v>6620.299999999996</v>
      </c>
      <c r="H84" s="156">
        <f t="shared" si="453"/>
      </c>
      <c r="I84" s="157">
        <f t="shared" si="363"/>
      </c>
      <c r="J84" s="158">
        <f t="shared" si="393"/>
      </c>
      <c r="K84" s="159">
        <f t="shared" si="303"/>
      </c>
      <c r="L84" s="174">
        <f t="shared" si="333"/>
      </c>
      <c r="M84" s="175">
        <f t="shared" si="213"/>
      </c>
      <c r="N84" s="176">
        <f t="shared" si="243"/>
      </c>
      <c r="O84" s="176">
        <f t="shared" si="273"/>
      </c>
      <c r="P84" s="176">
        <f t="shared" si="153"/>
      </c>
      <c r="Q84" s="176">
        <f t="shared" si="183"/>
      </c>
      <c r="R84" s="175">
        <f t="shared" si="93"/>
      </c>
      <c r="S84" s="177">
        <f t="shared" si="123"/>
      </c>
      <c r="T84" s="176">
        <f t="shared" si="33"/>
      </c>
      <c r="U84" s="176">
        <f t="shared" si="63"/>
      </c>
      <c r="V84" s="176">
        <f t="shared" si="483"/>
      </c>
      <c r="W84" s="176">
        <f t="shared" si="3"/>
      </c>
      <c r="X84" s="169" t="s">
        <v>107</v>
      </c>
      <c r="Y84" s="163" t="s">
        <v>120</v>
      </c>
      <c r="Z84" s="166">
        <v>250923</v>
      </c>
      <c r="AA84" s="166">
        <v>27802</v>
      </c>
      <c r="AB84" s="166">
        <v>349792</v>
      </c>
      <c r="AC84" s="199">
        <v>1346</v>
      </c>
      <c r="AD84" s="199">
        <v>16</v>
      </c>
      <c r="AE84" s="199">
        <v>16584</v>
      </c>
      <c r="AF84" s="199">
        <v>351</v>
      </c>
      <c r="AG84" s="199">
        <v>101</v>
      </c>
      <c r="AH84" s="199">
        <v>24</v>
      </c>
      <c r="AI84" s="167">
        <v>3</v>
      </c>
    </row>
    <row customHeight="true" ht="16.071428571428573" r="85">
      <c r="A85" s="149"/>
      <c r="B85" s="150" t="s">
        <v>105</v>
      </c>
      <c r="C85" s="200" t="s">
        <v>127</v>
      </c>
      <c r="D85" s="171">
        <v>4133.344</v>
      </c>
      <c r="E85" s="172">
        <v>19</v>
      </c>
      <c r="F85" s="154">
        <f t="shared" si="423"/>
      </c>
      <c r="G85" s="172">
        <v>7250.800000000003</v>
      </c>
      <c r="H85" s="156">
        <f t="shared" si="453"/>
      </c>
      <c r="I85" s="157">
        <f t="shared" si="363"/>
      </c>
      <c r="J85" s="158">
        <f t="shared" si="393"/>
      </c>
      <c r="K85" s="159">
        <f t="shared" si="303"/>
      </c>
      <c r="L85" s="174">
        <f t="shared" si="333"/>
      </c>
      <c r="M85" s="175">
        <f t="shared" si="213"/>
      </c>
      <c r="N85" s="176">
        <f t="shared" si="243"/>
      </c>
      <c r="O85" s="176">
        <f t="shared" si="273"/>
      </c>
      <c r="P85" s="176">
        <f t="shared" si="153"/>
      </c>
      <c r="Q85" s="176">
        <f t="shared" si="183"/>
      </c>
      <c r="R85" s="175">
        <f t="shared" si="93"/>
      </c>
      <c r="S85" s="177">
        <f t="shared" si="123"/>
      </c>
      <c r="T85" s="176">
        <f t="shared" si="33"/>
      </c>
      <c r="U85" s="176">
        <f t="shared" si="63"/>
      </c>
      <c r="V85" s="176">
        <f t="shared" si="483"/>
      </c>
      <c r="W85" s="176">
        <f t="shared" si="3"/>
      </c>
      <c r="X85" s="169" t="s">
        <v>107</v>
      </c>
      <c r="Y85" s="163" t="s">
        <v>120</v>
      </c>
      <c r="Z85" s="166">
        <v>197141</v>
      </c>
      <c r="AA85" s="166">
        <v>15165</v>
      </c>
      <c r="AB85" s="166">
        <v>290978</v>
      </c>
      <c r="AC85" s="166">
        <v>957</v>
      </c>
      <c r="AD85" s="166">
        <v>18</v>
      </c>
      <c r="AE85" s="166">
        <v>12501</v>
      </c>
      <c r="AF85" s="166">
        <v>257</v>
      </c>
      <c r="AG85" s="166">
        <v>71</v>
      </c>
      <c r="AH85" s="165">
        <v>14</v>
      </c>
      <c r="AI85" s="167">
        <v>0</v>
      </c>
    </row>
    <row customHeight="true" ht="16.071428571428573" r="86">
      <c r="A86" s="149"/>
      <c r="B86" s="150" t="s">
        <v>105</v>
      </c>
      <c r="C86" s="201" t="s">
        <v>128</v>
      </c>
      <c r="D86" s="195">
        <v>3091.2160000000003</v>
      </c>
      <c r="E86" s="172">
        <v>28</v>
      </c>
      <c r="F86" s="154">
        <f t="shared" si="423"/>
      </c>
      <c r="G86" s="172">
        <v>8807.600000000006</v>
      </c>
      <c r="H86" s="156">
        <f t="shared" si="453"/>
      </c>
      <c r="I86" s="157">
        <f t="shared" si="363"/>
      </c>
      <c r="J86" s="158">
        <f t="shared" si="393"/>
      </c>
      <c r="K86" s="159">
        <f t="shared" si="303"/>
      </c>
      <c r="L86" s="174">
        <f t="shared" si="333"/>
      </c>
      <c r="M86" s="175">
        <f t="shared" si="213"/>
      </c>
      <c r="N86" s="176">
        <f t="shared" si="243"/>
      </c>
      <c r="O86" s="176">
        <f t="shared" si="273"/>
      </c>
      <c r="P86" s="176">
        <f t="shared" si="153"/>
      </c>
      <c r="Q86" s="176">
        <f t="shared" si="183"/>
      </c>
      <c r="R86" s="175">
        <f t="shared" si="93"/>
      </c>
      <c r="S86" s="177">
        <f t="shared" si="123"/>
      </c>
      <c r="T86" s="176">
        <f t="shared" si="33"/>
      </c>
      <c r="U86" s="176">
        <f t="shared" si="63"/>
      </c>
      <c r="V86" s="176">
        <f t="shared" si="483"/>
      </c>
      <c r="W86" s="176">
        <f t="shared" si="3"/>
      </c>
      <c r="X86" s="169" t="s">
        <v>107</v>
      </c>
      <c r="Y86" s="163" t="s">
        <v>120</v>
      </c>
      <c r="Z86" s="166">
        <v>140862</v>
      </c>
      <c r="AA86" s="166">
        <v>10389</v>
      </c>
      <c r="AB86" s="166">
        <v>218267</v>
      </c>
      <c r="AC86" s="166">
        <v>653</v>
      </c>
      <c r="AD86" s="166">
        <v>13</v>
      </c>
      <c r="AE86" s="166">
        <v>9919</v>
      </c>
      <c r="AF86" s="166">
        <v>155</v>
      </c>
      <c r="AG86" s="166">
        <v>43</v>
      </c>
      <c r="AH86" s="165">
        <v>12</v>
      </c>
      <c r="AI86" s="167">
        <v>2</v>
      </c>
    </row>
    <row customHeight="true" ht="16.071428571428573" r="87">
      <c r="A87" s="149"/>
      <c r="B87" s="178" t="s">
        <v>112</v>
      </c>
      <c r="C87" s="178"/>
      <c r="D87" s="179">
        <f>SUM(D83:D86)</f>
      </c>
      <c r="E87" s="180">
        <f>SUM(E83:E86)</f>
      </c>
      <c r="F87" s="181">
        <f t="shared" si="423"/>
      </c>
      <c r="G87" s="182">
        <f>SUM(G83:G86)</f>
      </c>
      <c r="H87" s="183">
        <f t="shared" si="453"/>
      </c>
      <c r="I87" s="184">
        <f t="shared" si="363"/>
      </c>
      <c r="J87" s="185">
        <f t="shared" si="393"/>
      </c>
      <c r="K87" s="181">
        <f t="shared" si="303"/>
      </c>
      <c r="L87" s="186">
        <f t="shared" si="333"/>
      </c>
      <c r="M87" s="185">
        <f t="shared" si="213"/>
      </c>
      <c r="N87" s="187">
        <f t="shared" si="243"/>
      </c>
      <c r="O87" s="187">
        <f t="shared" si="273"/>
      </c>
      <c r="P87" s="187">
        <f t="shared" si="153"/>
      </c>
      <c r="Q87" s="187">
        <f t="shared" si="183"/>
      </c>
      <c r="R87" s="185">
        <f t="shared" si="93"/>
      </c>
      <c r="S87" s="181">
        <f t="shared" si="123"/>
      </c>
      <c r="T87" s="187">
        <f t="shared" si="33"/>
      </c>
      <c r="U87" s="187">
        <f t="shared" si="63"/>
      </c>
      <c r="V87" s="187">
        <f t="shared" si="483"/>
      </c>
      <c r="W87" s="187">
        <f t="shared" si="3"/>
      </c>
      <c r="X87" s="187"/>
      <c r="Y87" s="188"/>
      <c r="Z87" s="179">
        <f>SUM(Z83:Z86)</f>
      </c>
      <c r="AA87" s="179">
        <f>SUM(AA83:AA86)</f>
      </c>
      <c r="AB87" s="179">
        <f>SUM(AB83:AB86)</f>
      </c>
      <c r="AC87" s="179">
        <f>SUM(AC83:AC86)</f>
      </c>
      <c r="AD87" s="179">
        <f>SUM(AD83:AD86)</f>
      </c>
      <c r="AE87" s="179">
        <f>SUM(AE83:AE86)</f>
      </c>
      <c r="AF87" s="179">
        <f>SUM(AF83:AF86)</f>
      </c>
      <c r="AG87" s="179">
        <f>SUM(AG83:AG86)</f>
      </c>
      <c r="AH87" s="179">
        <f>SUM(AH83:AH86)</f>
      </c>
      <c r="AI87" s="179">
        <f>SUM(AI83:AI86)</f>
      </c>
    </row>
    <row customHeight="true" ht="16.071428571428573" r="88">
      <c r="A88" s="149"/>
      <c r="B88" s="202" t="s">
        <v>129</v>
      </c>
      <c r="C88" s="202"/>
      <c r="D88" s="203">
        <f>SUM(D87+D72+D77+D82)</f>
      </c>
      <c r="E88" s="204">
        <f>SUM(E87+E72+E77+E82)</f>
      </c>
      <c r="F88" s="205">
        <f t="shared" si="423"/>
      </c>
      <c r="G88" s="206">
        <f>SUM(G87+G72+G77+G82)</f>
      </c>
      <c r="H88" s="207">
        <f t="shared" si="453"/>
      </c>
      <c r="I88" s="208">
        <f t="shared" si="363"/>
      </c>
      <c r="J88" s="209">
        <f t="shared" si="393"/>
      </c>
      <c r="K88" s="205">
        <f t="shared" si="303"/>
      </c>
      <c r="L88" s="210">
        <f t="shared" si="333"/>
      </c>
      <c r="M88" s="210">
        <f t="shared" si="213"/>
      </c>
      <c r="N88" s="211">
        <f t="shared" si="243"/>
      </c>
      <c r="O88" s="211">
        <f t="shared" si="273"/>
      </c>
      <c r="P88" s="211">
        <f t="shared" si="153"/>
      </c>
      <c r="Q88" s="211">
        <f t="shared" si="183"/>
      </c>
      <c r="R88" s="212">
        <f t="shared" si="93"/>
      </c>
      <c r="S88" s="213">
        <f t="shared" si="123"/>
      </c>
      <c r="T88" s="214">
        <f t="shared" si="33"/>
      </c>
      <c r="U88" s="214">
        <f t="shared" si="63"/>
      </c>
      <c r="V88" s="214">
        <f t="shared" si="483"/>
      </c>
      <c r="W88" s="214">
        <f t="shared" si="3"/>
      </c>
      <c r="X88" s="214"/>
      <c r="Y88" s="215"/>
      <c r="Z88" s="216">
        <f>SUM(Z72+Z87+Z77+Z82)</f>
      </c>
      <c r="AA88" s="216">
        <f>SUM(AA72+AA87+AA77+AA82)</f>
      </c>
      <c r="AB88" s="216">
        <f>SUM(AB72+AB87+AB77+AB82)</f>
      </c>
      <c r="AC88" s="216">
        <f>SUM(AC72+AC87+AC77+AC82)</f>
      </c>
      <c r="AD88" s="216">
        <f>SUM(AD72+AD87+AD77+AD82)</f>
      </c>
      <c r="AE88" s="216">
        <f>SUM(AE72+AE87+AE77+AE82)</f>
      </c>
      <c r="AF88" s="216">
        <f>SUM(AF72+AF87+AF77+AF82)</f>
      </c>
      <c r="AG88" s="216">
        <f>SUM(AG72+AG87+AG77+AG82)</f>
      </c>
      <c r="AH88" s="216">
        <f>SUM(AH72+AH87+AH77+AH82)</f>
      </c>
      <c r="AI88" s="216">
        <f>SUM(AI72+AI87+AI77+AI82)</f>
      </c>
    </row>
    <row customHeight="true" ht="16.071428571428573" r="89">
      <c r="A89" s="133" t="s">
        <v>70</v>
      </c>
      <c r="B89" s="134" t="s">
        <v>71</v>
      </c>
      <c r="C89" s="135" t="s">
        <v>72</v>
      </c>
      <c r="D89" s="136" t="s">
        <v>73</v>
      </c>
      <c r="E89" s="137" t="s">
        <v>74</v>
      </c>
      <c r="F89" s="138" t="s">
        <v>75</v>
      </c>
      <c r="G89" s="139" t="s">
        <v>76</v>
      </c>
      <c r="H89" s="138" t="s">
        <v>77</v>
      </c>
      <c r="I89" s="139" t="s">
        <v>78</v>
      </c>
      <c r="J89" s="140" t="s">
        <v>79</v>
      </c>
      <c r="K89" s="140" t="s">
        <v>80</v>
      </c>
      <c r="L89" s="141" t="s">
        <v>81</v>
      </c>
      <c r="M89" s="141" t="s">
        <v>82</v>
      </c>
      <c r="N89" s="141" t="s">
        <v>83</v>
      </c>
      <c r="O89" s="141" t="s">
        <v>84</v>
      </c>
      <c r="P89" s="141" t="s">
        <v>85</v>
      </c>
      <c r="Q89" s="141" t="s">
        <v>86</v>
      </c>
      <c r="R89" s="141" t="s">
        <v>87</v>
      </c>
      <c r="S89" s="141" t="s">
        <v>88</v>
      </c>
      <c r="T89" s="142" t="s">
        <v>89</v>
      </c>
      <c r="U89" s="142" t="s">
        <v>90</v>
      </c>
      <c r="V89" s="142" t="s">
        <v>91</v>
      </c>
      <c r="W89" s="142" t="s">
        <v>92</v>
      </c>
      <c r="X89" s="143" t="s">
        <v>93</v>
      </c>
      <c r="Y89" s="143" t="s">
        <v>94</v>
      </c>
      <c r="Z89" s="144" t="s">
        <v>95</v>
      </c>
      <c r="AA89" s="144" t="s">
        <v>96</v>
      </c>
      <c r="AB89" s="144" t="s">
        <v>97</v>
      </c>
      <c r="AC89" s="145" t="s">
        <v>98</v>
      </c>
      <c r="AD89" s="145" t="s">
        <v>99</v>
      </c>
      <c r="AE89" s="146" t="s">
        <v>100</v>
      </c>
      <c r="AF89" s="145" t="s">
        <v>101</v>
      </c>
      <c r="AG89" s="145" t="s">
        <v>102</v>
      </c>
      <c r="AH89" s="147" t="s">
        <v>103</v>
      </c>
      <c r="AI89" s="148" t="s">
        <v>104</v>
      </c>
    </row>
    <row customHeight="true" ht="16.071428571428573" r="90">
      <c r="A90" s="149">
        <v>46270</v>
      </c>
      <c r="B90" s="150" t="s">
        <v>124</v>
      </c>
      <c r="C90" s="151" t="s">
        <v>106</v>
      </c>
      <c r="D90" s="152">
        <v>11240.51</v>
      </c>
      <c r="E90" s="153">
        <v>10</v>
      </c>
      <c r="F90" s="154">
        <f t="shared" ref="F90:F110" si="424">D90/E90</f>
      </c>
      <c r="G90" s="155">
        <v>3405.2</v>
      </c>
      <c r="H90" s="156">
        <f t="shared" ref="H90:H110" si="454">AD90</f>
      </c>
      <c r="I90" s="157">
        <f t="shared" ref="I90:I110" si="364">D90/AD90</f>
      </c>
      <c r="J90" s="158">
        <f t="shared" ref="J90:J110" si="394">G90/E90</f>
      </c>
      <c r="K90" s="159">
        <f t="shared" ref="K90:K110" si="304">G90/D90</f>
      </c>
      <c r="L90" s="160">
        <f t="shared" ref="L90:L110" si="334">D90/AB90</f>
      </c>
      <c r="M90" s="158">
        <f t="shared" ref="M90:M110" si="214">D90/AC90</f>
      </c>
      <c r="N90" s="161">
        <f t="shared" ref="N90:N110" si="244">AC90/AB90</f>
      </c>
      <c r="O90" s="161">
        <f t="shared" ref="O90:O110" si="274">AD90/AC90</f>
      </c>
      <c r="P90" s="161">
        <f t="shared" ref="P90:P110" si="154">AA90/Z90</f>
      </c>
      <c r="Q90" s="161">
        <f t="shared" ref="Q90:Q110" si="184">AD90/AA90</f>
      </c>
      <c r="R90" s="158">
        <f t="shared" ref="R90:R110" si="94">D90/Z90*1000</f>
      </c>
      <c r="S90" s="159">
        <f t="shared" ref="S90:S110" si="124">D90/AA90</f>
      </c>
      <c r="T90" s="161">
        <f t="shared" ref="T90:T110" si="34">AE90/AB90</f>
      </c>
      <c r="U90" s="161">
        <f t="shared" ref="U90:U110" si="64">AF90/AB90</f>
      </c>
      <c r="V90" s="161">
        <f t="shared" ref="V90:V110" si="484">AG90/AB90</f>
      </c>
      <c r="W90" s="161">
        <f t="shared" ref="W90:W110" si="4">AH90/AB90</f>
      </c>
      <c r="X90" s="162" t="s">
        <v>107</v>
      </c>
      <c r="Y90" s="163" t="s">
        <v>108</v>
      </c>
      <c r="Z90" s="164">
        <v>173504</v>
      </c>
      <c r="AA90" s="164">
        <v>63836</v>
      </c>
      <c r="AB90" s="164">
        <v>338963</v>
      </c>
      <c r="AC90" s="164">
        <v>1538</v>
      </c>
      <c r="AD90" s="165">
        <v>12</v>
      </c>
      <c r="AE90" s="164">
        <v>34910</v>
      </c>
      <c r="AF90" s="166">
        <v>511</v>
      </c>
      <c r="AG90" s="166">
        <v>151</v>
      </c>
      <c r="AH90" s="166">
        <v>23</v>
      </c>
      <c r="AI90" s="167">
        <v>1</v>
      </c>
    </row>
    <row customHeight="true" ht="16.071428571428573" r="91">
      <c r="A91" s="149"/>
      <c r="B91" s="150" t="s">
        <v>124</v>
      </c>
      <c r="C91" s="168" t="s">
        <v>109</v>
      </c>
      <c r="D91" s="152">
        <v>9377.318</v>
      </c>
      <c r="E91" s="153">
        <v>16</v>
      </c>
      <c r="F91" s="154">
        <f t="shared" si="424"/>
      </c>
      <c r="G91" s="155">
        <v>3903.2</v>
      </c>
      <c r="H91" s="156">
        <f t="shared" si="454"/>
      </c>
      <c r="I91" s="157">
        <f t="shared" si="364"/>
      </c>
      <c r="J91" s="158">
        <f t="shared" si="394"/>
      </c>
      <c r="K91" s="159">
        <f t="shared" si="304"/>
      </c>
      <c r="L91" s="160">
        <f t="shared" si="334"/>
      </c>
      <c r="M91" s="158">
        <f t="shared" si="214"/>
      </c>
      <c r="N91" s="161">
        <f t="shared" si="244"/>
      </c>
      <c r="O91" s="161">
        <f t="shared" si="274"/>
      </c>
      <c r="P91" s="161">
        <f t="shared" si="154"/>
      </c>
      <c r="Q91" s="161">
        <f t="shared" si="184"/>
      </c>
      <c r="R91" s="158">
        <f t="shared" si="94"/>
      </c>
      <c r="S91" s="159">
        <f t="shared" si="124"/>
      </c>
      <c r="T91" s="161">
        <f t="shared" si="34"/>
      </c>
      <c r="U91" s="161">
        <f t="shared" si="64"/>
      </c>
      <c r="V91" s="161">
        <f t="shared" si="484"/>
      </c>
      <c r="W91" s="161">
        <f t="shared" si="4"/>
      </c>
      <c r="X91" s="169" t="s">
        <v>107</v>
      </c>
      <c r="Y91" s="163" t="s">
        <v>108</v>
      </c>
      <c r="Z91" s="166">
        <v>163163</v>
      </c>
      <c r="AA91" s="164">
        <v>54309</v>
      </c>
      <c r="AB91" s="164">
        <v>279800</v>
      </c>
      <c r="AC91" s="164">
        <v>1561</v>
      </c>
      <c r="AD91" s="166">
        <v>11</v>
      </c>
      <c r="AE91" s="164">
        <v>29185</v>
      </c>
      <c r="AF91" s="166">
        <v>614</v>
      </c>
      <c r="AG91" s="166">
        <v>126</v>
      </c>
      <c r="AH91" s="165">
        <v>30</v>
      </c>
      <c r="AI91" s="167">
        <v>2</v>
      </c>
    </row>
    <row customHeight="true" ht="16.071428571428573" r="92">
      <c r="A92" s="149"/>
      <c r="B92" s="150" t="s">
        <v>124</v>
      </c>
      <c r="C92" s="170" t="s">
        <v>110</v>
      </c>
      <c r="D92" s="171">
        <v>2989.83</v>
      </c>
      <c r="E92" s="172">
        <v>16</v>
      </c>
      <c r="F92" s="154">
        <f t="shared" si="424"/>
      </c>
      <c r="G92" s="172">
        <v>4573.1</v>
      </c>
      <c r="H92" s="156">
        <f t="shared" si="454"/>
      </c>
      <c r="I92" s="157">
        <f t="shared" si="364"/>
      </c>
      <c r="J92" s="158">
        <f t="shared" si="394"/>
      </c>
      <c r="K92" s="159">
        <f t="shared" si="304"/>
      </c>
      <c r="L92" s="160">
        <f t="shared" si="334"/>
      </c>
      <c r="M92" s="158">
        <f t="shared" si="214"/>
      </c>
      <c r="N92" s="161">
        <f t="shared" si="244"/>
      </c>
      <c r="O92" s="161">
        <f t="shared" si="274"/>
      </c>
      <c r="P92" s="161">
        <f t="shared" si="154"/>
      </c>
      <c r="Q92" s="161">
        <f t="shared" si="184"/>
      </c>
      <c r="R92" s="158">
        <f t="shared" si="94"/>
      </c>
      <c r="S92" s="159">
        <f t="shared" si="124"/>
      </c>
      <c r="T92" s="161">
        <f t="shared" si="34"/>
      </c>
      <c r="U92" s="161">
        <f t="shared" si="64"/>
      </c>
      <c r="V92" s="161">
        <f t="shared" si="484"/>
      </c>
      <c r="W92" s="161">
        <f t="shared" si="4"/>
      </c>
      <c r="X92" s="169" t="s">
        <v>107</v>
      </c>
      <c r="Y92" s="163" t="s">
        <v>108</v>
      </c>
      <c r="Z92" s="166">
        <v>92721</v>
      </c>
      <c r="AA92" s="166">
        <v>17890</v>
      </c>
      <c r="AB92" s="166">
        <v>155820</v>
      </c>
      <c r="AC92" s="166">
        <v>771</v>
      </c>
      <c r="AD92" s="166">
        <v>11</v>
      </c>
      <c r="AE92" s="166">
        <v>12761</v>
      </c>
      <c r="AF92" s="166">
        <v>239</v>
      </c>
      <c r="AG92" s="166">
        <v>37</v>
      </c>
      <c r="AH92" s="166">
        <v>17</v>
      </c>
      <c r="AI92" s="167">
        <v>3</v>
      </c>
    </row>
    <row customHeight="true" ht="16.071428571428573" r="93">
      <c r="A93" s="149"/>
      <c r="B93" s="150" t="s">
        <v>124</v>
      </c>
      <c r="C93" s="173" t="s">
        <v>111</v>
      </c>
      <c r="D93" s="171">
        <v>3350.321</v>
      </c>
      <c r="E93" s="172">
        <v>10</v>
      </c>
      <c r="F93" s="154">
        <f t="shared" si="424"/>
      </c>
      <c r="G93" s="172">
        <v>3896.1</v>
      </c>
      <c r="H93" s="156">
        <f t="shared" si="454"/>
      </c>
      <c r="I93" s="157">
        <f t="shared" si="364"/>
      </c>
      <c r="J93" s="158">
        <f t="shared" si="394"/>
      </c>
      <c r="K93" s="159">
        <f t="shared" si="304"/>
      </c>
      <c r="L93" s="174">
        <f t="shared" si="334"/>
      </c>
      <c r="M93" s="175">
        <f t="shared" si="214"/>
      </c>
      <c r="N93" s="176">
        <f t="shared" si="244"/>
      </c>
      <c r="O93" s="176">
        <f t="shared" si="274"/>
      </c>
      <c r="P93" s="176">
        <f t="shared" si="154"/>
      </c>
      <c r="Q93" s="176">
        <f t="shared" si="184"/>
      </c>
      <c r="R93" s="175">
        <f t="shared" si="94"/>
      </c>
      <c r="S93" s="177">
        <f t="shared" si="124"/>
      </c>
      <c r="T93" s="176">
        <f t="shared" si="34"/>
      </c>
      <c r="U93" s="176">
        <f t="shared" si="64"/>
      </c>
      <c r="V93" s="176">
        <f t="shared" si="484"/>
      </c>
      <c r="W93" s="176">
        <f t="shared" si="4"/>
      </c>
      <c r="X93" s="169" t="s">
        <v>107</v>
      </c>
      <c r="Y93" s="163" t="s">
        <v>108</v>
      </c>
      <c r="Z93" s="166">
        <v>106706</v>
      </c>
      <c r="AA93" s="166">
        <v>18095</v>
      </c>
      <c r="AB93" s="166">
        <v>204941</v>
      </c>
      <c r="AC93" s="166">
        <v>638</v>
      </c>
      <c r="AD93" s="166">
        <v>9</v>
      </c>
      <c r="AE93" s="166">
        <v>15489</v>
      </c>
      <c r="AF93" s="166">
        <v>211</v>
      </c>
      <c r="AG93" s="166">
        <v>47</v>
      </c>
      <c r="AH93" s="165">
        <v>17</v>
      </c>
      <c r="AI93" s="167">
        <v>2</v>
      </c>
    </row>
    <row customHeight="true" ht="16.071428571428573" r="94">
      <c r="A94" s="149"/>
      <c r="B94" s="178" t="s">
        <v>112</v>
      </c>
      <c r="C94" s="178"/>
      <c r="D94" s="179">
        <f>SUM(D90:D93)</f>
      </c>
      <c r="E94" s="180">
        <f>SUM(E90:E93)</f>
      </c>
      <c r="F94" s="181">
        <f t="shared" si="424"/>
      </c>
      <c r="G94" s="182">
        <f>SUM(G90:G93)</f>
      </c>
      <c r="H94" s="183">
        <f t="shared" si="454"/>
      </c>
      <c r="I94" s="184">
        <f t="shared" si="364"/>
      </c>
      <c r="J94" s="185">
        <f t="shared" si="394"/>
      </c>
      <c r="K94" s="181">
        <f t="shared" si="304"/>
      </c>
      <c r="L94" s="186">
        <f t="shared" si="334"/>
      </c>
      <c r="M94" s="185">
        <f t="shared" si="214"/>
      </c>
      <c r="N94" s="187">
        <f t="shared" si="244"/>
      </c>
      <c r="O94" s="187">
        <f t="shared" si="274"/>
      </c>
      <c r="P94" s="187">
        <f t="shared" si="154"/>
      </c>
      <c r="Q94" s="187">
        <f t="shared" si="184"/>
      </c>
      <c r="R94" s="185">
        <f t="shared" si="94"/>
      </c>
      <c r="S94" s="181">
        <f t="shared" si="124"/>
      </c>
      <c r="T94" s="187">
        <f t="shared" si="34"/>
      </c>
      <c r="U94" s="187">
        <f t="shared" si="64"/>
      </c>
      <c r="V94" s="187">
        <f t="shared" si="484"/>
      </c>
      <c r="W94" s="187">
        <f t="shared" si="4"/>
      </c>
      <c r="X94" s="187"/>
      <c r="Y94" s="188"/>
      <c r="Z94" s="179">
        <f>SUM(Z90:Z93)</f>
      </c>
      <c r="AA94" s="179">
        <f>SUM(AA90:AA93)</f>
      </c>
      <c r="AB94" s="179">
        <f>SUM(AB90:AB93)</f>
      </c>
      <c r="AC94" s="179">
        <f>SUM(AC90:AC93)</f>
      </c>
      <c r="AD94" s="179">
        <f>SUM(AD90:AD93)</f>
      </c>
      <c r="AE94" s="179">
        <f>SUM(AE90:AE93)</f>
      </c>
      <c r="AF94" s="179">
        <f>SUM(AF90:AF93)</f>
      </c>
      <c r="AG94" s="179">
        <f>SUM(AG90:AG93)</f>
      </c>
      <c r="AH94" s="179">
        <f>SUM(AH90:AH93)</f>
      </c>
      <c r="AI94" s="179">
        <f>SUM(AI90:AI93)</f>
      </c>
    </row>
    <row customHeight="true" ht="16.071428571428573" r="95">
      <c r="A95" s="149"/>
      <c r="B95" s="218" t="s">
        <v>130</v>
      </c>
      <c r="C95" s="173" t="s">
        <v>114</v>
      </c>
      <c r="D95" s="190">
        <v>3950.755</v>
      </c>
      <c r="E95" s="191">
        <v>11</v>
      </c>
      <c r="F95" s="154">
        <f t="shared" si="424"/>
      </c>
      <c r="G95" s="172">
        <v>3497.1</v>
      </c>
      <c r="H95" s="156">
        <f t="shared" si="454"/>
      </c>
      <c r="I95" s="157">
        <f t="shared" si="364"/>
      </c>
      <c r="J95" s="158">
        <f t="shared" si="394"/>
      </c>
      <c r="K95" s="159">
        <f t="shared" si="304"/>
      </c>
      <c r="L95" s="160">
        <f t="shared" si="334"/>
      </c>
      <c r="M95" s="158">
        <f t="shared" si="214"/>
      </c>
      <c r="N95" s="161">
        <f t="shared" si="244"/>
      </c>
      <c r="O95" s="161">
        <f t="shared" si="274"/>
      </c>
      <c r="P95" s="161">
        <f t="shared" si="154"/>
      </c>
      <c r="Q95" s="161">
        <f t="shared" si="184"/>
      </c>
      <c r="R95" s="158">
        <f t="shared" si="94"/>
      </c>
      <c r="S95" s="159">
        <f t="shared" si="124"/>
      </c>
      <c r="T95" s="161">
        <f t="shared" si="34"/>
      </c>
      <c r="U95" s="161">
        <f t="shared" si="64"/>
      </c>
      <c r="V95" s="161">
        <f t="shared" si="484"/>
      </c>
      <c r="W95" s="161">
        <f t="shared" si="4"/>
      </c>
      <c r="X95" s="169" t="s">
        <v>107</v>
      </c>
      <c r="Y95" s="163" t="s">
        <v>108</v>
      </c>
      <c r="Z95" s="166">
        <v>122584</v>
      </c>
      <c r="AA95" s="166">
        <v>18778</v>
      </c>
      <c r="AB95" s="166">
        <v>252940</v>
      </c>
      <c r="AC95" s="166">
        <v>538</v>
      </c>
      <c r="AD95" s="166">
        <v>11</v>
      </c>
      <c r="AE95" s="166">
        <v>15294</v>
      </c>
      <c r="AF95" s="166">
        <v>258</v>
      </c>
      <c r="AG95" s="166">
        <v>68</v>
      </c>
      <c r="AH95" s="166">
        <v>16</v>
      </c>
      <c r="AI95" s="167">
        <v>3</v>
      </c>
    </row>
    <row customHeight="true" ht="16.071428571428573" r="96">
      <c r="A96" s="149"/>
      <c r="B96" s="218" t="s">
        <v>130</v>
      </c>
      <c r="C96" s="192" t="s">
        <v>115</v>
      </c>
      <c r="D96" s="171">
        <v>2956.303</v>
      </c>
      <c r="E96" s="172">
        <v>12</v>
      </c>
      <c r="F96" s="154">
        <f t="shared" si="424"/>
      </c>
      <c r="G96" s="172">
        <v>4669.7</v>
      </c>
      <c r="H96" s="156">
        <f t="shared" si="454"/>
      </c>
      <c r="I96" s="157">
        <f t="shared" si="364"/>
      </c>
      <c r="J96" s="158">
        <f t="shared" si="394"/>
      </c>
      <c r="K96" s="159">
        <f t="shared" si="304"/>
      </c>
      <c r="L96" s="160">
        <f t="shared" si="334"/>
      </c>
      <c r="M96" s="158">
        <f t="shared" si="214"/>
      </c>
      <c r="N96" s="161">
        <f t="shared" si="244"/>
      </c>
      <c r="O96" s="161">
        <f t="shared" si="274"/>
      </c>
      <c r="P96" s="161">
        <f t="shared" si="154"/>
      </c>
      <c r="Q96" s="161">
        <f t="shared" si="184"/>
      </c>
      <c r="R96" s="158">
        <f t="shared" si="94"/>
      </c>
      <c r="S96" s="159">
        <f t="shared" si="124"/>
      </c>
      <c r="T96" s="161">
        <f t="shared" si="34"/>
      </c>
      <c r="U96" s="161">
        <f t="shared" si="64"/>
      </c>
      <c r="V96" s="161">
        <f t="shared" si="484"/>
      </c>
      <c r="W96" s="161">
        <f t="shared" si="4"/>
      </c>
      <c r="X96" s="169" t="s">
        <v>107</v>
      </c>
      <c r="Y96" s="163" t="s">
        <v>108</v>
      </c>
      <c r="Z96" s="166">
        <v>105703</v>
      </c>
      <c r="AA96" s="166">
        <v>19147</v>
      </c>
      <c r="AB96" s="166">
        <v>195588</v>
      </c>
      <c r="AC96" s="166">
        <v>446</v>
      </c>
      <c r="AD96" s="166">
        <v>7</v>
      </c>
      <c r="AE96" s="166">
        <v>11673</v>
      </c>
      <c r="AF96" s="166">
        <v>178</v>
      </c>
      <c r="AG96" s="166">
        <v>64</v>
      </c>
      <c r="AH96" s="166">
        <v>10</v>
      </c>
      <c r="AI96" s="167">
        <v>3</v>
      </c>
    </row>
    <row customHeight="true" ht="16.071428571428573" r="97">
      <c r="A97" s="149"/>
      <c r="B97" s="218" t="s">
        <v>130</v>
      </c>
      <c r="C97" s="193" t="s">
        <v>116</v>
      </c>
      <c r="D97" s="171">
        <v>2876.56</v>
      </c>
      <c r="E97" s="172">
        <v>6</v>
      </c>
      <c r="F97" s="154">
        <f t="shared" si="424"/>
      </c>
      <c r="G97" s="172">
        <v>1230.3</v>
      </c>
      <c r="H97" s="156">
        <f t="shared" si="454"/>
      </c>
      <c r="I97" s="157">
        <f t="shared" si="364"/>
      </c>
      <c r="J97" s="158">
        <f t="shared" si="394"/>
      </c>
      <c r="K97" s="159">
        <f t="shared" si="304"/>
      </c>
      <c r="L97" s="174">
        <f t="shared" si="334"/>
      </c>
      <c r="M97" s="175">
        <f t="shared" si="214"/>
      </c>
      <c r="N97" s="176">
        <f t="shared" si="244"/>
      </c>
      <c r="O97" s="176">
        <f t="shared" si="274"/>
      </c>
      <c r="P97" s="176">
        <f t="shared" si="154"/>
      </c>
      <c r="Q97" s="176">
        <f t="shared" si="184"/>
      </c>
      <c r="R97" s="175">
        <f t="shared" si="94"/>
      </c>
      <c r="S97" s="177">
        <f t="shared" si="124"/>
      </c>
      <c r="T97" s="176">
        <f t="shared" si="34"/>
      </c>
      <c r="U97" s="176">
        <f t="shared" si="64"/>
      </c>
      <c r="V97" s="176">
        <f t="shared" si="484"/>
      </c>
      <c r="W97" s="176">
        <f t="shared" si="4"/>
      </c>
      <c r="X97" s="169" t="s">
        <v>107</v>
      </c>
      <c r="Y97" s="163" t="s">
        <v>108</v>
      </c>
      <c r="Z97" s="166">
        <v>101224</v>
      </c>
      <c r="AA97" s="166">
        <v>19331</v>
      </c>
      <c r="AB97" s="166">
        <v>163696</v>
      </c>
      <c r="AC97" s="166">
        <v>389</v>
      </c>
      <c r="AD97" s="166">
        <v>5</v>
      </c>
      <c r="AE97" s="166">
        <v>9629</v>
      </c>
      <c r="AF97" s="166">
        <v>203</v>
      </c>
      <c r="AG97" s="166">
        <v>64</v>
      </c>
      <c r="AH97" s="165">
        <v>7</v>
      </c>
      <c r="AI97" s="167">
        <v>1</v>
      </c>
    </row>
    <row customHeight="true" ht="16.071428571428573" r="98">
      <c r="A98" s="149"/>
      <c r="B98" s="218" t="s">
        <v>130</v>
      </c>
      <c r="C98" s="194" t="s">
        <v>117</v>
      </c>
      <c r="D98" s="195">
        <v>2205.903</v>
      </c>
      <c r="E98" s="172">
        <v>10</v>
      </c>
      <c r="F98" s="154">
        <f t="shared" si="424"/>
      </c>
      <c r="G98" s="172">
        <v>3204.4000000000015</v>
      </c>
      <c r="H98" s="156">
        <f t="shared" si="454"/>
      </c>
      <c r="I98" s="157">
        <f t="shared" si="364"/>
      </c>
      <c r="J98" s="158">
        <f t="shared" si="394"/>
      </c>
      <c r="K98" s="159">
        <f t="shared" si="304"/>
      </c>
      <c r="L98" s="174">
        <f t="shared" si="334"/>
      </c>
      <c r="M98" s="175">
        <f t="shared" si="214"/>
      </c>
      <c r="N98" s="176">
        <f t="shared" si="244"/>
      </c>
      <c r="O98" s="176">
        <f t="shared" si="274"/>
      </c>
      <c r="P98" s="176">
        <f t="shared" si="154"/>
      </c>
      <c r="Q98" s="176">
        <f t="shared" si="184"/>
      </c>
      <c r="R98" s="175">
        <f t="shared" si="94"/>
      </c>
      <c r="S98" s="177">
        <f t="shared" si="124"/>
      </c>
      <c r="T98" s="176">
        <f t="shared" si="34"/>
      </c>
      <c r="U98" s="176">
        <f t="shared" si="64"/>
      </c>
      <c r="V98" s="176">
        <f t="shared" si="484"/>
      </c>
      <c r="W98" s="176">
        <f t="shared" si="4"/>
      </c>
      <c r="X98" s="169" t="s">
        <v>107</v>
      </c>
      <c r="Y98" s="163" t="s">
        <v>108</v>
      </c>
      <c r="Z98" s="166">
        <v>96954</v>
      </c>
      <c r="AA98" s="166">
        <v>14103</v>
      </c>
      <c r="AB98" s="166">
        <v>151462</v>
      </c>
      <c r="AC98" s="166">
        <v>616</v>
      </c>
      <c r="AD98" s="166">
        <v>5</v>
      </c>
      <c r="AE98" s="166">
        <v>8894</v>
      </c>
      <c r="AF98" s="166">
        <v>200</v>
      </c>
      <c r="AG98" s="166">
        <v>37</v>
      </c>
      <c r="AH98" s="165">
        <v>11</v>
      </c>
      <c r="AI98" s="167">
        <v>5</v>
      </c>
    </row>
    <row customHeight="true" ht="16.071428571428573" r="99">
      <c r="A99" s="149"/>
      <c r="B99" s="178" t="s">
        <v>112</v>
      </c>
      <c r="C99" s="178"/>
      <c r="D99" s="179">
        <f>SUM(D95:D98)</f>
      </c>
      <c r="E99" s="180">
        <f>SUM(E95:E98)</f>
      </c>
      <c r="F99" s="181">
        <f t="shared" si="424"/>
      </c>
      <c r="G99" s="182">
        <f>SUM(G95:G98)</f>
      </c>
      <c r="H99" s="183">
        <f t="shared" si="454"/>
      </c>
      <c r="I99" s="184">
        <f t="shared" si="364"/>
      </c>
      <c r="J99" s="185">
        <f t="shared" si="394"/>
      </c>
      <c r="K99" s="181">
        <f t="shared" si="304"/>
      </c>
      <c r="L99" s="186">
        <f t="shared" si="334"/>
      </c>
      <c r="M99" s="185">
        <f t="shared" si="214"/>
      </c>
      <c r="N99" s="187">
        <f t="shared" si="244"/>
      </c>
      <c r="O99" s="187">
        <f t="shared" si="274"/>
      </c>
      <c r="P99" s="187">
        <f t="shared" si="154"/>
      </c>
      <c r="Q99" s="187">
        <f t="shared" si="184"/>
      </c>
      <c r="R99" s="185">
        <f t="shared" si="94"/>
      </c>
      <c r="S99" s="181">
        <f t="shared" si="124"/>
      </c>
      <c r="T99" s="187">
        <f t="shared" si="34"/>
      </c>
      <c r="U99" s="187">
        <f t="shared" si="64"/>
      </c>
      <c r="V99" s="187">
        <f t="shared" si="484"/>
      </c>
      <c r="W99" s="187">
        <f t="shared" si="4"/>
      </c>
      <c r="X99" s="187"/>
      <c r="Y99" s="188"/>
      <c r="Z99" s="179">
        <f>SUM(Z95:Z98)</f>
      </c>
      <c r="AA99" s="179">
        <f>SUM(AA95:AA98)</f>
      </c>
      <c r="AB99" s="179">
        <f>SUM(AB95:AB98)</f>
      </c>
      <c r="AC99" s="179">
        <f>SUM(AC95:AC98)</f>
      </c>
      <c r="AD99" s="179">
        <f>SUM(AD95:AD98)</f>
      </c>
      <c r="AE99" s="179">
        <f>SUM(AE95:AE98)</f>
      </c>
      <c r="AF99" s="179">
        <f>SUM(AF95:AF98)</f>
      </c>
      <c r="AG99" s="179">
        <f>SUM(AG95:AG98)</f>
      </c>
      <c r="AH99" s="179">
        <f>SUM(AH95:AH98)</f>
      </c>
      <c r="AI99" s="179">
        <f>SUM(AI95:AI98)</f>
      </c>
    </row>
    <row customHeight="true" ht="16.071428571428573" r="100">
      <c r="A100" s="149"/>
      <c r="B100" s="150" t="s">
        <v>131</v>
      </c>
      <c r="C100" s="196" t="s">
        <v>119</v>
      </c>
      <c r="D100" s="171">
        <v>2038.9599999999998</v>
      </c>
      <c r="E100" s="172">
        <v>9</v>
      </c>
      <c r="F100" s="154">
        <f t="shared" si="424"/>
      </c>
      <c r="G100" s="172">
        <v>4452</v>
      </c>
      <c r="H100" s="156">
        <f t="shared" si="454"/>
      </c>
      <c r="I100" s="157">
        <f t="shared" si="364"/>
      </c>
      <c r="J100" s="158">
        <f t="shared" si="394"/>
      </c>
      <c r="K100" s="159">
        <f t="shared" si="304"/>
      </c>
      <c r="L100" s="160">
        <f t="shared" si="334"/>
      </c>
      <c r="M100" s="158">
        <f t="shared" si="214"/>
      </c>
      <c r="N100" s="161">
        <f t="shared" si="244"/>
      </c>
      <c r="O100" s="161">
        <f t="shared" si="274"/>
      </c>
      <c r="P100" s="161">
        <f t="shared" si="154"/>
      </c>
      <c r="Q100" s="161">
        <f t="shared" si="184"/>
      </c>
      <c r="R100" s="158">
        <f t="shared" si="94"/>
      </c>
      <c r="S100" s="159">
        <f t="shared" si="124"/>
      </c>
      <c r="T100" s="161">
        <f t="shared" si="34"/>
      </c>
      <c r="U100" s="161">
        <f t="shared" si="64"/>
      </c>
      <c r="V100" s="161">
        <f t="shared" si="484"/>
      </c>
      <c r="W100" s="161">
        <f t="shared" si="4"/>
      </c>
      <c r="X100" s="169" t="s">
        <v>107</v>
      </c>
      <c r="Y100" s="163" t="s">
        <v>132</v>
      </c>
      <c r="Z100" s="166">
        <v>86513</v>
      </c>
      <c r="AA100" s="166">
        <v>11548</v>
      </c>
      <c r="AB100" s="166">
        <v>136553</v>
      </c>
      <c r="AC100" s="166">
        <v>646</v>
      </c>
      <c r="AD100" s="166">
        <v>10</v>
      </c>
      <c r="AE100" s="166">
        <v>8266</v>
      </c>
      <c r="AF100" s="166">
        <v>180</v>
      </c>
      <c r="AG100" s="166">
        <v>35</v>
      </c>
      <c r="AH100" s="166">
        <v>2</v>
      </c>
      <c r="AI100" s="167">
        <v>0</v>
      </c>
    </row>
    <row customHeight="true" ht="16.071428571428573" r="101">
      <c r="A101" s="149"/>
      <c r="B101" s="150" t="s">
        <v>131</v>
      </c>
      <c r="C101" s="197" t="s">
        <v>121</v>
      </c>
      <c r="D101" s="171">
        <v>2813.2270000000003</v>
      </c>
      <c r="E101" s="172">
        <v>14</v>
      </c>
      <c r="F101" s="154">
        <f t="shared" si="424"/>
      </c>
      <c r="G101" s="172">
        <v>7889.5999999999985</v>
      </c>
      <c r="H101" s="156">
        <f t="shared" si="454"/>
      </c>
      <c r="I101" s="157">
        <f t="shared" si="364"/>
      </c>
      <c r="J101" s="158">
        <f t="shared" si="394"/>
      </c>
      <c r="K101" s="159">
        <f t="shared" si="304"/>
      </c>
      <c r="L101" s="160">
        <f t="shared" si="334"/>
      </c>
      <c r="M101" s="158">
        <f t="shared" si="214"/>
      </c>
      <c r="N101" s="161">
        <f t="shared" si="244"/>
      </c>
      <c r="O101" s="161">
        <f t="shared" si="274"/>
      </c>
      <c r="P101" s="161">
        <f t="shared" si="154"/>
      </c>
      <c r="Q101" s="161">
        <f t="shared" si="184"/>
      </c>
      <c r="R101" s="158">
        <f t="shared" si="94"/>
      </c>
      <c r="S101" s="159">
        <f t="shared" si="124"/>
      </c>
      <c r="T101" s="161">
        <f t="shared" si="34"/>
      </c>
      <c r="U101" s="161">
        <f t="shared" si="64"/>
      </c>
      <c r="V101" s="161">
        <f t="shared" si="484"/>
      </c>
      <c r="W101" s="161">
        <f t="shared" si="4"/>
      </c>
      <c r="X101" s="169" t="s">
        <v>107</v>
      </c>
      <c r="Y101" s="163" t="s">
        <v>132</v>
      </c>
      <c r="Z101" s="166">
        <v>114397</v>
      </c>
      <c r="AA101" s="166">
        <v>17187</v>
      </c>
      <c r="AB101" s="166">
        <v>200628</v>
      </c>
      <c r="AC101" s="166">
        <v>695</v>
      </c>
      <c r="AD101" s="166">
        <v>13</v>
      </c>
      <c r="AE101" s="166">
        <v>12988</v>
      </c>
      <c r="AF101" s="166">
        <v>247</v>
      </c>
      <c r="AG101" s="166">
        <v>57</v>
      </c>
      <c r="AH101" s="165">
        <v>12</v>
      </c>
      <c r="AI101" s="167">
        <v>1</v>
      </c>
    </row>
    <row customHeight="true" ht="16.071428571428573" r="102">
      <c r="A102" s="149"/>
      <c r="B102" s="150" t="s">
        <v>131</v>
      </c>
      <c r="C102" s="194" t="s">
        <v>122</v>
      </c>
      <c r="D102" s="171">
        <v>3308.0070000000005</v>
      </c>
      <c r="E102" s="172">
        <v>8</v>
      </c>
      <c r="F102" s="154">
        <f t="shared" si="424"/>
      </c>
      <c r="G102" s="172">
        <v>4715.200000000004</v>
      </c>
      <c r="H102" s="156">
        <f t="shared" si="454"/>
      </c>
      <c r="I102" s="157">
        <f t="shared" si="364"/>
      </c>
      <c r="J102" s="158">
        <f t="shared" si="394"/>
      </c>
      <c r="K102" s="159">
        <f t="shared" si="304"/>
      </c>
      <c r="L102" s="174">
        <f t="shared" si="334"/>
      </c>
      <c r="M102" s="175">
        <f t="shared" si="214"/>
      </c>
      <c r="N102" s="176">
        <f t="shared" si="244"/>
      </c>
      <c r="O102" s="176">
        <f t="shared" si="274"/>
      </c>
      <c r="P102" s="176">
        <f t="shared" si="154"/>
      </c>
      <c r="Q102" s="176">
        <f t="shared" si="184"/>
      </c>
      <c r="R102" s="175">
        <f t="shared" si="94"/>
      </c>
      <c r="S102" s="177">
        <f t="shared" si="124"/>
      </c>
      <c r="T102" s="176">
        <f t="shared" si="34"/>
      </c>
      <c r="U102" s="176">
        <f t="shared" si="64"/>
      </c>
      <c r="V102" s="176">
        <f t="shared" si="484"/>
      </c>
      <c r="W102" s="176">
        <f t="shared" si="4"/>
      </c>
      <c r="X102" s="169" t="s">
        <v>107</v>
      </c>
      <c r="Y102" s="163" t="s">
        <v>132</v>
      </c>
      <c r="Z102" s="166">
        <v>145866</v>
      </c>
      <c r="AA102" s="166">
        <v>16677</v>
      </c>
      <c r="AB102" s="166">
        <v>200984</v>
      </c>
      <c r="AC102" s="166">
        <v>686</v>
      </c>
      <c r="AD102" s="166">
        <v>6</v>
      </c>
      <c r="AE102" s="166">
        <v>12931</v>
      </c>
      <c r="AF102" s="166">
        <v>225</v>
      </c>
      <c r="AG102" s="166">
        <v>75</v>
      </c>
      <c r="AH102" s="165">
        <v>6</v>
      </c>
      <c r="AI102" s="167">
        <v>2</v>
      </c>
    </row>
    <row customHeight="true" ht="16.071428571428573" r="103">
      <c r="A103" s="149"/>
      <c r="B103" s="150" t="s">
        <v>131</v>
      </c>
      <c r="C103" s="194" t="s">
        <v>123</v>
      </c>
      <c r="D103" s="195">
        <v>5951.182999999999</v>
      </c>
      <c r="E103" s="172">
        <v>18</v>
      </c>
      <c r="F103" s="154">
        <f t="shared" si="424"/>
      </c>
      <c r="G103" s="172">
        <v>3786.199999999997</v>
      </c>
      <c r="H103" s="156">
        <f t="shared" si="454"/>
      </c>
      <c r="I103" s="157">
        <f t="shared" si="364"/>
      </c>
      <c r="J103" s="158">
        <f t="shared" si="394"/>
      </c>
      <c r="K103" s="159">
        <f t="shared" si="304"/>
      </c>
      <c r="L103" s="174">
        <f t="shared" si="334"/>
      </c>
      <c r="M103" s="175">
        <f t="shared" si="214"/>
      </c>
      <c r="N103" s="176">
        <f t="shared" si="244"/>
      </c>
      <c r="O103" s="176">
        <f t="shared" si="274"/>
      </c>
      <c r="P103" s="176">
        <f t="shared" si="154"/>
      </c>
      <c r="Q103" s="176">
        <f t="shared" si="184"/>
      </c>
      <c r="R103" s="175">
        <f t="shared" si="94"/>
      </c>
      <c r="S103" s="177">
        <f t="shared" si="124"/>
      </c>
      <c r="T103" s="176">
        <f t="shared" si="34"/>
      </c>
      <c r="U103" s="176">
        <f t="shared" si="64"/>
      </c>
      <c r="V103" s="176">
        <f t="shared" si="484"/>
      </c>
      <c r="W103" s="176">
        <f t="shared" si="4"/>
      </c>
      <c r="X103" s="169" t="s">
        <v>107</v>
      </c>
      <c r="Y103" s="163" t="s">
        <v>132</v>
      </c>
      <c r="Z103" s="166">
        <v>286052</v>
      </c>
      <c r="AA103" s="166">
        <v>20843</v>
      </c>
      <c r="AB103" s="166">
        <v>491053</v>
      </c>
      <c r="AC103" s="166">
        <v>1182</v>
      </c>
      <c r="AD103" s="166">
        <v>13</v>
      </c>
      <c r="AE103" s="166">
        <v>22203</v>
      </c>
      <c r="AF103" s="166">
        <v>249</v>
      </c>
      <c r="AG103" s="166">
        <v>73</v>
      </c>
      <c r="AH103" s="165">
        <v>19</v>
      </c>
      <c r="AI103" s="167">
        <v>6</v>
      </c>
    </row>
    <row customHeight="true" ht="16.071428571428573" r="104">
      <c r="A104" s="149"/>
      <c r="B104" s="178" t="s">
        <v>112</v>
      </c>
      <c r="C104" s="178"/>
      <c r="D104" s="179">
        <f>SUM(D100:D103)</f>
      </c>
      <c r="E104" s="180">
        <f>SUM(E100:E103)</f>
      </c>
      <c r="F104" s="181">
        <f t="shared" si="424"/>
      </c>
      <c r="G104" s="182">
        <f>SUM(G100:G103)</f>
      </c>
      <c r="H104" s="183">
        <f t="shared" si="454"/>
      </c>
      <c r="I104" s="184">
        <f t="shared" si="364"/>
      </c>
      <c r="J104" s="185">
        <f t="shared" si="394"/>
      </c>
      <c r="K104" s="181">
        <f t="shared" si="304"/>
      </c>
      <c r="L104" s="186">
        <f t="shared" si="334"/>
      </c>
      <c r="M104" s="185">
        <f t="shared" si="214"/>
      </c>
      <c r="N104" s="187">
        <f t="shared" si="244"/>
      </c>
      <c r="O104" s="187">
        <f t="shared" si="274"/>
      </c>
      <c r="P104" s="187">
        <f t="shared" si="154"/>
      </c>
      <c r="Q104" s="187">
        <f t="shared" si="184"/>
      </c>
      <c r="R104" s="185">
        <f t="shared" si="94"/>
      </c>
      <c r="S104" s="181">
        <f t="shared" si="124"/>
      </c>
      <c r="T104" s="187">
        <f t="shared" si="34"/>
      </c>
      <c r="U104" s="187">
        <f t="shared" si="64"/>
      </c>
      <c r="V104" s="187">
        <f t="shared" si="484"/>
      </c>
      <c r="W104" s="187">
        <f t="shared" si="4"/>
      </c>
      <c r="X104" s="187"/>
      <c r="Y104" s="188"/>
      <c r="Z104" s="179">
        <f>SUM(Z100:Z103)</f>
      </c>
      <c r="AA104" s="179">
        <f>SUM(AA100:AA103)</f>
      </c>
      <c r="AB104" s="179">
        <f>SUM(AB100:AB103)</f>
      </c>
      <c r="AC104" s="179">
        <f>SUM(AC100:AC103)</f>
      </c>
      <c r="AD104" s="179">
        <f>SUM(AD100:AD103)</f>
      </c>
      <c r="AE104" s="179">
        <f>SUM(AE100:AE103)</f>
      </c>
      <c r="AF104" s="179">
        <f>SUM(AF100:AF103)</f>
      </c>
      <c r="AG104" s="179">
        <f>SUM(AG100:AG103)</f>
      </c>
      <c r="AH104" s="179">
        <f>SUM(AH100:AH103)</f>
      </c>
      <c r="AI104" s="179">
        <f>SUM(AI100:AI103)</f>
      </c>
    </row>
    <row customHeight="true" ht="16.071428571428573" r="105">
      <c r="A105" s="149"/>
      <c r="B105" s="150" t="s">
        <v>105</v>
      </c>
      <c r="C105" s="196" t="s">
        <v>125</v>
      </c>
      <c r="D105" s="198">
        <v>10418.867</v>
      </c>
      <c r="E105" s="153">
        <v>19</v>
      </c>
      <c r="F105" s="154">
        <f t="shared" si="424"/>
      </c>
      <c r="G105" s="155">
        <v>6436.200000000004</v>
      </c>
      <c r="H105" s="156">
        <f t="shared" si="454"/>
      </c>
      <c r="I105" s="157">
        <f t="shared" si="364"/>
      </c>
      <c r="J105" s="158">
        <f t="shared" si="394"/>
      </c>
      <c r="K105" s="159">
        <f t="shared" si="304"/>
      </c>
      <c r="L105" s="174">
        <f t="shared" si="334"/>
      </c>
      <c r="M105" s="175">
        <f t="shared" si="214"/>
      </c>
      <c r="N105" s="176">
        <f t="shared" si="244"/>
      </c>
      <c r="O105" s="176">
        <f t="shared" si="274"/>
      </c>
      <c r="P105" s="176">
        <f t="shared" si="154"/>
      </c>
      <c r="Q105" s="176">
        <f t="shared" si="184"/>
      </c>
      <c r="R105" s="175">
        <f t="shared" si="94"/>
      </c>
      <c r="S105" s="177">
        <f t="shared" si="124"/>
      </c>
      <c r="T105" s="176">
        <f t="shared" si="34"/>
      </c>
      <c r="U105" s="176">
        <f t="shared" si="64"/>
      </c>
      <c r="V105" s="176">
        <f t="shared" si="484"/>
      </c>
      <c r="W105" s="176">
        <f t="shared" si="4"/>
      </c>
      <c r="X105" s="169" t="s">
        <v>107</v>
      </c>
      <c r="Y105" s="163" t="s">
        <v>132</v>
      </c>
      <c r="Z105" s="166">
        <v>528214</v>
      </c>
      <c r="AA105" s="166">
        <v>58649</v>
      </c>
      <c r="AB105" s="166">
        <v>1027517</v>
      </c>
      <c r="AC105" s="199">
        <v>2430</v>
      </c>
      <c r="AD105" s="199">
        <v>18</v>
      </c>
      <c r="AE105" s="199">
        <v>45832</v>
      </c>
      <c r="AF105" s="199">
        <v>504</v>
      </c>
      <c r="AG105" s="199">
        <v>207</v>
      </c>
      <c r="AH105" s="199">
        <v>46</v>
      </c>
      <c r="AI105" s="167">
        <v>1</v>
      </c>
    </row>
    <row customHeight="true" ht="16.071428571428573" r="106">
      <c r="A106" s="149"/>
      <c r="B106" s="150" t="s">
        <v>105</v>
      </c>
      <c r="C106" s="194" t="s">
        <v>126</v>
      </c>
      <c r="D106" s="198">
        <v>4103.14</v>
      </c>
      <c r="E106" s="153">
        <v>27</v>
      </c>
      <c r="F106" s="154">
        <f t="shared" si="424"/>
      </c>
      <c r="G106" s="155">
        <v>11523</v>
      </c>
      <c r="H106" s="156">
        <f t="shared" si="454"/>
      </c>
      <c r="I106" s="157">
        <f t="shared" si="364"/>
      </c>
      <c r="J106" s="158">
        <f t="shared" si="394"/>
      </c>
      <c r="K106" s="159">
        <f t="shared" si="304"/>
      </c>
      <c r="L106" s="174">
        <f t="shared" si="334"/>
      </c>
      <c r="M106" s="175">
        <f t="shared" si="214"/>
      </c>
      <c r="N106" s="176">
        <f t="shared" si="244"/>
      </c>
      <c r="O106" s="176">
        <f t="shared" si="274"/>
      </c>
      <c r="P106" s="176">
        <f t="shared" si="154"/>
      </c>
      <c r="Q106" s="176">
        <f t="shared" si="184"/>
      </c>
      <c r="R106" s="175">
        <f t="shared" si="94"/>
      </c>
      <c r="S106" s="177">
        <f t="shared" si="124"/>
      </c>
      <c r="T106" s="176">
        <f t="shared" si="34"/>
      </c>
      <c r="U106" s="176">
        <f t="shared" si="64"/>
      </c>
      <c r="V106" s="176">
        <f t="shared" si="484"/>
      </c>
      <c r="W106" s="176">
        <f t="shared" si="4"/>
      </c>
      <c r="X106" s="169" t="s">
        <v>107</v>
      </c>
      <c r="Y106" s="163" t="s">
        <v>132</v>
      </c>
      <c r="Z106" s="166">
        <v>218477</v>
      </c>
      <c r="AA106" s="166">
        <v>31849</v>
      </c>
      <c r="AB106" s="166">
        <v>340870</v>
      </c>
      <c r="AC106" s="199">
        <v>1362</v>
      </c>
      <c r="AD106" s="199">
        <v>20</v>
      </c>
      <c r="AE106" s="199">
        <v>17851</v>
      </c>
      <c r="AF106" s="199">
        <v>357</v>
      </c>
      <c r="AG106" s="199">
        <v>120</v>
      </c>
      <c r="AH106" s="199">
        <v>23</v>
      </c>
      <c r="AI106" s="167">
        <v>10</v>
      </c>
    </row>
    <row customHeight="true" ht="16.071428571428573" r="107">
      <c r="A107" s="149"/>
      <c r="B107" s="150" t="s">
        <v>105</v>
      </c>
      <c r="C107" s="200" t="s">
        <v>127</v>
      </c>
      <c r="D107" s="171">
        <v>6903.62</v>
      </c>
      <c r="E107" s="172">
        <v>9</v>
      </c>
      <c r="F107" s="154">
        <f t="shared" si="424"/>
      </c>
      <c r="G107" s="172">
        <v>2560</v>
      </c>
      <c r="H107" s="156">
        <f t="shared" si="454"/>
      </c>
      <c r="I107" s="157">
        <f t="shared" si="364"/>
      </c>
      <c r="J107" s="158">
        <f t="shared" si="394"/>
      </c>
      <c r="K107" s="159">
        <f t="shared" si="304"/>
      </c>
      <c r="L107" s="174">
        <f t="shared" si="334"/>
      </c>
      <c r="M107" s="175">
        <f t="shared" si="214"/>
      </c>
      <c r="N107" s="176">
        <f t="shared" si="244"/>
      </c>
      <c r="O107" s="176">
        <f t="shared" si="274"/>
      </c>
      <c r="P107" s="176">
        <f t="shared" si="154"/>
      </c>
      <c r="Q107" s="176">
        <f t="shared" si="184"/>
      </c>
      <c r="R107" s="175">
        <f t="shared" si="94"/>
      </c>
      <c r="S107" s="177">
        <f t="shared" si="124"/>
      </c>
      <c r="T107" s="176">
        <f t="shared" si="34"/>
      </c>
      <c r="U107" s="176">
        <f t="shared" si="64"/>
      </c>
      <c r="V107" s="176">
        <f t="shared" si="484"/>
      </c>
      <c r="W107" s="176">
        <f t="shared" si="4"/>
      </c>
      <c r="X107" s="169" t="s">
        <v>107</v>
      </c>
      <c r="Y107" s="163" t="s">
        <v>132</v>
      </c>
      <c r="Z107" s="166">
        <v>380225</v>
      </c>
      <c r="AA107" s="166">
        <v>23610</v>
      </c>
      <c r="AB107" s="166">
        <v>761373</v>
      </c>
      <c r="AC107" s="166">
        <v>1703</v>
      </c>
      <c r="AD107" s="166">
        <v>10</v>
      </c>
      <c r="AE107" s="166">
        <v>31576</v>
      </c>
      <c r="AF107" s="166">
        <v>300</v>
      </c>
      <c r="AG107" s="166">
        <v>131</v>
      </c>
      <c r="AH107" s="165">
        <v>23</v>
      </c>
      <c r="AI107" s="167">
        <v>1</v>
      </c>
    </row>
    <row customHeight="true" ht="16.071428571428573" r="108">
      <c r="A108" s="149"/>
      <c r="B108" s="150" t="s">
        <v>105</v>
      </c>
      <c r="C108" s="201" t="s">
        <v>128</v>
      </c>
      <c r="D108" s="195">
        <f>1598.811+1.395</f>
      </c>
      <c r="E108" s="172">
        <v>23</v>
      </c>
      <c r="F108" s="154">
        <f t="shared" si="424"/>
      </c>
      <c r="G108" s="172">
        <v>7272.599999999991</v>
      </c>
      <c r="H108" s="156">
        <f t="shared" si="454"/>
      </c>
      <c r="I108" s="157">
        <f t="shared" si="364"/>
      </c>
      <c r="J108" s="158">
        <f t="shared" si="394"/>
      </c>
      <c r="K108" s="159">
        <f t="shared" si="304"/>
      </c>
      <c r="L108" s="174">
        <f t="shared" si="334"/>
      </c>
      <c r="M108" s="175">
        <f t="shared" si="214"/>
      </c>
      <c r="N108" s="176">
        <f t="shared" si="244"/>
      </c>
      <c r="O108" s="176">
        <f t="shared" si="274"/>
      </c>
      <c r="P108" s="176">
        <f t="shared" si="154"/>
      </c>
      <c r="Q108" s="176">
        <f t="shared" si="184"/>
      </c>
      <c r="R108" s="175">
        <f t="shared" si="94"/>
      </c>
      <c r="S108" s="177">
        <f t="shared" si="124"/>
      </c>
      <c r="T108" s="176">
        <f t="shared" si="34"/>
      </c>
      <c r="U108" s="176">
        <f t="shared" si="64"/>
      </c>
      <c r="V108" s="176">
        <f t="shared" si="484"/>
      </c>
      <c r="W108" s="176">
        <f t="shared" si="4"/>
      </c>
      <c r="X108" s="169" t="s">
        <v>107</v>
      </c>
      <c r="Y108" s="163" t="s">
        <v>132</v>
      </c>
      <c r="Z108" s="166">
        <v>90014</v>
      </c>
      <c r="AA108" s="166">
        <v>8790</v>
      </c>
      <c r="AB108" s="166">
        <v>109313</v>
      </c>
      <c r="AC108" s="166">
        <v>535</v>
      </c>
      <c r="AD108" s="166">
        <v>10</v>
      </c>
      <c r="AE108" s="166">
        <v>5992</v>
      </c>
      <c r="AF108" s="166">
        <v>115</v>
      </c>
      <c r="AG108" s="166">
        <v>40</v>
      </c>
      <c r="AH108" s="165">
        <v>17</v>
      </c>
      <c r="AI108" s="167">
        <v>7</v>
      </c>
    </row>
    <row customHeight="true" ht="16.071428571428573" r="109">
      <c r="A109" s="149"/>
      <c r="B109" s="178" t="s">
        <v>112</v>
      </c>
      <c r="C109" s="178"/>
      <c r="D109" s="179">
        <f>SUM(D105:D108)</f>
      </c>
      <c r="E109" s="180">
        <f>SUM(E105:E108)</f>
      </c>
      <c r="F109" s="181">
        <f t="shared" si="424"/>
      </c>
      <c r="G109" s="182">
        <f>SUM(G105:G108)</f>
      </c>
      <c r="H109" s="183">
        <f t="shared" si="454"/>
      </c>
      <c r="I109" s="184">
        <f t="shared" si="364"/>
      </c>
      <c r="J109" s="185">
        <f t="shared" si="394"/>
      </c>
      <c r="K109" s="181">
        <f t="shared" si="304"/>
      </c>
      <c r="L109" s="186">
        <f t="shared" si="334"/>
      </c>
      <c r="M109" s="185">
        <f t="shared" si="214"/>
      </c>
      <c r="N109" s="187">
        <f t="shared" si="244"/>
      </c>
      <c r="O109" s="187">
        <f t="shared" si="274"/>
      </c>
      <c r="P109" s="187">
        <f t="shared" si="154"/>
      </c>
      <c r="Q109" s="187">
        <f t="shared" si="184"/>
      </c>
      <c r="R109" s="185">
        <f t="shared" si="94"/>
      </c>
      <c r="S109" s="181">
        <f t="shared" si="124"/>
      </c>
      <c r="T109" s="187">
        <f t="shared" si="34"/>
      </c>
      <c r="U109" s="187">
        <f t="shared" si="64"/>
      </c>
      <c r="V109" s="187">
        <f t="shared" si="484"/>
      </c>
      <c r="W109" s="187">
        <f t="shared" si="4"/>
      </c>
      <c r="X109" s="187"/>
      <c r="Y109" s="188"/>
      <c r="Z109" s="179">
        <f>SUM(Z105:Z108)</f>
      </c>
      <c r="AA109" s="179">
        <f>SUM(AA105:AA108)</f>
      </c>
      <c r="AB109" s="179">
        <f>SUM(AB105:AB108)</f>
      </c>
      <c r="AC109" s="179">
        <f>SUM(AC105:AC108)</f>
      </c>
      <c r="AD109" s="179">
        <f>SUM(AD105:AD108)</f>
      </c>
      <c r="AE109" s="179">
        <f>SUM(AE105:AE108)</f>
      </c>
      <c r="AF109" s="179">
        <f>SUM(AF105:AF108)</f>
      </c>
      <c r="AG109" s="179">
        <f>SUM(AG105:AG108)</f>
      </c>
      <c r="AH109" s="179">
        <f>SUM(AH105:AH108)</f>
      </c>
      <c r="AI109" s="179">
        <f>SUM(AI105:AI108)</f>
      </c>
    </row>
    <row customHeight="true" ht="16.071428571428573" r="110">
      <c r="A110" s="149"/>
      <c r="B110" s="202" t="s">
        <v>129</v>
      </c>
      <c r="C110" s="202"/>
      <c r="D110" s="203">
        <f>SUM(D109+D94+D99+D104)</f>
      </c>
      <c r="E110" s="204">
        <f>SUM(E109+E94+E99+E104)</f>
      </c>
      <c r="F110" s="205">
        <f t="shared" si="424"/>
      </c>
      <c r="G110" s="206">
        <f>SUM(G109+G94+G99+G104)</f>
      </c>
      <c r="H110" s="207">
        <f t="shared" si="454"/>
      </c>
      <c r="I110" s="208">
        <f t="shared" si="364"/>
      </c>
      <c r="J110" s="209">
        <f t="shared" si="394"/>
      </c>
      <c r="K110" s="205">
        <f t="shared" si="304"/>
      </c>
      <c r="L110" s="210">
        <f t="shared" si="334"/>
      </c>
      <c r="M110" s="210">
        <f t="shared" si="214"/>
      </c>
      <c r="N110" s="211">
        <f t="shared" si="244"/>
      </c>
      <c r="O110" s="211">
        <f t="shared" si="274"/>
      </c>
      <c r="P110" s="211">
        <f t="shared" si="154"/>
      </c>
      <c r="Q110" s="211">
        <f t="shared" si="184"/>
      </c>
      <c r="R110" s="212">
        <f t="shared" si="94"/>
      </c>
      <c r="S110" s="213">
        <f t="shared" si="124"/>
      </c>
      <c r="T110" s="214">
        <f t="shared" si="34"/>
      </c>
      <c r="U110" s="214">
        <f t="shared" si="64"/>
      </c>
      <c r="V110" s="214">
        <f t="shared" si="484"/>
      </c>
      <c r="W110" s="214">
        <f t="shared" si="4"/>
      </c>
      <c r="X110" s="214"/>
      <c r="Y110" s="215"/>
      <c r="Z110" s="216">
        <f>SUM(Z94+Z109+Z99+Z104)</f>
      </c>
      <c r="AA110" s="216">
        <f>SUM(AA94+AA109+AA99+AA104)</f>
      </c>
      <c r="AB110" s="216">
        <f>SUM(AB94+AB109+AB99+AB104)</f>
      </c>
      <c r="AC110" s="216">
        <f>SUM(AC94+AC109+AC99+AC104)</f>
      </c>
      <c r="AD110" s="216">
        <f>SUM(AD94+AD109+AD99+AD104)</f>
      </c>
      <c r="AE110" s="216">
        <f>SUM(AE94+AE109+AE99+AE104)</f>
      </c>
      <c r="AF110" s="216">
        <f>SUM(AF94+AF109+AF99+AF104)</f>
      </c>
      <c r="AG110" s="216">
        <f>SUM(AG94+AG109+AG99+AG104)</f>
      </c>
      <c r="AH110" s="216">
        <f>SUM(AH94+AH109+AH99+AH104)</f>
      </c>
      <c r="AI110" s="216">
        <f>SUM(AI94+AI109+AI99+AI104)</f>
      </c>
    </row>
    <row customHeight="true" ht="16.071428571428573" r="111">
      <c r="A111" s="133" t="s">
        <v>70</v>
      </c>
      <c r="B111" s="134" t="s">
        <v>71</v>
      </c>
      <c r="C111" s="135" t="s">
        <v>72</v>
      </c>
      <c r="D111" s="136" t="s">
        <v>73</v>
      </c>
      <c r="E111" s="137" t="s">
        <v>74</v>
      </c>
      <c r="F111" s="138" t="s">
        <v>75</v>
      </c>
      <c r="G111" s="139" t="s">
        <v>76</v>
      </c>
      <c r="H111" s="138" t="s">
        <v>77</v>
      </c>
      <c r="I111" s="139" t="s">
        <v>78</v>
      </c>
      <c r="J111" s="140" t="s">
        <v>79</v>
      </c>
      <c r="K111" s="140" t="s">
        <v>80</v>
      </c>
      <c r="L111" s="141" t="s">
        <v>81</v>
      </c>
      <c r="M111" s="141" t="s">
        <v>82</v>
      </c>
      <c r="N111" s="141" t="s">
        <v>83</v>
      </c>
      <c r="O111" s="141" t="s">
        <v>84</v>
      </c>
      <c r="P111" s="141" t="s">
        <v>85</v>
      </c>
      <c r="Q111" s="141" t="s">
        <v>86</v>
      </c>
      <c r="R111" s="141" t="s">
        <v>87</v>
      </c>
      <c r="S111" s="141" t="s">
        <v>88</v>
      </c>
      <c r="T111" s="142" t="s">
        <v>89</v>
      </c>
      <c r="U111" s="142" t="s">
        <v>90</v>
      </c>
      <c r="V111" s="142" t="s">
        <v>91</v>
      </c>
      <c r="W111" s="142" t="s">
        <v>92</v>
      </c>
      <c r="X111" s="143" t="s">
        <v>93</v>
      </c>
      <c r="Y111" s="143" t="s">
        <v>94</v>
      </c>
      <c r="Z111" s="144" t="s">
        <v>95</v>
      </c>
      <c r="AA111" s="144" t="s">
        <v>96</v>
      </c>
      <c r="AB111" s="144" t="s">
        <v>97</v>
      </c>
      <c r="AC111" s="145" t="s">
        <v>98</v>
      </c>
      <c r="AD111" s="145" t="s">
        <v>99</v>
      </c>
      <c r="AE111" s="146" t="s">
        <v>100</v>
      </c>
      <c r="AF111" s="145" t="s">
        <v>101</v>
      </c>
      <c r="AG111" s="145" t="s">
        <v>102</v>
      </c>
      <c r="AH111" s="147" t="s">
        <v>103</v>
      </c>
      <c r="AI111" s="148" t="s">
        <v>104</v>
      </c>
    </row>
    <row customHeight="true" ht="16.071428571428573" r="112">
      <c r="A112" s="149">
        <v>46271</v>
      </c>
      <c r="B112" s="150" t="s">
        <v>124</v>
      </c>
      <c r="C112" s="151" t="s">
        <v>106</v>
      </c>
      <c r="D112" s="152">
        <v>1819.1130000000003</v>
      </c>
      <c r="E112" s="153">
        <v>7</v>
      </c>
      <c r="F112" s="154">
        <f t="shared" ref="F112:F132" si="425">D112/E112</f>
      </c>
      <c r="G112" s="155">
        <v>1462.3</v>
      </c>
      <c r="H112" s="156">
        <f t="shared" ref="H112:H132" si="455">AD112</f>
      </c>
      <c r="I112" s="157">
        <f t="shared" ref="I112:I132" si="365">D112/AD112</f>
      </c>
      <c r="J112" s="158">
        <f t="shared" ref="J112:J132" si="395">G112/E112</f>
      </c>
      <c r="K112" s="159">
        <f t="shared" ref="K112:K132" si="305">G112/D112</f>
      </c>
      <c r="L112" s="160">
        <f t="shared" ref="L112:L132" si="335">D112/AB112</f>
      </c>
      <c r="M112" s="158">
        <f t="shared" ref="M112:M132" si="215">D112/AC112</f>
      </c>
      <c r="N112" s="161">
        <f t="shared" ref="N112:N132" si="245">AC112/AB112</f>
      </c>
      <c r="O112" s="161">
        <f t="shared" ref="O112:O132" si="275">AD112/AC112</f>
      </c>
      <c r="P112" s="161">
        <f t="shared" ref="P112:P132" si="155">AA112/Z112</f>
      </c>
      <c r="Q112" s="161">
        <f t="shared" ref="Q112:Q132" si="185">AD112/AA112</f>
      </c>
      <c r="R112" s="158">
        <f t="shared" ref="R112:R132" si="95">D112/Z112*1000</f>
      </c>
      <c r="S112" s="159">
        <f t="shared" ref="S112:S132" si="125">D112/AA112</f>
      </c>
      <c r="T112" s="161">
        <f t="shared" ref="T112:T132" si="35">AE112/AB112</f>
      </c>
      <c r="U112" s="161">
        <f t="shared" ref="U112:U132" si="65">AF112/AB112</f>
      </c>
      <c r="V112" s="161">
        <f t="shared" ref="V112:V132" si="485">AG112/AB112</f>
      </c>
      <c r="W112" s="161">
        <f t="shared" ref="W112:W132" si="5">AH112/AB112</f>
      </c>
      <c r="X112" s="162" t="s">
        <v>107</v>
      </c>
      <c r="Y112" s="163" t="s">
        <v>120</v>
      </c>
      <c r="Z112" s="164">
        <v>66604</v>
      </c>
      <c r="AA112" s="164">
        <v>16522</v>
      </c>
      <c r="AB112" s="164">
        <v>112829</v>
      </c>
      <c r="AC112" s="164">
        <v>650</v>
      </c>
      <c r="AD112" s="165">
        <v>5</v>
      </c>
      <c r="AE112" s="164">
        <v>10801</v>
      </c>
      <c r="AF112" s="166">
        <v>235</v>
      </c>
      <c r="AG112" s="166">
        <v>34</v>
      </c>
      <c r="AH112" s="166">
        <v>15</v>
      </c>
      <c r="AI112" s="167">
        <v>1</v>
      </c>
    </row>
    <row customHeight="true" ht="16.071428571428573" r="113">
      <c r="A113" s="149"/>
      <c r="B113" s="150" t="s">
        <v>124</v>
      </c>
      <c r="C113" s="168" t="s">
        <v>109</v>
      </c>
      <c r="D113" s="152">
        <v>2252.63</v>
      </c>
      <c r="E113" s="153">
        <v>7</v>
      </c>
      <c r="F113" s="154">
        <f t="shared" si="425"/>
      </c>
      <c r="G113" s="155">
        <v>2090.3</v>
      </c>
      <c r="H113" s="156">
        <f t="shared" si="455"/>
      </c>
      <c r="I113" s="157">
        <f t="shared" si="365"/>
      </c>
      <c r="J113" s="158">
        <f t="shared" si="395"/>
      </c>
      <c r="K113" s="159">
        <f t="shared" si="305"/>
      </c>
      <c r="L113" s="160">
        <f t="shared" si="335"/>
      </c>
      <c r="M113" s="158">
        <f t="shared" si="215"/>
      </c>
      <c r="N113" s="161">
        <f t="shared" si="245"/>
      </c>
      <c r="O113" s="161">
        <f t="shared" si="275"/>
      </c>
      <c r="P113" s="161">
        <f t="shared" si="155"/>
      </c>
      <c r="Q113" s="161">
        <f t="shared" si="185"/>
      </c>
      <c r="R113" s="158">
        <f t="shared" si="95"/>
      </c>
      <c r="S113" s="159">
        <f t="shared" si="125"/>
      </c>
      <c r="T113" s="161">
        <f t="shared" si="35"/>
      </c>
      <c r="U113" s="161">
        <f t="shared" si="65"/>
      </c>
      <c r="V113" s="161">
        <f t="shared" si="485"/>
      </c>
      <c r="W113" s="161">
        <f t="shared" si="5"/>
      </c>
      <c r="X113" s="169" t="s">
        <v>107</v>
      </c>
      <c r="Y113" s="163" t="s">
        <v>120</v>
      </c>
      <c r="Z113" s="166">
        <v>77671</v>
      </c>
      <c r="AA113" s="164">
        <v>21237</v>
      </c>
      <c r="AB113" s="164">
        <v>110783</v>
      </c>
      <c r="AC113" s="164">
        <v>361</v>
      </c>
      <c r="AD113" s="166">
        <v>7</v>
      </c>
      <c r="AE113" s="164">
        <v>11495</v>
      </c>
      <c r="AF113" s="166">
        <v>249</v>
      </c>
      <c r="AG113" s="166">
        <v>45</v>
      </c>
      <c r="AH113" s="165">
        <v>8</v>
      </c>
      <c r="AI113" s="167">
        <v>0</v>
      </c>
    </row>
    <row customHeight="true" ht="16.071428571428573" r="114">
      <c r="A114" s="149"/>
      <c r="B114" s="150" t="s">
        <v>124</v>
      </c>
      <c r="C114" s="170" t="s">
        <v>110</v>
      </c>
      <c r="D114" s="171">
        <v>3553.09</v>
      </c>
      <c r="E114" s="172">
        <v>7</v>
      </c>
      <c r="F114" s="154">
        <f t="shared" si="425"/>
      </c>
      <c r="G114" s="172">
        <v>2746.8</v>
      </c>
      <c r="H114" s="156">
        <f t="shared" si="455"/>
      </c>
      <c r="I114" s="157">
        <f t="shared" si="365"/>
      </c>
      <c r="J114" s="158">
        <f t="shared" si="395"/>
      </c>
      <c r="K114" s="159">
        <f t="shared" si="305"/>
      </c>
      <c r="L114" s="160">
        <f t="shared" si="335"/>
      </c>
      <c r="M114" s="158">
        <f t="shared" si="215"/>
      </c>
      <c r="N114" s="161">
        <f t="shared" si="245"/>
      </c>
      <c r="O114" s="161">
        <f t="shared" si="275"/>
      </c>
      <c r="P114" s="161">
        <f t="shared" si="155"/>
      </c>
      <c r="Q114" s="161">
        <f t="shared" si="185"/>
      </c>
      <c r="R114" s="158">
        <f t="shared" si="95"/>
      </c>
      <c r="S114" s="159">
        <f t="shared" si="125"/>
      </c>
      <c r="T114" s="161">
        <f t="shared" si="35"/>
      </c>
      <c r="U114" s="161">
        <f t="shared" si="65"/>
      </c>
      <c r="V114" s="161">
        <f t="shared" si="485"/>
      </c>
      <c r="W114" s="161">
        <f t="shared" si="5"/>
      </c>
      <c r="X114" s="169" t="s">
        <v>107</v>
      </c>
      <c r="Y114" s="163" t="s">
        <v>120</v>
      </c>
      <c r="Z114" s="166">
        <v>131200</v>
      </c>
      <c r="AA114" s="166">
        <v>33347</v>
      </c>
      <c r="AB114" s="166">
        <v>208006</v>
      </c>
      <c r="AC114" s="166">
        <v>335</v>
      </c>
      <c r="AD114" s="166">
        <v>6</v>
      </c>
      <c r="AE114" s="166">
        <v>20212</v>
      </c>
      <c r="AF114" s="166">
        <v>345</v>
      </c>
      <c r="AG114" s="166">
        <v>71</v>
      </c>
      <c r="AH114" s="166">
        <v>15</v>
      </c>
      <c r="AI114" s="167">
        <v>0</v>
      </c>
    </row>
    <row customHeight="true" ht="16.071428571428573" r="115">
      <c r="A115" s="149"/>
      <c r="B115" s="150" t="s">
        <v>124</v>
      </c>
      <c r="C115" s="173" t="s">
        <v>111</v>
      </c>
      <c r="D115" s="171">
        <v>3103.746</v>
      </c>
      <c r="E115" s="172">
        <v>9</v>
      </c>
      <c r="F115" s="154">
        <f t="shared" si="425"/>
      </c>
      <c r="G115" s="172">
        <v>3681.6000000000013</v>
      </c>
      <c r="H115" s="156">
        <f t="shared" si="455"/>
      </c>
      <c r="I115" s="157">
        <f t="shared" si="365"/>
      </c>
      <c r="J115" s="158">
        <f t="shared" si="395"/>
      </c>
      <c r="K115" s="159">
        <f t="shared" si="305"/>
      </c>
      <c r="L115" s="174">
        <f t="shared" si="335"/>
      </c>
      <c r="M115" s="175">
        <f t="shared" si="215"/>
      </c>
      <c r="N115" s="176">
        <f t="shared" si="245"/>
      </c>
      <c r="O115" s="176">
        <f t="shared" si="275"/>
      </c>
      <c r="P115" s="176">
        <f t="shared" si="155"/>
      </c>
      <c r="Q115" s="176">
        <f t="shared" si="185"/>
      </c>
      <c r="R115" s="175">
        <f t="shared" si="95"/>
      </c>
      <c r="S115" s="177">
        <f t="shared" si="125"/>
      </c>
      <c r="T115" s="176">
        <f t="shared" si="35"/>
      </c>
      <c r="U115" s="176">
        <f t="shared" si="65"/>
      </c>
      <c r="V115" s="176">
        <f t="shared" si="485"/>
      </c>
      <c r="W115" s="176">
        <f t="shared" si="5"/>
      </c>
      <c r="X115" s="169" t="s">
        <v>107</v>
      </c>
      <c r="Y115" s="163" t="s">
        <v>120</v>
      </c>
      <c r="Z115" s="166">
        <v>123053</v>
      </c>
      <c r="AA115" s="166">
        <v>28088</v>
      </c>
      <c r="AB115" s="166">
        <v>187143</v>
      </c>
      <c r="AC115" s="166">
        <v>295</v>
      </c>
      <c r="AD115" s="166">
        <v>7</v>
      </c>
      <c r="AE115" s="166">
        <v>17431</v>
      </c>
      <c r="AF115" s="166">
        <v>285</v>
      </c>
      <c r="AG115" s="166">
        <v>72</v>
      </c>
      <c r="AH115" s="165">
        <v>16</v>
      </c>
      <c r="AI115" s="167">
        <v>0</v>
      </c>
    </row>
    <row customHeight="true" ht="16.071428571428573" r="116">
      <c r="A116" s="149"/>
      <c r="B116" s="178" t="s">
        <v>112</v>
      </c>
      <c r="C116" s="178"/>
      <c r="D116" s="179">
        <f>SUM(D112:D115)</f>
      </c>
      <c r="E116" s="180">
        <f>SUM(E112:E115)</f>
      </c>
      <c r="F116" s="181">
        <f t="shared" si="425"/>
      </c>
      <c r="G116" s="182">
        <f>SUM(G112:G115)</f>
      </c>
      <c r="H116" s="183">
        <f t="shared" si="455"/>
      </c>
      <c r="I116" s="184">
        <f t="shared" si="365"/>
      </c>
      <c r="J116" s="185">
        <f t="shared" si="395"/>
      </c>
      <c r="K116" s="181">
        <f t="shared" si="305"/>
      </c>
      <c r="L116" s="186">
        <f t="shared" si="335"/>
      </c>
      <c r="M116" s="185">
        <f t="shared" si="215"/>
      </c>
      <c r="N116" s="187">
        <f t="shared" si="245"/>
      </c>
      <c r="O116" s="187">
        <f t="shared" si="275"/>
      </c>
      <c r="P116" s="187">
        <f t="shared" si="155"/>
      </c>
      <c r="Q116" s="187">
        <f t="shared" si="185"/>
      </c>
      <c r="R116" s="185">
        <f t="shared" si="95"/>
      </c>
      <c r="S116" s="181">
        <f t="shared" si="125"/>
      </c>
      <c r="T116" s="187">
        <f t="shared" si="35"/>
      </c>
      <c r="U116" s="187">
        <f t="shared" si="65"/>
      </c>
      <c r="V116" s="187">
        <f t="shared" si="485"/>
      </c>
      <c r="W116" s="187">
        <f t="shared" si="5"/>
      </c>
      <c r="X116" s="187"/>
      <c r="Y116" s="188"/>
      <c r="Z116" s="179">
        <f>SUM(Z112:Z115)</f>
      </c>
      <c r="AA116" s="179">
        <f>SUM(AA112:AA115)</f>
      </c>
      <c r="AB116" s="179">
        <f>SUM(AB112:AB115)</f>
      </c>
      <c r="AC116" s="179">
        <f>SUM(AC112:AC115)</f>
      </c>
      <c r="AD116" s="179">
        <f>SUM(AD112:AD115)</f>
      </c>
      <c r="AE116" s="179">
        <f>SUM(AE112:AE115)</f>
      </c>
      <c r="AF116" s="179">
        <f>SUM(AF112:AF115)</f>
      </c>
      <c r="AG116" s="179">
        <f>SUM(AG112:AG115)</f>
      </c>
      <c r="AH116" s="179">
        <f>SUM(AH112:AH115)</f>
      </c>
      <c r="AI116" s="179">
        <f>SUM(AI112:AI115)</f>
      </c>
    </row>
    <row customHeight="true" ht="16.071428571428573" r="117">
      <c r="A117" s="149"/>
      <c r="B117" s="218" t="s">
        <v>113</v>
      </c>
      <c r="C117" s="173" t="s">
        <v>114</v>
      </c>
      <c r="D117" s="190">
        <v>2940.942</v>
      </c>
      <c r="E117" s="191">
        <v>4</v>
      </c>
      <c r="F117" s="154">
        <f t="shared" si="425"/>
      </c>
      <c r="G117" s="172">
        <v>2041.6000000000004</v>
      </c>
      <c r="H117" s="156">
        <f t="shared" si="455"/>
      </c>
      <c r="I117" s="157">
        <f t="shared" si="365"/>
      </c>
      <c r="J117" s="158">
        <f t="shared" si="395"/>
      </c>
      <c r="K117" s="159">
        <f t="shared" si="305"/>
      </c>
      <c r="L117" s="160">
        <f t="shared" si="335"/>
      </c>
      <c r="M117" s="158">
        <f t="shared" si="215"/>
      </c>
      <c r="N117" s="161">
        <f t="shared" si="245"/>
      </c>
      <c r="O117" s="161">
        <f t="shared" si="275"/>
      </c>
      <c r="P117" s="161">
        <f t="shared" si="155"/>
      </c>
      <c r="Q117" s="161">
        <f t="shared" si="185"/>
      </c>
      <c r="R117" s="158">
        <f t="shared" si="95"/>
      </c>
      <c r="S117" s="159">
        <f t="shared" si="125"/>
      </c>
      <c r="T117" s="161">
        <f t="shared" si="35"/>
      </c>
      <c r="U117" s="161">
        <f t="shared" si="65"/>
      </c>
      <c r="V117" s="161">
        <f t="shared" si="485"/>
      </c>
      <c r="W117" s="161">
        <f t="shared" si="5"/>
      </c>
      <c r="X117" s="169" t="s">
        <v>107</v>
      </c>
      <c r="Y117" s="163" t="s">
        <v>120</v>
      </c>
      <c r="Z117" s="166">
        <v>133263</v>
      </c>
      <c r="AA117" s="166">
        <v>29660</v>
      </c>
      <c r="AB117" s="166">
        <v>179729</v>
      </c>
      <c r="AC117" s="166">
        <v>278</v>
      </c>
      <c r="AD117" s="166">
        <v>5</v>
      </c>
      <c r="AE117" s="166">
        <v>16043</v>
      </c>
      <c r="AF117" s="166">
        <v>279</v>
      </c>
      <c r="AG117" s="166">
        <v>51</v>
      </c>
      <c r="AH117" s="166">
        <v>15</v>
      </c>
      <c r="AI117" s="167">
        <v>0</v>
      </c>
    </row>
    <row customHeight="true" ht="16.071428571428573" r="118">
      <c r="A118" s="149"/>
      <c r="B118" s="218" t="s">
        <v>113</v>
      </c>
      <c r="C118" s="192" t="s">
        <v>115</v>
      </c>
      <c r="D118" s="171">
        <v>2765.9970000000003</v>
      </c>
      <c r="E118" s="172">
        <v>7</v>
      </c>
      <c r="F118" s="154">
        <f t="shared" si="425"/>
      </c>
      <c r="G118" s="172">
        <v>1564</v>
      </c>
      <c r="H118" s="156">
        <f t="shared" si="455"/>
      </c>
      <c r="I118" s="157">
        <f t="shared" si="365"/>
      </c>
      <c r="J118" s="158">
        <f t="shared" si="395"/>
      </c>
      <c r="K118" s="159">
        <f t="shared" si="305"/>
      </c>
      <c r="L118" s="160">
        <f t="shared" si="335"/>
      </c>
      <c r="M118" s="158">
        <f t="shared" si="215"/>
      </c>
      <c r="N118" s="161">
        <f t="shared" si="245"/>
      </c>
      <c r="O118" s="161">
        <f t="shared" si="275"/>
      </c>
      <c r="P118" s="161">
        <f t="shared" si="155"/>
      </c>
      <c r="Q118" s="161">
        <f t="shared" si="185"/>
      </c>
      <c r="R118" s="158">
        <f t="shared" si="95"/>
      </c>
      <c r="S118" s="159">
        <f t="shared" si="125"/>
      </c>
      <c r="T118" s="161">
        <f t="shared" si="35"/>
      </c>
      <c r="U118" s="161">
        <f t="shared" si="65"/>
      </c>
      <c r="V118" s="161">
        <f t="shared" si="485"/>
      </c>
      <c r="W118" s="161">
        <f t="shared" si="5"/>
      </c>
      <c r="X118" s="169" t="s">
        <v>107</v>
      </c>
      <c r="Y118" s="163" t="s">
        <v>120</v>
      </c>
      <c r="Z118" s="166">
        <v>139978</v>
      </c>
      <c r="AA118" s="166">
        <v>30783</v>
      </c>
      <c r="AB118" s="166">
        <v>186682</v>
      </c>
      <c r="AC118" s="166">
        <v>364</v>
      </c>
      <c r="AD118" s="166">
        <v>8</v>
      </c>
      <c r="AE118" s="166">
        <v>14255</v>
      </c>
      <c r="AF118" s="166">
        <v>302</v>
      </c>
      <c r="AG118" s="166">
        <v>110</v>
      </c>
      <c r="AH118" s="166">
        <v>21</v>
      </c>
      <c r="AI118" s="167">
        <v>1</v>
      </c>
    </row>
    <row customHeight="true" ht="16.071428571428573" r="119">
      <c r="A119" s="149"/>
      <c r="B119" s="218" t="s">
        <v>113</v>
      </c>
      <c r="C119" s="193" t="s">
        <v>116</v>
      </c>
      <c r="D119" s="171">
        <v>2935.303</v>
      </c>
      <c r="E119" s="172">
        <v>4</v>
      </c>
      <c r="F119" s="154">
        <f t="shared" si="425"/>
      </c>
      <c r="G119" s="172">
        <v>1512</v>
      </c>
      <c r="H119" s="156">
        <f t="shared" si="455"/>
      </c>
      <c r="I119" s="157">
        <f t="shared" si="365"/>
      </c>
      <c r="J119" s="158">
        <f t="shared" si="395"/>
      </c>
      <c r="K119" s="159">
        <f t="shared" si="305"/>
      </c>
      <c r="L119" s="174">
        <f t="shared" si="335"/>
      </c>
      <c r="M119" s="175">
        <f t="shared" si="215"/>
      </c>
      <c r="N119" s="176">
        <f t="shared" si="245"/>
      </c>
      <c r="O119" s="176">
        <f t="shared" si="275"/>
      </c>
      <c r="P119" s="176">
        <f t="shared" si="155"/>
      </c>
      <c r="Q119" s="176">
        <f t="shared" si="185"/>
      </c>
      <c r="R119" s="175">
        <f t="shared" si="95"/>
      </c>
      <c r="S119" s="177">
        <f t="shared" si="125"/>
      </c>
      <c r="T119" s="176">
        <f t="shared" si="35"/>
      </c>
      <c r="U119" s="176">
        <f t="shared" si="65"/>
      </c>
      <c r="V119" s="176">
        <f t="shared" si="485"/>
      </c>
      <c r="W119" s="176">
        <f t="shared" si="5"/>
      </c>
      <c r="X119" s="169" t="s">
        <v>107</v>
      </c>
      <c r="Y119" s="163" t="s">
        <v>120</v>
      </c>
      <c r="Z119" s="166">
        <v>134214</v>
      </c>
      <c r="AA119" s="166">
        <v>25555</v>
      </c>
      <c r="AB119" s="166">
        <v>189279</v>
      </c>
      <c r="AC119" s="166">
        <v>286</v>
      </c>
      <c r="AD119" s="166">
        <v>4</v>
      </c>
      <c r="AE119" s="166">
        <v>12999</v>
      </c>
      <c r="AF119" s="166">
        <v>286</v>
      </c>
      <c r="AG119" s="166">
        <v>76</v>
      </c>
      <c r="AH119" s="165">
        <v>16</v>
      </c>
      <c r="AI119" s="167">
        <v>0</v>
      </c>
    </row>
    <row customHeight="true" ht="16.071428571428573" r="120">
      <c r="A120" s="149"/>
      <c r="B120" s="218" t="s">
        <v>113</v>
      </c>
      <c r="C120" s="194" t="s">
        <v>117</v>
      </c>
      <c r="D120" s="195">
        <v>2594.1549999999997</v>
      </c>
      <c r="E120" s="172">
        <v>3</v>
      </c>
      <c r="F120" s="154">
        <f t="shared" si="425"/>
      </c>
      <c r="G120" s="172">
        <v>651.9999999999982</v>
      </c>
      <c r="H120" s="156">
        <f t="shared" si="455"/>
      </c>
      <c r="I120" s="157">
        <f t="shared" si="365"/>
      </c>
      <c r="J120" s="158">
        <f t="shared" si="395"/>
      </c>
      <c r="K120" s="159">
        <f t="shared" si="305"/>
      </c>
      <c r="L120" s="174">
        <f t="shared" si="335"/>
      </c>
      <c r="M120" s="175">
        <f t="shared" si="215"/>
      </c>
      <c r="N120" s="176">
        <f t="shared" si="245"/>
      </c>
      <c r="O120" s="176">
        <f t="shared" si="275"/>
      </c>
      <c r="P120" s="176">
        <f t="shared" si="155"/>
      </c>
      <c r="Q120" s="176">
        <f t="shared" si="185"/>
      </c>
      <c r="R120" s="175">
        <f t="shared" si="95"/>
      </c>
      <c r="S120" s="177">
        <f t="shared" si="125"/>
      </c>
      <c r="T120" s="176">
        <f t="shared" si="35"/>
      </c>
      <c r="U120" s="176">
        <f t="shared" si="65"/>
      </c>
      <c r="V120" s="176">
        <f t="shared" si="485"/>
      </c>
      <c r="W120" s="176">
        <f t="shared" si="5"/>
      </c>
      <c r="X120" s="169" t="s">
        <v>107</v>
      </c>
      <c r="Y120" s="163" t="s">
        <v>120</v>
      </c>
      <c r="Z120" s="166">
        <v>120943</v>
      </c>
      <c r="AA120" s="166">
        <v>24110</v>
      </c>
      <c r="AB120" s="166">
        <v>159325</v>
      </c>
      <c r="AC120" s="166">
        <v>291</v>
      </c>
      <c r="AD120" s="166">
        <v>2</v>
      </c>
      <c r="AE120" s="166">
        <v>11559</v>
      </c>
      <c r="AF120" s="166">
        <v>210</v>
      </c>
      <c r="AG120" s="166">
        <v>72</v>
      </c>
      <c r="AH120" s="165">
        <v>13</v>
      </c>
      <c r="AI120" s="167">
        <v>1</v>
      </c>
    </row>
    <row customHeight="true" ht="16.071428571428573" r="121">
      <c r="A121" s="149"/>
      <c r="B121" s="178" t="s">
        <v>112</v>
      </c>
      <c r="C121" s="178"/>
      <c r="D121" s="179">
        <f>SUM(D117:D120)</f>
      </c>
      <c r="E121" s="180">
        <f>SUM(E117:E120)</f>
      </c>
      <c r="F121" s="181">
        <f t="shared" si="425"/>
      </c>
      <c r="G121" s="182">
        <f>SUM(G117:G120)</f>
      </c>
      <c r="H121" s="183">
        <f t="shared" si="455"/>
      </c>
      <c r="I121" s="184">
        <f t="shared" si="365"/>
      </c>
      <c r="J121" s="185">
        <f t="shared" si="395"/>
      </c>
      <c r="K121" s="181">
        <f t="shared" si="305"/>
      </c>
      <c r="L121" s="186">
        <f t="shared" si="335"/>
      </c>
      <c r="M121" s="185">
        <f t="shared" si="215"/>
      </c>
      <c r="N121" s="187">
        <f t="shared" si="245"/>
      </c>
      <c r="O121" s="187">
        <f t="shared" si="275"/>
      </c>
      <c r="P121" s="187">
        <f t="shared" si="155"/>
      </c>
      <c r="Q121" s="187">
        <f t="shared" si="185"/>
      </c>
      <c r="R121" s="185">
        <f t="shared" si="95"/>
      </c>
      <c r="S121" s="181">
        <f t="shared" si="125"/>
      </c>
      <c r="T121" s="187">
        <f t="shared" si="35"/>
      </c>
      <c r="U121" s="187">
        <f t="shared" si="65"/>
      </c>
      <c r="V121" s="187">
        <f t="shared" si="485"/>
      </c>
      <c r="W121" s="187">
        <f t="shared" si="5"/>
      </c>
      <c r="X121" s="187"/>
      <c r="Y121" s="188"/>
      <c r="Z121" s="179">
        <f>SUM(Z117:Z120)</f>
      </c>
      <c r="AA121" s="179">
        <f>SUM(AA117:AA120)</f>
      </c>
      <c r="AB121" s="179">
        <f>SUM(AB117:AB120)</f>
      </c>
      <c r="AC121" s="179">
        <f>SUM(AC117:AC120)</f>
      </c>
      <c r="AD121" s="179">
        <f>SUM(AD117:AD120)</f>
      </c>
      <c r="AE121" s="179">
        <f>SUM(AE117:AE120)</f>
      </c>
      <c r="AF121" s="179">
        <f>SUM(AF117:AF120)</f>
      </c>
      <c r="AG121" s="179">
        <f>SUM(AG117:AG120)</f>
      </c>
      <c r="AH121" s="179">
        <f>SUM(AH117:AH120)</f>
      </c>
      <c r="AI121" s="179">
        <f>SUM(AI117:AI120)</f>
      </c>
    </row>
    <row customHeight="true" ht="16.071428571428573" r="122">
      <c r="A122" s="149"/>
      <c r="B122" s="150" t="s">
        <v>118</v>
      </c>
      <c r="C122" s="196" t="s">
        <v>119</v>
      </c>
      <c r="D122" s="171">
        <v>2789.371</v>
      </c>
      <c r="E122" s="172">
        <v>8</v>
      </c>
      <c r="F122" s="154">
        <f t="shared" si="425"/>
      </c>
      <c r="G122" s="172">
        <v>4435.999999999998</v>
      </c>
      <c r="H122" s="156">
        <f t="shared" si="455"/>
      </c>
      <c r="I122" s="157">
        <f t="shared" si="365"/>
      </c>
      <c r="J122" s="158">
        <f t="shared" si="395"/>
      </c>
      <c r="K122" s="159">
        <f t="shared" si="305"/>
      </c>
      <c r="L122" s="160">
        <f t="shared" si="335"/>
      </c>
      <c r="M122" s="158">
        <f t="shared" si="215"/>
      </c>
      <c r="N122" s="161">
        <f t="shared" si="245"/>
      </c>
      <c r="O122" s="161">
        <f t="shared" si="275"/>
      </c>
      <c r="P122" s="161">
        <f t="shared" si="155"/>
      </c>
      <c r="Q122" s="161">
        <f t="shared" si="185"/>
      </c>
      <c r="R122" s="158">
        <f t="shared" si="95"/>
      </c>
      <c r="S122" s="159">
        <f t="shared" si="125"/>
      </c>
      <c r="T122" s="161">
        <f t="shared" si="35"/>
      </c>
      <c r="U122" s="161">
        <f t="shared" si="65"/>
      </c>
      <c r="V122" s="161">
        <f t="shared" si="485"/>
      </c>
      <c r="W122" s="161">
        <f t="shared" si="5"/>
      </c>
      <c r="X122" s="169" t="s">
        <v>107</v>
      </c>
      <c r="Y122" s="163" t="s">
        <v>132</v>
      </c>
      <c r="Z122" s="166">
        <v>116834</v>
      </c>
      <c r="AA122" s="166">
        <v>26082</v>
      </c>
      <c r="AB122" s="166">
        <v>171842</v>
      </c>
      <c r="AC122" s="166">
        <v>298</v>
      </c>
      <c r="AD122" s="166">
        <v>8</v>
      </c>
      <c r="AE122" s="166">
        <v>12701</v>
      </c>
      <c r="AF122" s="166">
        <v>235</v>
      </c>
      <c r="AG122" s="166">
        <v>61</v>
      </c>
      <c r="AH122" s="166">
        <v>5</v>
      </c>
      <c r="AI122" s="167">
        <v>0</v>
      </c>
    </row>
    <row customHeight="true" ht="16.071428571428573" r="123">
      <c r="A123" s="149"/>
      <c r="B123" s="150" t="s">
        <v>118</v>
      </c>
      <c r="C123" s="197" t="s">
        <v>121</v>
      </c>
      <c r="D123" s="171">
        <v>2688.053</v>
      </c>
      <c r="E123" s="172">
        <v>5</v>
      </c>
      <c r="F123" s="154">
        <f t="shared" si="425"/>
      </c>
      <c r="G123" s="172">
        <v>1634.300000000003</v>
      </c>
      <c r="H123" s="156">
        <f t="shared" si="455"/>
      </c>
      <c r="I123" s="157">
        <f t="shared" si="365"/>
      </c>
      <c r="J123" s="158">
        <f t="shared" si="395"/>
      </c>
      <c r="K123" s="159">
        <f t="shared" si="305"/>
      </c>
      <c r="L123" s="160">
        <f t="shared" si="335"/>
      </c>
      <c r="M123" s="158">
        <f t="shared" si="215"/>
      </c>
      <c r="N123" s="161">
        <f t="shared" si="245"/>
      </c>
      <c r="O123" s="161">
        <f t="shared" si="275"/>
      </c>
      <c r="P123" s="161">
        <f t="shared" si="155"/>
      </c>
      <c r="Q123" s="161">
        <f t="shared" si="185"/>
      </c>
      <c r="R123" s="158">
        <f t="shared" si="95"/>
      </c>
      <c r="S123" s="159">
        <f t="shared" si="125"/>
      </c>
      <c r="T123" s="161">
        <f t="shared" si="35"/>
      </c>
      <c r="U123" s="161">
        <f t="shared" si="65"/>
      </c>
      <c r="V123" s="161">
        <f t="shared" si="485"/>
      </c>
      <c r="W123" s="161">
        <f t="shared" si="5"/>
      </c>
      <c r="X123" s="169" t="s">
        <v>107</v>
      </c>
      <c r="Y123" s="163" t="s">
        <v>132</v>
      </c>
      <c r="Z123" s="166">
        <v>121264</v>
      </c>
      <c r="AA123" s="166">
        <v>28422</v>
      </c>
      <c r="AB123" s="166">
        <v>162999</v>
      </c>
      <c r="AC123" s="166">
        <v>244</v>
      </c>
      <c r="AD123" s="166">
        <v>4</v>
      </c>
      <c r="AE123" s="166">
        <v>14134</v>
      </c>
      <c r="AF123" s="166">
        <v>218</v>
      </c>
      <c r="AG123" s="166">
        <v>52</v>
      </c>
      <c r="AH123" s="165">
        <v>11</v>
      </c>
      <c r="AI123" s="167">
        <v>1</v>
      </c>
    </row>
    <row customHeight="true" ht="16.071428571428573" r="124">
      <c r="A124" s="149"/>
      <c r="B124" s="150" t="s">
        <v>118</v>
      </c>
      <c r="C124" s="194" t="s">
        <v>122</v>
      </c>
      <c r="D124" s="171">
        <v>2089.101</v>
      </c>
      <c r="E124" s="172">
        <v>2</v>
      </c>
      <c r="F124" s="154">
        <f t="shared" si="425"/>
      </c>
      <c r="G124" s="172">
        <v>445.1999999999971</v>
      </c>
      <c r="H124" s="156">
        <f t="shared" si="455"/>
      </c>
      <c r="I124" s="157">
        <f t="shared" si="365"/>
      </c>
      <c r="J124" s="158">
        <f t="shared" si="395"/>
      </c>
      <c r="K124" s="159">
        <f t="shared" si="305"/>
      </c>
      <c r="L124" s="174">
        <f t="shared" si="335"/>
      </c>
      <c r="M124" s="175">
        <f t="shared" si="215"/>
      </c>
      <c r="N124" s="176">
        <f t="shared" si="245"/>
      </c>
      <c r="O124" s="176">
        <f t="shared" si="275"/>
      </c>
      <c r="P124" s="176">
        <f t="shared" si="155"/>
      </c>
      <c r="Q124" s="176">
        <f t="shared" si="185"/>
      </c>
      <c r="R124" s="175">
        <f t="shared" si="95"/>
      </c>
      <c r="S124" s="177">
        <f t="shared" si="125"/>
      </c>
      <c r="T124" s="176">
        <f t="shared" si="35"/>
      </c>
      <c r="U124" s="176">
        <f t="shared" si="65"/>
      </c>
      <c r="V124" s="176">
        <f t="shared" si="485"/>
      </c>
      <c r="W124" s="176">
        <f t="shared" si="5"/>
      </c>
      <c r="X124" s="169" t="s">
        <v>107</v>
      </c>
      <c r="Y124" s="163" t="s">
        <v>132</v>
      </c>
      <c r="Z124" s="166">
        <v>104496</v>
      </c>
      <c r="AA124" s="166">
        <v>25001</v>
      </c>
      <c r="AB124" s="166">
        <v>142013</v>
      </c>
      <c r="AC124" s="166">
        <v>244</v>
      </c>
      <c r="AD124" s="166">
        <v>1</v>
      </c>
      <c r="AE124" s="166">
        <v>12884</v>
      </c>
      <c r="AF124" s="166">
        <v>200</v>
      </c>
      <c r="AG124" s="166">
        <v>43</v>
      </c>
      <c r="AH124" s="165">
        <v>12</v>
      </c>
      <c r="AI124" s="167">
        <v>1</v>
      </c>
    </row>
    <row customHeight="true" ht="16.071428571428573" r="125">
      <c r="A125" s="149"/>
      <c r="B125" s="150" t="s">
        <v>118</v>
      </c>
      <c r="C125" s="194" t="s">
        <v>123</v>
      </c>
      <c r="D125" s="195">
        <v>2521.339</v>
      </c>
      <c r="E125" s="172">
        <v>6</v>
      </c>
      <c r="F125" s="154">
        <f t="shared" si="425"/>
      </c>
      <c r="G125" s="172">
        <v>2536</v>
      </c>
      <c r="H125" s="156">
        <f t="shared" si="455"/>
      </c>
      <c r="I125" s="157">
        <f t="shared" si="365"/>
      </c>
      <c r="J125" s="158">
        <f t="shared" si="395"/>
      </c>
      <c r="K125" s="159">
        <f t="shared" si="305"/>
      </c>
      <c r="L125" s="174">
        <f t="shared" si="335"/>
      </c>
      <c r="M125" s="175">
        <f t="shared" si="215"/>
      </c>
      <c r="N125" s="176">
        <f t="shared" si="245"/>
      </c>
      <c r="O125" s="176">
        <f t="shared" si="275"/>
      </c>
      <c r="P125" s="176">
        <f t="shared" si="155"/>
      </c>
      <c r="Q125" s="176">
        <f t="shared" si="185"/>
      </c>
      <c r="R125" s="175">
        <f t="shared" si="95"/>
      </c>
      <c r="S125" s="177">
        <f t="shared" si="125"/>
      </c>
      <c r="T125" s="176">
        <f t="shared" si="35"/>
      </c>
      <c r="U125" s="176">
        <f t="shared" si="65"/>
      </c>
      <c r="V125" s="176">
        <f t="shared" si="485"/>
      </c>
      <c r="W125" s="176">
        <f t="shared" si="5"/>
      </c>
      <c r="X125" s="169" t="s">
        <v>107</v>
      </c>
      <c r="Y125" s="163" t="s">
        <v>132</v>
      </c>
      <c r="Z125" s="166">
        <v>144050</v>
      </c>
      <c r="AA125" s="166">
        <v>18840</v>
      </c>
      <c r="AB125" s="166">
        <v>259955</v>
      </c>
      <c r="AC125" s="166">
        <v>413</v>
      </c>
      <c r="AD125" s="166">
        <v>1</v>
      </c>
      <c r="AE125" s="166">
        <v>13457</v>
      </c>
      <c r="AF125" s="166">
        <v>156</v>
      </c>
      <c r="AG125" s="166">
        <v>43</v>
      </c>
      <c r="AH125" s="165">
        <v>7</v>
      </c>
      <c r="AI125" s="167">
        <v>0</v>
      </c>
    </row>
    <row customHeight="true" ht="16.071428571428573" r="126">
      <c r="A126" s="149"/>
      <c r="B126" s="178" t="s">
        <v>112</v>
      </c>
      <c r="C126" s="178"/>
      <c r="D126" s="179">
        <f>SUM(D122:D125)</f>
      </c>
      <c r="E126" s="180">
        <f>SUM(E122:E125)</f>
      </c>
      <c r="F126" s="181">
        <f t="shared" si="425"/>
      </c>
      <c r="G126" s="182">
        <f>SUM(G122:G125)</f>
      </c>
      <c r="H126" s="183">
        <f t="shared" si="455"/>
      </c>
      <c r="I126" s="184">
        <f t="shared" si="365"/>
      </c>
      <c r="J126" s="185">
        <f t="shared" si="395"/>
      </c>
      <c r="K126" s="181">
        <f t="shared" si="305"/>
      </c>
      <c r="L126" s="186">
        <f t="shared" si="335"/>
      </c>
      <c r="M126" s="185">
        <f t="shared" si="215"/>
      </c>
      <c r="N126" s="187">
        <f t="shared" si="245"/>
      </c>
      <c r="O126" s="187">
        <f t="shared" si="275"/>
      </c>
      <c r="P126" s="187">
        <f t="shared" si="155"/>
      </c>
      <c r="Q126" s="187">
        <f t="shared" si="185"/>
      </c>
      <c r="R126" s="185">
        <f t="shared" si="95"/>
      </c>
      <c r="S126" s="181">
        <f t="shared" si="125"/>
      </c>
      <c r="T126" s="187">
        <f t="shared" si="35"/>
      </c>
      <c r="U126" s="187">
        <f t="shared" si="65"/>
      </c>
      <c r="V126" s="187">
        <f t="shared" si="485"/>
      </c>
      <c r="W126" s="187">
        <f t="shared" si="5"/>
      </c>
      <c r="X126" s="187"/>
      <c r="Y126" s="188"/>
      <c r="Z126" s="179">
        <f>SUM(Z122:Z125)</f>
      </c>
      <c r="AA126" s="179">
        <f>SUM(AA122:AA125)</f>
      </c>
      <c r="AB126" s="179">
        <f>SUM(AB122:AB125)</f>
      </c>
      <c r="AC126" s="179">
        <f>SUM(AC122:AC125)</f>
      </c>
      <c r="AD126" s="179">
        <f>SUM(AD122:AD125)</f>
      </c>
      <c r="AE126" s="179">
        <f>SUM(AE122:AE125)</f>
      </c>
      <c r="AF126" s="179">
        <f>SUM(AF122:AF125)</f>
      </c>
      <c r="AG126" s="179">
        <f>SUM(AG122:AG125)</f>
      </c>
      <c r="AH126" s="179">
        <f>SUM(AH122:AH125)</f>
      </c>
      <c r="AI126" s="179">
        <f>SUM(AI122:AI125)</f>
      </c>
    </row>
    <row customHeight="true" ht="16.071428571428573" r="127">
      <c r="A127" s="149"/>
      <c r="B127" s="218" t="s">
        <v>130</v>
      </c>
      <c r="C127" s="196" t="s">
        <v>125</v>
      </c>
      <c r="D127" s="198">
        <v>5674.386</v>
      </c>
      <c r="E127" s="153">
        <v>14</v>
      </c>
      <c r="F127" s="154">
        <f t="shared" si="425"/>
      </c>
      <c r="G127" s="155">
        <v>4285.200000000001</v>
      </c>
      <c r="H127" s="156">
        <f t="shared" si="455"/>
      </c>
      <c r="I127" s="157">
        <f t="shared" si="365"/>
      </c>
      <c r="J127" s="158">
        <f t="shared" si="395"/>
      </c>
      <c r="K127" s="159">
        <f t="shared" si="305"/>
      </c>
      <c r="L127" s="174">
        <f t="shared" si="335"/>
      </c>
      <c r="M127" s="175">
        <f t="shared" si="215"/>
      </c>
      <c r="N127" s="176">
        <f t="shared" si="245"/>
      </c>
      <c r="O127" s="176">
        <f t="shared" si="275"/>
      </c>
      <c r="P127" s="176">
        <f t="shared" si="155"/>
      </c>
      <c r="Q127" s="176">
        <f t="shared" si="185"/>
      </c>
      <c r="R127" s="175">
        <f t="shared" si="95"/>
      </c>
      <c r="S127" s="177">
        <f t="shared" si="125"/>
      </c>
      <c r="T127" s="176">
        <f t="shared" si="35"/>
      </c>
      <c r="U127" s="176">
        <f t="shared" si="65"/>
      </c>
      <c r="V127" s="176">
        <f t="shared" si="485"/>
      </c>
      <c r="W127" s="176">
        <f t="shared" si="5"/>
      </c>
      <c r="X127" s="169" t="s">
        <v>107</v>
      </c>
      <c r="Y127" s="163" t="s">
        <v>132</v>
      </c>
      <c r="Z127" s="166">
        <v>330988</v>
      </c>
      <c r="AA127" s="166">
        <v>39587</v>
      </c>
      <c r="AB127" s="166">
        <v>629194</v>
      </c>
      <c r="AC127" s="199">
        <v>1406</v>
      </c>
      <c r="AD127" s="199">
        <v>18</v>
      </c>
      <c r="AE127" s="199">
        <v>30142</v>
      </c>
      <c r="AF127" s="199">
        <v>499</v>
      </c>
      <c r="AG127" s="199">
        <v>118</v>
      </c>
      <c r="AH127" s="199">
        <v>28</v>
      </c>
      <c r="AI127" s="167">
        <v>1</v>
      </c>
    </row>
    <row customHeight="true" ht="16.071428571428573" r="128">
      <c r="A128" s="149"/>
      <c r="B128" s="218" t="s">
        <v>130</v>
      </c>
      <c r="C128" s="194" t="s">
        <v>126</v>
      </c>
      <c r="D128" s="198">
        <v>1947.662</v>
      </c>
      <c r="E128" s="153">
        <v>12</v>
      </c>
      <c r="F128" s="154">
        <f t="shared" si="425"/>
      </c>
      <c r="G128" s="155">
        <v>5054.399999999994</v>
      </c>
      <c r="H128" s="156">
        <f t="shared" si="455"/>
      </c>
      <c r="I128" s="157">
        <f t="shared" si="365"/>
      </c>
      <c r="J128" s="158">
        <f t="shared" si="395"/>
      </c>
      <c r="K128" s="159">
        <f t="shared" si="305"/>
      </c>
      <c r="L128" s="174">
        <f t="shared" si="335"/>
      </c>
      <c r="M128" s="175">
        <f t="shared" si="215"/>
      </c>
      <c r="N128" s="176">
        <f t="shared" si="245"/>
      </c>
      <c r="O128" s="176">
        <f t="shared" si="275"/>
      </c>
      <c r="P128" s="176">
        <f t="shared" si="155"/>
      </c>
      <c r="Q128" s="176">
        <f t="shared" si="185"/>
      </c>
      <c r="R128" s="175">
        <f t="shared" si="95"/>
      </c>
      <c r="S128" s="177">
        <f t="shared" si="125"/>
      </c>
      <c r="T128" s="176">
        <f t="shared" si="35"/>
      </c>
      <c r="U128" s="176">
        <f t="shared" si="65"/>
      </c>
      <c r="V128" s="176">
        <f t="shared" si="485"/>
      </c>
      <c r="W128" s="176">
        <f t="shared" si="5"/>
      </c>
      <c r="X128" s="169" t="s">
        <v>107</v>
      </c>
      <c r="Y128" s="163" t="s">
        <v>132</v>
      </c>
      <c r="Z128" s="166">
        <v>100818</v>
      </c>
      <c r="AA128" s="166">
        <v>10121</v>
      </c>
      <c r="AB128" s="166">
        <v>63308</v>
      </c>
      <c r="AC128" s="199">
        <v>319</v>
      </c>
      <c r="AD128" s="199">
        <v>9</v>
      </c>
      <c r="AE128" s="199">
        <v>4300</v>
      </c>
      <c r="AF128" s="199">
        <v>123</v>
      </c>
      <c r="AG128" s="199">
        <v>25</v>
      </c>
      <c r="AH128" s="199">
        <v>6</v>
      </c>
      <c r="AI128" s="167">
        <v>3</v>
      </c>
    </row>
    <row customHeight="true" ht="16.071428571428573" r="129">
      <c r="A129" s="149"/>
      <c r="B129" s="218" t="s">
        <v>130</v>
      </c>
      <c r="C129" s="200" t="s">
        <v>127</v>
      </c>
      <c r="D129" s="171">
        <v>1600.466</v>
      </c>
      <c r="E129" s="172">
        <v>1</v>
      </c>
      <c r="F129" s="154">
        <f t="shared" si="425"/>
      </c>
      <c r="G129" s="172">
        <v>228</v>
      </c>
      <c r="H129" s="156">
        <f t="shared" si="455"/>
      </c>
      <c r="I129" s="157">
        <f t="shared" si="365"/>
      </c>
      <c r="J129" s="158">
        <f t="shared" si="395"/>
      </c>
      <c r="K129" s="159">
        <f t="shared" si="305"/>
      </c>
      <c r="L129" s="174">
        <f t="shared" si="335"/>
      </c>
      <c r="M129" s="175">
        <f t="shared" si="215"/>
      </c>
      <c r="N129" s="176">
        <f t="shared" si="245"/>
      </c>
      <c r="O129" s="176">
        <f t="shared" si="275"/>
      </c>
      <c r="P129" s="176">
        <f t="shared" si="155"/>
      </c>
      <c r="Q129" s="176">
        <f t="shared" si="185"/>
      </c>
      <c r="R129" s="175">
        <f t="shared" si="95"/>
      </c>
      <c r="S129" s="177">
        <f t="shared" si="125"/>
      </c>
      <c r="T129" s="176">
        <f t="shared" si="35"/>
      </c>
      <c r="U129" s="176">
        <f t="shared" si="65"/>
      </c>
      <c r="V129" s="176">
        <f t="shared" si="485"/>
      </c>
      <c r="W129" s="176">
        <f t="shared" si="5"/>
      </c>
      <c r="X129" s="169" t="s">
        <v>107</v>
      </c>
      <c r="Y129" s="163" t="s">
        <v>132</v>
      </c>
      <c r="Z129" s="166">
        <v>97776</v>
      </c>
      <c r="AA129" s="166">
        <v>9993</v>
      </c>
      <c r="AB129" s="166">
        <v>46898</v>
      </c>
      <c r="AC129" s="166">
        <v>294</v>
      </c>
      <c r="AD129" s="166">
        <v>1</v>
      </c>
      <c r="AE129" s="166">
        <v>3663</v>
      </c>
      <c r="AF129" s="166">
        <v>142</v>
      </c>
      <c r="AG129" s="166">
        <v>25</v>
      </c>
      <c r="AH129" s="165">
        <v>7</v>
      </c>
      <c r="AI129" s="167">
        <v>0</v>
      </c>
    </row>
    <row customHeight="true" ht="16.071428571428573" r="130">
      <c r="A130" s="149"/>
      <c r="B130" s="218" t="s">
        <v>130</v>
      </c>
      <c r="C130" s="201" t="s">
        <v>128</v>
      </c>
      <c r="D130" s="195">
        <f>1870.821+2.145</f>
      </c>
      <c r="E130" s="172">
        <v>14</v>
      </c>
      <c r="F130" s="154">
        <f t="shared" si="425"/>
      </c>
      <c r="G130" s="172">
        <v>3490.2000000000044</v>
      </c>
      <c r="H130" s="156">
        <f t="shared" si="455"/>
      </c>
      <c r="I130" s="157">
        <f t="shared" si="365"/>
      </c>
      <c r="J130" s="158">
        <f t="shared" si="395"/>
      </c>
      <c r="K130" s="159">
        <f t="shared" si="305"/>
      </c>
      <c r="L130" s="174">
        <f t="shared" si="335"/>
      </c>
      <c r="M130" s="175">
        <f t="shared" si="215"/>
      </c>
      <c r="N130" s="176">
        <f t="shared" si="245"/>
      </c>
      <c r="O130" s="176">
        <f t="shared" si="275"/>
      </c>
      <c r="P130" s="176">
        <f t="shared" si="155"/>
      </c>
      <c r="Q130" s="176">
        <f t="shared" si="185"/>
      </c>
      <c r="R130" s="175">
        <f t="shared" si="95"/>
      </c>
      <c r="S130" s="177">
        <f t="shared" si="125"/>
      </c>
      <c r="T130" s="176">
        <f t="shared" si="35"/>
      </c>
      <c r="U130" s="176">
        <f t="shared" si="65"/>
      </c>
      <c r="V130" s="176">
        <f t="shared" si="485"/>
      </c>
      <c r="W130" s="176">
        <f t="shared" si="5"/>
      </c>
      <c r="X130" s="169" t="s">
        <v>107</v>
      </c>
      <c r="Y130" s="163" t="s">
        <v>132</v>
      </c>
      <c r="Z130" s="166">
        <v>87454</v>
      </c>
      <c r="AA130" s="166">
        <v>11552</v>
      </c>
      <c r="AB130" s="166">
        <v>107353</v>
      </c>
      <c r="AC130" s="166">
        <v>382</v>
      </c>
      <c r="AD130" s="166">
        <v>8</v>
      </c>
      <c r="AE130" s="166">
        <v>5731</v>
      </c>
      <c r="AF130" s="166">
        <v>119</v>
      </c>
      <c r="AG130" s="166">
        <v>21</v>
      </c>
      <c r="AH130" s="165">
        <v>9</v>
      </c>
      <c r="AI130" s="167">
        <v>0</v>
      </c>
    </row>
    <row customHeight="true" ht="16.071428571428573" r="131">
      <c r="A131" s="149"/>
      <c r="B131" s="178" t="s">
        <v>112</v>
      </c>
      <c r="C131" s="178"/>
      <c r="D131" s="179">
        <f>SUM(D127:D130)</f>
      </c>
      <c r="E131" s="180">
        <f>SUM(E127:E130)</f>
      </c>
      <c r="F131" s="181">
        <f t="shared" si="425"/>
      </c>
      <c r="G131" s="182">
        <f>SUM(G127:G130)</f>
      </c>
      <c r="H131" s="183">
        <f t="shared" si="455"/>
      </c>
      <c r="I131" s="184">
        <f t="shared" si="365"/>
      </c>
      <c r="J131" s="185">
        <f t="shared" si="395"/>
      </c>
      <c r="K131" s="181">
        <f t="shared" si="305"/>
      </c>
      <c r="L131" s="186">
        <f t="shared" si="335"/>
      </c>
      <c r="M131" s="185">
        <f t="shared" si="215"/>
      </c>
      <c r="N131" s="187">
        <f t="shared" si="245"/>
      </c>
      <c r="O131" s="187">
        <f t="shared" si="275"/>
      </c>
      <c r="P131" s="187">
        <f t="shared" si="155"/>
      </c>
      <c r="Q131" s="187">
        <f t="shared" si="185"/>
      </c>
      <c r="R131" s="185">
        <f t="shared" si="95"/>
      </c>
      <c r="S131" s="181">
        <f t="shared" si="125"/>
      </c>
      <c r="T131" s="187">
        <f t="shared" si="35"/>
      </c>
      <c r="U131" s="187">
        <f t="shared" si="65"/>
      </c>
      <c r="V131" s="187">
        <f t="shared" si="485"/>
      </c>
      <c r="W131" s="187">
        <f t="shared" si="5"/>
      </c>
      <c r="X131" s="187"/>
      <c r="Y131" s="188"/>
      <c r="Z131" s="179">
        <f>SUM(Z127:Z130)</f>
      </c>
      <c r="AA131" s="179">
        <f>SUM(AA127:AA130)</f>
      </c>
      <c r="AB131" s="179">
        <f>SUM(AB127:AB130)</f>
      </c>
      <c r="AC131" s="179">
        <f>SUM(AC127:AC130)</f>
      </c>
      <c r="AD131" s="179">
        <f>SUM(AD127:AD130)</f>
      </c>
      <c r="AE131" s="179">
        <f>SUM(AE127:AE130)</f>
      </c>
      <c r="AF131" s="179">
        <f>SUM(AF127:AF130)</f>
      </c>
      <c r="AG131" s="179">
        <f>SUM(AG127:AG130)</f>
      </c>
      <c r="AH131" s="179">
        <f>SUM(AH127:AH130)</f>
      </c>
      <c r="AI131" s="179">
        <f>SUM(AI127:AI130)</f>
      </c>
    </row>
    <row customHeight="true" ht="16.071428571428573" r="132">
      <c r="A132" s="149"/>
      <c r="B132" s="202" t="s">
        <v>129</v>
      </c>
      <c r="C132" s="202"/>
      <c r="D132" s="203">
        <f>SUM(D131+D116+D121+D126)</f>
      </c>
      <c r="E132" s="204">
        <f>SUM(E131+E116+E121+E126)</f>
      </c>
      <c r="F132" s="205">
        <f t="shared" si="425"/>
      </c>
      <c r="G132" s="206">
        <f>SUM(G131+G116+G121+G126)</f>
      </c>
      <c r="H132" s="207">
        <f t="shared" si="455"/>
      </c>
      <c r="I132" s="208">
        <f t="shared" si="365"/>
      </c>
      <c r="J132" s="209">
        <f t="shared" si="395"/>
      </c>
      <c r="K132" s="205">
        <f t="shared" si="305"/>
      </c>
      <c r="L132" s="210">
        <f t="shared" si="335"/>
      </c>
      <c r="M132" s="210">
        <f t="shared" si="215"/>
      </c>
      <c r="N132" s="211">
        <f t="shared" si="245"/>
      </c>
      <c r="O132" s="211">
        <f t="shared" si="275"/>
      </c>
      <c r="P132" s="211">
        <f t="shared" si="155"/>
      </c>
      <c r="Q132" s="211">
        <f t="shared" si="185"/>
      </c>
      <c r="R132" s="212">
        <f t="shared" si="95"/>
      </c>
      <c r="S132" s="213">
        <f t="shared" si="125"/>
      </c>
      <c r="T132" s="214">
        <f t="shared" si="35"/>
      </c>
      <c r="U132" s="214">
        <f t="shared" si="65"/>
      </c>
      <c r="V132" s="214">
        <f t="shared" si="485"/>
      </c>
      <c r="W132" s="214">
        <f t="shared" si="5"/>
      </c>
      <c r="X132" s="214"/>
      <c r="Y132" s="215"/>
      <c r="Z132" s="216">
        <f>SUM(Z116+Z131+Z121+Z126)</f>
      </c>
      <c r="AA132" s="216">
        <f>SUM(AA116+AA131+AA121+AA126)</f>
      </c>
      <c r="AB132" s="216">
        <f>SUM(AB116+AB131+AB121+AB126)</f>
      </c>
      <c r="AC132" s="216">
        <f>SUM(AC116+AC131+AC121+AC126)</f>
      </c>
      <c r="AD132" s="216">
        <f>SUM(AD116+AD131+AD121+AD126)</f>
      </c>
      <c r="AE132" s="216">
        <f>SUM(AE116+AE131+AE121+AE126)</f>
      </c>
      <c r="AF132" s="216">
        <f>SUM(AF116+AF131+AF121+AF126)</f>
      </c>
      <c r="AG132" s="216">
        <f>SUM(AG116+AG131+AG121+AG126)</f>
      </c>
      <c r="AH132" s="216">
        <f>SUM(AH116+AH131+AH121+AH126)</f>
      </c>
      <c r="AI132" s="216">
        <f>SUM(AI116+AI131+AI121+AI126)</f>
      </c>
    </row>
    <row customHeight="true" ht="16.071428571428573" r="133">
      <c r="A133" s="133" t="s">
        <v>70</v>
      </c>
      <c r="B133" s="134" t="s">
        <v>71</v>
      </c>
      <c r="C133" s="135" t="s">
        <v>72</v>
      </c>
      <c r="D133" s="136" t="s">
        <v>73</v>
      </c>
      <c r="E133" s="137" t="s">
        <v>74</v>
      </c>
      <c r="F133" s="138" t="s">
        <v>75</v>
      </c>
      <c r="G133" s="139" t="s">
        <v>76</v>
      </c>
      <c r="H133" s="138" t="s">
        <v>77</v>
      </c>
      <c r="I133" s="139" t="s">
        <v>78</v>
      </c>
      <c r="J133" s="140" t="s">
        <v>79</v>
      </c>
      <c r="K133" s="140" t="s">
        <v>80</v>
      </c>
      <c r="L133" s="141" t="s">
        <v>81</v>
      </c>
      <c r="M133" s="141" t="s">
        <v>82</v>
      </c>
      <c r="N133" s="141" t="s">
        <v>83</v>
      </c>
      <c r="O133" s="141" t="s">
        <v>84</v>
      </c>
      <c r="P133" s="141" t="s">
        <v>85</v>
      </c>
      <c r="Q133" s="141" t="s">
        <v>86</v>
      </c>
      <c r="R133" s="141" t="s">
        <v>87</v>
      </c>
      <c r="S133" s="141" t="s">
        <v>88</v>
      </c>
      <c r="T133" s="142" t="s">
        <v>89</v>
      </c>
      <c r="U133" s="142" t="s">
        <v>90</v>
      </c>
      <c r="V133" s="142" t="s">
        <v>91</v>
      </c>
      <c r="W133" s="142" t="s">
        <v>92</v>
      </c>
      <c r="X133" s="143" t="s">
        <v>93</v>
      </c>
      <c r="Y133" s="143" t="s">
        <v>94</v>
      </c>
      <c r="Z133" s="144" t="s">
        <v>95</v>
      </c>
      <c r="AA133" s="144" t="s">
        <v>96</v>
      </c>
      <c r="AB133" s="144" t="s">
        <v>97</v>
      </c>
      <c r="AC133" s="145" t="s">
        <v>98</v>
      </c>
      <c r="AD133" s="145" t="s">
        <v>99</v>
      </c>
      <c r="AE133" s="146" t="s">
        <v>100</v>
      </c>
      <c r="AF133" s="145" t="s">
        <v>101</v>
      </c>
      <c r="AG133" s="145" t="s">
        <v>102</v>
      </c>
      <c r="AH133" s="147" t="s">
        <v>103</v>
      </c>
      <c r="AI133" s="148" t="s">
        <v>104</v>
      </c>
    </row>
    <row customHeight="true" ht="16.071428571428573" r="134">
      <c r="A134" s="149">
        <v>46272</v>
      </c>
      <c r="B134" s="150" t="s">
        <v>105</v>
      </c>
      <c r="C134" s="151" t="s">
        <v>106</v>
      </c>
      <c r="D134" s="152">
        <v>1119.011</v>
      </c>
      <c r="E134" s="153">
        <v>6</v>
      </c>
      <c r="F134" s="154">
        <f t="shared" ref="F134:F154" si="426">D134/E134</f>
      </c>
      <c r="G134" s="155">
        <v>1303.6</v>
      </c>
      <c r="H134" s="156">
        <f t="shared" ref="H134:H154" si="456">AD134</f>
      </c>
      <c r="I134" s="157">
        <f t="shared" ref="I134:I154" si="366">D134/AD134</f>
      </c>
      <c r="J134" s="158">
        <f t="shared" ref="J134:J154" si="396">G134/E134</f>
      </c>
      <c r="K134" s="159">
        <f t="shared" ref="K134:K154" si="306">G134/D134</f>
      </c>
      <c r="L134" s="160">
        <f t="shared" ref="L134:L154" si="336">D134/AB134</f>
      </c>
      <c r="M134" s="158">
        <f t="shared" ref="M134:M154" si="216">D134/AC134</f>
      </c>
      <c r="N134" s="161">
        <f t="shared" ref="N134:N154" si="246">AC134/AB134</f>
      </c>
      <c r="O134" s="161">
        <f t="shared" ref="O134:O154" si="276">AD134/AC134</f>
      </c>
      <c r="P134" s="161">
        <f t="shared" ref="P134:P154" si="156">AA134/Z134</f>
      </c>
      <c r="Q134" s="161">
        <f t="shared" ref="Q134:Q154" si="186">AD134/AA134</f>
      </c>
      <c r="R134" s="158">
        <f t="shared" ref="R134:R154" si="96">D134/Z134*1000</f>
      </c>
      <c r="S134" s="159">
        <f t="shared" ref="S134:S154" si="126">D134/AA134</f>
      </c>
      <c r="T134" s="161">
        <f t="shared" ref="T134:T154" si="36">AE134/AB134</f>
      </c>
      <c r="U134" s="161">
        <f t="shared" ref="U134:U154" si="66">AF134/AB134</f>
      </c>
      <c r="V134" s="161">
        <f t="shared" ref="V134:V154" si="486">AG134/AB134</f>
      </c>
      <c r="W134" s="161">
        <f t="shared" ref="W134:W154" si="6">AH134/AB134</f>
      </c>
      <c r="X134" s="162" t="s">
        <v>107</v>
      </c>
      <c r="Y134" s="163" t="s">
        <v>120</v>
      </c>
      <c r="Z134" s="164">
        <v>38936</v>
      </c>
      <c r="AA134" s="164">
        <v>19753</v>
      </c>
      <c r="AB134" s="164">
        <v>48256</v>
      </c>
      <c r="AC134" s="164">
        <v>594</v>
      </c>
      <c r="AD134" s="165">
        <v>4</v>
      </c>
      <c r="AE134" s="164">
        <v>8221</v>
      </c>
      <c r="AF134" s="166">
        <v>258</v>
      </c>
      <c r="AG134" s="166">
        <v>27</v>
      </c>
      <c r="AH134" s="166">
        <v>5</v>
      </c>
      <c r="AI134" s="167">
        <v>1</v>
      </c>
    </row>
    <row customHeight="true" ht="16.071428571428573" r="135">
      <c r="A135" s="149"/>
      <c r="B135" s="150" t="s">
        <v>105</v>
      </c>
      <c r="C135" s="168" t="s">
        <v>109</v>
      </c>
      <c r="D135" s="152">
        <v>3792.974</v>
      </c>
      <c r="E135" s="153">
        <v>5</v>
      </c>
      <c r="F135" s="154">
        <f t="shared" si="426"/>
      </c>
      <c r="G135" s="155">
        <v>2844.0000000000005</v>
      </c>
      <c r="H135" s="156">
        <f t="shared" si="456"/>
      </c>
      <c r="I135" s="157">
        <f t="shared" si="366"/>
      </c>
      <c r="J135" s="158">
        <f t="shared" si="396"/>
      </c>
      <c r="K135" s="159">
        <f t="shared" si="306"/>
      </c>
      <c r="L135" s="160">
        <f t="shared" si="336"/>
      </c>
      <c r="M135" s="158">
        <f t="shared" si="216"/>
      </c>
      <c r="N135" s="161">
        <f t="shared" si="246"/>
      </c>
      <c r="O135" s="161">
        <f t="shared" si="276"/>
      </c>
      <c r="P135" s="161">
        <f t="shared" si="156"/>
      </c>
      <c r="Q135" s="161">
        <f t="shared" si="186"/>
      </c>
      <c r="R135" s="158">
        <f t="shared" si="96"/>
      </c>
      <c r="S135" s="159">
        <f t="shared" si="126"/>
      </c>
      <c r="T135" s="161">
        <f t="shared" si="36"/>
      </c>
      <c r="U135" s="161">
        <f t="shared" si="66"/>
      </c>
      <c r="V135" s="161">
        <f t="shared" si="486"/>
      </c>
      <c r="W135" s="161">
        <f t="shared" si="6"/>
      </c>
      <c r="X135" s="169" t="s">
        <v>107</v>
      </c>
      <c r="Y135" s="163" t="s">
        <v>120</v>
      </c>
      <c r="Z135" s="166">
        <v>182476</v>
      </c>
      <c r="AA135" s="164">
        <v>50067</v>
      </c>
      <c r="AB135" s="164">
        <v>199787</v>
      </c>
      <c r="AC135" s="164">
        <v>1350</v>
      </c>
      <c r="AD135" s="166">
        <v>4</v>
      </c>
      <c r="AE135" s="164">
        <v>23324</v>
      </c>
      <c r="AF135" s="166">
        <v>470</v>
      </c>
      <c r="AG135" s="166">
        <v>105</v>
      </c>
      <c r="AH135" s="165">
        <v>18</v>
      </c>
      <c r="AI135" s="167">
        <v>0</v>
      </c>
    </row>
    <row customHeight="true" ht="16.071428571428573" r="136">
      <c r="A136" s="149"/>
      <c r="B136" s="150" t="s">
        <v>105</v>
      </c>
      <c r="C136" s="170" t="s">
        <v>110</v>
      </c>
      <c r="D136" s="171">
        <v>7194.153</v>
      </c>
      <c r="E136" s="172">
        <v>19</v>
      </c>
      <c r="F136" s="154">
        <f t="shared" si="426"/>
      </c>
      <c r="G136" s="172">
        <v>7581.5999999999985</v>
      </c>
      <c r="H136" s="156">
        <f t="shared" si="456"/>
      </c>
      <c r="I136" s="157">
        <f t="shared" si="366"/>
      </c>
      <c r="J136" s="158">
        <f t="shared" si="396"/>
      </c>
      <c r="K136" s="159">
        <f t="shared" si="306"/>
      </c>
      <c r="L136" s="160">
        <f t="shared" si="336"/>
      </c>
      <c r="M136" s="158">
        <f t="shared" si="216"/>
      </c>
      <c r="N136" s="161">
        <f t="shared" si="246"/>
      </c>
      <c r="O136" s="161">
        <f t="shared" si="276"/>
      </c>
      <c r="P136" s="161">
        <f t="shared" si="156"/>
      </c>
      <c r="Q136" s="161">
        <f t="shared" si="186"/>
      </c>
      <c r="R136" s="158">
        <f t="shared" si="96"/>
      </c>
      <c r="S136" s="159">
        <f t="shared" si="126"/>
      </c>
      <c r="T136" s="161">
        <f t="shared" si="36"/>
      </c>
      <c r="U136" s="161">
        <f t="shared" si="66"/>
      </c>
      <c r="V136" s="161">
        <f t="shared" si="486"/>
      </c>
      <c r="W136" s="161">
        <f t="shared" si="6"/>
      </c>
      <c r="X136" s="169" t="s">
        <v>107</v>
      </c>
      <c r="Y136" s="163" t="s">
        <v>120</v>
      </c>
      <c r="Z136" s="166">
        <v>294905</v>
      </c>
      <c r="AA136" s="166">
        <v>67834</v>
      </c>
      <c r="AB136" s="166">
        <v>433947</v>
      </c>
      <c r="AC136" s="166">
        <v>1651</v>
      </c>
      <c r="AD136" s="166">
        <v>16</v>
      </c>
      <c r="AE136" s="166">
        <v>38268</v>
      </c>
      <c r="AF136" s="166">
        <v>610</v>
      </c>
      <c r="AG136" s="166">
        <v>154</v>
      </c>
      <c r="AH136" s="166">
        <v>29</v>
      </c>
      <c r="AI136" s="167">
        <v>2</v>
      </c>
    </row>
    <row customHeight="true" ht="16.071428571428573" r="137">
      <c r="A137" s="149"/>
      <c r="B137" s="150" t="s">
        <v>105</v>
      </c>
      <c r="C137" s="173" t="s">
        <v>111</v>
      </c>
      <c r="D137" s="171">
        <v>2782.764</v>
      </c>
      <c r="E137" s="172">
        <v>12</v>
      </c>
      <c r="F137" s="154">
        <f t="shared" si="426"/>
      </c>
      <c r="G137" s="172">
        <v>4969.6</v>
      </c>
      <c r="H137" s="156">
        <f t="shared" si="456"/>
      </c>
      <c r="I137" s="157">
        <f t="shared" si="366"/>
      </c>
      <c r="J137" s="158">
        <f t="shared" si="396"/>
      </c>
      <c r="K137" s="159">
        <f t="shared" si="306"/>
      </c>
      <c r="L137" s="174">
        <f t="shared" si="336"/>
      </c>
      <c r="M137" s="175">
        <f t="shared" si="216"/>
      </c>
      <c r="N137" s="176">
        <f t="shared" si="246"/>
      </c>
      <c r="O137" s="176">
        <f t="shared" si="276"/>
      </c>
      <c r="P137" s="176">
        <f t="shared" si="156"/>
      </c>
      <c r="Q137" s="176">
        <f t="shared" si="186"/>
      </c>
      <c r="R137" s="175">
        <f t="shared" si="96"/>
      </c>
      <c r="S137" s="177">
        <f t="shared" si="126"/>
      </c>
      <c r="T137" s="176">
        <f t="shared" si="36"/>
      </c>
      <c r="U137" s="176">
        <f t="shared" si="66"/>
      </c>
      <c r="V137" s="176">
        <f t="shared" si="486"/>
      </c>
      <c r="W137" s="176">
        <f t="shared" si="6"/>
      </c>
      <c r="X137" s="169" t="s">
        <v>107</v>
      </c>
      <c r="Y137" s="163" t="s">
        <v>120</v>
      </c>
      <c r="Z137" s="166">
        <v>107487</v>
      </c>
      <c r="AA137" s="166">
        <v>25776</v>
      </c>
      <c r="AB137" s="166">
        <v>156397</v>
      </c>
      <c r="AC137" s="166">
        <v>422</v>
      </c>
      <c r="AD137" s="166">
        <v>10</v>
      </c>
      <c r="AE137" s="166">
        <v>15666</v>
      </c>
      <c r="AF137" s="166">
        <v>290</v>
      </c>
      <c r="AG137" s="166">
        <v>62</v>
      </c>
      <c r="AH137" s="165">
        <v>21</v>
      </c>
      <c r="AI137" s="167">
        <v>1</v>
      </c>
    </row>
    <row customHeight="true" ht="16.071428571428573" r="138">
      <c r="A138" s="149"/>
      <c r="B138" s="178" t="s">
        <v>112</v>
      </c>
      <c r="C138" s="178"/>
      <c r="D138" s="179">
        <f>SUM(D134:D137)</f>
      </c>
      <c r="E138" s="180">
        <f>SUM(E134:E137)</f>
      </c>
      <c r="F138" s="181">
        <f t="shared" si="426"/>
      </c>
      <c r="G138" s="182">
        <f>SUM(G134:G137)</f>
      </c>
      <c r="H138" s="183">
        <f t="shared" si="456"/>
      </c>
      <c r="I138" s="184">
        <f t="shared" si="366"/>
      </c>
      <c r="J138" s="185">
        <f t="shared" si="396"/>
      </c>
      <c r="K138" s="181">
        <f t="shared" si="306"/>
      </c>
      <c r="L138" s="186">
        <f t="shared" si="336"/>
      </c>
      <c r="M138" s="185">
        <f t="shared" si="216"/>
      </c>
      <c r="N138" s="187">
        <f t="shared" si="246"/>
      </c>
      <c r="O138" s="187">
        <f t="shared" si="276"/>
      </c>
      <c r="P138" s="187">
        <f t="shared" si="156"/>
      </c>
      <c r="Q138" s="187">
        <f t="shared" si="186"/>
      </c>
      <c r="R138" s="185">
        <f t="shared" si="96"/>
      </c>
      <c r="S138" s="181">
        <f t="shared" si="126"/>
      </c>
      <c r="T138" s="187">
        <f t="shared" si="36"/>
      </c>
      <c r="U138" s="187">
        <f t="shared" si="66"/>
      </c>
      <c r="V138" s="187">
        <f t="shared" si="486"/>
      </c>
      <c r="W138" s="187">
        <f t="shared" si="6"/>
      </c>
      <c r="X138" s="187"/>
      <c r="Y138" s="188"/>
      <c r="Z138" s="179">
        <f>SUM(Z134:Z137)</f>
      </c>
      <c r="AA138" s="179">
        <f>SUM(AA134:AA137)</f>
      </c>
      <c r="AB138" s="179">
        <f>SUM(AB134:AB137)</f>
      </c>
      <c r="AC138" s="179">
        <f>SUM(AC134:AC137)</f>
      </c>
      <c r="AD138" s="179">
        <f>SUM(AD134:AD137)</f>
      </c>
      <c r="AE138" s="179">
        <f>SUM(AE134:AE137)</f>
      </c>
      <c r="AF138" s="179">
        <f>SUM(AF134:AF137)</f>
      </c>
      <c r="AG138" s="179">
        <f>SUM(AG134:AG137)</f>
      </c>
      <c r="AH138" s="179">
        <f>SUM(AH134:AH137)</f>
      </c>
      <c r="AI138" s="179">
        <f>SUM(AI134:AI137)</f>
      </c>
    </row>
    <row customHeight="true" ht="16.071428571428573" r="139">
      <c r="A139" s="149"/>
      <c r="B139" s="218" t="s">
        <v>113</v>
      </c>
      <c r="C139" s="173" t="s">
        <v>114</v>
      </c>
      <c r="D139" s="190">
        <v>1969.06</v>
      </c>
      <c r="E139" s="191">
        <v>5</v>
      </c>
      <c r="F139" s="154">
        <f t="shared" si="426"/>
      </c>
      <c r="G139" s="172">
        <v>2301.600000000002</v>
      </c>
      <c r="H139" s="156">
        <f t="shared" si="456"/>
      </c>
      <c r="I139" s="157">
        <f t="shared" si="366"/>
      </c>
      <c r="J139" s="158">
        <f t="shared" si="396"/>
      </c>
      <c r="K139" s="159">
        <f t="shared" si="306"/>
      </c>
      <c r="L139" s="160">
        <f t="shared" si="336"/>
      </c>
      <c r="M139" s="158">
        <f t="shared" si="216"/>
      </c>
      <c r="N139" s="161">
        <f t="shared" si="246"/>
      </c>
      <c r="O139" s="161">
        <f t="shared" si="276"/>
      </c>
      <c r="P139" s="161">
        <f t="shared" si="156"/>
      </c>
      <c r="Q139" s="161">
        <f t="shared" si="186"/>
      </c>
      <c r="R139" s="158">
        <f t="shared" si="96"/>
      </c>
      <c r="S139" s="159">
        <f t="shared" si="126"/>
      </c>
      <c r="T139" s="161">
        <f t="shared" si="36"/>
      </c>
      <c r="U139" s="161">
        <f t="shared" si="66"/>
      </c>
      <c r="V139" s="161">
        <f t="shared" si="486"/>
      </c>
      <c r="W139" s="161">
        <f t="shared" si="6"/>
      </c>
      <c r="X139" s="169" t="s">
        <v>107</v>
      </c>
      <c r="Y139" s="163" t="s">
        <v>120</v>
      </c>
      <c r="Z139" s="166">
        <v>76199</v>
      </c>
      <c r="AA139" s="166">
        <v>14615</v>
      </c>
      <c r="AB139" s="166">
        <v>81555</v>
      </c>
      <c r="AC139" s="166">
        <v>191</v>
      </c>
      <c r="AD139" s="166">
        <v>5</v>
      </c>
      <c r="AE139" s="166">
        <v>6891</v>
      </c>
      <c r="AF139" s="166">
        <v>167</v>
      </c>
      <c r="AG139" s="166">
        <v>33</v>
      </c>
      <c r="AH139" s="166">
        <v>11</v>
      </c>
      <c r="AI139" s="167">
        <v>0</v>
      </c>
    </row>
    <row customHeight="true" ht="16.071428571428573" r="140">
      <c r="A140" s="149"/>
      <c r="B140" s="218" t="s">
        <v>113</v>
      </c>
      <c r="C140" s="192" t="s">
        <v>115</v>
      </c>
      <c r="D140" s="171">
        <v>3811.2570000000005</v>
      </c>
      <c r="E140" s="172">
        <v>12</v>
      </c>
      <c r="F140" s="154">
        <f t="shared" si="426"/>
      </c>
      <c r="G140" s="172">
        <v>2514.699999999997</v>
      </c>
      <c r="H140" s="156">
        <f t="shared" si="456"/>
      </c>
      <c r="I140" s="157">
        <f t="shared" si="366"/>
      </c>
      <c r="J140" s="158">
        <f t="shared" si="396"/>
      </c>
      <c r="K140" s="159">
        <f t="shared" si="306"/>
      </c>
      <c r="L140" s="160">
        <f t="shared" si="336"/>
      </c>
      <c r="M140" s="158">
        <f t="shared" si="216"/>
      </c>
      <c r="N140" s="161">
        <f t="shared" si="246"/>
      </c>
      <c r="O140" s="161">
        <f t="shared" si="276"/>
      </c>
      <c r="P140" s="161">
        <f t="shared" si="156"/>
      </c>
      <c r="Q140" s="161">
        <f t="shared" si="186"/>
      </c>
      <c r="R140" s="158">
        <f t="shared" si="96"/>
      </c>
      <c r="S140" s="159">
        <f t="shared" si="126"/>
      </c>
      <c r="T140" s="161">
        <f t="shared" si="36"/>
      </c>
      <c r="U140" s="161">
        <f t="shared" si="66"/>
      </c>
      <c r="V140" s="161">
        <f t="shared" si="486"/>
      </c>
      <c r="W140" s="161">
        <f t="shared" si="6"/>
      </c>
      <c r="X140" s="169" t="s">
        <v>107</v>
      </c>
      <c r="Y140" s="163" t="s">
        <v>120</v>
      </c>
      <c r="Z140" s="166">
        <v>134877</v>
      </c>
      <c r="AA140" s="166">
        <v>32677</v>
      </c>
      <c r="AB140" s="166">
        <v>222431</v>
      </c>
      <c r="AC140" s="166">
        <v>647</v>
      </c>
      <c r="AD140" s="166">
        <v>9</v>
      </c>
      <c r="AE140" s="166">
        <v>16378</v>
      </c>
      <c r="AF140" s="166">
        <v>283</v>
      </c>
      <c r="AG140" s="166">
        <v>80</v>
      </c>
      <c r="AH140" s="166">
        <v>16</v>
      </c>
      <c r="AI140" s="167">
        <v>1</v>
      </c>
    </row>
    <row customHeight="true" ht="16.071428571428573" r="141">
      <c r="A141" s="149"/>
      <c r="B141" s="218" t="s">
        <v>113</v>
      </c>
      <c r="C141" s="193" t="s">
        <v>116</v>
      </c>
      <c r="D141" s="171">
        <v>4644.581</v>
      </c>
      <c r="E141" s="172">
        <v>8</v>
      </c>
      <c r="F141" s="154">
        <f t="shared" si="426"/>
      </c>
      <c r="G141" s="172">
        <v>2928</v>
      </c>
      <c r="H141" s="156">
        <f t="shared" si="456"/>
      </c>
      <c r="I141" s="157">
        <f t="shared" si="366"/>
      </c>
      <c r="J141" s="158">
        <f t="shared" si="396"/>
      </c>
      <c r="K141" s="159">
        <f t="shared" si="306"/>
      </c>
      <c r="L141" s="174">
        <f t="shared" si="336"/>
      </c>
      <c r="M141" s="175">
        <f t="shared" si="216"/>
      </c>
      <c r="N141" s="176">
        <f t="shared" si="246"/>
      </c>
      <c r="O141" s="176">
        <f t="shared" si="276"/>
      </c>
      <c r="P141" s="176">
        <f t="shared" si="156"/>
      </c>
      <c r="Q141" s="176">
        <f t="shared" si="186"/>
      </c>
      <c r="R141" s="175">
        <f t="shared" si="96"/>
      </c>
      <c r="S141" s="177">
        <f t="shared" si="126"/>
      </c>
      <c r="T141" s="176">
        <f t="shared" si="36"/>
      </c>
      <c r="U141" s="176">
        <f t="shared" si="66"/>
      </c>
      <c r="V141" s="176">
        <f t="shared" si="486"/>
      </c>
      <c r="W141" s="176">
        <f t="shared" si="6"/>
      </c>
      <c r="X141" s="169" t="s">
        <v>107</v>
      </c>
      <c r="Y141" s="163" t="s">
        <v>120</v>
      </c>
      <c r="Z141" s="166">
        <v>167867</v>
      </c>
      <c r="AA141" s="166">
        <v>36112</v>
      </c>
      <c r="AB141" s="166">
        <v>287025</v>
      </c>
      <c r="AC141" s="166">
        <v>961</v>
      </c>
      <c r="AD141" s="166">
        <v>8</v>
      </c>
      <c r="AE141" s="166">
        <v>19597</v>
      </c>
      <c r="AF141" s="166">
        <v>335</v>
      </c>
      <c r="AG141" s="166">
        <v>87</v>
      </c>
      <c r="AH141" s="165">
        <v>34</v>
      </c>
      <c r="AI141" s="167">
        <v>0</v>
      </c>
    </row>
    <row customHeight="true" ht="16.071428571428573" r="142">
      <c r="A142" s="149"/>
      <c r="B142" s="218" t="s">
        <v>113</v>
      </c>
      <c r="C142" s="194" t="s">
        <v>117</v>
      </c>
      <c r="D142" s="195">
        <v>3786.936</v>
      </c>
      <c r="E142" s="172">
        <v>9</v>
      </c>
      <c r="F142" s="154">
        <f t="shared" si="426"/>
      </c>
      <c r="G142" s="172">
        <v>2598.4000000000015</v>
      </c>
      <c r="H142" s="156">
        <f t="shared" si="456"/>
      </c>
      <c r="I142" s="157">
        <f t="shared" si="366"/>
      </c>
      <c r="J142" s="158">
        <f t="shared" si="396"/>
      </c>
      <c r="K142" s="159">
        <f t="shared" si="306"/>
      </c>
      <c r="L142" s="174">
        <f t="shared" si="336"/>
      </c>
      <c r="M142" s="175">
        <f t="shared" si="216"/>
      </c>
      <c r="N142" s="176">
        <f t="shared" si="246"/>
      </c>
      <c r="O142" s="176">
        <f t="shared" si="276"/>
      </c>
      <c r="P142" s="176">
        <f t="shared" si="156"/>
      </c>
      <c r="Q142" s="176">
        <f t="shared" si="186"/>
      </c>
      <c r="R142" s="175">
        <f t="shared" si="96"/>
      </c>
      <c r="S142" s="177">
        <f t="shared" si="126"/>
      </c>
      <c r="T142" s="176">
        <f t="shared" si="36"/>
      </c>
      <c r="U142" s="176">
        <f t="shared" si="66"/>
      </c>
      <c r="V142" s="176">
        <f t="shared" si="486"/>
      </c>
      <c r="W142" s="176">
        <f t="shared" si="6"/>
      </c>
      <c r="X142" s="169" t="s">
        <v>107</v>
      </c>
      <c r="Y142" s="163" t="s">
        <v>120</v>
      </c>
      <c r="Z142" s="166">
        <v>132253</v>
      </c>
      <c r="AA142" s="166">
        <v>28101</v>
      </c>
      <c r="AB142" s="166">
        <v>229011</v>
      </c>
      <c r="AC142" s="166">
        <v>788</v>
      </c>
      <c r="AD142" s="166">
        <v>7</v>
      </c>
      <c r="AE142" s="166">
        <v>15295</v>
      </c>
      <c r="AF142" s="166">
        <v>280</v>
      </c>
      <c r="AG142" s="166">
        <v>70</v>
      </c>
      <c r="AH142" s="165">
        <v>17</v>
      </c>
      <c r="AI142" s="167">
        <v>2</v>
      </c>
    </row>
    <row customHeight="true" ht="16.071428571428573" r="143">
      <c r="A143" s="149"/>
      <c r="B143" s="178" t="s">
        <v>112</v>
      </c>
      <c r="C143" s="178"/>
      <c r="D143" s="179">
        <f>SUM(D139:D142)</f>
      </c>
      <c r="E143" s="180">
        <f>SUM(E139:E142)</f>
      </c>
      <c r="F143" s="181">
        <f t="shared" si="426"/>
      </c>
      <c r="G143" s="182">
        <f>SUM(G139:G142)</f>
      </c>
      <c r="H143" s="183">
        <f t="shared" si="456"/>
      </c>
      <c r="I143" s="184">
        <f t="shared" si="366"/>
      </c>
      <c r="J143" s="185">
        <f t="shared" si="396"/>
      </c>
      <c r="K143" s="181">
        <f t="shared" si="306"/>
      </c>
      <c r="L143" s="186">
        <f t="shared" si="336"/>
      </c>
      <c r="M143" s="185">
        <f t="shared" si="216"/>
      </c>
      <c r="N143" s="187">
        <f t="shared" si="246"/>
      </c>
      <c r="O143" s="187">
        <f t="shared" si="276"/>
      </c>
      <c r="P143" s="187">
        <f t="shared" si="156"/>
      </c>
      <c r="Q143" s="187">
        <f t="shared" si="186"/>
      </c>
      <c r="R143" s="185">
        <f t="shared" si="96"/>
      </c>
      <c r="S143" s="181">
        <f t="shared" si="126"/>
      </c>
      <c r="T143" s="187">
        <f t="shared" si="36"/>
      </c>
      <c r="U143" s="187">
        <f t="shared" si="66"/>
      </c>
      <c r="V143" s="187">
        <f t="shared" si="486"/>
      </c>
      <c r="W143" s="187">
        <f t="shared" si="6"/>
      </c>
      <c r="X143" s="187"/>
      <c r="Y143" s="188"/>
      <c r="Z143" s="179">
        <f>SUM(Z139:Z142)</f>
      </c>
      <c r="AA143" s="179">
        <f>SUM(AA139:AA142)</f>
      </c>
      <c r="AB143" s="179">
        <f>SUM(AB139:AB142)</f>
      </c>
      <c r="AC143" s="179">
        <f>SUM(AC139:AC142)</f>
      </c>
      <c r="AD143" s="179">
        <f>SUM(AD139:AD142)</f>
      </c>
      <c r="AE143" s="179">
        <f>SUM(AE139:AE142)</f>
      </c>
      <c r="AF143" s="179">
        <f>SUM(AF139:AF142)</f>
      </c>
      <c r="AG143" s="179">
        <f>SUM(AG139:AG142)</f>
      </c>
      <c r="AH143" s="179">
        <f>SUM(AH139:AH142)</f>
      </c>
      <c r="AI143" s="179">
        <f>SUM(AI139:AI142)</f>
      </c>
    </row>
    <row customHeight="true" ht="16.071428571428573" r="144">
      <c r="A144" s="149"/>
      <c r="B144" s="150" t="s">
        <v>131</v>
      </c>
      <c r="C144" s="196" t="s">
        <v>119</v>
      </c>
      <c r="D144" s="171">
        <v>1385.2760000000003</v>
      </c>
      <c r="E144" s="172">
        <v>5</v>
      </c>
      <c r="F144" s="154">
        <f t="shared" si="426"/>
      </c>
      <c r="G144" s="172">
        <v>1076</v>
      </c>
      <c r="H144" s="156">
        <f t="shared" si="456"/>
      </c>
      <c r="I144" s="157">
        <f t="shared" si="366"/>
      </c>
      <c r="J144" s="158">
        <f t="shared" si="396"/>
      </c>
      <c r="K144" s="159">
        <f t="shared" si="306"/>
      </c>
      <c r="L144" s="160">
        <f t="shared" si="336"/>
      </c>
      <c r="M144" s="158">
        <f t="shared" si="216"/>
      </c>
      <c r="N144" s="161">
        <f t="shared" si="246"/>
      </c>
      <c r="O144" s="161">
        <f t="shared" si="276"/>
      </c>
      <c r="P144" s="161">
        <f t="shared" si="156"/>
      </c>
      <c r="Q144" s="161">
        <f t="shared" si="186"/>
      </c>
      <c r="R144" s="158">
        <f t="shared" si="96"/>
      </c>
      <c r="S144" s="159">
        <f t="shared" si="126"/>
      </c>
      <c r="T144" s="161">
        <f t="shared" si="36"/>
      </c>
      <c r="U144" s="161">
        <f t="shared" si="66"/>
      </c>
      <c r="V144" s="161">
        <f t="shared" si="486"/>
      </c>
      <c r="W144" s="161">
        <f t="shared" si="6"/>
      </c>
      <c r="X144" s="169" t="s">
        <v>107</v>
      </c>
      <c r="Y144" s="163" t="s">
        <v>132</v>
      </c>
      <c r="Z144" s="166">
        <v>42829</v>
      </c>
      <c r="AA144" s="166">
        <v>8467</v>
      </c>
      <c r="AB144" s="166">
        <v>83947</v>
      </c>
      <c r="AC144" s="166">
        <v>396</v>
      </c>
      <c r="AD144" s="166">
        <v>6</v>
      </c>
      <c r="AE144" s="166">
        <v>4907</v>
      </c>
      <c r="AF144" s="166">
        <v>94</v>
      </c>
      <c r="AG144" s="166">
        <v>20</v>
      </c>
      <c r="AH144" s="166">
        <v>7</v>
      </c>
      <c r="AI144" s="167">
        <v>0</v>
      </c>
    </row>
    <row customHeight="true" ht="16.071428571428573" r="145">
      <c r="A145" s="149"/>
      <c r="B145" s="150" t="s">
        <v>131</v>
      </c>
      <c r="C145" s="197" t="s">
        <v>121</v>
      </c>
      <c r="D145" s="171">
        <v>1434.2369999999999</v>
      </c>
      <c r="E145" s="172">
        <v>8</v>
      </c>
      <c r="F145" s="154">
        <f t="shared" si="426"/>
      </c>
      <c r="G145" s="172">
        <v>1781.2000000000007</v>
      </c>
      <c r="H145" s="156">
        <f t="shared" si="456"/>
      </c>
      <c r="I145" s="157">
        <f t="shared" si="366"/>
      </c>
      <c r="J145" s="158">
        <f t="shared" si="396"/>
      </c>
      <c r="K145" s="159">
        <f t="shared" si="306"/>
      </c>
      <c r="L145" s="160">
        <f t="shared" si="336"/>
      </c>
      <c r="M145" s="158">
        <f t="shared" si="216"/>
      </c>
      <c r="N145" s="161">
        <f t="shared" si="246"/>
      </c>
      <c r="O145" s="161">
        <f t="shared" si="276"/>
      </c>
      <c r="P145" s="161">
        <f t="shared" si="156"/>
      </c>
      <c r="Q145" s="161">
        <f t="shared" si="186"/>
      </c>
      <c r="R145" s="158">
        <f t="shared" si="96"/>
      </c>
      <c r="S145" s="159">
        <f t="shared" si="126"/>
      </c>
      <c r="T145" s="161">
        <f t="shared" si="36"/>
      </c>
      <c r="U145" s="161">
        <f t="shared" si="66"/>
      </c>
      <c r="V145" s="161">
        <f t="shared" si="486"/>
      </c>
      <c r="W145" s="161">
        <f t="shared" si="6"/>
      </c>
      <c r="X145" s="169" t="s">
        <v>107</v>
      </c>
      <c r="Y145" s="163" t="s">
        <v>132</v>
      </c>
      <c r="Z145" s="166">
        <v>53737</v>
      </c>
      <c r="AA145" s="166">
        <v>7875</v>
      </c>
      <c r="AB145" s="166">
        <v>105397</v>
      </c>
      <c r="AC145" s="166">
        <v>735</v>
      </c>
      <c r="AD145" s="166">
        <v>7</v>
      </c>
      <c r="AE145" s="166">
        <v>5719</v>
      </c>
      <c r="AF145" s="166">
        <v>76</v>
      </c>
      <c r="AG145" s="166">
        <v>16</v>
      </c>
      <c r="AH145" s="165">
        <v>3</v>
      </c>
      <c r="AI145" s="167">
        <v>1</v>
      </c>
    </row>
    <row customHeight="true" ht="16.071428571428573" r="146">
      <c r="A146" s="149"/>
      <c r="B146" s="150" t="s">
        <v>131</v>
      </c>
      <c r="C146" s="194" t="s">
        <v>122</v>
      </c>
      <c r="D146" s="171">
        <v>3620.989</v>
      </c>
      <c r="E146" s="172">
        <v>9</v>
      </c>
      <c r="F146" s="154">
        <f t="shared" si="426"/>
      </c>
      <c r="G146" s="172">
        <v>3177.2000000000007</v>
      </c>
      <c r="H146" s="156">
        <f t="shared" si="456"/>
      </c>
      <c r="I146" s="157">
        <f t="shared" si="366"/>
      </c>
      <c r="J146" s="158">
        <f t="shared" si="396"/>
      </c>
      <c r="K146" s="159">
        <f t="shared" si="306"/>
      </c>
      <c r="L146" s="174">
        <f t="shared" si="336"/>
      </c>
      <c r="M146" s="175">
        <f t="shared" si="216"/>
      </c>
      <c r="N146" s="176">
        <f t="shared" si="246"/>
      </c>
      <c r="O146" s="176">
        <f t="shared" si="276"/>
      </c>
      <c r="P146" s="176">
        <f t="shared" si="156"/>
      </c>
      <c r="Q146" s="176">
        <f t="shared" si="186"/>
      </c>
      <c r="R146" s="175">
        <f t="shared" si="96"/>
      </c>
      <c r="S146" s="177">
        <f t="shared" si="126"/>
      </c>
      <c r="T146" s="176">
        <f t="shared" si="36"/>
      </c>
      <c r="U146" s="176">
        <f t="shared" si="66"/>
      </c>
      <c r="V146" s="176">
        <f t="shared" si="486"/>
      </c>
      <c r="W146" s="176">
        <f t="shared" si="6"/>
      </c>
      <c r="X146" s="169" t="s">
        <v>107</v>
      </c>
      <c r="Y146" s="163" t="s">
        <v>132</v>
      </c>
      <c r="Z146" s="166">
        <v>134846</v>
      </c>
      <c r="AA146" s="166">
        <v>11069</v>
      </c>
      <c r="AB146" s="166">
        <v>343074</v>
      </c>
      <c r="AC146" s="166">
        <v>626</v>
      </c>
      <c r="AD146" s="166">
        <v>8</v>
      </c>
      <c r="AE146" s="166">
        <v>16913</v>
      </c>
      <c r="AF146" s="166">
        <v>137</v>
      </c>
      <c r="AG146" s="166">
        <v>46</v>
      </c>
      <c r="AH146" s="165">
        <v>9</v>
      </c>
      <c r="AI146" s="167">
        <v>1</v>
      </c>
    </row>
    <row customHeight="true" ht="16.071428571428573" r="147">
      <c r="A147" s="149"/>
      <c r="B147" s="150" t="s">
        <v>131</v>
      </c>
      <c r="C147" s="194" t="s">
        <v>123</v>
      </c>
      <c r="D147" s="195">
        <v>4151.4800000000005</v>
      </c>
      <c r="E147" s="172">
        <v>8</v>
      </c>
      <c r="F147" s="154">
        <f t="shared" si="426"/>
      </c>
      <c r="G147" s="172">
        <v>4160</v>
      </c>
      <c r="H147" s="156">
        <f t="shared" si="456"/>
      </c>
      <c r="I147" s="157">
        <f t="shared" si="366"/>
      </c>
      <c r="J147" s="158">
        <f t="shared" si="396"/>
      </c>
      <c r="K147" s="159">
        <f t="shared" si="306"/>
      </c>
      <c r="L147" s="174">
        <f t="shared" si="336"/>
      </c>
      <c r="M147" s="175">
        <f t="shared" si="216"/>
      </c>
      <c r="N147" s="176">
        <f t="shared" si="246"/>
      </c>
      <c r="O147" s="176">
        <f t="shared" si="276"/>
      </c>
      <c r="P147" s="176">
        <f t="shared" si="156"/>
      </c>
      <c r="Q147" s="176">
        <f t="shared" si="186"/>
      </c>
      <c r="R147" s="175">
        <f t="shared" si="96"/>
      </c>
      <c r="S147" s="177">
        <f t="shared" si="126"/>
      </c>
      <c r="T147" s="176">
        <f t="shared" si="36"/>
      </c>
      <c r="U147" s="176">
        <f t="shared" si="66"/>
      </c>
      <c r="V147" s="176">
        <f t="shared" si="486"/>
      </c>
      <c r="W147" s="176">
        <f t="shared" si="6"/>
      </c>
      <c r="X147" s="169" t="s">
        <v>107</v>
      </c>
      <c r="Y147" s="163" t="s">
        <v>132</v>
      </c>
      <c r="Z147" s="166">
        <v>149024</v>
      </c>
      <c r="AA147" s="166">
        <v>9760</v>
      </c>
      <c r="AB147" s="166">
        <v>402485</v>
      </c>
      <c r="AC147" s="166">
        <v>648</v>
      </c>
      <c r="AD147" s="166">
        <v>7</v>
      </c>
      <c r="AE147" s="166">
        <v>15898</v>
      </c>
      <c r="AF147" s="166">
        <v>124</v>
      </c>
      <c r="AG147" s="166">
        <v>47</v>
      </c>
      <c r="AH147" s="165">
        <v>13</v>
      </c>
      <c r="AI147" s="167">
        <v>0</v>
      </c>
    </row>
    <row customHeight="true" ht="16.071428571428573" r="148">
      <c r="A148" s="149"/>
      <c r="B148" s="178" t="s">
        <v>112</v>
      </c>
      <c r="C148" s="178"/>
      <c r="D148" s="179">
        <f>SUM(D144:D147)</f>
      </c>
      <c r="E148" s="180">
        <f>SUM(E144:E147)</f>
      </c>
      <c r="F148" s="181">
        <f t="shared" si="426"/>
      </c>
      <c r="G148" s="182">
        <f>SUM(G144:G147)</f>
      </c>
      <c r="H148" s="183">
        <f t="shared" si="456"/>
      </c>
      <c r="I148" s="184">
        <f t="shared" si="366"/>
      </c>
      <c r="J148" s="185">
        <f t="shared" si="396"/>
      </c>
      <c r="K148" s="181">
        <f t="shared" si="306"/>
      </c>
      <c r="L148" s="186">
        <f t="shared" si="336"/>
      </c>
      <c r="M148" s="185">
        <f t="shared" si="216"/>
      </c>
      <c r="N148" s="187">
        <f t="shared" si="246"/>
      </c>
      <c r="O148" s="187">
        <f t="shared" si="276"/>
      </c>
      <c r="P148" s="187">
        <f t="shared" si="156"/>
      </c>
      <c r="Q148" s="187">
        <f t="shared" si="186"/>
      </c>
      <c r="R148" s="185">
        <f t="shared" si="96"/>
      </c>
      <c r="S148" s="181">
        <f t="shared" si="126"/>
      </c>
      <c r="T148" s="187">
        <f t="shared" si="36"/>
      </c>
      <c r="U148" s="187">
        <f t="shared" si="66"/>
      </c>
      <c r="V148" s="187">
        <f t="shared" si="486"/>
      </c>
      <c r="W148" s="187">
        <f t="shared" si="6"/>
      </c>
      <c r="X148" s="187"/>
      <c r="Y148" s="188"/>
      <c r="Z148" s="179">
        <f>SUM(Z144:Z147)</f>
      </c>
      <c r="AA148" s="179">
        <f>SUM(AA144:AA147)</f>
      </c>
      <c r="AB148" s="179">
        <f>SUM(AB144:AB147)</f>
      </c>
      <c r="AC148" s="179">
        <f>SUM(AC144:AC147)</f>
      </c>
      <c r="AD148" s="179">
        <f>SUM(AD144:AD147)</f>
      </c>
      <c r="AE148" s="179">
        <f>SUM(AE144:AE147)</f>
      </c>
      <c r="AF148" s="179">
        <f>SUM(AF144:AF147)</f>
      </c>
      <c r="AG148" s="179">
        <f>SUM(AG144:AG147)</f>
      </c>
      <c r="AH148" s="179">
        <f>SUM(AH144:AH147)</f>
      </c>
      <c r="AI148" s="179">
        <f>SUM(AI144:AI147)</f>
      </c>
    </row>
    <row customHeight="true" ht="16.071428571428573" r="149">
      <c r="A149" s="149"/>
      <c r="B149" s="150" t="s">
        <v>118</v>
      </c>
      <c r="C149" s="196" t="s">
        <v>125</v>
      </c>
      <c r="D149" s="198">
        <v>4272.169000000001</v>
      </c>
      <c r="E149" s="153">
        <v>6</v>
      </c>
      <c r="F149" s="154">
        <f t="shared" si="426"/>
      </c>
      <c r="G149" s="155">
        <v>1325.199999999997</v>
      </c>
      <c r="H149" s="156">
        <f t="shared" si="456"/>
      </c>
      <c r="I149" s="157">
        <f t="shared" si="366"/>
      </c>
      <c r="J149" s="158">
        <f t="shared" si="396"/>
      </c>
      <c r="K149" s="159">
        <f t="shared" si="306"/>
      </c>
      <c r="L149" s="174">
        <f t="shared" si="336"/>
      </c>
      <c r="M149" s="175">
        <f t="shared" si="216"/>
      </c>
      <c r="N149" s="176">
        <f t="shared" si="246"/>
      </c>
      <c r="O149" s="176">
        <f t="shared" si="276"/>
      </c>
      <c r="P149" s="176">
        <f t="shared" si="156"/>
      </c>
      <c r="Q149" s="176">
        <f t="shared" si="186"/>
      </c>
      <c r="R149" s="175">
        <f t="shared" si="96"/>
      </c>
      <c r="S149" s="177">
        <f t="shared" si="126"/>
      </c>
      <c r="T149" s="176">
        <f t="shared" si="36"/>
      </c>
      <c r="U149" s="176">
        <f t="shared" si="66"/>
      </c>
      <c r="V149" s="176">
        <f t="shared" si="486"/>
      </c>
      <c r="W149" s="176">
        <f t="shared" si="6"/>
      </c>
      <c r="X149" s="169" t="s">
        <v>107</v>
      </c>
      <c r="Y149" s="163" t="s">
        <v>132</v>
      </c>
      <c r="Z149" s="166">
        <v>168139</v>
      </c>
      <c r="AA149" s="166">
        <v>10488</v>
      </c>
      <c r="AB149" s="166">
        <v>438815</v>
      </c>
      <c r="AC149" s="199">
        <v>805</v>
      </c>
      <c r="AD149" s="199">
        <v>5</v>
      </c>
      <c r="AE149" s="199">
        <v>15350</v>
      </c>
      <c r="AF149" s="199">
        <v>120</v>
      </c>
      <c r="AG149" s="199">
        <v>63</v>
      </c>
      <c r="AH149" s="199">
        <v>12</v>
      </c>
      <c r="AI149" s="167">
        <v>0</v>
      </c>
    </row>
    <row customHeight="true" ht="16.071428571428573" r="150">
      <c r="A150" s="149"/>
      <c r="B150" s="150" t="s">
        <v>118</v>
      </c>
      <c r="C150" s="194" t="s">
        <v>126</v>
      </c>
      <c r="D150" s="198">
        <v>2742.9599999999996</v>
      </c>
      <c r="E150" s="153">
        <v>10</v>
      </c>
      <c r="F150" s="154">
        <f t="shared" si="426"/>
      </c>
      <c r="G150" s="155">
        <v>4994.200000000004</v>
      </c>
      <c r="H150" s="156">
        <f t="shared" si="456"/>
      </c>
      <c r="I150" s="157">
        <f t="shared" si="366"/>
      </c>
      <c r="J150" s="158">
        <f t="shared" si="396"/>
      </c>
      <c r="K150" s="159">
        <f t="shared" si="306"/>
      </c>
      <c r="L150" s="174">
        <f t="shared" si="336"/>
      </c>
      <c r="M150" s="175">
        <f t="shared" si="216"/>
      </c>
      <c r="N150" s="176">
        <f t="shared" si="246"/>
      </c>
      <c r="O150" s="176">
        <f t="shared" si="276"/>
      </c>
      <c r="P150" s="176">
        <f t="shared" si="156"/>
      </c>
      <c r="Q150" s="176">
        <f t="shared" si="186"/>
      </c>
      <c r="R150" s="175">
        <f t="shared" si="96"/>
      </c>
      <c r="S150" s="177">
        <f t="shared" si="126"/>
      </c>
      <c r="T150" s="176">
        <f t="shared" si="36"/>
      </c>
      <c r="U150" s="176">
        <f t="shared" si="66"/>
      </c>
      <c r="V150" s="176">
        <f t="shared" si="486"/>
      </c>
      <c r="W150" s="176">
        <f t="shared" si="6"/>
      </c>
      <c r="X150" s="169" t="s">
        <v>107</v>
      </c>
      <c r="Y150" s="163" t="s">
        <v>132</v>
      </c>
      <c r="Z150" s="166">
        <v>109282</v>
      </c>
      <c r="AA150" s="166">
        <v>6789</v>
      </c>
      <c r="AB150" s="166">
        <v>261294</v>
      </c>
      <c r="AC150" s="199">
        <v>559</v>
      </c>
      <c r="AD150" s="199">
        <v>8</v>
      </c>
      <c r="AE150" s="199">
        <v>9639</v>
      </c>
      <c r="AF150" s="199">
        <v>81</v>
      </c>
      <c r="AG150" s="199">
        <v>32</v>
      </c>
      <c r="AH150" s="199">
        <v>6</v>
      </c>
      <c r="AI150" s="167">
        <v>4</v>
      </c>
    </row>
    <row customHeight="true" ht="16.071428571428573" r="151">
      <c r="A151" s="149"/>
      <c r="B151" s="150" t="s">
        <v>118</v>
      </c>
      <c r="C151" s="200" t="s">
        <v>127</v>
      </c>
      <c r="D151" s="171">
        <v>1233.352</v>
      </c>
      <c r="E151" s="172">
        <v>9</v>
      </c>
      <c r="F151" s="154">
        <f t="shared" si="426"/>
      </c>
      <c r="G151" s="172">
        <v>4910.799999999996</v>
      </c>
      <c r="H151" s="156">
        <f t="shared" si="456"/>
      </c>
      <c r="I151" s="157">
        <f t="shared" si="366"/>
      </c>
      <c r="J151" s="158">
        <f t="shared" si="396"/>
      </c>
      <c r="K151" s="159">
        <f t="shared" si="306"/>
      </c>
      <c r="L151" s="174">
        <f t="shared" si="336"/>
      </c>
      <c r="M151" s="175">
        <f t="shared" si="216"/>
      </c>
      <c r="N151" s="176">
        <f t="shared" si="246"/>
      </c>
      <c r="O151" s="176">
        <f t="shared" si="276"/>
      </c>
      <c r="P151" s="176">
        <f t="shared" si="156"/>
      </c>
      <c r="Q151" s="176">
        <f t="shared" si="186"/>
      </c>
      <c r="R151" s="175">
        <f t="shared" si="96"/>
      </c>
      <c r="S151" s="177">
        <f t="shared" si="126"/>
      </c>
      <c r="T151" s="176">
        <f t="shared" si="36"/>
      </c>
      <c r="U151" s="176">
        <f t="shared" si="66"/>
      </c>
      <c r="V151" s="176">
        <f t="shared" si="486"/>
      </c>
      <c r="W151" s="176">
        <f t="shared" si="6"/>
      </c>
      <c r="X151" s="169" t="s">
        <v>107</v>
      </c>
      <c r="Y151" s="163" t="s">
        <v>132</v>
      </c>
      <c r="Z151" s="166">
        <v>44921</v>
      </c>
      <c r="AA151" s="166">
        <v>5005</v>
      </c>
      <c r="AB151" s="166">
        <v>95183</v>
      </c>
      <c r="AC151" s="166">
        <v>315</v>
      </c>
      <c r="AD151" s="166">
        <v>6</v>
      </c>
      <c r="AE151" s="166">
        <v>3969</v>
      </c>
      <c r="AF151" s="166">
        <v>82</v>
      </c>
      <c r="AG151" s="166">
        <v>22</v>
      </c>
      <c r="AH151" s="165">
        <v>12</v>
      </c>
      <c r="AI151" s="167">
        <v>4</v>
      </c>
    </row>
    <row customHeight="true" ht="16.071428571428573" r="152">
      <c r="A152" s="149"/>
      <c r="B152" s="150" t="s">
        <v>118</v>
      </c>
      <c r="C152" s="201" t="s">
        <v>128</v>
      </c>
      <c r="D152" s="195">
        <f>698.103+2.108</f>
      </c>
      <c r="E152" s="172">
        <v>7</v>
      </c>
      <c r="F152" s="154">
        <f t="shared" si="426"/>
      </c>
      <c r="G152" s="172">
        <v>2557.800000000003</v>
      </c>
      <c r="H152" s="156">
        <f t="shared" si="456"/>
      </c>
      <c r="I152" s="157">
        <f t="shared" si="366"/>
      </c>
      <c r="J152" s="158">
        <f t="shared" si="396"/>
      </c>
      <c r="K152" s="159">
        <f t="shared" si="306"/>
      </c>
      <c r="L152" s="174">
        <f t="shared" si="336"/>
      </c>
      <c r="M152" s="175">
        <f t="shared" si="216"/>
      </c>
      <c r="N152" s="176">
        <f t="shared" si="246"/>
      </c>
      <c r="O152" s="176">
        <f t="shared" si="276"/>
      </c>
      <c r="P152" s="176">
        <f t="shared" si="156"/>
      </c>
      <c r="Q152" s="176">
        <f t="shared" si="186"/>
      </c>
      <c r="R152" s="175">
        <f t="shared" si="96"/>
      </c>
      <c r="S152" s="177">
        <f t="shared" si="126"/>
      </c>
      <c r="T152" s="176">
        <f t="shared" si="36"/>
      </c>
      <c r="U152" s="176">
        <f t="shared" si="66"/>
      </c>
      <c r="V152" s="176">
        <f t="shared" si="486"/>
      </c>
      <c r="W152" s="176">
        <f t="shared" si="6"/>
      </c>
      <c r="X152" s="169" t="s">
        <v>107</v>
      </c>
      <c r="Y152" s="163" t="s">
        <v>132</v>
      </c>
      <c r="Z152" s="166">
        <v>24162</v>
      </c>
      <c r="AA152" s="166">
        <v>3233</v>
      </c>
      <c r="AB152" s="166">
        <v>49255</v>
      </c>
      <c r="AC152" s="166">
        <v>190</v>
      </c>
      <c r="AD152" s="166">
        <v>3</v>
      </c>
      <c r="AE152" s="166">
        <v>2326</v>
      </c>
      <c r="AF152" s="166">
        <v>60</v>
      </c>
      <c r="AG152" s="166">
        <v>17</v>
      </c>
      <c r="AH152" s="165">
        <v>4</v>
      </c>
      <c r="AI152" s="167">
        <v>4</v>
      </c>
    </row>
    <row customHeight="true" ht="16.071428571428573" r="153">
      <c r="A153" s="149"/>
      <c r="B153" s="178" t="s">
        <v>112</v>
      </c>
      <c r="C153" s="178"/>
      <c r="D153" s="179">
        <f>SUM(D149:D152)</f>
      </c>
      <c r="E153" s="180">
        <f>SUM(E149:E152)</f>
      </c>
      <c r="F153" s="181">
        <f t="shared" si="426"/>
      </c>
      <c r="G153" s="182">
        <f>SUM(G149:G152)</f>
      </c>
      <c r="H153" s="183">
        <f t="shared" si="456"/>
      </c>
      <c r="I153" s="184">
        <f t="shared" si="366"/>
      </c>
      <c r="J153" s="185">
        <f t="shared" si="396"/>
      </c>
      <c r="K153" s="181">
        <f t="shared" si="306"/>
      </c>
      <c r="L153" s="186">
        <f t="shared" si="336"/>
      </c>
      <c r="M153" s="185">
        <f t="shared" si="216"/>
      </c>
      <c r="N153" s="187">
        <f t="shared" si="246"/>
      </c>
      <c r="O153" s="187">
        <f t="shared" si="276"/>
      </c>
      <c r="P153" s="187">
        <f t="shared" si="156"/>
      </c>
      <c r="Q153" s="187">
        <f t="shared" si="186"/>
      </c>
      <c r="R153" s="185">
        <f t="shared" si="96"/>
      </c>
      <c r="S153" s="181">
        <f t="shared" si="126"/>
      </c>
      <c r="T153" s="187">
        <f t="shared" si="36"/>
      </c>
      <c r="U153" s="187">
        <f t="shared" si="66"/>
      </c>
      <c r="V153" s="187">
        <f t="shared" si="486"/>
      </c>
      <c r="W153" s="187">
        <f t="shared" si="6"/>
      </c>
      <c r="X153" s="187"/>
      <c r="Y153" s="188"/>
      <c r="Z153" s="179">
        <f>SUM(Z149:Z152)</f>
      </c>
      <c r="AA153" s="179">
        <f>SUM(AA149:AA152)</f>
      </c>
      <c r="AB153" s="179">
        <f>SUM(AB149:AB152)</f>
      </c>
      <c r="AC153" s="179">
        <f>SUM(AC149:AC152)</f>
      </c>
      <c r="AD153" s="179">
        <f>SUM(AD149:AD152)</f>
      </c>
      <c r="AE153" s="179">
        <f>SUM(AE149:AE152)</f>
      </c>
      <c r="AF153" s="179">
        <f>SUM(AF149:AF152)</f>
      </c>
      <c r="AG153" s="179">
        <f>SUM(AG149:AG152)</f>
      </c>
      <c r="AH153" s="179">
        <f>SUM(AH149:AH152)</f>
      </c>
      <c r="AI153" s="179">
        <f>SUM(AI149:AI152)</f>
      </c>
    </row>
    <row customHeight="true" ht="16.071428571428573" r="154">
      <c r="A154" s="149"/>
      <c r="B154" s="202" t="s">
        <v>129</v>
      </c>
      <c r="C154" s="202"/>
      <c r="D154" s="203">
        <f>SUM(D153+D138+D143+D148)</f>
      </c>
      <c r="E154" s="204">
        <f>SUM(E153+E138+E143+E148)</f>
      </c>
      <c r="F154" s="205">
        <f t="shared" si="426"/>
      </c>
      <c r="G154" s="206">
        <f>SUM(G153+G138+G143+G148)</f>
      </c>
      <c r="H154" s="207">
        <f t="shared" si="456"/>
      </c>
      <c r="I154" s="208">
        <f t="shared" si="366"/>
      </c>
      <c r="J154" s="209">
        <f t="shared" si="396"/>
      </c>
      <c r="K154" s="205">
        <f t="shared" si="306"/>
      </c>
      <c r="L154" s="210">
        <f t="shared" si="336"/>
      </c>
      <c r="M154" s="210">
        <f t="shared" si="216"/>
      </c>
      <c r="N154" s="211">
        <f t="shared" si="246"/>
      </c>
      <c r="O154" s="211">
        <f t="shared" si="276"/>
      </c>
      <c r="P154" s="211">
        <f t="shared" si="156"/>
      </c>
      <c r="Q154" s="211">
        <f t="shared" si="186"/>
      </c>
      <c r="R154" s="212">
        <f t="shared" si="96"/>
      </c>
      <c r="S154" s="213">
        <f t="shared" si="126"/>
      </c>
      <c r="T154" s="214">
        <f t="shared" si="36"/>
      </c>
      <c r="U154" s="214">
        <f t="shared" si="66"/>
      </c>
      <c r="V154" s="214">
        <f t="shared" si="486"/>
      </c>
      <c r="W154" s="214">
        <f t="shared" si="6"/>
      </c>
      <c r="X154" s="214"/>
      <c r="Y154" s="215"/>
      <c r="Z154" s="216">
        <f>SUM(Z138+Z153+Z143+Z148)</f>
      </c>
      <c r="AA154" s="216">
        <f>SUM(AA138+AA153+AA143+AA148)</f>
      </c>
      <c r="AB154" s="216">
        <f>SUM(AB138+AB153+AB143+AB148)</f>
      </c>
      <c r="AC154" s="216">
        <f>SUM(AC138+AC153+AC143+AC148)</f>
      </c>
      <c r="AD154" s="216">
        <f>SUM(AD138+AD153+AD143+AD148)</f>
      </c>
      <c r="AE154" s="216">
        <f>SUM(AE138+AE153+AE143+AE148)</f>
      </c>
      <c r="AF154" s="216">
        <f>SUM(AF138+AF153+AF143+AF148)</f>
      </c>
      <c r="AG154" s="216">
        <f>SUM(AG138+AG153+AG143+AG148)</f>
      </c>
      <c r="AH154" s="216">
        <f>SUM(AH138+AH153+AH143+AH148)</f>
      </c>
      <c r="AI154" s="216">
        <f>SUM(AI138+AI153+AI143+AI148)</f>
      </c>
    </row>
    <row customHeight="true" ht="16.071428571428573" r="155">
      <c r="A155" s="133" t="s">
        <v>70</v>
      </c>
      <c r="B155" s="134" t="s">
        <v>71</v>
      </c>
      <c r="C155" s="135" t="s">
        <v>72</v>
      </c>
      <c r="D155" s="136" t="s">
        <v>73</v>
      </c>
      <c r="E155" s="137" t="s">
        <v>74</v>
      </c>
      <c r="F155" s="138" t="s">
        <v>75</v>
      </c>
      <c r="G155" s="139" t="s">
        <v>76</v>
      </c>
      <c r="H155" s="138" t="s">
        <v>77</v>
      </c>
      <c r="I155" s="139" t="s">
        <v>78</v>
      </c>
      <c r="J155" s="140" t="s">
        <v>79</v>
      </c>
      <c r="K155" s="140" t="s">
        <v>80</v>
      </c>
      <c r="L155" s="141" t="s">
        <v>81</v>
      </c>
      <c r="M155" s="141" t="s">
        <v>82</v>
      </c>
      <c r="N155" s="141" t="s">
        <v>83</v>
      </c>
      <c r="O155" s="141" t="s">
        <v>84</v>
      </c>
      <c r="P155" s="141" t="s">
        <v>85</v>
      </c>
      <c r="Q155" s="141" t="s">
        <v>86</v>
      </c>
      <c r="R155" s="141" t="s">
        <v>87</v>
      </c>
      <c r="S155" s="141" t="s">
        <v>88</v>
      </c>
      <c r="T155" s="142" t="s">
        <v>89</v>
      </c>
      <c r="U155" s="142" t="s">
        <v>90</v>
      </c>
      <c r="V155" s="142" t="s">
        <v>91</v>
      </c>
      <c r="W155" s="142" t="s">
        <v>92</v>
      </c>
      <c r="X155" s="143" t="s">
        <v>93</v>
      </c>
      <c r="Y155" s="143" t="s">
        <v>94</v>
      </c>
      <c r="Z155" s="144" t="s">
        <v>95</v>
      </c>
      <c r="AA155" s="144" t="s">
        <v>96</v>
      </c>
      <c r="AB155" s="144" t="s">
        <v>97</v>
      </c>
      <c r="AC155" s="145" t="s">
        <v>98</v>
      </c>
      <c r="AD155" s="145" t="s">
        <v>99</v>
      </c>
      <c r="AE155" s="146" t="s">
        <v>100</v>
      </c>
      <c r="AF155" s="145" t="s">
        <v>101</v>
      </c>
      <c r="AG155" s="145" t="s">
        <v>102</v>
      </c>
      <c r="AH155" s="147" t="s">
        <v>103</v>
      </c>
      <c r="AI155" s="148" t="s">
        <v>104</v>
      </c>
    </row>
    <row customHeight="true" ht="16.071428571428573" r="156">
      <c r="A156" s="149">
        <v>46273</v>
      </c>
      <c r="B156" s="150" t="s">
        <v>105</v>
      </c>
      <c r="C156" s="151" t="s">
        <v>106</v>
      </c>
      <c r="D156" s="152">
        <v>1089.616</v>
      </c>
      <c r="E156" s="153">
        <v>9</v>
      </c>
      <c r="F156" s="154">
        <f t="shared" ref="F156:F177" si="427">D156/E156</f>
      </c>
      <c r="G156" s="155">
        <v>2526.3999999999996</v>
      </c>
      <c r="H156" s="156">
        <f t="shared" ref="H156:H177" si="457">AD156</f>
      </c>
      <c r="I156" s="157">
        <f t="shared" ref="I156:I177" si="367">D156/AD156</f>
      </c>
      <c r="J156" s="158">
        <f t="shared" ref="J156:J177" si="397">G156/E156</f>
      </c>
      <c r="K156" s="159">
        <f t="shared" ref="K156:K177" si="307">G156/D156</f>
      </c>
      <c r="L156" s="160">
        <f t="shared" ref="L156:L177" si="337">D156/AB156</f>
      </c>
      <c r="M156" s="158">
        <f t="shared" ref="M156:M177" si="217">D156/AC156</f>
      </c>
      <c r="N156" s="161">
        <f t="shared" ref="N156:N177" si="247">AC156/AB156</f>
      </c>
      <c r="O156" s="161">
        <f t="shared" ref="O156:O177" si="277">AD156/AC156</f>
      </c>
      <c r="P156" s="161">
        <f t="shared" ref="P156:P177" si="157">AA156/Z156</f>
      </c>
      <c r="Q156" s="161">
        <f t="shared" ref="Q156:Q177" si="187">AD156/AA156</f>
      </c>
      <c r="R156" s="158">
        <f t="shared" ref="R156:R177" si="97">D156/Z156*1000</f>
      </c>
      <c r="S156" s="159">
        <f t="shared" ref="S156:S177" si="127">D156/AA156</f>
      </c>
      <c r="T156" s="161">
        <f t="shared" ref="T156:T177" si="37">AE156/AB156</f>
      </c>
      <c r="U156" s="161">
        <f t="shared" ref="U156:U177" si="67">AF156/AB156</f>
      </c>
      <c r="V156" s="161">
        <f t="shared" ref="V156:V177" si="487">AG156/AB156</f>
      </c>
      <c r="W156" s="161">
        <f t="shared" ref="W156:W177" si="7">AH156/AB156</f>
      </c>
      <c r="X156" s="162" t="s">
        <v>107</v>
      </c>
      <c r="Y156" s="163" t="s">
        <v>120</v>
      </c>
      <c r="Z156" s="164">
        <v>41555</v>
      </c>
      <c r="AA156" s="164">
        <v>11387</v>
      </c>
      <c r="AB156" s="164">
        <v>83245</v>
      </c>
      <c r="AC156" s="164">
        <v>388</v>
      </c>
      <c r="AD156" s="165">
        <v>6</v>
      </c>
      <c r="AE156" s="164">
        <v>7079</v>
      </c>
      <c r="AF156" s="166">
        <v>127</v>
      </c>
      <c r="AG156" s="166">
        <v>18</v>
      </c>
      <c r="AH156" s="166">
        <v>7</v>
      </c>
      <c r="AI156" s="167">
        <v>1</v>
      </c>
    </row>
    <row customHeight="true" ht="16.071428571428573" r="157">
      <c r="A157" s="149"/>
      <c r="B157" s="150" t="s">
        <v>105</v>
      </c>
      <c r="C157" s="168" t="s">
        <v>109</v>
      </c>
      <c r="D157" s="152">
        <v>5033.372</v>
      </c>
      <c r="E157" s="153">
        <v>14</v>
      </c>
      <c r="F157" s="154">
        <f t="shared" si="427"/>
      </c>
      <c r="G157" s="155">
        <v>5549.200000000001</v>
      </c>
      <c r="H157" s="156">
        <f t="shared" si="457"/>
      </c>
      <c r="I157" s="157">
        <f t="shared" si="367"/>
      </c>
      <c r="J157" s="158">
        <f t="shared" si="397"/>
      </c>
      <c r="K157" s="159">
        <f t="shared" si="307"/>
      </c>
      <c r="L157" s="160">
        <f t="shared" si="337"/>
      </c>
      <c r="M157" s="158">
        <f t="shared" si="217"/>
      </c>
      <c r="N157" s="161">
        <f t="shared" si="247"/>
      </c>
      <c r="O157" s="161">
        <f t="shared" si="277"/>
      </c>
      <c r="P157" s="161">
        <f t="shared" si="157"/>
      </c>
      <c r="Q157" s="161">
        <f t="shared" si="187"/>
      </c>
      <c r="R157" s="158">
        <f t="shared" si="97"/>
      </c>
      <c r="S157" s="159">
        <f t="shared" si="127"/>
      </c>
      <c r="T157" s="161">
        <f t="shared" si="37"/>
      </c>
      <c r="U157" s="161">
        <f t="shared" si="67"/>
      </c>
      <c r="V157" s="161">
        <f t="shared" si="487"/>
      </c>
      <c r="W157" s="161">
        <f t="shared" si="7"/>
      </c>
      <c r="X157" s="169" t="s">
        <v>107</v>
      </c>
      <c r="Y157" s="163" t="s">
        <v>120</v>
      </c>
      <c r="Z157" s="166">
        <v>199305</v>
      </c>
      <c r="AA157" s="164">
        <v>51612</v>
      </c>
      <c r="AB157" s="164">
        <v>427127</v>
      </c>
      <c r="AC157" s="164">
        <v>1291</v>
      </c>
      <c r="AD157" s="166">
        <v>14</v>
      </c>
      <c r="AE157" s="164">
        <v>35874</v>
      </c>
      <c r="AF157" s="166">
        <v>341</v>
      </c>
      <c r="AG157" s="166">
        <v>134</v>
      </c>
      <c r="AH157" s="165">
        <v>35</v>
      </c>
      <c r="AI157" s="167">
        <v>1</v>
      </c>
    </row>
    <row customHeight="true" ht="16.071428571428573" r="158">
      <c r="A158" s="149"/>
      <c r="B158" s="150" t="s">
        <v>105</v>
      </c>
      <c r="C158" s="170" t="s">
        <v>110</v>
      </c>
      <c r="D158" s="171">
        <v>5367.379</v>
      </c>
      <c r="E158" s="172">
        <v>22</v>
      </c>
      <c r="F158" s="154">
        <f t="shared" si="427"/>
      </c>
      <c r="G158" s="172">
        <v>9264.399999999996</v>
      </c>
      <c r="H158" s="156">
        <f t="shared" si="457"/>
      </c>
      <c r="I158" s="157">
        <f t="shared" si="367"/>
      </c>
      <c r="J158" s="158">
        <f t="shared" si="397"/>
      </c>
      <c r="K158" s="159">
        <f t="shared" si="307"/>
      </c>
      <c r="L158" s="160">
        <f t="shared" si="337"/>
      </c>
      <c r="M158" s="158">
        <f t="shared" si="217"/>
      </c>
      <c r="N158" s="161">
        <f t="shared" si="247"/>
      </c>
      <c r="O158" s="161">
        <f t="shared" si="277"/>
      </c>
      <c r="P158" s="161">
        <f t="shared" si="157"/>
      </c>
      <c r="Q158" s="161">
        <f t="shared" si="187"/>
      </c>
      <c r="R158" s="158">
        <f t="shared" si="97"/>
      </c>
      <c r="S158" s="159">
        <f t="shared" si="127"/>
      </c>
      <c r="T158" s="161">
        <f t="shared" si="37"/>
      </c>
      <c r="U158" s="161">
        <f t="shared" si="67"/>
      </c>
      <c r="V158" s="161">
        <f t="shared" si="487"/>
      </c>
      <c r="W158" s="161">
        <f t="shared" si="7"/>
      </c>
      <c r="X158" s="169" t="s">
        <v>107</v>
      </c>
      <c r="Y158" s="163" t="s">
        <v>120</v>
      </c>
      <c r="Z158" s="166">
        <v>193916</v>
      </c>
      <c r="AA158" s="166">
        <v>55071</v>
      </c>
      <c r="AB158" s="166">
        <v>449824</v>
      </c>
      <c r="AC158" s="166">
        <v>1522</v>
      </c>
      <c r="AD158" s="166">
        <v>15</v>
      </c>
      <c r="AE158" s="166">
        <v>38787</v>
      </c>
      <c r="AF158" s="166">
        <v>453</v>
      </c>
      <c r="AG158" s="166">
        <v>149</v>
      </c>
      <c r="AH158" s="166">
        <v>30</v>
      </c>
      <c r="AI158" s="167">
        <v>3</v>
      </c>
    </row>
    <row customHeight="true" ht="16.071428571428573" r="159">
      <c r="A159" s="149"/>
      <c r="B159" s="150" t="s">
        <v>105</v>
      </c>
      <c r="C159" s="173" t="s">
        <v>111</v>
      </c>
      <c r="D159" s="171">
        <v>5022.021</v>
      </c>
      <c r="E159" s="172">
        <v>27</v>
      </c>
      <c r="F159" s="154">
        <f t="shared" si="427"/>
      </c>
      <c r="G159" s="172">
        <v>8682.5</v>
      </c>
      <c r="H159" s="156">
        <f t="shared" si="457"/>
      </c>
      <c r="I159" s="157">
        <f t="shared" si="367"/>
      </c>
      <c r="J159" s="158">
        <f t="shared" si="397"/>
      </c>
      <c r="K159" s="159">
        <f t="shared" si="307"/>
      </c>
      <c r="L159" s="160">
        <f t="shared" si="337"/>
      </c>
      <c r="M159" s="158">
        <f t="shared" si="217"/>
      </c>
      <c r="N159" s="161">
        <f t="shared" si="247"/>
      </c>
      <c r="O159" s="161">
        <f t="shared" si="277"/>
      </c>
      <c r="P159" s="161">
        <f t="shared" si="157"/>
      </c>
      <c r="Q159" s="161">
        <f t="shared" si="187"/>
      </c>
      <c r="R159" s="158">
        <f t="shared" si="97"/>
      </c>
      <c r="S159" s="159">
        <f t="shared" si="127"/>
      </c>
      <c r="T159" s="161">
        <f t="shared" si="37"/>
      </c>
      <c r="U159" s="161">
        <f t="shared" si="67"/>
      </c>
      <c r="V159" s="161">
        <f t="shared" si="487"/>
      </c>
      <c r="W159" s="161">
        <f t="shared" si="7"/>
      </c>
      <c r="X159" s="169" t="s">
        <v>107</v>
      </c>
      <c r="Y159" s="163" t="s">
        <v>120</v>
      </c>
      <c r="Z159" s="166">
        <v>180744</v>
      </c>
      <c r="AA159" s="166">
        <v>54243</v>
      </c>
      <c r="AB159" s="166">
        <v>437650</v>
      </c>
      <c r="AC159" s="166">
        <v>1439</v>
      </c>
      <c r="AD159" s="166">
        <v>22</v>
      </c>
      <c r="AE159" s="166">
        <v>36546</v>
      </c>
      <c r="AF159" s="166">
        <v>453</v>
      </c>
      <c r="AG159" s="166">
        <v>147</v>
      </c>
      <c r="AH159" s="165">
        <v>32</v>
      </c>
      <c r="AI159" s="167">
        <v>3</v>
      </c>
    </row>
    <row customHeight="true" ht="16.071428571428573" r="160">
      <c r="A160" s="149"/>
      <c r="B160" s="150" t="s">
        <v>105</v>
      </c>
      <c r="C160" s="173" t="s">
        <v>114</v>
      </c>
      <c r="D160" s="190">
        <v>5680.742</v>
      </c>
      <c r="E160" s="191">
        <v>17</v>
      </c>
      <c r="F160" s="154">
        <f t="shared" si="427"/>
      </c>
      <c r="G160" s="172">
        <v>4402.300000000003</v>
      </c>
      <c r="H160" s="156">
        <f t="shared" si="457"/>
      </c>
      <c r="I160" s="157">
        <f t="shared" si="367"/>
      </c>
      <c r="J160" s="158">
        <f t="shared" si="397"/>
      </c>
      <c r="K160" s="159">
        <f t="shared" si="307"/>
      </c>
      <c r="L160" s="160">
        <f t="shared" si="337"/>
      </c>
      <c r="M160" s="158">
        <f t="shared" si="217"/>
      </c>
      <c r="N160" s="161">
        <f t="shared" si="247"/>
      </c>
      <c r="O160" s="161">
        <f t="shared" si="277"/>
      </c>
      <c r="P160" s="161">
        <f t="shared" si="157"/>
      </c>
      <c r="Q160" s="161">
        <f t="shared" si="187"/>
      </c>
      <c r="R160" s="158">
        <f t="shared" si="97"/>
      </c>
      <c r="S160" s="159">
        <f t="shared" si="127"/>
      </c>
      <c r="T160" s="161">
        <f t="shared" si="37"/>
      </c>
      <c r="U160" s="161">
        <f t="shared" si="67"/>
      </c>
      <c r="V160" s="161">
        <f t="shared" si="487"/>
      </c>
      <c r="W160" s="161">
        <f t="shared" si="7"/>
      </c>
      <c r="X160" s="169" t="s">
        <v>107</v>
      </c>
      <c r="Y160" s="163" t="s">
        <v>120</v>
      </c>
      <c r="Z160" s="166">
        <v>184225</v>
      </c>
      <c r="AA160" s="166">
        <v>48675</v>
      </c>
      <c r="AB160" s="166">
        <v>462511</v>
      </c>
      <c r="AC160" s="166">
        <v>1311</v>
      </c>
      <c r="AD160" s="166">
        <v>14</v>
      </c>
      <c r="AE160" s="166">
        <v>31602</v>
      </c>
      <c r="AF160" s="166">
        <v>434</v>
      </c>
      <c r="AG160" s="166">
        <v>129</v>
      </c>
      <c r="AH160" s="166">
        <v>34</v>
      </c>
      <c r="AI160" s="167">
        <v>1</v>
      </c>
    </row>
    <row customHeight="true" ht="16.071428571428573" r="161">
      <c r="A161" s="149"/>
      <c r="B161" s="218" t="s">
        <v>105</v>
      </c>
      <c r="C161" s="219" t="s">
        <v>133</v>
      </c>
      <c r="D161" s="171">
        <v>2729.746</v>
      </c>
      <c r="E161" s="172">
        <v>4</v>
      </c>
      <c r="F161" s="154">
        <f t="shared" si="427"/>
      </c>
      <c r="G161" s="172">
        <v>848</v>
      </c>
      <c r="H161" s="156">
        <f t="shared" si="457"/>
      </c>
      <c r="I161" s="157">
        <f t="shared" si="367"/>
      </c>
      <c r="J161" s="158">
        <f t="shared" si="397"/>
      </c>
      <c r="K161" s="159">
        <f t="shared" si="307"/>
      </c>
      <c r="L161" s="160">
        <f t="shared" si="337"/>
      </c>
      <c r="M161" s="158">
        <f t="shared" si="217"/>
      </c>
      <c r="N161" s="161">
        <f t="shared" si="247"/>
      </c>
      <c r="O161" s="161">
        <f t="shared" si="277"/>
      </c>
      <c r="P161" s="161">
        <f t="shared" si="157"/>
      </c>
      <c r="Q161" s="161">
        <f t="shared" si="187"/>
      </c>
      <c r="R161" s="158">
        <f t="shared" si="97"/>
      </c>
      <c r="S161" s="159">
        <f t="shared" si="127"/>
      </c>
      <c r="T161" s="161">
        <f t="shared" si="37"/>
      </c>
      <c r="U161" s="161">
        <f t="shared" si="67"/>
      </c>
      <c r="V161" s="161">
        <f t="shared" si="487"/>
      </c>
      <c r="W161" s="161">
        <f t="shared" si="7"/>
      </c>
      <c r="X161" s="169" t="s">
        <v>107</v>
      </c>
      <c r="Y161" s="163" t="s">
        <v>120</v>
      </c>
      <c r="Z161" s="166">
        <v>95425</v>
      </c>
      <c r="AA161" s="166">
        <v>26036</v>
      </c>
      <c r="AB161" s="166">
        <v>237617</v>
      </c>
      <c r="AC161" s="166">
        <v>708</v>
      </c>
      <c r="AD161" s="166">
        <v>4</v>
      </c>
      <c r="AE161" s="166">
        <v>15610</v>
      </c>
      <c r="AF161" s="166">
        <v>164</v>
      </c>
      <c r="AG161" s="166">
        <v>69</v>
      </c>
      <c r="AH161" s="166">
        <v>22</v>
      </c>
      <c r="AI161" s="167">
        <v>0</v>
      </c>
    </row>
    <row customHeight="true" ht="16.071428571428573" r="162">
      <c r="A162" s="149"/>
      <c r="B162" s="178" t="s">
        <v>112</v>
      </c>
      <c r="C162" s="178"/>
      <c r="D162" s="179">
        <f>D156+D157+D158+D159+D160+D161</f>
      </c>
      <c r="E162" s="179">
        <f>E156+E157+E158+E159+E160+E161</f>
      </c>
      <c r="F162" s="181">
        <f t="shared" si="427"/>
      </c>
      <c r="G162" s="182">
        <f>G156+G157+G158+G159+G160+G161</f>
      </c>
      <c r="H162" s="183">
        <f t="shared" si="457"/>
      </c>
      <c r="I162" s="184">
        <f t="shared" si="367"/>
      </c>
      <c r="J162" s="185">
        <f t="shared" si="397"/>
      </c>
      <c r="K162" s="181">
        <f t="shared" si="307"/>
      </c>
      <c r="L162" s="186">
        <f t="shared" si="337"/>
      </c>
      <c r="M162" s="185">
        <f t="shared" si="217"/>
      </c>
      <c r="N162" s="187">
        <f t="shared" si="247"/>
      </c>
      <c r="O162" s="187">
        <f t="shared" si="277"/>
      </c>
      <c r="P162" s="187">
        <f t="shared" si="157"/>
      </c>
      <c r="Q162" s="187">
        <f t="shared" si="187"/>
      </c>
      <c r="R162" s="185">
        <f t="shared" si="97"/>
      </c>
      <c r="S162" s="181">
        <f t="shared" si="127"/>
      </c>
      <c r="T162" s="187">
        <f t="shared" si="37"/>
      </c>
      <c r="U162" s="187">
        <f t="shared" si="67"/>
      </c>
      <c r="V162" s="187">
        <f t="shared" si="487"/>
      </c>
      <c r="W162" s="187">
        <f t="shared" si="7"/>
      </c>
      <c r="X162" s="187"/>
      <c r="Y162" s="188"/>
      <c r="Z162" s="179">
        <f>Z156+Z157+Z158+Z159+Z160+Z161</f>
      </c>
      <c r="AA162" s="179">
        <f>AA156+AA157+AA158+AA159+AA160+AA161</f>
      </c>
      <c r="AB162" s="179">
        <f>AB156+AB157+AB158+AB159+AB160+AB161</f>
      </c>
      <c r="AC162" s="179">
        <f>AC156+AC157+AC158+AC159+AC160+AC161</f>
      </c>
      <c r="AD162" s="179">
        <f>AD156+AD157+AD158+AD159+AD160+AD161</f>
      </c>
      <c r="AE162" s="179">
        <f>AE156+AE157+AE158+AE159+AE160+AE161</f>
      </c>
      <c r="AF162" s="179">
        <f>AF156+AF157+AF158+AF159+AF160+AF161</f>
      </c>
      <c r="AG162" s="179">
        <f>AG156+AG157+AG158+AG159+AG160+AG161</f>
      </c>
      <c r="AH162" s="179">
        <f>AH156+AH157+AH158+AH159+AH160+AH161</f>
      </c>
      <c r="AI162" s="179">
        <f>AI156+AI157+AI158+AI159+AI160+AI161</f>
      </c>
    </row>
    <row customHeight="true" ht="16.071428571428573" r="163">
      <c r="A163" s="149"/>
      <c r="B163" s="218" t="s">
        <v>118</v>
      </c>
      <c r="C163" s="219" t="s">
        <v>134</v>
      </c>
      <c r="D163" s="171">
        <v>2091.5550000000003</v>
      </c>
      <c r="E163" s="172">
        <v>4</v>
      </c>
      <c r="F163" s="154">
        <f t="shared" si="427"/>
      </c>
      <c r="G163" s="172">
        <v>1512.0000000000036</v>
      </c>
      <c r="H163" s="156">
        <f t="shared" si="457"/>
      </c>
      <c r="I163" s="157">
        <f t="shared" si="367"/>
      </c>
      <c r="J163" s="158">
        <f t="shared" si="397"/>
      </c>
      <c r="K163" s="159">
        <f t="shared" si="307"/>
      </c>
      <c r="L163" s="174">
        <f t="shared" si="337"/>
      </c>
      <c r="M163" s="175">
        <f t="shared" si="217"/>
      </c>
      <c r="N163" s="176">
        <f t="shared" si="247"/>
      </c>
      <c r="O163" s="176">
        <f t="shared" si="277"/>
      </c>
      <c r="P163" s="176">
        <f t="shared" si="157"/>
      </c>
      <c r="Q163" s="176">
        <f t="shared" si="187"/>
      </c>
      <c r="R163" s="175">
        <f t="shared" si="97"/>
      </c>
      <c r="S163" s="177">
        <f t="shared" si="127"/>
      </c>
      <c r="T163" s="176">
        <f t="shared" si="37"/>
      </c>
      <c r="U163" s="176">
        <f t="shared" si="67"/>
      </c>
      <c r="V163" s="176">
        <f t="shared" si="487"/>
      </c>
      <c r="W163" s="176">
        <f t="shared" si="7"/>
      </c>
      <c r="X163" s="169" t="s">
        <v>107</v>
      </c>
      <c r="Y163" s="163" t="s">
        <v>120</v>
      </c>
      <c r="Z163" s="166">
        <v>81063</v>
      </c>
      <c r="AA163" s="166">
        <v>25044</v>
      </c>
      <c r="AB163" s="166">
        <v>179292</v>
      </c>
      <c r="AC163" s="166">
        <v>585</v>
      </c>
      <c r="AD163" s="166">
        <v>6</v>
      </c>
      <c r="AE163" s="166">
        <v>12908</v>
      </c>
      <c r="AF163" s="166">
        <v>190</v>
      </c>
      <c r="AG163" s="166">
        <v>87</v>
      </c>
      <c r="AH163" s="166">
        <v>25</v>
      </c>
      <c r="AI163" s="167">
        <v>0</v>
      </c>
    </row>
    <row customHeight="true" ht="16.071428571428573" r="164">
      <c r="A164" s="149"/>
      <c r="B164" s="218" t="s">
        <v>118</v>
      </c>
      <c r="C164" s="193" t="s">
        <v>116</v>
      </c>
      <c r="D164" s="171">
        <v>3303.913</v>
      </c>
      <c r="E164" s="172">
        <v>18</v>
      </c>
      <c r="F164" s="154">
        <f t="shared" si="427"/>
      </c>
      <c r="G164" s="172">
        <v>5578.5999999999985</v>
      </c>
      <c r="H164" s="156">
        <f t="shared" si="457"/>
      </c>
      <c r="I164" s="157">
        <f t="shared" si="367"/>
      </c>
      <c r="J164" s="158">
        <f t="shared" si="397"/>
      </c>
      <c r="K164" s="159">
        <f t="shared" si="307"/>
      </c>
      <c r="L164" s="174">
        <f t="shared" si="337"/>
      </c>
      <c r="M164" s="175">
        <f t="shared" si="217"/>
      </c>
      <c r="N164" s="176">
        <f t="shared" si="247"/>
      </c>
      <c r="O164" s="176">
        <f t="shared" si="277"/>
      </c>
      <c r="P164" s="176">
        <f t="shared" si="157"/>
      </c>
      <c r="Q164" s="176">
        <f t="shared" si="187"/>
      </c>
      <c r="R164" s="175">
        <f t="shared" si="97"/>
      </c>
      <c r="S164" s="177">
        <f t="shared" si="127"/>
      </c>
      <c r="T164" s="176">
        <f t="shared" si="37"/>
      </c>
      <c r="U164" s="176">
        <f t="shared" si="67"/>
      </c>
      <c r="V164" s="176">
        <f t="shared" si="487"/>
      </c>
      <c r="W164" s="176">
        <f t="shared" si="7"/>
      </c>
      <c r="X164" s="169" t="s">
        <v>107</v>
      </c>
      <c r="Y164" s="163" t="s">
        <v>120</v>
      </c>
      <c r="Z164" s="166">
        <v>118753</v>
      </c>
      <c r="AA164" s="166">
        <v>28126</v>
      </c>
      <c r="AB164" s="166">
        <v>273985</v>
      </c>
      <c r="AC164" s="166">
        <v>952</v>
      </c>
      <c r="AD164" s="166">
        <v>14</v>
      </c>
      <c r="AE164" s="166">
        <v>17519</v>
      </c>
      <c r="AF164" s="166">
        <v>310</v>
      </c>
      <c r="AG164" s="166">
        <v>68</v>
      </c>
      <c r="AH164" s="165">
        <v>18</v>
      </c>
      <c r="AI164" s="167">
        <v>2</v>
      </c>
    </row>
    <row customHeight="true" ht="16.071428571428573" r="165">
      <c r="A165" s="149"/>
      <c r="B165" s="218" t="s">
        <v>118</v>
      </c>
      <c r="C165" s="194" t="s">
        <v>117</v>
      </c>
      <c r="D165" s="195">
        <v>2113.4829999999997</v>
      </c>
      <c r="E165" s="172">
        <v>10</v>
      </c>
      <c r="F165" s="154">
        <f t="shared" si="427"/>
      </c>
      <c r="G165" s="172">
        <v>3300.5999999999985</v>
      </c>
      <c r="H165" s="156">
        <f t="shared" si="457"/>
      </c>
      <c r="I165" s="157">
        <f t="shared" si="367"/>
      </c>
      <c r="J165" s="158">
        <f t="shared" si="397"/>
      </c>
      <c r="K165" s="159">
        <f t="shared" si="307"/>
      </c>
      <c r="L165" s="174">
        <f t="shared" si="337"/>
      </c>
      <c r="M165" s="175">
        <f t="shared" si="217"/>
      </c>
      <c r="N165" s="176">
        <f t="shared" si="247"/>
      </c>
      <c r="O165" s="176">
        <f t="shared" si="277"/>
      </c>
      <c r="P165" s="176">
        <f t="shared" si="157"/>
      </c>
      <c r="Q165" s="176">
        <f t="shared" si="187"/>
      </c>
      <c r="R165" s="175">
        <f t="shared" si="97"/>
      </c>
      <c r="S165" s="177">
        <f t="shared" si="127"/>
      </c>
      <c r="T165" s="176">
        <f t="shared" si="37"/>
      </c>
      <c r="U165" s="176">
        <f t="shared" si="67"/>
      </c>
      <c r="V165" s="176">
        <f t="shared" si="487"/>
      </c>
      <c r="W165" s="176">
        <f t="shared" si="7"/>
      </c>
      <c r="X165" s="169" t="s">
        <v>107</v>
      </c>
      <c r="Y165" s="163" t="s">
        <v>120</v>
      </c>
      <c r="Z165" s="166">
        <v>78502</v>
      </c>
      <c r="AA165" s="166">
        <v>16280</v>
      </c>
      <c r="AB165" s="166">
        <v>157583</v>
      </c>
      <c r="AC165" s="166">
        <v>747</v>
      </c>
      <c r="AD165" s="166">
        <v>7</v>
      </c>
      <c r="AE165" s="166">
        <v>10149</v>
      </c>
      <c r="AF165" s="166">
        <v>166</v>
      </c>
      <c r="AG165" s="166">
        <v>38</v>
      </c>
      <c r="AH165" s="165">
        <v>8</v>
      </c>
      <c r="AI165" s="167">
        <v>3</v>
      </c>
    </row>
    <row customHeight="true" ht="16.071428571428573" r="166">
      <c r="A166" s="149"/>
      <c r="B166" s="178" t="s">
        <v>112</v>
      </c>
      <c r="C166" s="178"/>
      <c r="D166" s="179">
        <f>SUM(D163:D165)</f>
      </c>
      <c r="E166" s="180">
        <f>SUM(E163:E165)</f>
      </c>
      <c r="F166" s="181">
        <f t="shared" si="427"/>
      </c>
      <c r="G166" s="182">
        <f>SUM(G163:G165)</f>
      </c>
      <c r="H166" s="183">
        <f t="shared" si="457"/>
      </c>
      <c r="I166" s="184">
        <f t="shared" si="367"/>
      </c>
      <c r="J166" s="185">
        <f t="shared" si="397"/>
      </c>
      <c r="K166" s="181">
        <f t="shared" si="307"/>
      </c>
      <c r="L166" s="186">
        <f t="shared" si="337"/>
      </c>
      <c r="M166" s="185">
        <f t="shared" si="217"/>
      </c>
      <c r="N166" s="187">
        <f t="shared" si="247"/>
      </c>
      <c r="O166" s="187">
        <f t="shared" si="277"/>
      </c>
      <c r="P166" s="187">
        <f t="shared" si="157"/>
      </c>
      <c r="Q166" s="187">
        <f t="shared" si="187"/>
      </c>
      <c r="R166" s="185">
        <f t="shared" si="97"/>
      </c>
      <c r="S166" s="181">
        <f t="shared" si="127"/>
      </c>
      <c r="T166" s="187">
        <f t="shared" si="37"/>
      </c>
      <c r="U166" s="187">
        <f t="shared" si="67"/>
      </c>
      <c r="V166" s="187">
        <f t="shared" si="487"/>
      </c>
      <c r="W166" s="187">
        <f t="shared" si="7"/>
      </c>
      <c r="X166" s="187"/>
      <c r="Y166" s="188"/>
      <c r="Z166" s="179">
        <f>SUM(Z163:Z165)</f>
      </c>
      <c r="AA166" s="179">
        <f>SUM(AA163:AA165)</f>
      </c>
      <c r="AB166" s="179">
        <f>SUM(AB163:AB165)</f>
      </c>
      <c r="AC166" s="179">
        <f>SUM(AC163:AC165)</f>
      </c>
      <c r="AD166" s="179">
        <f>SUM(AD163:AD165)</f>
      </c>
      <c r="AE166" s="179">
        <f>SUM(AE163:AE165)</f>
      </c>
      <c r="AF166" s="179">
        <f>SUM(AF163:AF165)</f>
      </c>
      <c r="AG166" s="179">
        <f>SUM(AG163:AG165)</f>
      </c>
      <c r="AH166" s="179">
        <f>SUM(AH163:AH165)</f>
      </c>
      <c r="AI166" s="179">
        <f>SUM(AI163:AI165)</f>
      </c>
    </row>
    <row customHeight="true" ht="16.071428571428573" r="167">
      <c r="A167" s="149"/>
      <c r="B167" s="150" t="s">
        <v>131</v>
      </c>
      <c r="C167" s="196" t="s">
        <v>119</v>
      </c>
      <c r="D167" s="171">
        <v>2979.728</v>
      </c>
      <c r="E167" s="172">
        <v>23</v>
      </c>
      <c r="F167" s="154">
        <f t="shared" si="427"/>
      </c>
      <c r="G167" s="172">
        <v>13255.400000000001</v>
      </c>
      <c r="H167" s="156">
        <f t="shared" si="457"/>
      </c>
      <c r="I167" s="157">
        <f t="shared" si="367"/>
      </c>
      <c r="J167" s="158">
        <f t="shared" si="397"/>
      </c>
      <c r="K167" s="159">
        <f t="shared" si="307"/>
      </c>
      <c r="L167" s="160">
        <f t="shared" si="337"/>
      </c>
      <c r="M167" s="158">
        <f t="shared" si="217"/>
      </c>
      <c r="N167" s="161">
        <f t="shared" si="247"/>
      </c>
      <c r="O167" s="161">
        <f t="shared" si="277"/>
      </c>
      <c r="P167" s="161">
        <f t="shared" si="157"/>
      </c>
      <c r="Q167" s="161">
        <f t="shared" si="187"/>
      </c>
      <c r="R167" s="158">
        <f t="shared" si="97"/>
      </c>
      <c r="S167" s="159">
        <f t="shared" si="127"/>
      </c>
      <c r="T167" s="161">
        <f t="shared" si="37"/>
      </c>
      <c r="U167" s="161">
        <f t="shared" si="67"/>
      </c>
      <c r="V167" s="161">
        <f t="shared" si="487"/>
      </c>
      <c r="W167" s="161">
        <f t="shared" si="7"/>
      </c>
      <c r="X167" s="169" t="s">
        <v>107</v>
      </c>
      <c r="Y167" s="163" t="s">
        <v>132</v>
      </c>
      <c r="Z167" s="166">
        <v>105558</v>
      </c>
      <c r="AA167" s="166">
        <v>24772</v>
      </c>
      <c r="AB167" s="166">
        <v>229514</v>
      </c>
      <c r="AC167" s="166">
        <v>883</v>
      </c>
      <c r="AD167" s="166">
        <v>19</v>
      </c>
      <c r="AE167" s="166">
        <v>16770</v>
      </c>
      <c r="AF167" s="166">
        <v>211</v>
      </c>
      <c r="AG167" s="166">
        <v>56</v>
      </c>
      <c r="AH167" s="166">
        <v>23</v>
      </c>
      <c r="AI167" s="167">
        <v>4</v>
      </c>
    </row>
    <row customHeight="true" ht="16.071428571428573" r="168">
      <c r="A168" s="149"/>
      <c r="B168" s="150" t="s">
        <v>131</v>
      </c>
      <c r="C168" s="197" t="s">
        <v>121</v>
      </c>
      <c r="D168" s="171">
        <v>4933.182</v>
      </c>
      <c r="E168" s="172">
        <v>14</v>
      </c>
      <c r="F168" s="154">
        <f t="shared" si="427"/>
      </c>
      <c r="G168" s="172">
        <v>4238.199999999997</v>
      </c>
      <c r="H168" s="156">
        <f t="shared" si="457"/>
      </c>
      <c r="I168" s="157">
        <f t="shared" si="367"/>
      </c>
      <c r="J168" s="158">
        <f t="shared" si="397"/>
      </c>
      <c r="K168" s="159">
        <f t="shared" si="307"/>
      </c>
      <c r="L168" s="160">
        <f t="shared" si="337"/>
      </c>
      <c r="M168" s="158">
        <f t="shared" si="217"/>
      </c>
      <c r="N168" s="161">
        <f t="shared" si="247"/>
      </c>
      <c r="O168" s="161">
        <f t="shared" si="277"/>
      </c>
      <c r="P168" s="161">
        <f t="shared" si="157"/>
      </c>
      <c r="Q168" s="161">
        <f t="shared" si="187"/>
      </c>
      <c r="R168" s="158">
        <f t="shared" si="97"/>
      </c>
      <c r="S168" s="159">
        <f t="shared" si="127"/>
      </c>
      <c r="T168" s="161">
        <f t="shared" si="37"/>
      </c>
      <c r="U168" s="161">
        <f t="shared" si="67"/>
      </c>
      <c r="V168" s="161">
        <f t="shared" si="487"/>
      </c>
      <c r="W168" s="161">
        <f t="shared" si="7"/>
      </c>
      <c r="X168" s="169" t="s">
        <v>107</v>
      </c>
      <c r="Y168" s="163" t="s">
        <v>132</v>
      </c>
      <c r="Z168" s="166">
        <v>168576</v>
      </c>
      <c r="AA168" s="166">
        <v>51893</v>
      </c>
      <c r="AB168" s="166">
        <v>393257</v>
      </c>
      <c r="AC168" s="166">
        <v>1327</v>
      </c>
      <c r="AD168" s="166">
        <v>12</v>
      </c>
      <c r="AE168" s="166">
        <v>30497</v>
      </c>
      <c r="AF168" s="166">
        <v>391</v>
      </c>
      <c r="AG168" s="166">
        <v>123</v>
      </c>
      <c r="AH168" s="165">
        <v>18</v>
      </c>
      <c r="AI168" s="167">
        <v>3</v>
      </c>
    </row>
    <row customHeight="true" ht="16.071428571428573" r="169">
      <c r="A169" s="149"/>
      <c r="B169" s="150" t="s">
        <v>131</v>
      </c>
      <c r="C169" s="194" t="s">
        <v>122</v>
      </c>
      <c r="D169" s="171">
        <v>5720.628000000001</v>
      </c>
      <c r="E169" s="172">
        <v>16</v>
      </c>
      <c r="F169" s="154">
        <f t="shared" si="427"/>
      </c>
      <c r="G169" s="172">
        <v>5910.300000000003</v>
      </c>
      <c r="H169" s="156">
        <f t="shared" si="457"/>
      </c>
      <c r="I169" s="157">
        <f t="shared" si="367"/>
      </c>
      <c r="J169" s="158">
        <f t="shared" si="397"/>
      </c>
      <c r="K169" s="159">
        <f t="shared" si="307"/>
      </c>
      <c r="L169" s="174">
        <f t="shared" si="337"/>
      </c>
      <c r="M169" s="175">
        <f t="shared" si="217"/>
      </c>
      <c r="N169" s="176">
        <f t="shared" si="247"/>
      </c>
      <c r="O169" s="176">
        <f t="shared" si="277"/>
      </c>
      <c r="P169" s="176">
        <f t="shared" si="157"/>
      </c>
      <c r="Q169" s="176">
        <f t="shared" si="187"/>
      </c>
      <c r="R169" s="175">
        <f t="shared" si="97"/>
      </c>
      <c r="S169" s="177">
        <f t="shared" si="127"/>
      </c>
      <c r="T169" s="176">
        <f t="shared" si="37"/>
      </c>
      <c r="U169" s="176">
        <f t="shared" si="67"/>
      </c>
      <c r="V169" s="176">
        <f t="shared" si="487"/>
      </c>
      <c r="W169" s="176">
        <f t="shared" si="7"/>
      </c>
      <c r="X169" s="169" t="s">
        <v>107</v>
      </c>
      <c r="Y169" s="163" t="s">
        <v>132</v>
      </c>
      <c r="Z169" s="166">
        <v>194650</v>
      </c>
      <c r="AA169" s="166">
        <v>49734</v>
      </c>
      <c r="AB169" s="166">
        <v>413415</v>
      </c>
      <c r="AC169" s="166">
        <v>1138</v>
      </c>
      <c r="AD169" s="166">
        <v>13</v>
      </c>
      <c r="AE169" s="166">
        <v>28770</v>
      </c>
      <c r="AF169" s="166">
        <v>365</v>
      </c>
      <c r="AG169" s="166">
        <v>138</v>
      </c>
      <c r="AH169" s="165">
        <v>19</v>
      </c>
      <c r="AI169" s="167">
        <v>1</v>
      </c>
    </row>
    <row customHeight="true" ht="16.071428571428573" r="170">
      <c r="A170" s="149"/>
      <c r="B170" s="150" t="s">
        <v>131</v>
      </c>
      <c r="C170" s="194" t="s">
        <v>123</v>
      </c>
      <c r="D170" s="195">
        <v>1792.0470000000003</v>
      </c>
      <c r="E170" s="172">
        <v>11</v>
      </c>
      <c r="F170" s="154">
        <f t="shared" si="427"/>
      </c>
      <c r="G170" s="172">
        <v>4794.799999999996</v>
      </c>
      <c r="H170" s="156">
        <f t="shared" si="457"/>
      </c>
      <c r="I170" s="157">
        <f t="shared" si="367"/>
      </c>
      <c r="J170" s="158">
        <f t="shared" si="397"/>
      </c>
      <c r="K170" s="159">
        <f t="shared" si="307"/>
      </c>
      <c r="L170" s="174">
        <f t="shared" si="337"/>
      </c>
      <c r="M170" s="175">
        <f t="shared" si="217"/>
      </c>
      <c r="N170" s="176">
        <f t="shared" si="247"/>
      </c>
      <c r="O170" s="176">
        <f t="shared" si="277"/>
      </c>
      <c r="P170" s="176">
        <f t="shared" si="157"/>
      </c>
      <c r="Q170" s="176">
        <f t="shared" si="187"/>
      </c>
      <c r="R170" s="175">
        <f t="shared" si="97"/>
      </c>
      <c r="S170" s="177">
        <f t="shared" si="127"/>
      </c>
      <c r="T170" s="176">
        <f t="shared" si="37"/>
      </c>
      <c r="U170" s="176">
        <f t="shared" si="67"/>
      </c>
      <c r="V170" s="176">
        <f t="shared" si="487"/>
      </c>
      <c r="W170" s="176">
        <f t="shared" si="7"/>
      </c>
      <c r="X170" s="169" t="s">
        <v>107</v>
      </c>
      <c r="Y170" s="163" t="s">
        <v>132</v>
      </c>
      <c r="Z170" s="166">
        <v>81218</v>
      </c>
      <c r="AA170" s="166">
        <v>14351</v>
      </c>
      <c r="AB170" s="166">
        <v>95492</v>
      </c>
      <c r="AC170" s="166">
        <v>465</v>
      </c>
      <c r="AD170" s="166">
        <v>11</v>
      </c>
      <c r="AE170" s="166">
        <v>6115</v>
      </c>
      <c r="AF170" s="166">
        <v>141</v>
      </c>
      <c r="AG170" s="166">
        <v>31</v>
      </c>
      <c r="AH170" s="165">
        <v>8</v>
      </c>
      <c r="AI170" s="167">
        <v>2</v>
      </c>
    </row>
    <row customHeight="true" ht="16.071428571428573" r="171">
      <c r="A171" s="149"/>
      <c r="B171" s="178" t="s">
        <v>112</v>
      </c>
      <c r="C171" s="178"/>
      <c r="D171" s="179">
        <f>SUM(D167:D170)</f>
      </c>
      <c r="E171" s="180">
        <f>SUM(E167:E170)</f>
      </c>
      <c r="F171" s="181">
        <f t="shared" si="427"/>
      </c>
      <c r="G171" s="182">
        <f>SUM(G167:G170)</f>
      </c>
      <c r="H171" s="183">
        <f t="shared" si="457"/>
      </c>
      <c r="I171" s="184">
        <f t="shared" si="367"/>
      </c>
      <c r="J171" s="185">
        <f t="shared" si="397"/>
      </c>
      <c r="K171" s="181">
        <f t="shared" si="307"/>
      </c>
      <c r="L171" s="186">
        <f t="shared" si="337"/>
      </c>
      <c r="M171" s="185">
        <f t="shared" si="217"/>
      </c>
      <c r="N171" s="187">
        <f t="shared" si="247"/>
      </c>
      <c r="O171" s="187">
        <f t="shared" si="277"/>
      </c>
      <c r="P171" s="187">
        <f t="shared" si="157"/>
      </c>
      <c r="Q171" s="187">
        <f t="shared" si="187"/>
      </c>
      <c r="R171" s="185">
        <f t="shared" si="97"/>
      </c>
      <c r="S171" s="181">
        <f t="shared" si="127"/>
      </c>
      <c r="T171" s="187">
        <f t="shared" si="37"/>
      </c>
      <c r="U171" s="187">
        <f t="shared" si="67"/>
      </c>
      <c r="V171" s="187">
        <f t="shared" si="487"/>
      </c>
      <c r="W171" s="187">
        <f t="shared" si="7"/>
      </c>
      <c r="X171" s="187"/>
      <c r="Y171" s="188"/>
      <c r="Z171" s="179">
        <f>SUM(Z167:Z170)</f>
      </c>
      <c r="AA171" s="179">
        <f>SUM(AA167:AA170)</f>
      </c>
      <c r="AB171" s="179">
        <f>SUM(AB167:AB170)</f>
      </c>
      <c r="AC171" s="179">
        <f>SUM(AC167:AC170)</f>
      </c>
      <c r="AD171" s="179">
        <f>SUM(AD167:AD170)</f>
      </c>
      <c r="AE171" s="179">
        <f>SUM(AE167:AE170)</f>
      </c>
      <c r="AF171" s="179">
        <f>SUM(AF167:AF170)</f>
      </c>
      <c r="AG171" s="179">
        <f>SUM(AG167:AG170)</f>
      </c>
      <c r="AH171" s="179">
        <f>SUM(AH167:AH170)</f>
      </c>
      <c r="AI171" s="179">
        <f>SUM(AI167:AI170)</f>
      </c>
    </row>
    <row customHeight="true" ht="16.071428571428573" r="172">
      <c r="A172" s="149"/>
      <c r="B172" s="150" t="s">
        <v>113</v>
      </c>
      <c r="C172" s="196" t="s">
        <v>125</v>
      </c>
      <c r="D172" s="198">
        <v>6071.801999999999</v>
      </c>
      <c r="E172" s="153">
        <v>7</v>
      </c>
      <c r="F172" s="154">
        <f t="shared" si="427"/>
      </c>
      <c r="G172" s="155">
        <v>2649.199999999997</v>
      </c>
      <c r="H172" s="156">
        <f t="shared" si="457"/>
      </c>
      <c r="I172" s="157">
        <f t="shared" si="367"/>
      </c>
      <c r="J172" s="158">
        <f t="shared" si="397"/>
      </c>
      <c r="K172" s="159">
        <f t="shared" si="307"/>
      </c>
      <c r="L172" s="174">
        <f t="shared" si="337"/>
      </c>
      <c r="M172" s="175">
        <f t="shared" si="217"/>
      </c>
      <c r="N172" s="176">
        <f t="shared" si="247"/>
      </c>
      <c r="O172" s="176">
        <f t="shared" si="277"/>
      </c>
      <c r="P172" s="176">
        <f t="shared" si="157"/>
      </c>
      <c r="Q172" s="176">
        <f t="shared" si="187"/>
      </c>
      <c r="R172" s="175">
        <f t="shared" si="97"/>
      </c>
      <c r="S172" s="177">
        <f t="shared" si="127"/>
      </c>
      <c r="T172" s="176">
        <f t="shared" si="37"/>
      </c>
      <c r="U172" s="176">
        <f t="shared" si="67"/>
      </c>
      <c r="V172" s="176">
        <f t="shared" si="487"/>
      </c>
      <c r="W172" s="176">
        <f t="shared" si="7"/>
      </c>
      <c r="X172" s="169" t="s">
        <v>107</v>
      </c>
      <c r="Y172" s="163" t="s">
        <v>132</v>
      </c>
      <c r="Z172" s="166">
        <v>235251</v>
      </c>
      <c r="AA172" s="166">
        <v>23181</v>
      </c>
      <c r="AB172" s="166">
        <v>533208</v>
      </c>
      <c r="AC172" s="199">
        <v>1109</v>
      </c>
      <c r="AD172" s="199">
        <v>7</v>
      </c>
      <c r="AE172" s="199">
        <v>20958</v>
      </c>
      <c r="AF172" s="199">
        <v>214</v>
      </c>
      <c r="AG172" s="199">
        <v>95</v>
      </c>
      <c r="AH172" s="199">
        <v>18</v>
      </c>
      <c r="AI172" s="167">
        <v>1</v>
      </c>
    </row>
    <row customHeight="true" ht="16.071428571428573" r="173">
      <c r="A173" s="149"/>
      <c r="B173" s="150" t="s">
        <v>113</v>
      </c>
      <c r="C173" s="194" t="s">
        <v>126</v>
      </c>
      <c r="D173" s="198">
        <v>3527.7850000000003</v>
      </c>
      <c r="E173" s="153">
        <v>24</v>
      </c>
      <c r="F173" s="154">
        <f t="shared" si="427"/>
      </c>
      <c r="G173" s="155">
        <v>6658</v>
      </c>
      <c r="H173" s="156">
        <f t="shared" si="457"/>
      </c>
      <c r="I173" s="157">
        <f t="shared" si="367"/>
      </c>
      <c r="J173" s="158">
        <f t="shared" si="397"/>
      </c>
      <c r="K173" s="159">
        <f t="shared" si="307"/>
      </c>
      <c r="L173" s="174">
        <f t="shared" si="337"/>
      </c>
      <c r="M173" s="175">
        <f t="shared" si="217"/>
      </c>
      <c r="N173" s="176">
        <f t="shared" si="247"/>
      </c>
      <c r="O173" s="176">
        <f t="shared" si="277"/>
      </c>
      <c r="P173" s="176">
        <f t="shared" si="157"/>
      </c>
      <c r="Q173" s="176">
        <f t="shared" si="187"/>
      </c>
      <c r="R173" s="175">
        <f t="shared" si="97"/>
      </c>
      <c r="S173" s="177">
        <f t="shared" si="127"/>
      </c>
      <c r="T173" s="176">
        <f t="shared" si="37"/>
      </c>
      <c r="U173" s="176">
        <f t="shared" si="67"/>
      </c>
      <c r="V173" s="176">
        <f t="shared" si="487"/>
      </c>
      <c r="W173" s="176">
        <f t="shared" si="7"/>
      </c>
      <c r="X173" s="169" t="s">
        <v>107</v>
      </c>
      <c r="Y173" s="163" t="s">
        <v>132</v>
      </c>
      <c r="Z173" s="166">
        <v>156305</v>
      </c>
      <c r="AA173" s="166">
        <v>21419</v>
      </c>
      <c r="AB173" s="166">
        <v>247952</v>
      </c>
      <c r="AC173" s="199">
        <v>878</v>
      </c>
      <c r="AD173" s="199">
        <v>17</v>
      </c>
      <c r="AE173" s="199">
        <v>12703</v>
      </c>
      <c r="AF173" s="199">
        <v>199</v>
      </c>
      <c r="AG173" s="199">
        <v>73</v>
      </c>
      <c r="AH173" s="199">
        <v>25</v>
      </c>
      <c r="AI173" s="167">
        <v>8</v>
      </c>
    </row>
    <row customHeight="true" ht="16.071428571428573" r="174">
      <c r="A174" s="149"/>
      <c r="B174" s="150" t="s">
        <v>113</v>
      </c>
      <c r="C174" s="200" t="s">
        <v>127</v>
      </c>
      <c r="D174" s="171">
        <v>11609.606000000002</v>
      </c>
      <c r="E174" s="172">
        <v>16</v>
      </c>
      <c r="F174" s="154">
        <f t="shared" si="427"/>
      </c>
      <c r="G174" s="172">
        <v>4637.400000000009</v>
      </c>
      <c r="H174" s="156">
        <f t="shared" si="457"/>
      </c>
      <c r="I174" s="157">
        <f t="shared" si="367"/>
      </c>
      <c r="J174" s="158">
        <f t="shared" si="397"/>
      </c>
      <c r="K174" s="159">
        <f t="shared" si="307"/>
      </c>
      <c r="L174" s="174">
        <f t="shared" si="337"/>
      </c>
      <c r="M174" s="175">
        <f t="shared" si="217"/>
      </c>
      <c r="N174" s="176">
        <f t="shared" si="247"/>
      </c>
      <c r="O174" s="176">
        <f t="shared" si="277"/>
      </c>
      <c r="P174" s="176">
        <f t="shared" si="157"/>
      </c>
      <c r="Q174" s="176">
        <f t="shared" si="187"/>
      </c>
      <c r="R174" s="175">
        <f t="shared" si="97"/>
      </c>
      <c r="S174" s="177">
        <f t="shared" si="127"/>
      </c>
      <c r="T174" s="176">
        <f t="shared" si="37"/>
      </c>
      <c r="U174" s="176">
        <f t="shared" si="67"/>
      </c>
      <c r="V174" s="176">
        <f t="shared" si="487"/>
      </c>
      <c r="W174" s="176">
        <f t="shared" si="7"/>
      </c>
      <c r="X174" s="169" t="s">
        <v>107</v>
      </c>
      <c r="Y174" s="163" t="s">
        <v>132</v>
      </c>
      <c r="Z174" s="166">
        <v>443839</v>
      </c>
      <c r="AA174" s="166">
        <v>30917</v>
      </c>
      <c r="AB174" s="166">
        <v>1137899</v>
      </c>
      <c r="AC174" s="166">
        <v>2197</v>
      </c>
      <c r="AD174" s="166">
        <v>15</v>
      </c>
      <c r="AE174" s="166">
        <v>46391</v>
      </c>
      <c r="AF174" s="166">
        <v>301</v>
      </c>
      <c r="AG174" s="166">
        <v>193</v>
      </c>
      <c r="AH174" s="165">
        <v>50</v>
      </c>
      <c r="AI174" s="167">
        <v>2</v>
      </c>
    </row>
    <row customHeight="true" ht="16.071428571428573" r="175">
      <c r="A175" s="149"/>
      <c r="B175" s="150" t="s">
        <v>113</v>
      </c>
      <c r="C175" s="201" t="s">
        <v>128</v>
      </c>
      <c r="D175" s="195">
        <f>1898.249+0.706</f>
      </c>
      <c r="E175" s="172">
        <v>22</v>
      </c>
      <c r="F175" s="154">
        <f t="shared" si="427"/>
      </c>
      <c r="G175" s="172">
        <v>10599.599999999991</v>
      </c>
      <c r="H175" s="156">
        <f t="shared" si="457"/>
      </c>
      <c r="I175" s="157">
        <f t="shared" si="367"/>
      </c>
      <c r="J175" s="158">
        <f t="shared" si="397"/>
      </c>
      <c r="K175" s="159">
        <f t="shared" si="307"/>
      </c>
      <c r="L175" s="174">
        <f t="shared" si="337"/>
      </c>
      <c r="M175" s="175">
        <f t="shared" si="217"/>
      </c>
      <c r="N175" s="176">
        <f t="shared" si="247"/>
      </c>
      <c r="O175" s="176">
        <f t="shared" si="277"/>
      </c>
      <c r="P175" s="176">
        <f t="shared" si="157"/>
      </c>
      <c r="Q175" s="176">
        <f t="shared" si="187"/>
      </c>
      <c r="R175" s="175">
        <f t="shared" si="97"/>
      </c>
      <c r="S175" s="177">
        <f t="shared" si="127"/>
      </c>
      <c r="T175" s="176">
        <f t="shared" si="37"/>
      </c>
      <c r="U175" s="176">
        <f t="shared" si="67"/>
      </c>
      <c r="V175" s="176">
        <f t="shared" si="487"/>
      </c>
      <c r="W175" s="176">
        <f t="shared" si="7"/>
      </c>
      <c r="X175" s="169" t="s">
        <v>107</v>
      </c>
      <c r="Y175" s="163" t="s">
        <v>132</v>
      </c>
      <c r="Z175" s="166">
        <v>75222</v>
      </c>
      <c r="AA175" s="166">
        <v>10784</v>
      </c>
      <c r="AB175" s="166">
        <v>160734</v>
      </c>
      <c r="AC175" s="166">
        <v>717</v>
      </c>
      <c r="AD175" s="166">
        <v>14</v>
      </c>
      <c r="AE175" s="166">
        <v>8317</v>
      </c>
      <c r="AF175" s="166">
        <v>127</v>
      </c>
      <c r="AG175" s="166">
        <v>57</v>
      </c>
      <c r="AH175" s="165">
        <v>24</v>
      </c>
      <c r="AI175" s="167">
        <v>3</v>
      </c>
    </row>
    <row customHeight="true" ht="16.071428571428573" r="176">
      <c r="A176" s="149"/>
      <c r="B176" s="178" t="s">
        <v>112</v>
      </c>
      <c r="C176" s="178"/>
      <c r="D176" s="179">
        <f>SUM(D172:D175)</f>
      </c>
      <c r="E176" s="180">
        <f>SUM(E172:E175)</f>
      </c>
      <c r="F176" s="181">
        <f t="shared" si="427"/>
      </c>
      <c r="G176" s="182">
        <f>SUM(G172:G175)</f>
      </c>
      <c r="H176" s="183">
        <f t="shared" si="457"/>
      </c>
      <c r="I176" s="184">
        <f t="shared" si="367"/>
      </c>
      <c r="J176" s="185">
        <f t="shared" si="397"/>
      </c>
      <c r="K176" s="181">
        <f t="shared" si="307"/>
      </c>
      <c r="L176" s="186">
        <f t="shared" si="337"/>
      </c>
      <c r="M176" s="185">
        <f t="shared" si="217"/>
      </c>
      <c r="N176" s="187">
        <f t="shared" si="247"/>
      </c>
      <c r="O176" s="187">
        <f t="shared" si="277"/>
      </c>
      <c r="P176" s="187">
        <f t="shared" si="157"/>
      </c>
      <c r="Q176" s="187">
        <f t="shared" si="187"/>
      </c>
      <c r="R176" s="185">
        <f t="shared" si="97"/>
      </c>
      <c r="S176" s="181">
        <f t="shared" si="127"/>
      </c>
      <c r="T176" s="187">
        <f t="shared" si="37"/>
      </c>
      <c r="U176" s="187">
        <f t="shared" si="67"/>
      </c>
      <c r="V176" s="187">
        <f t="shared" si="487"/>
      </c>
      <c r="W176" s="187">
        <f t="shared" si="7"/>
      </c>
      <c r="X176" s="187"/>
      <c r="Y176" s="188"/>
      <c r="Z176" s="179">
        <f>SUM(Z172:Z175)</f>
      </c>
      <c r="AA176" s="179">
        <f>SUM(AA172:AA175)</f>
      </c>
      <c r="AB176" s="179">
        <f>SUM(AB172:AB175)</f>
      </c>
      <c r="AC176" s="179">
        <f>SUM(AC172:AC175)</f>
      </c>
      <c r="AD176" s="179">
        <f>SUM(AD172:AD175)</f>
      </c>
      <c r="AE176" s="179">
        <f>SUM(AE172:AE175)</f>
      </c>
      <c r="AF176" s="179">
        <f>SUM(AF172:AF175)</f>
      </c>
      <c r="AG176" s="179">
        <f>SUM(AG172:AG175)</f>
      </c>
      <c r="AH176" s="179">
        <f>SUM(AH172:AH175)</f>
      </c>
      <c r="AI176" s="179">
        <f>SUM(AI172:AI175)</f>
      </c>
    </row>
    <row customHeight="true" ht="16.071428571428573" r="177">
      <c r="A177" s="149"/>
      <c r="B177" s="202" t="s">
        <v>129</v>
      </c>
      <c r="C177" s="202"/>
      <c r="D177" s="203">
        <f>SUM(D176+D162+D166+D171)</f>
      </c>
      <c r="E177" s="204">
        <f>SUM(E176+E162+E166+E171)</f>
      </c>
      <c r="F177" s="205">
        <f t="shared" si="427"/>
      </c>
      <c r="G177" s="206">
        <f>SUM(G176+G162+G166+G171)</f>
      </c>
      <c r="H177" s="207">
        <f t="shared" si="457"/>
      </c>
      <c r="I177" s="208">
        <f t="shared" si="367"/>
      </c>
      <c r="J177" s="209">
        <f t="shared" si="397"/>
      </c>
      <c r="K177" s="205">
        <f t="shared" si="307"/>
      </c>
      <c r="L177" s="210">
        <f t="shared" si="337"/>
      </c>
      <c r="M177" s="210">
        <f t="shared" si="217"/>
      </c>
      <c r="N177" s="211">
        <f t="shared" si="247"/>
      </c>
      <c r="O177" s="211">
        <f t="shared" si="277"/>
      </c>
      <c r="P177" s="211">
        <f t="shared" si="157"/>
      </c>
      <c r="Q177" s="211">
        <f t="shared" si="187"/>
      </c>
      <c r="R177" s="212">
        <f t="shared" si="97"/>
      </c>
      <c r="S177" s="213">
        <f t="shared" si="127"/>
      </c>
      <c r="T177" s="214">
        <f t="shared" si="37"/>
      </c>
      <c r="U177" s="214">
        <f t="shared" si="67"/>
      </c>
      <c r="V177" s="214">
        <f t="shared" si="487"/>
      </c>
      <c r="W177" s="214">
        <f t="shared" si="7"/>
      </c>
      <c r="X177" s="214"/>
      <c r="Y177" s="215"/>
      <c r="Z177" s="216">
        <f>SUM(Z162+Z176+Z166+Z171)</f>
      </c>
      <c r="AA177" s="216">
        <f>SUM(AA162+AA176+AA166+AA171)</f>
      </c>
      <c r="AB177" s="216">
        <f>SUM(AB162+AB176+AB166+AB171)</f>
      </c>
      <c r="AC177" s="216">
        <f>SUM(AC162+AC176+AC166+AC171)</f>
      </c>
      <c r="AD177" s="216">
        <f>SUM(AD162+AD176+AD166+AD171)</f>
      </c>
      <c r="AE177" s="216">
        <f>SUM(AE162+AE176+AE166+AE171)</f>
      </c>
      <c r="AF177" s="216">
        <f>SUM(AF162+AF176+AF166+AF171)</f>
      </c>
      <c r="AG177" s="216">
        <f>SUM(AG162+AG176+AG166+AG171)</f>
      </c>
      <c r="AH177" s="216">
        <f>SUM(AH162+AH176+AH166+AH171)</f>
      </c>
      <c r="AI177" s="216">
        <f>SUM(AI162+AI176+AI166+AI171)</f>
      </c>
    </row>
    <row customHeight="true" ht="16.071428571428573" r="178">
      <c r="A178" s="133" t="s">
        <v>70</v>
      </c>
      <c r="B178" s="134" t="s">
        <v>71</v>
      </c>
      <c r="C178" s="135" t="s">
        <v>72</v>
      </c>
      <c r="D178" s="136" t="s">
        <v>73</v>
      </c>
      <c r="E178" s="137" t="s">
        <v>74</v>
      </c>
      <c r="F178" s="138" t="s">
        <v>75</v>
      </c>
      <c r="G178" s="139" t="s">
        <v>76</v>
      </c>
      <c r="H178" s="138" t="s">
        <v>77</v>
      </c>
      <c r="I178" s="139" t="s">
        <v>78</v>
      </c>
      <c r="J178" s="140" t="s">
        <v>79</v>
      </c>
      <c r="K178" s="140" t="s">
        <v>80</v>
      </c>
      <c r="L178" s="141" t="s">
        <v>81</v>
      </c>
      <c r="M178" s="141" t="s">
        <v>82</v>
      </c>
      <c r="N178" s="141" t="s">
        <v>83</v>
      </c>
      <c r="O178" s="141" t="s">
        <v>84</v>
      </c>
      <c r="P178" s="141" t="s">
        <v>85</v>
      </c>
      <c r="Q178" s="141" t="s">
        <v>86</v>
      </c>
      <c r="R178" s="141" t="s">
        <v>87</v>
      </c>
      <c r="S178" s="141" t="s">
        <v>88</v>
      </c>
      <c r="T178" s="142" t="s">
        <v>89</v>
      </c>
      <c r="U178" s="142" t="s">
        <v>90</v>
      </c>
      <c r="V178" s="142" t="s">
        <v>91</v>
      </c>
      <c r="W178" s="142" t="s">
        <v>92</v>
      </c>
      <c r="X178" s="143" t="s">
        <v>93</v>
      </c>
      <c r="Y178" s="143" t="s">
        <v>94</v>
      </c>
      <c r="Z178" s="144" t="s">
        <v>95</v>
      </c>
      <c r="AA178" s="144" t="s">
        <v>96</v>
      </c>
      <c r="AB178" s="144" t="s">
        <v>97</v>
      </c>
      <c r="AC178" s="145" t="s">
        <v>98</v>
      </c>
      <c r="AD178" s="145" t="s">
        <v>99</v>
      </c>
      <c r="AE178" s="146" t="s">
        <v>100</v>
      </c>
      <c r="AF178" s="145" t="s">
        <v>101</v>
      </c>
      <c r="AG178" s="145" t="s">
        <v>102</v>
      </c>
      <c r="AH178" s="147" t="s">
        <v>103</v>
      </c>
      <c r="AI178" s="148" t="s">
        <v>104</v>
      </c>
    </row>
    <row customHeight="true" ht="16.071428571428573" r="179">
      <c r="A179" s="149">
        <v>46274</v>
      </c>
      <c r="B179" s="150" t="s">
        <v>105</v>
      </c>
      <c r="C179" s="151" t="s">
        <v>106</v>
      </c>
      <c r="D179" s="152">
        <v>1088.165</v>
      </c>
      <c r="E179" s="153">
        <v>6</v>
      </c>
      <c r="F179" s="154">
        <f t="shared" ref="F179:F199" si="428">D179/E179</f>
      </c>
      <c r="G179" s="155">
        <v>1883.4999999999998</v>
      </c>
      <c r="H179" s="156">
        <f t="shared" ref="H179:H199" si="458">AD179</f>
      </c>
      <c r="I179" s="157">
        <f t="shared" ref="I179:I199" si="368">D179/AD179</f>
      </c>
      <c r="J179" s="158">
        <f t="shared" ref="J179:J199" si="398">G179/E179</f>
      </c>
      <c r="K179" s="159">
        <f t="shared" ref="K179:K199" si="308">G179/D179</f>
      </c>
      <c r="L179" s="160">
        <f t="shared" ref="L179:L199" si="338">D179/AB179</f>
      </c>
      <c r="M179" s="158">
        <f t="shared" ref="M179:M199" si="218">D179/AC179</f>
      </c>
      <c r="N179" s="161">
        <f t="shared" ref="N179:N199" si="248">AC179/AB179</f>
      </c>
      <c r="O179" s="161">
        <f t="shared" ref="O179:O199" si="278">AD179/AC179</f>
      </c>
      <c r="P179" s="161">
        <f t="shared" ref="P179:P199" si="158">AA179/Z179</f>
      </c>
      <c r="Q179" s="161">
        <f t="shared" ref="Q179:Q199" si="188">AD179/AA179</f>
      </c>
      <c r="R179" s="158">
        <f t="shared" ref="R179:R199" si="98">D179/Z179*1000</f>
      </c>
      <c r="S179" s="159">
        <f t="shared" ref="S179:S199" si="128">D179/AA179</f>
      </c>
      <c r="T179" s="161">
        <f t="shared" ref="T179:T199" si="38">AE179/AB179</f>
      </c>
      <c r="U179" s="161">
        <f t="shared" ref="U179:U199" si="68">AF179/AB179</f>
      </c>
      <c r="V179" s="161">
        <f t="shared" ref="V179:V199" si="488">AG179/AB179</f>
      </c>
      <c r="W179" s="161">
        <f t="shared" ref="W179:W199" si="8">AH179/AB179</f>
      </c>
      <c r="X179" s="162" t="s">
        <v>107</v>
      </c>
      <c r="Y179" s="163" t="s">
        <v>120</v>
      </c>
      <c r="Z179" s="164">
        <v>39054</v>
      </c>
      <c r="AA179" s="164">
        <v>18406</v>
      </c>
      <c r="AB179" s="164">
        <v>59714</v>
      </c>
      <c r="AC179" s="164">
        <v>537</v>
      </c>
      <c r="AD179" s="165">
        <v>5</v>
      </c>
      <c r="AE179" s="164">
        <v>7995</v>
      </c>
      <c r="AF179" s="166">
        <v>218</v>
      </c>
      <c r="AG179" s="166">
        <v>25</v>
      </c>
      <c r="AH179" s="166">
        <v>6</v>
      </c>
      <c r="AI179" s="167">
        <v>1</v>
      </c>
    </row>
    <row customHeight="true" ht="16.071428571428573" r="180">
      <c r="A180" s="149"/>
      <c r="B180" s="150" t="s">
        <v>105</v>
      </c>
      <c r="C180" s="168" t="s">
        <v>109</v>
      </c>
      <c r="D180" s="152">
        <v>5776.843</v>
      </c>
      <c r="E180" s="153">
        <v>21</v>
      </c>
      <c r="F180" s="154">
        <f t="shared" si="428"/>
      </c>
      <c r="G180" s="155">
        <v>5705.8</v>
      </c>
      <c r="H180" s="156">
        <f t="shared" si="458"/>
      </c>
      <c r="I180" s="157">
        <f t="shared" si="368"/>
      </c>
      <c r="J180" s="158">
        <f t="shared" si="398"/>
      </c>
      <c r="K180" s="159">
        <f t="shared" si="308"/>
      </c>
      <c r="L180" s="160">
        <f t="shared" si="338"/>
      </c>
      <c r="M180" s="158">
        <f t="shared" si="218"/>
      </c>
      <c r="N180" s="161">
        <f t="shared" si="248"/>
      </c>
      <c r="O180" s="161">
        <f t="shared" si="278"/>
      </c>
      <c r="P180" s="161">
        <f t="shared" si="158"/>
      </c>
      <c r="Q180" s="161">
        <f t="shared" si="188"/>
      </c>
      <c r="R180" s="158">
        <f t="shared" si="98"/>
      </c>
      <c r="S180" s="159">
        <f t="shared" si="128"/>
      </c>
      <c r="T180" s="161">
        <f t="shared" si="38"/>
      </c>
      <c r="U180" s="161">
        <f t="shared" si="68"/>
      </c>
      <c r="V180" s="161">
        <f t="shared" si="488"/>
      </c>
      <c r="W180" s="161">
        <f t="shared" si="8"/>
      </c>
      <c r="X180" s="169" t="s">
        <v>107</v>
      </c>
      <c r="Y180" s="163" t="s">
        <v>120</v>
      </c>
      <c r="Z180" s="166">
        <v>192621</v>
      </c>
      <c r="AA180" s="164">
        <v>50344</v>
      </c>
      <c r="AB180" s="164">
        <v>411066</v>
      </c>
      <c r="AC180" s="164">
        <v>1324</v>
      </c>
      <c r="AD180" s="166">
        <v>17</v>
      </c>
      <c r="AE180" s="164">
        <v>32930</v>
      </c>
      <c r="AF180" s="166">
        <v>457</v>
      </c>
      <c r="AG180" s="166">
        <v>123</v>
      </c>
      <c r="AH180" s="165">
        <v>23</v>
      </c>
      <c r="AI180" s="167">
        <v>1</v>
      </c>
    </row>
    <row customHeight="true" ht="16.071428571428573" r="181">
      <c r="A181" s="149"/>
      <c r="B181" s="150" t="s">
        <v>105</v>
      </c>
      <c r="C181" s="170" t="s">
        <v>110</v>
      </c>
      <c r="D181" s="171">
        <v>5548.772</v>
      </c>
      <c r="E181" s="172">
        <v>17</v>
      </c>
      <c r="F181" s="154">
        <f t="shared" si="428"/>
      </c>
      <c r="G181" s="172">
        <v>5612.7</v>
      </c>
      <c r="H181" s="156">
        <f t="shared" si="458"/>
      </c>
      <c r="I181" s="157">
        <f t="shared" si="368"/>
      </c>
      <c r="J181" s="158">
        <f t="shared" si="398"/>
      </c>
      <c r="K181" s="159">
        <f t="shared" si="308"/>
      </c>
      <c r="L181" s="160">
        <f t="shared" si="338"/>
      </c>
      <c r="M181" s="158">
        <f t="shared" si="218"/>
      </c>
      <c r="N181" s="161">
        <f t="shared" si="248"/>
      </c>
      <c r="O181" s="161">
        <f t="shared" si="278"/>
      </c>
      <c r="P181" s="161">
        <f t="shared" si="158"/>
      </c>
      <c r="Q181" s="161">
        <f t="shared" si="188"/>
      </c>
      <c r="R181" s="158">
        <f t="shared" si="98"/>
      </c>
      <c r="S181" s="159">
        <f t="shared" si="128"/>
      </c>
      <c r="T181" s="161">
        <f t="shared" si="38"/>
      </c>
      <c r="U181" s="161">
        <f t="shared" si="68"/>
      </c>
      <c r="V181" s="161">
        <f t="shared" si="488"/>
      </c>
      <c r="W181" s="161">
        <f t="shared" si="8"/>
      </c>
      <c r="X181" s="169" t="s">
        <v>107</v>
      </c>
      <c r="Y181" s="163" t="s">
        <v>120</v>
      </c>
      <c r="Z181" s="166">
        <v>186529</v>
      </c>
      <c r="AA181" s="166">
        <v>44681</v>
      </c>
      <c r="AB181" s="166">
        <v>441739</v>
      </c>
      <c r="AC181" s="166">
        <v>1222</v>
      </c>
      <c r="AD181" s="166">
        <v>14</v>
      </c>
      <c r="AE181" s="166">
        <v>34621</v>
      </c>
      <c r="AF181" s="166">
        <v>442</v>
      </c>
      <c r="AG181" s="166">
        <v>127</v>
      </c>
      <c r="AH181" s="166">
        <v>30</v>
      </c>
      <c r="AI181" s="167">
        <v>4</v>
      </c>
    </row>
    <row customHeight="true" ht="16.071428571428573" r="182">
      <c r="A182" s="149"/>
      <c r="B182" s="150" t="s">
        <v>105</v>
      </c>
      <c r="C182" s="173" t="s">
        <v>111</v>
      </c>
      <c r="D182" s="171">
        <v>5515.501</v>
      </c>
      <c r="E182" s="172">
        <v>9</v>
      </c>
      <c r="F182" s="154">
        <f t="shared" si="428"/>
      </c>
      <c r="G182" s="172">
        <v>3145.2000000000007</v>
      </c>
      <c r="H182" s="156">
        <f t="shared" si="458"/>
      </c>
      <c r="I182" s="157">
        <f t="shared" si="368"/>
      </c>
      <c r="J182" s="158">
        <f t="shared" si="398"/>
      </c>
      <c r="K182" s="159">
        <f t="shared" si="308"/>
      </c>
      <c r="L182" s="174">
        <f t="shared" si="338"/>
      </c>
      <c r="M182" s="175">
        <f t="shared" si="218"/>
      </c>
      <c r="N182" s="176">
        <f t="shared" si="248"/>
      </c>
      <c r="O182" s="176">
        <f t="shared" si="278"/>
      </c>
      <c r="P182" s="176">
        <f t="shared" si="158"/>
      </c>
      <c r="Q182" s="176">
        <f t="shared" si="188"/>
      </c>
      <c r="R182" s="175">
        <f t="shared" si="98"/>
      </c>
      <c r="S182" s="177">
        <f t="shared" si="128"/>
      </c>
      <c r="T182" s="176">
        <f t="shared" si="38"/>
      </c>
      <c r="U182" s="176">
        <f t="shared" si="68"/>
      </c>
      <c r="V182" s="176">
        <f t="shared" si="488"/>
      </c>
      <c r="W182" s="176">
        <f t="shared" si="8"/>
      </c>
      <c r="X182" s="169" t="s">
        <v>107</v>
      </c>
      <c r="Y182" s="163" t="s">
        <v>120</v>
      </c>
      <c r="Z182" s="166">
        <v>186962</v>
      </c>
      <c r="AA182" s="166">
        <v>45483</v>
      </c>
      <c r="AB182" s="166">
        <v>430755</v>
      </c>
      <c r="AC182" s="166">
        <v>1135</v>
      </c>
      <c r="AD182" s="166">
        <v>6</v>
      </c>
      <c r="AE182" s="166">
        <v>36530</v>
      </c>
      <c r="AF182" s="166">
        <v>401</v>
      </c>
      <c r="AG182" s="166">
        <v>134</v>
      </c>
      <c r="AH182" s="165">
        <v>22</v>
      </c>
      <c r="AI182" s="167">
        <v>0</v>
      </c>
    </row>
    <row customHeight="true" ht="16.071428571428573" r="183">
      <c r="A183" s="149"/>
      <c r="B183" s="178" t="s">
        <v>112</v>
      </c>
      <c r="C183" s="178"/>
      <c r="D183" s="179">
        <f>SUM(D179:D182)</f>
      </c>
      <c r="E183" s="180">
        <f>SUM(E179:E182)</f>
      </c>
      <c r="F183" s="181">
        <f t="shared" si="428"/>
      </c>
      <c r="G183" s="182">
        <f>SUM(G179:G182)</f>
      </c>
      <c r="H183" s="183">
        <f t="shared" si="458"/>
      </c>
      <c r="I183" s="184">
        <f t="shared" si="368"/>
      </c>
      <c r="J183" s="185">
        <f t="shared" si="398"/>
      </c>
      <c r="K183" s="181">
        <f t="shared" si="308"/>
      </c>
      <c r="L183" s="186">
        <f t="shared" si="338"/>
      </c>
      <c r="M183" s="185">
        <f t="shared" si="218"/>
      </c>
      <c r="N183" s="187">
        <f t="shared" si="248"/>
      </c>
      <c r="O183" s="187">
        <f t="shared" si="278"/>
      </c>
      <c r="P183" s="187">
        <f t="shared" si="158"/>
      </c>
      <c r="Q183" s="187">
        <f t="shared" si="188"/>
      </c>
      <c r="R183" s="185">
        <f t="shared" si="98"/>
      </c>
      <c r="S183" s="181">
        <f t="shared" si="128"/>
      </c>
      <c r="T183" s="187">
        <f t="shared" si="38"/>
      </c>
      <c r="U183" s="187">
        <f t="shared" si="68"/>
      </c>
      <c r="V183" s="187">
        <f t="shared" si="488"/>
      </c>
      <c r="W183" s="187">
        <f t="shared" si="8"/>
      </c>
      <c r="X183" s="187"/>
      <c r="Y183" s="188"/>
      <c r="Z183" s="179">
        <f>SUM(Z179:Z182)</f>
      </c>
      <c r="AA183" s="179">
        <f>SUM(AA179:AA182)</f>
      </c>
      <c r="AB183" s="179">
        <f>SUM(AB179:AB182)</f>
      </c>
      <c r="AC183" s="179">
        <f>SUM(AC179:AC182)</f>
      </c>
      <c r="AD183" s="179">
        <f>SUM(AD179:AD182)</f>
      </c>
      <c r="AE183" s="179">
        <f>SUM(AE179:AE182)</f>
      </c>
      <c r="AF183" s="179">
        <f>SUM(AF179:AF182)</f>
      </c>
      <c r="AG183" s="179">
        <f>SUM(AG179:AG182)</f>
      </c>
      <c r="AH183" s="179">
        <f>SUM(AH179:AH182)</f>
      </c>
      <c r="AI183" s="179">
        <f>SUM(AI179:AI182)</f>
      </c>
    </row>
    <row customHeight="true" ht="16.071428571428573" r="184">
      <c r="A184" s="149"/>
      <c r="B184" s="218" t="s">
        <v>130</v>
      </c>
      <c r="C184" s="173" t="s">
        <v>114</v>
      </c>
      <c r="D184" s="190">
        <v>4266.996</v>
      </c>
      <c r="E184" s="191">
        <v>17</v>
      </c>
      <c r="F184" s="154">
        <f t="shared" si="428"/>
      </c>
      <c r="G184" s="172">
        <v>6308.899999999998</v>
      </c>
      <c r="H184" s="156">
        <f t="shared" si="458"/>
      </c>
      <c r="I184" s="157">
        <f t="shared" si="368"/>
      </c>
      <c r="J184" s="158">
        <f t="shared" si="398"/>
      </c>
      <c r="K184" s="159">
        <f t="shared" si="308"/>
      </c>
      <c r="L184" s="160">
        <f t="shared" si="338"/>
      </c>
      <c r="M184" s="158">
        <f t="shared" si="218"/>
      </c>
      <c r="N184" s="161">
        <f t="shared" si="248"/>
      </c>
      <c r="O184" s="161">
        <f t="shared" si="278"/>
      </c>
      <c r="P184" s="161">
        <f t="shared" si="158"/>
      </c>
      <c r="Q184" s="161">
        <f t="shared" si="188"/>
      </c>
      <c r="R184" s="158">
        <f t="shared" si="98"/>
      </c>
      <c r="S184" s="159">
        <f t="shared" si="128"/>
      </c>
      <c r="T184" s="161">
        <f t="shared" si="38"/>
      </c>
      <c r="U184" s="161">
        <f t="shared" si="68"/>
      </c>
      <c r="V184" s="161">
        <f t="shared" si="488"/>
      </c>
      <c r="W184" s="161">
        <f t="shared" si="8"/>
      </c>
      <c r="X184" s="169" t="s">
        <v>107</v>
      </c>
      <c r="Y184" s="163" t="s">
        <v>120</v>
      </c>
      <c r="Z184" s="166">
        <v>125180</v>
      </c>
      <c r="AA184" s="166">
        <v>32206</v>
      </c>
      <c r="AB184" s="166">
        <v>259705</v>
      </c>
      <c r="AC184" s="166">
        <v>628</v>
      </c>
      <c r="AD184" s="166">
        <v>15</v>
      </c>
      <c r="AE184" s="166">
        <v>19207</v>
      </c>
      <c r="AF184" s="166">
        <v>352</v>
      </c>
      <c r="AG184" s="166">
        <v>77</v>
      </c>
      <c r="AH184" s="166">
        <v>17</v>
      </c>
      <c r="AI184" s="167">
        <v>2</v>
      </c>
    </row>
    <row customHeight="true" ht="16.071428571428573" r="185">
      <c r="A185" s="149"/>
      <c r="B185" s="218" t="s">
        <v>130</v>
      </c>
      <c r="C185" s="192" t="s">
        <v>115</v>
      </c>
      <c r="D185" s="171">
        <v>4004.1629999999996</v>
      </c>
      <c r="E185" s="172">
        <v>11</v>
      </c>
      <c r="F185" s="154">
        <f t="shared" si="428"/>
      </c>
      <c r="G185" s="172">
        <v>4589.600000000002</v>
      </c>
      <c r="H185" s="156">
        <f t="shared" si="458"/>
      </c>
      <c r="I185" s="157">
        <f t="shared" si="368"/>
      </c>
      <c r="J185" s="158">
        <f t="shared" si="398"/>
      </c>
      <c r="K185" s="159">
        <f t="shared" si="308"/>
      </c>
      <c r="L185" s="160">
        <f t="shared" si="338"/>
      </c>
      <c r="M185" s="158">
        <f t="shared" si="218"/>
      </c>
      <c r="N185" s="161">
        <f t="shared" si="248"/>
      </c>
      <c r="O185" s="161">
        <f t="shared" si="278"/>
      </c>
      <c r="P185" s="161">
        <f t="shared" si="158"/>
      </c>
      <c r="Q185" s="161">
        <f t="shared" si="188"/>
      </c>
      <c r="R185" s="158">
        <f t="shared" si="98"/>
      </c>
      <c r="S185" s="159">
        <f t="shared" si="128"/>
      </c>
      <c r="T185" s="161">
        <f t="shared" si="38"/>
      </c>
      <c r="U185" s="161">
        <f t="shared" si="68"/>
      </c>
      <c r="V185" s="161">
        <f t="shared" si="488"/>
      </c>
      <c r="W185" s="161">
        <f t="shared" si="8"/>
      </c>
      <c r="X185" s="169" t="s">
        <v>107</v>
      </c>
      <c r="Y185" s="163" t="s">
        <v>120</v>
      </c>
      <c r="Z185" s="166">
        <v>139480</v>
      </c>
      <c r="AA185" s="166">
        <v>32794</v>
      </c>
      <c r="AB185" s="166">
        <v>263265</v>
      </c>
      <c r="AC185" s="166">
        <v>526</v>
      </c>
      <c r="AD185" s="166">
        <v>8</v>
      </c>
      <c r="AE185" s="166">
        <v>17849</v>
      </c>
      <c r="AF185" s="166">
        <v>235</v>
      </c>
      <c r="AG185" s="166">
        <v>84</v>
      </c>
      <c r="AH185" s="166">
        <v>34</v>
      </c>
      <c r="AI185" s="167">
        <v>2</v>
      </c>
    </row>
    <row customHeight="true" ht="16.071428571428573" r="186">
      <c r="A186" s="149"/>
      <c r="B186" s="218" t="s">
        <v>130</v>
      </c>
      <c r="C186" s="193" t="s">
        <v>116</v>
      </c>
      <c r="D186" s="171">
        <v>3529.17</v>
      </c>
      <c r="E186" s="172">
        <v>11</v>
      </c>
      <c r="F186" s="154">
        <f t="shared" si="428"/>
      </c>
      <c r="G186" s="172">
        <v>4004.7000000000007</v>
      </c>
      <c r="H186" s="156">
        <f t="shared" si="458"/>
      </c>
      <c r="I186" s="157">
        <f t="shared" si="368"/>
      </c>
      <c r="J186" s="158">
        <f t="shared" si="398"/>
      </c>
      <c r="K186" s="159">
        <f t="shared" si="308"/>
      </c>
      <c r="L186" s="174">
        <f t="shared" si="338"/>
      </c>
      <c r="M186" s="175">
        <f t="shared" si="218"/>
      </c>
      <c r="N186" s="176">
        <f t="shared" si="248"/>
      </c>
      <c r="O186" s="176">
        <f t="shared" si="278"/>
      </c>
      <c r="P186" s="176">
        <f t="shared" si="158"/>
      </c>
      <c r="Q186" s="176">
        <f t="shared" si="188"/>
      </c>
      <c r="R186" s="175">
        <f t="shared" si="98"/>
      </c>
      <c r="S186" s="177">
        <f t="shared" si="128"/>
      </c>
      <c r="T186" s="176">
        <f t="shared" si="38"/>
      </c>
      <c r="U186" s="176">
        <f t="shared" si="68"/>
      </c>
      <c r="V186" s="176">
        <f t="shared" si="488"/>
      </c>
      <c r="W186" s="176">
        <f t="shared" si="8"/>
      </c>
      <c r="X186" s="169" t="s">
        <v>107</v>
      </c>
      <c r="Y186" s="163" t="s">
        <v>120</v>
      </c>
      <c r="Z186" s="166">
        <v>126348</v>
      </c>
      <c r="AA186" s="166">
        <v>32552</v>
      </c>
      <c r="AB186" s="166">
        <v>223808</v>
      </c>
      <c r="AC186" s="166">
        <v>605</v>
      </c>
      <c r="AD186" s="166">
        <v>8</v>
      </c>
      <c r="AE186" s="166">
        <v>15602</v>
      </c>
      <c r="AF186" s="166">
        <v>258</v>
      </c>
      <c r="AG186" s="166">
        <v>67</v>
      </c>
      <c r="AH186" s="165">
        <v>30</v>
      </c>
      <c r="AI186" s="167">
        <v>1</v>
      </c>
    </row>
    <row customHeight="true" ht="16.071428571428573" r="187">
      <c r="A187" s="149"/>
      <c r="B187" s="218" t="s">
        <v>130</v>
      </c>
      <c r="C187" s="194" t="s">
        <v>117</v>
      </c>
      <c r="D187" s="195">
        <v>3157.479</v>
      </c>
      <c r="E187" s="172">
        <v>12</v>
      </c>
      <c r="F187" s="154">
        <f t="shared" si="428"/>
      </c>
      <c r="G187" s="172">
        <v>3251.5</v>
      </c>
      <c r="H187" s="156">
        <f t="shared" si="458"/>
      </c>
      <c r="I187" s="157">
        <f t="shared" si="368"/>
      </c>
      <c r="J187" s="158">
        <f t="shared" si="398"/>
      </c>
      <c r="K187" s="159">
        <f t="shared" si="308"/>
      </c>
      <c r="L187" s="174">
        <f t="shared" si="338"/>
      </c>
      <c r="M187" s="175">
        <f t="shared" si="218"/>
      </c>
      <c r="N187" s="176">
        <f t="shared" si="248"/>
      </c>
      <c r="O187" s="176">
        <f t="shared" si="278"/>
      </c>
      <c r="P187" s="176">
        <f t="shared" si="158"/>
      </c>
      <c r="Q187" s="176">
        <f t="shared" si="188"/>
      </c>
      <c r="R187" s="175">
        <f t="shared" si="98"/>
      </c>
      <c r="S187" s="177">
        <f t="shared" si="128"/>
      </c>
      <c r="T187" s="176">
        <f t="shared" si="38"/>
      </c>
      <c r="U187" s="176">
        <f t="shared" si="68"/>
      </c>
      <c r="V187" s="176">
        <f t="shared" si="488"/>
      </c>
      <c r="W187" s="176">
        <f t="shared" si="8"/>
      </c>
      <c r="X187" s="169" t="s">
        <v>107</v>
      </c>
      <c r="Y187" s="163" t="s">
        <v>120</v>
      </c>
      <c r="Z187" s="166">
        <v>106335</v>
      </c>
      <c r="AA187" s="166">
        <v>28361</v>
      </c>
      <c r="AB187" s="166">
        <v>170906</v>
      </c>
      <c r="AC187" s="166">
        <v>544</v>
      </c>
      <c r="AD187" s="166">
        <v>10</v>
      </c>
      <c r="AE187" s="166">
        <v>12982</v>
      </c>
      <c r="AF187" s="166">
        <v>282</v>
      </c>
      <c r="AG187" s="166">
        <v>55</v>
      </c>
      <c r="AH187" s="165">
        <v>17</v>
      </c>
      <c r="AI187" s="167">
        <v>6</v>
      </c>
    </row>
    <row customHeight="true" ht="16.071428571428573" r="188">
      <c r="A188" s="149"/>
      <c r="B188" s="178" t="s">
        <v>112</v>
      </c>
      <c r="C188" s="178"/>
      <c r="D188" s="179">
        <f>SUM(D184:D187)</f>
      </c>
      <c r="E188" s="180">
        <f>SUM(E184:E187)</f>
      </c>
      <c r="F188" s="181">
        <f t="shared" si="428"/>
      </c>
      <c r="G188" s="182">
        <f>SUM(G184:G187)</f>
      </c>
      <c r="H188" s="183">
        <f t="shared" si="458"/>
      </c>
      <c r="I188" s="184">
        <f t="shared" si="368"/>
      </c>
      <c r="J188" s="185">
        <f t="shared" si="398"/>
      </c>
      <c r="K188" s="181">
        <f t="shared" si="308"/>
      </c>
      <c r="L188" s="186">
        <f t="shared" si="338"/>
      </c>
      <c r="M188" s="185">
        <f t="shared" si="218"/>
      </c>
      <c r="N188" s="187">
        <f t="shared" si="248"/>
      </c>
      <c r="O188" s="187">
        <f t="shared" si="278"/>
      </c>
      <c r="P188" s="187">
        <f t="shared" si="158"/>
      </c>
      <c r="Q188" s="187">
        <f t="shared" si="188"/>
      </c>
      <c r="R188" s="185">
        <f t="shared" si="98"/>
      </c>
      <c r="S188" s="181">
        <f t="shared" si="128"/>
      </c>
      <c r="T188" s="187">
        <f t="shared" si="38"/>
      </c>
      <c r="U188" s="187">
        <f t="shared" si="68"/>
      </c>
      <c r="V188" s="187">
        <f t="shared" si="488"/>
      </c>
      <c r="W188" s="187">
        <f t="shared" si="8"/>
      </c>
      <c r="X188" s="187"/>
      <c r="Y188" s="188"/>
      <c r="Z188" s="179">
        <f>SUM(Z184:Z187)</f>
      </c>
      <c r="AA188" s="179">
        <f>SUM(AA184:AA187)</f>
      </c>
      <c r="AB188" s="179">
        <f>SUM(AB184:AB187)</f>
      </c>
      <c r="AC188" s="179">
        <f>SUM(AC184:AC187)</f>
      </c>
      <c r="AD188" s="179">
        <f>SUM(AD184:AD187)</f>
      </c>
      <c r="AE188" s="179">
        <f>SUM(AE184:AE187)</f>
      </c>
      <c r="AF188" s="179">
        <f>SUM(AF184:AF187)</f>
      </c>
      <c r="AG188" s="179">
        <f>SUM(AG184:AG187)</f>
      </c>
      <c r="AH188" s="179">
        <f>SUM(AH184:AH187)</f>
      </c>
      <c r="AI188" s="179">
        <f>SUM(AI184:AI187)</f>
      </c>
    </row>
    <row customHeight="true" ht="16.071428571428573" r="189">
      <c r="A189" s="149"/>
      <c r="B189" s="150" t="s">
        <v>118</v>
      </c>
      <c r="C189" s="196" t="s">
        <v>119</v>
      </c>
      <c r="D189" s="171">
        <v>4708.4619999999995</v>
      </c>
      <c r="E189" s="172">
        <v>15</v>
      </c>
      <c r="F189" s="154">
        <f t="shared" si="428"/>
      </c>
      <c r="G189" s="172">
        <v>5662.5999999999985</v>
      </c>
      <c r="H189" s="156">
        <f t="shared" si="458"/>
      </c>
      <c r="I189" s="157">
        <f t="shared" si="368"/>
      </c>
      <c r="J189" s="158">
        <f t="shared" si="398"/>
      </c>
      <c r="K189" s="159">
        <f t="shared" si="308"/>
      </c>
      <c r="L189" s="160">
        <f t="shared" si="338"/>
      </c>
      <c r="M189" s="158">
        <f t="shared" si="218"/>
      </c>
      <c r="N189" s="161">
        <f t="shared" si="248"/>
      </c>
      <c r="O189" s="161">
        <f t="shared" si="278"/>
      </c>
      <c r="P189" s="161">
        <f t="shared" si="158"/>
      </c>
      <c r="Q189" s="161">
        <f t="shared" si="188"/>
      </c>
      <c r="R189" s="158">
        <f t="shared" si="98"/>
      </c>
      <c r="S189" s="159">
        <f t="shared" si="128"/>
      </c>
      <c r="T189" s="161">
        <f t="shared" si="38"/>
      </c>
      <c r="U189" s="161">
        <f t="shared" si="68"/>
      </c>
      <c r="V189" s="161">
        <f t="shared" si="488"/>
      </c>
      <c r="W189" s="161">
        <f t="shared" si="8"/>
      </c>
      <c r="X189" s="169" t="s">
        <v>107</v>
      </c>
      <c r="Y189" s="163" t="s">
        <v>132</v>
      </c>
      <c r="Z189" s="166">
        <v>143399</v>
      </c>
      <c r="AA189" s="166">
        <v>36009</v>
      </c>
      <c r="AB189" s="166">
        <v>255018</v>
      </c>
      <c r="AC189" s="166">
        <v>647</v>
      </c>
      <c r="AD189" s="166">
        <v>12</v>
      </c>
      <c r="AE189" s="166">
        <v>18693</v>
      </c>
      <c r="AF189" s="166">
        <v>299</v>
      </c>
      <c r="AG189" s="166">
        <v>59</v>
      </c>
      <c r="AH189" s="166">
        <v>15</v>
      </c>
      <c r="AI189" s="167">
        <v>3</v>
      </c>
    </row>
    <row customHeight="true" ht="16.071428571428573" r="190">
      <c r="A190" s="149"/>
      <c r="B190" s="150" t="s">
        <v>118</v>
      </c>
      <c r="C190" s="197" t="s">
        <v>121</v>
      </c>
      <c r="D190" s="171">
        <v>4538.567999999999</v>
      </c>
      <c r="E190" s="172">
        <v>18</v>
      </c>
      <c r="F190" s="154">
        <f t="shared" si="428"/>
      </c>
      <c r="G190" s="172">
        <v>5601.199999999997</v>
      </c>
      <c r="H190" s="156">
        <f t="shared" si="458"/>
      </c>
      <c r="I190" s="157">
        <f t="shared" si="368"/>
      </c>
      <c r="J190" s="158">
        <f t="shared" si="398"/>
      </c>
      <c r="K190" s="159">
        <f t="shared" si="308"/>
      </c>
      <c r="L190" s="160">
        <f t="shared" si="338"/>
      </c>
      <c r="M190" s="158">
        <f t="shared" si="218"/>
      </c>
      <c r="N190" s="161">
        <f t="shared" si="248"/>
      </c>
      <c r="O190" s="161">
        <f t="shared" si="278"/>
      </c>
      <c r="P190" s="161">
        <f t="shared" si="158"/>
      </c>
      <c r="Q190" s="161">
        <f t="shared" si="188"/>
      </c>
      <c r="R190" s="158">
        <f t="shared" si="98"/>
      </c>
      <c r="S190" s="159">
        <f t="shared" si="128"/>
      </c>
      <c r="T190" s="161">
        <f t="shared" si="38"/>
      </c>
      <c r="U190" s="161">
        <f t="shared" si="68"/>
      </c>
      <c r="V190" s="161">
        <f t="shared" si="488"/>
      </c>
      <c r="W190" s="161">
        <f t="shared" si="8"/>
      </c>
      <c r="X190" s="169" t="s">
        <v>107</v>
      </c>
      <c r="Y190" s="163" t="s">
        <v>132</v>
      </c>
      <c r="Z190" s="166">
        <v>159450</v>
      </c>
      <c r="AA190" s="166">
        <v>40789</v>
      </c>
      <c r="AB190" s="166">
        <v>248545</v>
      </c>
      <c r="AC190" s="166">
        <v>622</v>
      </c>
      <c r="AD190" s="166">
        <v>14</v>
      </c>
      <c r="AE190" s="166">
        <v>19743</v>
      </c>
      <c r="AF190" s="166">
        <v>305</v>
      </c>
      <c r="AG190" s="166">
        <v>84</v>
      </c>
      <c r="AH190" s="165">
        <v>16</v>
      </c>
      <c r="AI190" s="167">
        <v>4</v>
      </c>
    </row>
    <row customHeight="true" ht="16.071428571428573" r="191">
      <c r="A191" s="149"/>
      <c r="B191" s="150" t="s">
        <v>118</v>
      </c>
      <c r="C191" s="194" t="s">
        <v>122</v>
      </c>
      <c r="D191" s="171">
        <v>3954.8379999999997</v>
      </c>
      <c r="E191" s="172">
        <v>1</v>
      </c>
      <c r="F191" s="154">
        <f t="shared" si="428"/>
      </c>
      <c r="G191" s="172">
        <v>228</v>
      </c>
      <c r="H191" s="156">
        <f t="shared" si="458"/>
      </c>
      <c r="I191" s="157">
        <f t="shared" si="368"/>
      </c>
      <c r="J191" s="158">
        <f t="shared" si="398"/>
      </c>
      <c r="K191" s="159">
        <f t="shared" si="308"/>
      </c>
      <c r="L191" s="174">
        <f t="shared" si="338"/>
      </c>
      <c r="M191" s="175">
        <f t="shared" si="218"/>
      </c>
      <c r="N191" s="176">
        <f t="shared" si="248"/>
      </c>
      <c r="O191" s="176">
        <f t="shared" si="278"/>
      </c>
      <c r="P191" s="176">
        <f t="shared" si="158"/>
      </c>
      <c r="Q191" s="176">
        <f t="shared" si="188"/>
      </c>
      <c r="R191" s="175">
        <f t="shared" si="98"/>
      </c>
      <c r="S191" s="177">
        <f t="shared" si="128"/>
      </c>
      <c r="T191" s="176">
        <f t="shared" si="38"/>
      </c>
      <c r="U191" s="176">
        <f t="shared" si="68"/>
      </c>
      <c r="V191" s="176">
        <f t="shared" si="488"/>
      </c>
      <c r="W191" s="176">
        <f t="shared" si="8"/>
      </c>
      <c r="X191" s="169" t="s">
        <v>107</v>
      </c>
      <c r="Y191" s="163" t="s">
        <v>132</v>
      </c>
      <c r="Z191" s="166">
        <v>154015</v>
      </c>
      <c r="AA191" s="166">
        <v>35553</v>
      </c>
      <c r="AB191" s="166">
        <v>250413</v>
      </c>
      <c r="AC191" s="166">
        <v>582</v>
      </c>
      <c r="AD191" s="166">
        <v>1</v>
      </c>
      <c r="AE191" s="166">
        <v>18578</v>
      </c>
      <c r="AF191" s="166">
        <v>322</v>
      </c>
      <c r="AG191" s="166">
        <v>88</v>
      </c>
      <c r="AH191" s="165">
        <v>13</v>
      </c>
      <c r="AI191" s="167">
        <v>0</v>
      </c>
    </row>
    <row customHeight="true" ht="16.071428571428573" r="192">
      <c r="A192" s="149"/>
      <c r="B192" s="150" t="s">
        <v>118</v>
      </c>
      <c r="C192" s="194" t="s">
        <v>123</v>
      </c>
      <c r="D192" s="195">
        <v>1570.5710000000001</v>
      </c>
      <c r="E192" s="172">
        <v>7</v>
      </c>
      <c r="F192" s="154">
        <f t="shared" si="428"/>
      </c>
      <c r="G192" s="172">
        <v>2796</v>
      </c>
      <c r="H192" s="156">
        <f t="shared" si="458"/>
      </c>
      <c r="I192" s="157">
        <f t="shared" si="368"/>
      </c>
      <c r="J192" s="158">
        <f t="shared" si="398"/>
      </c>
      <c r="K192" s="159">
        <f t="shared" si="308"/>
      </c>
      <c r="L192" s="174">
        <f t="shared" si="338"/>
      </c>
      <c r="M192" s="175">
        <f t="shared" si="218"/>
      </c>
      <c r="N192" s="176">
        <f t="shared" si="248"/>
      </c>
      <c r="O192" s="176">
        <f t="shared" si="278"/>
      </c>
      <c r="P192" s="176">
        <f t="shared" si="158"/>
      </c>
      <c r="Q192" s="176">
        <f t="shared" si="188"/>
      </c>
      <c r="R192" s="175">
        <f t="shared" si="98"/>
      </c>
      <c r="S192" s="177">
        <f t="shared" si="128"/>
      </c>
      <c r="T192" s="176">
        <f t="shared" si="38"/>
      </c>
      <c r="U192" s="176">
        <f t="shared" si="68"/>
      </c>
      <c r="V192" s="176">
        <f t="shared" si="488"/>
      </c>
      <c r="W192" s="176">
        <f t="shared" si="8"/>
      </c>
      <c r="X192" s="169" t="s">
        <v>107</v>
      </c>
      <c r="Y192" s="163" t="s">
        <v>132</v>
      </c>
      <c r="Z192" s="166">
        <v>75234</v>
      </c>
      <c r="AA192" s="166">
        <v>10266</v>
      </c>
      <c r="AB192" s="166">
        <v>79515</v>
      </c>
      <c r="AC192" s="166">
        <v>374</v>
      </c>
      <c r="AD192" s="166">
        <v>6</v>
      </c>
      <c r="AE192" s="166">
        <v>5463</v>
      </c>
      <c r="AF192" s="166">
        <v>136</v>
      </c>
      <c r="AG192" s="166">
        <v>22</v>
      </c>
      <c r="AH192" s="165">
        <v>5</v>
      </c>
      <c r="AI192" s="167">
        <v>0</v>
      </c>
    </row>
    <row customHeight="true" ht="16.071428571428573" r="193">
      <c r="A193" s="149"/>
      <c r="B193" s="178" t="s">
        <v>112</v>
      </c>
      <c r="C193" s="178"/>
      <c r="D193" s="179">
        <f>SUM(D189:D192)</f>
      </c>
      <c r="E193" s="180">
        <f>SUM(E189:E192)</f>
      </c>
      <c r="F193" s="181">
        <f t="shared" si="428"/>
      </c>
      <c r="G193" s="182">
        <f>SUM(G189:G192)</f>
      </c>
      <c r="H193" s="183">
        <f t="shared" si="458"/>
      </c>
      <c r="I193" s="184">
        <f t="shared" si="368"/>
      </c>
      <c r="J193" s="185">
        <f t="shared" si="398"/>
      </c>
      <c r="K193" s="181">
        <f t="shared" si="308"/>
      </c>
      <c r="L193" s="186">
        <f t="shared" si="338"/>
      </c>
      <c r="M193" s="185">
        <f t="shared" si="218"/>
      </c>
      <c r="N193" s="187">
        <f t="shared" si="248"/>
      </c>
      <c r="O193" s="187">
        <f t="shared" si="278"/>
      </c>
      <c r="P193" s="187">
        <f t="shared" si="158"/>
      </c>
      <c r="Q193" s="187">
        <f t="shared" si="188"/>
      </c>
      <c r="R193" s="185">
        <f t="shared" si="98"/>
      </c>
      <c r="S193" s="181">
        <f t="shared" si="128"/>
      </c>
      <c r="T193" s="187">
        <f t="shared" si="38"/>
      </c>
      <c r="U193" s="187">
        <f t="shared" si="68"/>
      </c>
      <c r="V193" s="187">
        <f t="shared" si="488"/>
      </c>
      <c r="W193" s="187">
        <f t="shared" si="8"/>
      </c>
      <c r="X193" s="187"/>
      <c r="Y193" s="188"/>
      <c r="Z193" s="179">
        <f>SUM(Z189:Z192)</f>
      </c>
      <c r="AA193" s="179">
        <f>SUM(AA189:AA192)</f>
      </c>
      <c r="AB193" s="179">
        <f>SUM(AB189:AB192)</f>
      </c>
      <c r="AC193" s="179">
        <f>SUM(AC189:AC192)</f>
      </c>
      <c r="AD193" s="179">
        <f>SUM(AD189:AD192)</f>
      </c>
      <c r="AE193" s="179">
        <f>SUM(AE189:AE192)</f>
      </c>
      <c r="AF193" s="179">
        <f>SUM(AF189:AF192)</f>
      </c>
      <c r="AG193" s="179">
        <f>SUM(AG189:AG192)</f>
      </c>
      <c r="AH193" s="179">
        <f>SUM(AH189:AH192)</f>
      </c>
      <c r="AI193" s="179">
        <f>SUM(AI189:AI192)</f>
      </c>
    </row>
    <row customHeight="true" ht="16.071428571428573" r="194">
      <c r="A194" s="149"/>
      <c r="B194" s="150" t="s">
        <v>113</v>
      </c>
      <c r="C194" s="196" t="s">
        <v>125</v>
      </c>
      <c r="D194" s="198">
        <v>2552.299</v>
      </c>
      <c r="E194" s="153">
        <v>5</v>
      </c>
      <c r="F194" s="154">
        <f t="shared" si="428"/>
      </c>
      <c r="G194" s="155">
        <v>1140</v>
      </c>
      <c r="H194" s="156">
        <f t="shared" si="458"/>
      </c>
      <c r="I194" s="157">
        <f t="shared" si="368"/>
      </c>
      <c r="J194" s="158">
        <f t="shared" si="398"/>
      </c>
      <c r="K194" s="159">
        <f t="shared" si="308"/>
      </c>
      <c r="L194" s="174">
        <f t="shared" si="338"/>
      </c>
      <c r="M194" s="175">
        <f t="shared" si="218"/>
      </c>
      <c r="N194" s="176">
        <f t="shared" si="248"/>
      </c>
      <c r="O194" s="176">
        <f t="shared" si="278"/>
      </c>
      <c r="P194" s="176">
        <f t="shared" si="158"/>
      </c>
      <c r="Q194" s="176">
        <f t="shared" si="188"/>
      </c>
      <c r="R194" s="175">
        <f t="shared" si="98"/>
      </c>
      <c r="S194" s="177">
        <f t="shared" si="128"/>
      </c>
      <c r="T194" s="176">
        <f t="shared" si="38"/>
      </c>
      <c r="U194" s="176">
        <f t="shared" si="68"/>
      </c>
      <c r="V194" s="176">
        <f t="shared" si="488"/>
      </c>
      <c r="W194" s="176">
        <f t="shared" si="8"/>
      </c>
      <c r="X194" s="169" t="s">
        <v>107</v>
      </c>
      <c r="Y194" s="163" t="s">
        <v>132</v>
      </c>
      <c r="Z194" s="166">
        <v>119146</v>
      </c>
      <c r="AA194" s="166">
        <v>13274</v>
      </c>
      <c r="AB194" s="166">
        <v>115132</v>
      </c>
      <c r="AC194" s="199">
        <v>407</v>
      </c>
      <c r="AD194" s="199">
        <v>7</v>
      </c>
      <c r="AE194" s="199">
        <v>6688</v>
      </c>
      <c r="AF194" s="199">
        <v>148</v>
      </c>
      <c r="AG194" s="199">
        <v>25</v>
      </c>
      <c r="AH194" s="199">
        <v>5</v>
      </c>
      <c r="AI194" s="167">
        <v>0</v>
      </c>
    </row>
    <row customHeight="true" ht="16.071428571428573" r="195">
      <c r="A195" s="149"/>
      <c r="B195" s="150" t="s">
        <v>113</v>
      </c>
      <c r="C195" s="194" t="s">
        <v>126</v>
      </c>
      <c r="D195" s="198">
        <v>2953.022</v>
      </c>
      <c r="E195" s="153">
        <v>10</v>
      </c>
      <c r="F195" s="154">
        <f t="shared" si="428"/>
      </c>
      <c r="G195" s="155">
        <v>2194.4000000000015</v>
      </c>
      <c r="H195" s="156">
        <f t="shared" si="458"/>
      </c>
      <c r="I195" s="157">
        <f t="shared" si="368"/>
      </c>
      <c r="J195" s="158">
        <f t="shared" si="398"/>
      </c>
      <c r="K195" s="159">
        <f t="shared" si="308"/>
      </c>
      <c r="L195" s="174">
        <f t="shared" si="338"/>
      </c>
      <c r="M195" s="175">
        <f t="shared" si="218"/>
      </c>
      <c r="N195" s="176">
        <f t="shared" si="248"/>
      </c>
      <c r="O195" s="176">
        <f t="shared" si="278"/>
      </c>
      <c r="P195" s="176">
        <f t="shared" si="158"/>
      </c>
      <c r="Q195" s="176">
        <f t="shared" si="188"/>
      </c>
      <c r="R195" s="175">
        <f t="shared" si="98"/>
      </c>
      <c r="S195" s="177">
        <f t="shared" si="128"/>
      </c>
      <c r="T195" s="176">
        <f t="shared" si="38"/>
      </c>
      <c r="U195" s="176">
        <f t="shared" si="68"/>
      </c>
      <c r="V195" s="176">
        <f t="shared" si="488"/>
      </c>
      <c r="W195" s="176">
        <f t="shared" si="8"/>
      </c>
      <c r="X195" s="169" t="s">
        <v>107</v>
      </c>
      <c r="Y195" s="163" t="s">
        <v>132</v>
      </c>
      <c r="Z195" s="166">
        <v>120330</v>
      </c>
      <c r="AA195" s="166">
        <v>15209</v>
      </c>
      <c r="AB195" s="166">
        <v>150769</v>
      </c>
      <c r="AC195" s="199">
        <v>458</v>
      </c>
      <c r="AD195" s="199">
        <v>10</v>
      </c>
      <c r="AE195" s="199">
        <v>8026</v>
      </c>
      <c r="AF195" s="199">
        <v>151</v>
      </c>
      <c r="AG195" s="199">
        <v>39</v>
      </c>
      <c r="AH195" s="199">
        <v>13</v>
      </c>
      <c r="AI195" s="167">
        <v>2</v>
      </c>
    </row>
    <row customHeight="true" ht="16.071428571428573" r="196">
      <c r="A196" s="149"/>
      <c r="B196" s="150" t="s">
        <v>113</v>
      </c>
      <c r="C196" s="200" t="s">
        <v>127</v>
      </c>
      <c r="D196" s="171">
        <v>2580.101</v>
      </c>
      <c r="E196" s="172">
        <v>6</v>
      </c>
      <c r="F196" s="154">
        <f t="shared" si="428"/>
      </c>
      <c r="G196" s="172">
        <v>2497.5999999999985</v>
      </c>
      <c r="H196" s="156">
        <f t="shared" si="458"/>
      </c>
      <c r="I196" s="157">
        <f t="shared" si="368"/>
      </c>
      <c r="J196" s="158">
        <f t="shared" si="398"/>
      </c>
      <c r="K196" s="159">
        <f t="shared" si="308"/>
      </c>
      <c r="L196" s="174">
        <f t="shared" si="338"/>
      </c>
      <c r="M196" s="175">
        <f t="shared" si="218"/>
      </c>
      <c r="N196" s="176">
        <f t="shared" si="248"/>
      </c>
      <c r="O196" s="176">
        <f t="shared" si="278"/>
      </c>
      <c r="P196" s="176">
        <f t="shared" si="158"/>
      </c>
      <c r="Q196" s="176">
        <f t="shared" si="188"/>
      </c>
      <c r="R196" s="175">
        <f t="shared" si="98"/>
      </c>
      <c r="S196" s="177">
        <f t="shared" si="128"/>
      </c>
      <c r="T196" s="176">
        <f t="shared" si="38"/>
      </c>
      <c r="U196" s="176">
        <f t="shared" si="68"/>
      </c>
      <c r="V196" s="176">
        <f t="shared" si="488"/>
      </c>
      <c r="W196" s="176">
        <f t="shared" si="8"/>
      </c>
      <c r="X196" s="169" t="s">
        <v>107</v>
      </c>
      <c r="Y196" s="163" t="s">
        <v>132</v>
      </c>
      <c r="Z196" s="166">
        <v>106325</v>
      </c>
      <c r="AA196" s="166">
        <v>12757</v>
      </c>
      <c r="AB196" s="166">
        <v>165894</v>
      </c>
      <c r="AC196" s="166">
        <v>430</v>
      </c>
      <c r="AD196" s="166">
        <v>4</v>
      </c>
      <c r="AE196" s="166">
        <v>8207</v>
      </c>
      <c r="AF196" s="166">
        <v>121</v>
      </c>
      <c r="AG196" s="166">
        <v>41</v>
      </c>
      <c r="AH196" s="165">
        <v>9</v>
      </c>
      <c r="AI196" s="167">
        <v>1</v>
      </c>
    </row>
    <row customHeight="true" ht="16.071428571428573" r="197">
      <c r="A197" s="149"/>
      <c r="B197" s="150" t="s">
        <v>113</v>
      </c>
      <c r="C197" s="201" t="s">
        <v>128</v>
      </c>
      <c r="D197" s="195">
        <f>1326.484+4.896</f>
      </c>
      <c r="E197" s="172">
        <v>4</v>
      </c>
      <c r="F197" s="154">
        <f t="shared" si="428"/>
      </c>
      <c r="G197" s="172">
        <v>1872.7000000000044</v>
      </c>
      <c r="H197" s="156">
        <f t="shared" si="458"/>
      </c>
      <c r="I197" s="157">
        <f t="shared" si="368"/>
      </c>
      <c r="J197" s="158">
        <f t="shared" si="398"/>
      </c>
      <c r="K197" s="159">
        <f t="shared" si="308"/>
      </c>
      <c r="L197" s="174">
        <f t="shared" si="338"/>
      </c>
      <c r="M197" s="175">
        <f t="shared" si="218"/>
      </c>
      <c r="N197" s="176">
        <f t="shared" si="248"/>
      </c>
      <c r="O197" s="176">
        <f t="shared" si="278"/>
      </c>
      <c r="P197" s="176">
        <f t="shared" si="158"/>
      </c>
      <c r="Q197" s="176">
        <f t="shared" si="188"/>
      </c>
      <c r="R197" s="175">
        <f t="shared" si="98"/>
      </c>
      <c r="S197" s="177">
        <f t="shared" si="128"/>
      </c>
      <c r="T197" s="176">
        <f t="shared" si="38"/>
      </c>
      <c r="U197" s="176">
        <f t="shared" si="68"/>
      </c>
      <c r="V197" s="176">
        <f t="shared" si="488"/>
      </c>
      <c r="W197" s="176">
        <f t="shared" si="8"/>
      </c>
      <c r="X197" s="169" t="s">
        <v>107</v>
      </c>
      <c r="Y197" s="163" t="s">
        <v>132</v>
      </c>
      <c r="Z197" s="166">
        <v>70086</v>
      </c>
      <c r="AA197" s="166">
        <v>5981</v>
      </c>
      <c r="AB197" s="166">
        <v>93849</v>
      </c>
      <c r="AC197" s="166">
        <v>308</v>
      </c>
      <c r="AD197" s="166">
        <v>3</v>
      </c>
      <c r="AE197" s="166">
        <v>4695</v>
      </c>
      <c r="AF197" s="166">
        <v>58</v>
      </c>
      <c r="AG197" s="166">
        <v>21</v>
      </c>
      <c r="AH197" s="165">
        <v>8</v>
      </c>
      <c r="AI197" s="167">
        <v>1</v>
      </c>
    </row>
    <row customHeight="true" ht="16.071428571428573" r="198">
      <c r="A198" s="149"/>
      <c r="B198" s="178" t="s">
        <v>112</v>
      </c>
      <c r="C198" s="178"/>
      <c r="D198" s="179">
        <f>SUM(D194:D197)</f>
      </c>
      <c r="E198" s="180">
        <f>SUM(E194:E197)</f>
      </c>
      <c r="F198" s="181">
        <f t="shared" si="428"/>
      </c>
      <c r="G198" s="182">
        <f>SUM(G194:G197)</f>
      </c>
      <c r="H198" s="183">
        <f t="shared" si="458"/>
      </c>
      <c r="I198" s="184">
        <f t="shared" si="368"/>
      </c>
      <c r="J198" s="185">
        <f t="shared" si="398"/>
      </c>
      <c r="K198" s="181">
        <f t="shared" si="308"/>
      </c>
      <c r="L198" s="186">
        <f t="shared" si="338"/>
      </c>
      <c r="M198" s="185">
        <f t="shared" si="218"/>
      </c>
      <c r="N198" s="187">
        <f t="shared" si="248"/>
      </c>
      <c r="O198" s="187">
        <f t="shared" si="278"/>
      </c>
      <c r="P198" s="187">
        <f t="shared" si="158"/>
      </c>
      <c r="Q198" s="187">
        <f t="shared" si="188"/>
      </c>
      <c r="R198" s="185">
        <f t="shared" si="98"/>
      </c>
      <c r="S198" s="181">
        <f t="shared" si="128"/>
      </c>
      <c r="T198" s="187">
        <f t="shared" si="38"/>
      </c>
      <c r="U198" s="187">
        <f t="shared" si="68"/>
      </c>
      <c r="V198" s="187">
        <f t="shared" si="488"/>
      </c>
      <c r="W198" s="187">
        <f t="shared" si="8"/>
      </c>
      <c r="X198" s="187"/>
      <c r="Y198" s="188"/>
      <c r="Z198" s="179">
        <f>SUM(Z194:Z197)</f>
      </c>
      <c r="AA198" s="179">
        <f>SUM(AA194:AA197)</f>
      </c>
      <c r="AB198" s="179">
        <f>SUM(AB194:AB197)</f>
      </c>
      <c r="AC198" s="179">
        <f>SUM(AC194:AC197)</f>
      </c>
      <c r="AD198" s="179">
        <f>SUM(AD194:AD197)</f>
      </c>
      <c r="AE198" s="179">
        <f>SUM(AE194:AE197)</f>
      </c>
      <c r="AF198" s="179">
        <f>SUM(AF194:AF197)</f>
      </c>
      <c r="AG198" s="179">
        <f>SUM(AG194:AG197)</f>
      </c>
      <c r="AH198" s="179">
        <f>SUM(AH194:AH197)</f>
      </c>
      <c r="AI198" s="179">
        <f>SUM(AI194:AI197)</f>
      </c>
    </row>
    <row customHeight="true" ht="16.071428571428573" r="199">
      <c r="A199" s="149"/>
      <c r="B199" s="202" t="s">
        <v>129</v>
      </c>
      <c r="C199" s="202"/>
      <c r="D199" s="203">
        <f>SUM(D198+D183+D188+D193)</f>
      </c>
      <c r="E199" s="204">
        <f>SUM(E198+E183+E188+E193)</f>
      </c>
      <c r="F199" s="205">
        <f t="shared" si="428"/>
      </c>
      <c r="G199" s="206">
        <f>SUM(G198+G183+G188+G193)</f>
      </c>
      <c r="H199" s="207">
        <f t="shared" si="458"/>
      </c>
      <c r="I199" s="208">
        <f t="shared" si="368"/>
      </c>
      <c r="J199" s="209">
        <f t="shared" si="398"/>
      </c>
      <c r="K199" s="205">
        <f t="shared" si="308"/>
      </c>
      <c r="L199" s="210">
        <f t="shared" si="338"/>
      </c>
      <c r="M199" s="210">
        <f t="shared" si="218"/>
      </c>
      <c r="N199" s="211">
        <f t="shared" si="248"/>
      </c>
      <c r="O199" s="211">
        <f t="shared" si="278"/>
      </c>
      <c r="P199" s="211">
        <f t="shared" si="158"/>
      </c>
      <c r="Q199" s="211">
        <f t="shared" si="188"/>
      </c>
      <c r="R199" s="212">
        <f t="shared" si="98"/>
      </c>
      <c r="S199" s="213">
        <f t="shared" si="128"/>
      </c>
      <c r="T199" s="214">
        <f t="shared" si="38"/>
      </c>
      <c r="U199" s="214">
        <f t="shared" si="68"/>
      </c>
      <c r="V199" s="214">
        <f t="shared" si="488"/>
      </c>
      <c r="W199" s="214">
        <f t="shared" si="8"/>
      </c>
      <c r="X199" s="214"/>
      <c r="Y199" s="215"/>
      <c r="Z199" s="216">
        <f>SUM(Z183+Z198+Z188+Z193)</f>
      </c>
      <c r="AA199" s="216">
        <f>SUM(AA183+AA198+AA188+AA193)</f>
      </c>
      <c r="AB199" s="216">
        <f>SUM(AB183+AB198+AB188+AB193)</f>
      </c>
      <c r="AC199" s="216">
        <f>SUM(AC183+AC198+AC188+AC193)</f>
      </c>
      <c r="AD199" s="216">
        <f>SUM(AD183+AD198+AD188+AD193)</f>
      </c>
      <c r="AE199" s="216">
        <f>SUM(AE183+AE198+AE188+AE193)</f>
      </c>
      <c r="AF199" s="216">
        <f>SUM(AF183+AF198+AF188+AF193)</f>
      </c>
      <c r="AG199" s="216">
        <f>SUM(AG183+AG198+AG188+AG193)</f>
      </c>
      <c r="AH199" s="216">
        <f>SUM(AH183+AH198+AH188+AH193)</f>
      </c>
      <c r="AI199" s="216">
        <f>SUM(AI183+AI198+AI188+AI193)</f>
      </c>
    </row>
    <row customHeight="true" ht="16.071428571428573" r="200">
      <c r="A200" s="133" t="s">
        <v>70</v>
      </c>
      <c r="B200" s="134" t="s">
        <v>71</v>
      </c>
      <c r="C200" s="135" t="s">
        <v>72</v>
      </c>
      <c r="D200" s="136" t="s">
        <v>73</v>
      </c>
      <c r="E200" s="137" t="s">
        <v>74</v>
      </c>
      <c r="F200" s="138" t="s">
        <v>75</v>
      </c>
      <c r="G200" s="139" t="s">
        <v>76</v>
      </c>
      <c r="H200" s="138" t="s">
        <v>77</v>
      </c>
      <c r="I200" s="139" t="s">
        <v>78</v>
      </c>
      <c r="J200" s="140" t="s">
        <v>79</v>
      </c>
      <c r="K200" s="140" t="s">
        <v>80</v>
      </c>
      <c r="L200" s="141" t="s">
        <v>81</v>
      </c>
      <c r="M200" s="141" t="s">
        <v>82</v>
      </c>
      <c r="N200" s="141" t="s">
        <v>83</v>
      </c>
      <c r="O200" s="141" t="s">
        <v>84</v>
      </c>
      <c r="P200" s="141" t="s">
        <v>85</v>
      </c>
      <c r="Q200" s="141" t="s">
        <v>86</v>
      </c>
      <c r="R200" s="141" t="s">
        <v>87</v>
      </c>
      <c r="S200" s="141" t="s">
        <v>88</v>
      </c>
      <c r="T200" s="142" t="s">
        <v>89</v>
      </c>
      <c r="U200" s="142" t="s">
        <v>90</v>
      </c>
      <c r="V200" s="142" t="s">
        <v>91</v>
      </c>
      <c r="W200" s="142" t="s">
        <v>92</v>
      </c>
      <c r="X200" s="143" t="s">
        <v>93</v>
      </c>
      <c r="Y200" s="143" t="s">
        <v>94</v>
      </c>
      <c r="Z200" s="144" t="s">
        <v>95</v>
      </c>
      <c r="AA200" s="144" t="s">
        <v>96</v>
      </c>
      <c r="AB200" s="144" t="s">
        <v>97</v>
      </c>
      <c r="AC200" s="145" t="s">
        <v>98</v>
      </c>
      <c r="AD200" s="145" t="s">
        <v>99</v>
      </c>
      <c r="AE200" s="146" t="s">
        <v>100</v>
      </c>
      <c r="AF200" s="145" t="s">
        <v>101</v>
      </c>
      <c r="AG200" s="145" t="s">
        <v>102</v>
      </c>
      <c r="AH200" s="147" t="s">
        <v>103</v>
      </c>
      <c r="AI200" s="148" t="s">
        <v>104</v>
      </c>
    </row>
    <row customHeight="true" ht="16.071428571428573" r="201">
      <c r="A201" s="149">
        <v>46275</v>
      </c>
      <c r="B201" s="150" t="s">
        <v>124</v>
      </c>
      <c r="C201" s="151" t="s">
        <v>106</v>
      </c>
      <c r="D201" s="152">
        <v>2113.313</v>
      </c>
      <c r="E201" s="153">
        <v>6</v>
      </c>
      <c r="F201" s="154">
        <f t="shared" ref="F201:F221" si="429">D201/E201</f>
      </c>
      <c r="G201" s="155">
        <v>2529.6</v>
      </c>
      <c r="H201" s="156">
        <f t="shared" ref="H201:H221" si="459">AD201</f>
      </c>
      <c r="I201" s="157">
        <f t="shared" ref="I201:I221" si="369">D201/AD201</f>
      </c>
      <c r="J201" s="158">
        <f t="shared" ref="J201:J221" si="399">G201/E201</f>
      </c>
      <c r="K201" s="159">
        <f t="shared" ref="K201:K221" si="309">G201/D201</f>
      </c>
      <c r="L201" s="160">
        <f t="shared" ref="L201:L221" si="339">D201/AB201</f>
      </c>
      <c r="M201" s="158">
        <f t="shared" ref="M201:M221" si="219">D201/AC201</f>
      </c>
      <c r="N201" s="161">
        <f t="shared" ref="N201:N221" si="249">AC201/AB201</f>
      </c>
      <c r="O201" s="161">
        <f t="shared" ref="O201:O221" si="279">AD201/AC201</f>
      </c>
      <c r="P201" s="161">
        <f t="shared" ref="P201:P221" si="159">AA201/Z201</f>
      </c>
      <c r="Q201" s="161">
        <f t="shared" ref="Q201:Q221" si="189">AD201/AA201</f>
      </c>
      <c r="R201" s="158">
        <f t="shared" ref="R201:R221" si="99">D201/Z201*1000</f>
      </c>
      <c r="S201" s="159">
        <f t="shared" ref="S201:S221" si="129">D201/AA201</f>
      </c>
      <c r="T201" s="161">
        <f t="shared" ref="T201:T221" si="39">AE201/AB201</f>
      </c>
      <c r="U201" s="161">
        <f t="shared" ref="U201:U221" si="69">AF201/AB201</f>
      </c>
      <c r="V201" s="161">
        <f t="shared" ref="V201:V221" si="489">AG201/AB201</f>
      </c>
      <c r="W201" s="161">
        <f t="shared" ref="W201:W221" si="9">AH201/AB201</f>
      </c>
      <c r="X201" s="162" t="s">
        <v>107</v>
      </c>
      <c r="Y201" s="163" t="s">
        <v>120</v>
      </c>
      <c r="Z201" s="164">
        <v>62180</v>
      </c>
      <c r="AA201" s="164">
        <v>24356</v>
      </c>
      <c r="AB201" s="164">
        <v>112288</v>
      </c>
      <c r="AC201" s="164">
        <v>584</v>
      </c>
      <c r="AD201" s="165">
        <v>6</v>
      </c>
      <c r="AE201" s="164">
        <v>12715</v>
      </c>
      <c r="AF201" s="166">
        <v>252</v>
      </c>
      <c r="AG201" s="166">
        <v>32</v>
      </c>
      <c r="AH201" s="166">
        <v>5</v>
      </c>
      <c r="AI201" s="167">
        <v>1</v>
      </c>
    </row>
    <row customHeight="true" ht="16.071428571428573" r="202">
      <c r="A202" s="149"/>
      <c r="B202" s="150" t="s">
        <v>124</v>
      </c>
      <c r="C202" s="168" t="s">
        <v>109</v>
      </c>
      <c r="D202" s="152">
        <v>4457.136</v>
      </c>
      <c r="E202" s="153">
        <v>13</v>
      </c>
      <c r="F202" s="154">
        <f t="shared" si="429"/>
      </c>
      <c r="G202" s="155">
        <v>4054.0000000000005</v>
      </c>
      <c r="H202" s="156">
        <f t="shared" si="459"/>
      </c>
      <c r="I202" s="157">
        <f t="shared" si="369"/>
      </c>
      <c r="J202" s="158">
        <f t="shared" si="399"/>
      </c>
      <c r="K202" s="159">
        <f t="shared" si="309"/>
      </c>
      <c r="L202" s="160">
        <f t="shared" si="339"/>
      </c>
      <c r="M202" s="158">
        <f t="shared" si="219"/>
      </c>
      <c r="N202" s="161">
        <f t="shared" si="249"/>
      </c>
      <c r="O202" s="161">
        <f t="shared" si="279"/>
      </c>
      <c r="P202" s="161">
        <f t="shared" si="159"/>
      </c>
      <c r="Q202" s="161">
        <f t="shared" si="189"/>
      </c>
      <c r="R202" s="158">
        <f t="shared" si="99"/>
      </c>
      <c r="S202" s="159">
        <f t="shared" si="129"/>
      </c>
      <c r="T202" s="161">
        <f t="shared" si="39"/>
      </c>
      <c r="U202" s="161">
        <f t="shared" si="69"/>
      </c>
      <c r="V202" s="161">
        <f t="shared" si="489"/>
      </c>
      <c r="W202" s="161">
        <f t="shared" si="9"/>
      </c>
      <c r="X202" s="169" t="s">
        <v>107</v>
      </c>
      <c r="Y202" s="163" t="s">
        <v>120</v>
      </c>
      <c r="Z202" s="166">
        <v>176744</v>
      </c>
      <c r="AA202" s="164">
        <v>43385</v>
      </c>
      <c r="AB202" s="164">
        <v>274598</v>
      </c>
      <c r="AC202" s="164">
        <v>927</v>
      </c>
      <c r="AD202" s="166">
        <v>8</v>
      </c>
      <c r="AE202" s="164">
        <v>25527</v>
      </c>
      <c r="AF202" s="166">
        <v>368</v>
      </c>
      <c r="AG202" s="166">
        <v>66</v>
      </c>
      <c r="AH202" s="165">
        <v>18</v>
      </c>
      <c r="AI202" s="167">
        <v>1</v>
      </c>
    </row>
    <row customHeight="true" ht="16.071428571428573" r="203">
      <c r="A203" s="149"/>
      <c r="B203" s="150" t="s">
        <v>124</v>
      </c>
      <c r="C203" s="170" t="s">
        <v>110</v>
      </c>
      <c r="D203" s="171">
        <v>6948.573</v>
      </c>
      <c r="E203" s="172">
        <v>22</v>
      </c>
      <c r="F203" s="154">
        <f t="shared" si="429"/>
      </c>
      <c r="G203" s="172">
        <v>7096.300000000001</v>
      </c>
      <c r="H203" s="156">
        <f t="shared" si="459"/>
      </c>
      <c r="I203" s="157">
        <f t="shared" si="369"/>
      </c>
      <c r="J203" s="158">
        <f t="shared" si="399"/>
      </c>
      <c r="K203" s="159">
        <f t="shared" si="309"/>
      </c>
      <c r="L203" s="160">
        <f t="shared" si="339"/>
      </c>
      <c r="M203" s="158">
        <f t="shared" si="219"/>
      </c>
      <c r="N203" s="161">
        <f t="shared" si="249"/>
      </c>
      <c r="O203" s="161">
        <f t="shared" si="279"/>
      </c>
      <c r="P203" s="161">
        <f t="shared" si="159"/>
      </c>
      <c r="Q203" s="161">
        <f t="shared" si="189"/>
      </c>
      <c r="R203" s="158">
        <f t="shared" si="99"/>
      </c>
      <c r="S203" s="159">
        <f t="shared" si="129"/>
      </c>
      <c r="T203" s="161">
        <f t="shared" si="39"/>
      </c>
      <c r="U203" s="161">
        <f t="shared" si="69"/>
      </c>
      <c r="V203" s="161">
        <f t="shared" si="489"/>
      </c>
      <c r="W203" s="161">
        <f t="shared" si="9"/>
      </c>
      <c r="X203" s="169" t="s">
        <v>107</v>
      </c>
      <c r="Y203" s="163" t="s">
        <v>120</v>
      </c>
      <c r="Z203" s="166">
        <v>312858</v>
      </c>
      <c r="AA203" s="166">
        <v>56133</v>
      </c>
      <c r="AB203" s="166">
        <v>552781</v>
      </c>
      <c r="AC203" s="166">
        <v>1568</v>
      </c>
      <c r="AD203" s="166">
        <v>21</v>
      </c>
      <c r="AE203" s="166">
        <v>45903</v>
      </c>
      <c r="AF203" s="166">
        <v>612</v>
      </c>
      <c r="AG203" s="166">
        <v>146</v>
      </c>
      <c r="AH203" s="166">
        <v>32</v>
      </c>
      <c r="AI203" s="167">
        <v>3</v>
      </c>
    </row>
    <row customHeight="true" ht="16.071428571428573" r="204">
      <c r="A204" s="149"/>
      <c r="B204" s="150" t="s">
        <v>124</v>
      </c>
      <c r="C204" s="173" t="s">
        <v>111</v>
      </c>
      <c r="D204" s="171">
        <v>7137.404</v>
      </c>
      <c r="E204" s="172">
        <v>27</v>
      </c>
      <c r="F204" s="154">
        <f t="shared" si="429"/>
      </c>
      <c r="G204" s="172">
        <v>9306.400000000001</v>
      </c>
      <c r="H204" s="156">
        <f t="shared" si="459"/>
      </c>
      <c r="I204" s="157">
        <f t="shared" si="369"/>
      </c>
      <c r="J204" s="158">
        <f t="shared" si="399"/>
      </c>
      <c r="K204" s="159">
        <f t="shared" si="309"/>
      </c>
      <c r="L204" s="174">
        <f t="shared" si="339"/>
      </c>
      <c r="M204" s="175">
        <f t="shared" si="219"/>
      </c>
      <c r="N204" s="176">
        <f t="shared" si="249"/>
      </c>
      <c r="O204" s="176">
        <f t="shared" si="279"/>
      </c>
      <c r="P204" s="176">
        <f t="shared" si="159"/>
      </c>
      <c r="Q204" s="176">
        <f t="shared" si="189"/>
      </c>
      <c r="R204" s="175">
        <f t="shared" si="99"/>
      </c>
      <c r="S204" s="177">
        <f t="shared" si="129"/>
      </c>
      <c r="T204" s="176">
        <f t="shared" si="39"/>
      </c>
      <c r="U204" s="176">
        <f t="shared" si="69"/>
      </c>
      <c r="V204" s="176">
        <f t="shared" si="489"/>
      </c>
      <c r="W204" s="176">
        <f t="shared" si="9"/>
      </c>
      <c r="X204" s="169" t="s">
        <v>107</v>
      </c>
      <c r="Y204" s="163" t="s">
        <v>120</v>
      </c>
      <c r="Z204" s="166">
        <v>268453</v>
      </c>
      <c r="AA204" s="166">
        <v>42556</v>
      </c>
      <c r="AB204" s="166">
        <v>588896</v>
      </c>
      <c r="AC204" s="166">
        <v>1781</v>
      </c>
      <c r="AD204" s="166">
        <v>20</v>
      </c>
      <c r="AE204" s="166">
        <v>49922</v>
      </c>
      <c r="AF204" s="166">
        <v>405</v>
      </c>
      <c r="AG204" s="166">
        <v>139</v>
      </c>
      <c r="AH204" s="165">
        <v>29</v>
      </c>
      <c r="AI204" s="167">
        <v>3</v>
      </c>
    </row>
    <row customHeight="true" ht="16.071428571428573" r="205">
      <c r="A205" s="149"/>
      <c r="B205" s="178" t="s">
        <v>112</v>
      </c>
      <c r="C205" s="178"/>
      <c r="D205" s="179">
        <f>SUM(D201:D204)</f>
      </c>
      <c r="E205" s="180">
        <f>SUM(E201:E204)</f>
      </c>
      <c r="F205" s="181">
        <f t="shared" si="429"/>
      </c>
      <c r="G205" s="182">
        <f>SUM(G201:G204)</f>
      </c>
      <c r="H205" s="183">
        <f t="shared" si="459"/>
      </c>
      <c r="I205" s="184">
        <f t="shared" si="369"/>
      </c>
      <c r="J205" s="185">
        <f t="shared" si="399"/>
      </c>
      <c r="K205" s="181">
        <f t="shared" si="309"/>
      </c>
      <c r="L205" s="186">
        <f t="shared" si="339"/>
      </c>
      <c r="M205" s="185">
        <f t="shared" si="219"/>
      </c>
      <c r="N205" s="187">
        <f t="shared" si="249"/>
      </c>
      <c r="O205" s="187">
        <f t="shared" si="279"/>
      </c>
      <c r="P205" s="187">
        <f t="shared" si="159"/>
      </c>
      <c r="Q205" s="187">
        <f t="shared" si="189"/>
      </c>
      <c r="R205" s="185">
        <f t="shared" si="99"/>
      </c>
      <c r="S205" s="181">
        <f t="shared" si="129"/>
      </c>
      <c r="T205" s="187">
        <f t="shared" si="39"/>
      </c>
      <c r="U205" s="187">
        <f t="shared" si="69"/>
      </c>
      <c r="V205" s="187">
        <f t="shared" si="489"/>
      </c>
      <c r="W205" s="187">
        <f t="shared" si="9"/>
      </c>
      <c r="X205" s="187"/>
      <c r="Y205" s="188"/>
      <c r="Z205" s="179">
        <f>SUM(Z201:Z204)</f>
      </c>
      <c r="AA205" s="179">
        <f>SUM(AA201:AA204)</f>
      </c>
      <c r="AB205" s="179">
        <f>SUM(AB201:AB204)</f>
      </c>
      <c r="AC205" s="179">
        <f>SUM(AC201:AC204)</f>
      </c>
      <c r="AD205" s="179">
        <f>SUM(AD201:AD204)</f>
      </c>
      <c r="AE205" s="179">
        <f>SUM(AE201:AE204)</f>
      </c>
      <c r="AF205" s="179">
        <f>SUM(AF201:AF204)</f>
      </c>
      <c r="AG205" s="179">
        <f>SUM(AG201:AG204)</f>
      </c>
      <c r="AH205" s="179">
        <f>SUM(AH201:AH204)</f>
      </c>
      <c r="AI205" s="179">
        <f>SUM(AI201:AI204)</f>
      </c>
    </row>
    <row customHeight="true" ht="16.071428571428573" r="206">
      <c r="A206" s="149"/>
      <c r="B206" s="150" t="s">
        <v>113</v>
      </c>
      <c r="C206" s="173" t="s">
        <v>114</v>
      </c>
      <c r="D206" s="190">
        <v>4765.356000000001</v>
      </c>
      <c r="E206" s="191">
        <v>16</v>
      </c>
      <c r="F206" s="154">
        <f t="shared" si="429"/>
      </c>
      <c r="G206" s="172">
        <v>4470.5999999999985</v>
      </c>
      <c r="H206" s="156">
        <f t="shared" si="459"/>
      </c>
      <c r="I206" s="157">
        <f t="shared" si="369"/>
      </c>
      <c r="J206" s="158">
        <f t="shared" si="399"/>
      </c>
      <c r="K206" s="159">
        <f t="shared" si="309"/>
      </c>
      <c r="L206" s="160">
        <f t="shared" si="339"/>
      </c>
      <c r="M206" s="158">
        <f t="shared" si="219"/>
      </c>
      <c r="N206" s="161">
        <f t="shared" si="249"/>
      </c>
      <c r="O206" s="161">
        <f t="shared" si="279"/>
      </c>
      <c r="P206" s="161">
        <f t="shared" si="159"/>
      </c>
      <c r="Q206" s="161">
        <f t="shared" si="189"/>
      </c>
      <c r="R206" s="158">
        <f t="shared" si="99"/>
      </c>
      <c r="S206" s="159">
        <f t="shared" si="129"/>
      </c>
      <c r="T206" s="161">
        <f t="shared" si="39"/>
      </c>
      <c r="U206" s="161">
        <f t="shared" si="69"/>
      </c>
      <c r="V206" s="161">
        <f t="shared" si="489"/>
      </c>
      <c r="W206" s="161">
        <f t="shared" si="9"/>
      </c>
      <c r="X206" s="169" t="s">
        <v>107</v>
      </c>
      <c r="Y206" s="163" t="s">
        <v>120</v>
      </c>
      <c r="Z206" s="166">
        <v>181309</v>
      </c>
      <c r="AA206" s="166">
        <v>26818</v>
      </c>
      <c r="AB206" s="166">
        <v>381166</v>
      </c>
      <c r="AC206" s="166">
        <v>1129</v>
      </c>
      <c r="AD206" s="166">
        <v>10</v>
      </c>
      <c r="AE206" s="166">
        <v>28436</v>
      </c>
      <c r="AF206" s="166">
        <v>289</v>
      </c>
      <c r="AG206" s="166">
        <v>70</v>
      </c>
      <c r="AH206" s="166">
        <v>25</v>
      </c>
      <c r="AI206" s="167">
        <v>5</v>
      </c>
    </row>
    <row customHeight="true" ht="16.071428571428573" r="207">
      <c r="A207" s="149"/>
      <c r="B207" s="150" t="s">
        <v>113</v>
      </c>
      <c r="C207" s="192" t="s">
        <v>115</v>
      </c>
      <c r="D207" s="171">
        <v>690.303</v>
      </c>
      <c r="E207" s="172">
        <v>3</v>
      </c>
      <c r="F207" s="154">
        <f t="shared" si="429"/>
      </c>
      <c r="G207" s="172">
        <v>631.5</v>
      </c>
      <c r="H207" s="156">
        <f t="shared" si="459"/>
      </c>
      <c r="I207" s="157">
        <f t="shared" si="369"/>
      </c>
      <c r="J207" s="158">
        <f t="shared" si="399"/>
      </c>
      <c r="K207" s="159">
        <f t="shared" si="309"/>
      </c>
      <c r="L207" s="160">
        <f t="shared" si="339"/>
      </c>
      <c r="M207" s="158">
        <f t="shared" si="219"/>
      </c>
      <c r="N207" s="161">
        <f t="shared" si="249"/>
      </c>
      <c r="O207" s="161">
        <f t="shared" si="279"/>
      </c>
      <c r="P207" s="161">
        <f t="shared" si="159"/>
      </c>
      <c r="Q207" s="161">
        <f t="shared" si="189"/>
      </c>
      <c r="R207" s="158">
        <f t="shared" si="99"/>
      </c>
      <c r="S207" s="159">
        <f t="shared" si="129"/>
      </c>
      <c r="T207" s="161">
        <f t="shared" si="39"/>
      </c>
      <c r="U207" s="161">
        <f t="shared" si="69"/>
      </c>
      <c r="V207" s="161">
        <f t="shared" si="489"/>
      </c>
      <c r="W207" s="161">
        <f t="shared" si="9"/>
      </c>
      <c r="X207" s="169" t="s">
        <v>107</v>
      </c>
      <c r="Y207" s="163" t="s">
        <v>120</v>
      </c>
      <c r="Z207" s="166">
        <v>31143</v>
      </c>
      <c r="AA207" s="166">
        <v>4585</v>
      </c>
      <c r="AB207" s="166">
        <v>29229</v>
      </c>
      <c r="AC207" s="166">
        <v>181</v>
      </c>
      <c r="AD207" s="166">
        <v>1</v>
      </c>
      <c r="AE207" s="166">
        <v>2345</v>
      </c>
      <c r="AF207" s="166">
        <v>52</v>
      </c>
      <c r="AG207" s="166">
        <v>5</v>
      </c>
      <c r="AH207" s="166">
        <v>7</v>
      </c>
      <c r="AI207" s="167">
        <v>0</v>
      </c>
    </row>
    <row customHeight="true" ht="16.071428571428573" r="208">
      <c r="A208" s="149"/>
      <c r="B208" s="150" t="s">
        <v>113</v>
      </c>
      <c r="C208" s="193" t="s">
        <v>116</v>
      </c>
      <c r="D208" s="171">
        <v>2161.054</v>
      </c>
      <c r="E208" s="172">
        <v>2</v>
      </c>
      <c r="F208" s="154">
        <f t="shared" si="429"/>
      </c>
      <c r="G208" s="172">
        <v>1452</v>
      </c>
      <c r="H208" s="156">
        <f t="shared" si="459"/>
      </c>
      <c r="I208" s="157">
        <f t="shared" si="369"/>
      </c>
      <c r="J208" s="158">
        <f t="shared" si="399"/>
      </c>
      <c r="K208" s="159">
        <f t="shared" si="309"/>
      </c>
      <c r="L208" s="174">
        <f t="shared" si="339"/>
      </c>
      <c r="M208" s="175">
        <f t="shared" si="219"/>
      </c>
      <c r="N208" s="176">
        <f t="shared" si="249"/>
      </c>
      <c r="O208" s="176">
        <f t="shared" si="279"/>
      </c>
      <c r="P208" s="176">
        <f t="shared" si="159"/>
      </c>
      <c r="Q208" s="176">
        <f t="shared" si="189"/>
      </c>
      <c r="R208" s="175">
        <f t="shared" si="99"/>
      </c>
      <c r="S208" s="177">
        <f t="shared" si="129"/>
      </c>
      <c r="T208" s="176">
        <f t="shared" si="39"/>
      </c>
      <c r="U208" s="176">
        <f t="shared" si="69"/>
      </c>
      <c r="V208" s="176">
        <f t="shared" si="489"/>
      </c>
      <c r="W208" s="176">
        <f t="shared" si="9"/>
      </c>
      <c r="X208" s="169" t="s">
        <v>107</v>
      </c>
      <c r="Y208" s="163" t="s">
        <v>120</v>
      </c>
      <c r="Z208" s="166">
        <v>95961</v>
      </c>
      <c r="AA208" s="166">
        <v>14486</v>
      </c>
      <c r="AB208" s="166">
        <v>126399</v>
      </c>
      <c r="AC208" s="166">
        <v>465</v>
      </c>
      <c r="AD208" s="166">
        <v>2</v>
      </c>
      <c r="AE208" s="166">
        <v>9367</v>
      </c>
      <c r="AF208" s="166">
        <v>138</v>
      </c>
      <c r="AG208" s="166">
        <v>37</v>
      </c>
      <c r="AH208" s="165">
        <v>5</v>
      </c>
      <c r="AI208" s="167">
        <v>1</v>
      </c>
    </row>
    <row customHeight="true" ht="16.071428571428573" r="209">
      <c r="A209" s="149"/>
      <c r="B209" s="150" t="s">
        <v>113</v>
      </c>
      <c r="C209" s="194" t="s">
        <v>117</v>
      </c>
      <c r="D209" s="195">
        <v>4071.264</v>
      </c>
      <c r="E209" s="172">
        <v>13</v>
      </c>
      <c r="F209" s="154">
        <f t="shared" si="429"/>
      </c>
      <c r="G209" s="172">
        <v>2773.7999999999993</v>
      </c>
      <c r="H209" s="156">
        <f t="shared" si="459"/>
      </c>
      <c r="I209" s="157">
        <f t="shared" si="369"/>
      </c>
      <c r="J209" s="158">
        <f t="shared" si="399"/>
      </c>
      <c r="K209" s="159">
        <f t="shared" si="309"/>
      </c>
      <c r="L209" s="174">
        <f t="shared" si="339"/>
      </c>
      <c r="M209" s="175">
        <f t="shared" si="219"/>
      </c>
      <c r="N209" s="176">
        <f t="shared" si="249"/>
      </c>
      <c r="O209" s="176">
        <f t="shared" si="279"/>
      </c>
      <c r="P209" s="176">
        <f t="shared" si="159"/>
      </c>
      <c r="Q209" s="176">
        <f t="shared" si="189"/>
      </c>
      <c r="R209" s="175">
        <f t="shared" si="99"/>
      </c>
      <c r="S209" s="177">
        <f t="shared" si="129"/>
      </c>
      <c r="T209" s="176">
        <f t="shared" si="39"/>
      </c>
      <c r="U209" s="176">
        <f t="shared" si="69"/>
      </c>
      <c r="V209" s="176">
        <f t="shared" si="489"/>
      </c>
      <c r="W209" s="176">
        <f t="shared" si="9"/>
      </c>
      <c r="X209" s="169" t="s">
        <v>107</v>
      </c>
      <c r="Y209" s="163" t="s">
        <v>120</v>
      </c>
      <c r="Z209" s="166">
        <v>180640</v>
      </c>
      <c r="AA209" s="166">
        <v>20544</v>
      </c>
      <c r="AB209" s="166">
        <v>265147</v>
      </c>
      <c r="AC209" s="166">
        <v>1054</v>
      </c>
      <c r="AD209" s="166">
        <v>10</v>
      </c>
      <c r="AE209" s="166">
        <v>17674</v>
      </c>
      <c r="AF209" s="166">
        <v>268</v>
      </c>
      <c r="AG209" s="166">
        <v>57</v>
      </c>
      <c r="AH209" s="165">
        <v>10</v>
      </c>
      <c r="AI209" s="167">
        <v>6</v>
      </c>
    </row>
    <row customHeight="true" ht="16.071428571428573" r="210">
      <c r="A210" s="149"/>
      <c r="B210" s="178" t="s">
        <v>112</v>
      </c>
      <c r="C210" s="178"/>
      <c r="D210" s="179">
        <f>SUM(D206:D209)</f>
      </c>
      <c r="E210" s="180">
        <f>SUM(E206:E209)</f>
      </c>
      <c r="F210" s="181">
        <f t="shared" si="429"/>
      </c>
      <c r="G210" s="182">
        <f>SUM(G206:G209)</f>
      </c>
      <c r="H210" s="183">
        <f t="shared" si="459"/>
      </c>
      <c r="I210" s="184">
        <f t="shared" si="369"/>
      </c>
      <c r="J210" s="185">
        <f t="shared" si="399"/>
      </c>
      <c r="K210" s="181">
        <f t="shared" si="309"/>
      </c>
      <c r="L210" s="186">
        <f t="shared" si="339"/>
      </c>
      <c r="M210" s="185">
        <f t="shared" si="219"/>
      </c>
      <c r="N210" s="187">
        <f t="shared" si="249"/>
      </c>
      <c r="O210" s="187">
        <f t="shared" si="279"/>
      </c>
      <c r="P210" s="187">
        <f t="shared" si="159"/>
      </c>
      <c r="Q210" s="187">
        <f t="shared" si="189"/>
      </c>
      <c r="R210" s="185">
        <f t="shared" si="99"/>
      </c>
      <c r="S210" s="181">
        <f t="shared" si="129"/>
      </c>
      <c r="T210" s="187">
        <f t="shared" si="39"/>
      </c>
      <c r="U210" s="187">
        <f t="shared" si="69"/>
      </c>
      <c r="V210" s="187">
        <f t="shared" si="489"/>
      </c>
      <c r="W210" s="187">
        <f t="shared" si="9"/>
      </c>
      <c r="X210" s="187"/>
      <c r="Y210" s="188"/>
      <c r="Z210" s="179">
        <f>SUM(Z206:Z209)</f>
      </c>
      <c r="AA210" s="179">
        <f>SUM(AA206:AA209)</f>
      </c>
      <c r="AB210" s="179">
        <f>SUM(AB206:AB209)</f>
      </c>
      <c r="AC210" s="179">
        <f>SUM(AC206:AC209)</f>
      </c>
      <c r="AD210" s="179">
        <f>SUM(AD206:AD209)</f>
      </c>
      <c r="AE210" s="179">
        <f>SUM(AE206:AE209)</f>
      </c>
      <c r="AF210" s="179">
        <f>SUM(AF206:AF209)</f>
      </c>
      <c r="AG210" s="179">
        <f>SUM(AG206:AG209)</f>
      </c>
      <c r="AH210" s="179">
        <f>SUM(AH206:AH209)</f>
      </c>
      <c r="AI210" s="179">
        <f>SUM(AI206:AI209)</f>
      </c>
    </row>
    <row customHeight="true" ht="16.071428571428573" r="211">
      <c r="A211" s="149"/>
      <c r="B211" s="150" t="s">
        <v>118</v>
      </c>
      <c r="C211" s="196" t="s">
        <v>119</v>
      </c>
      <c r="D211" s="171">
        <v>3665.312</v>
      </c>
      <c r="E211" s="172">
        <v>10</v>
      </c>
      <c r="F211" s="154">
        <f t="shared" si="429"/>
      </c>
      <c r="G211" s="172">
        <v>2787.9999999999964</v>
      </c>
      <c r="H211" s="156">
        <f t="shared" si="459"/>
      </c>
      <c r="I211" s="157">
        <f t="shared" si="369"/>
      </c>
      <c r="J211" s="158">
        <f t="shared" si="399"/>
      </c>
      <c r="K211" s="159">
        <f t="shared" si="309"/>
      </c>
      <c r="L211" s="160">
        <f t="shared" si="339"/>
      </c>
      <c r="M211" s="158">
        <f t="shared" si="219"/>
      </c>
      <c r="N211" s="161">
        <f t="shared" si="249"/>
      </c>
      <c r="O211" s="161">
        <f t="shared" si="279"/>
      </c>
      <c r="P211" s="161">
        <f t="shared" si="159"/>
      </c>
      <c r="Q211" s="161">
        <f t="shared" si="189"/>
      </c>
      <c r="R211" s="158">
        <f t="shared" si="99"/>
      </c>
      <c r="S211" s="159">
        <f t="shared" si="129"/>
      </c>
      <c r="T211" s="161">
        <f t="shared" si="39"/>
      </c>
      <c r="U211" s="161">
        <f t="shared" si="69"/>
      </c>
      <c r="V211" s="161">
        <f t="shared" si="489"/>
      </c>
      <c r="W211" s="161">
        <f t="shared" si="9"/>
      </c>
      <c r="X211" s="169" t="s">
        <v>107</v>
      </c>
      <c r="Y211" s="163" t="s">
        <v>132</v>
      </c>
      <c r="Z211" s="166">
        <v>134205</v>
      </c>
      <c r="AA211" s="166">
        <v>13056</v>
      </c>
      <c r="AB211" s="166">
        <v>262107</v>
      </c>
      <c r="AC211" s="166">
        <v>753</v>
      </c>
      <c r="AD211" s="166">
        <v>11</v>
      </c>
      <c r="AE211" s="166">
        <v>16175</v>
      </c>
      <c r="AF211" s="166">
        <v>206</v>
      </c>
      <c r="AG211" s="166">
        <v>35</v>
      </c>
      <c r="AH211" s="166">
        <v>15</v>
      </c>
      <c r="AI211" s="167">
        <v>0</v>
      </c>
    </row>
    <row customHeight="true" ht="16.071428571428573" r="212">
      <c r="A212" s="149"/>
      <c r="B212" s="150" t="s">
        <v>118</v>
      </c>
      <c r="C212" s="197" t="s">
        <v>121</v>
      </c>
      <c r="D212" s="171">
        <v>3622.6369999999997</v>
      </c>
      <c r="E212" s="172">
        <v>10</v>
      </c>
      <c r="F212" s="154">
        <f t="shared" si="429"/>
      </c>
      <c r="G212" s="172">
        <v>3303.100000000006</v>
      </c>
      <c r="H212" s="156">
        <f t="shared" si="459"/>
      </c>
      <c r="I212" s="157">
        <f t="shared" si="369"/>
      </c>
      <c r="J212" s="158">
        <f t="shared" si="399"/>
      </c>
      <c r="K212" s="159">
        <f t="shared" si="309"/>
      </c>
      <c r="L212" s="160">
        <f t="shared" si="339"/>
      </c>
      <c r="M212" s="158">
        <f t="shared" si="219"/>
      </c>
      <c r="N212" s="161">
        <f t="shared" si="249"/>
      </c>
      <c r="O212" s="161">
        <f t="shared" si="279"/>
      </c>
      <c r="P212" s="161">
        <f t="shared" si="159"/>
      </c>
      <c r="Q212" s="161">
        <f t="shared" si="189"/>
      </c>
      <c r="R212" s="158">
        <f t="shared" si="99"/>
      </c>
      <c r="S212" s="159">
        <f t="shared" si="129"/>
      </c>
      <c r="T212" s="161">
        <f t="shared" si="39"/>
      </c>
      <c r="U212" s="161">
        <f t="shared" si="69"/>
      </c>
      <c r="V212" s="161">
        <f t="shared" si="489"/>
      </c>
      <c r="W212" s="161">
        <f t="shared" si="9"/>
      </c>
      <c r="X212" s="169" t="s">
        <v>107</v>
      </c>
      <c r="Y212" s="163" t="s">
        <v>132</v>
      </c>
      <c r="Z212" s="166">
        <v>142409</v>
      </c>
      <c r="AA212" s="166">
        <v>36518</v>
      </c>
      <c r="AB212" s="166">
        <v>299198</v>
      </c>
      <c r="AC212" s="166">
        <v>963</v>
      </c>
      <c r="AD212" s="166">
        <v>5</v>
      </c>
      <c r="AE212" s="166">
        <v>23346</v>
      </c>
      <c r="AF212" s="166">
        <v>294</v>
      </c>
      <c r="AG212" s="166">
        <v>78</v>
      </c>
      <c r="AH212" s="165">
        <v>20</v>
      </c>
      <c r="AI212" s="167">
        <v>6</v>
      </c>
    </row>
    <row customHeight="true" ht="16.071428571428573" r="213">
      <c r="A213" s="149"/>
      <c r="B213" s="150" t="s">
        <v>118</v>
      </c>
      <c r="C213" s="194" t="s">
        <v>122</v>
      </c>
      <c r="D213" s="171">
        <v>2818.9770000000003</v>
      </c>
      <c r="E213" s="172">
        <v>12</v>
      </c>
      <c r="F213" s="154">
        <f t="shared" si="429"/>
      </c>
      <c r="G213" s="172">
        <v>5525.119999999995</v>
      </c>
      <c r="H213" s="156">
        <f t="shared" si="459"/>
      </c>
      <c r="I213" s="157">
        <f t="shared" si="369"/>
      </c>
      <c r="J213" s="158">
        <f t="shared" si="399"/>
      </c>
      <c r="K213" s="159">
        <f t="shared" si="309"/>
      </c>
      <c r="L213" s="174">
        <f t="shared" si="339"/>
      </c>
      <c r="M213" s="175">
        <f t="shared" si="219"/>
      </c>
      <c r="N213" s="176">
        <f t="shared" si="249"/>
      </c>
      <c r="O213" s="176">
        <f t="shared" si="279"/>
      </c>
      <c r="P213" s="176">
        <f t="shared" si="159"/>
      </c>
      <c r="Q213" s="176">
        <f t="shared" si="189"/>
      </c>
      <c r="R213" s="175">
        <f t="shared" si="99"/>
      </c>
      <c r="S213" s="177">
        <f t="shared" si="129"/>
      </c>
      <c r="T213" s="176">
        <f t="shared" si="39"/>
      </c>
      <c r="U213" s="176">
        <f t="shared" si="69"/>
      </c>
      <c r="V213" s="176">
        <f t="shared" si="489"/>
      </c>
      <c r="W213" s="176">
        <f t="shared" si="9"/>
      </c>
      <c r="X213" s="169" t="s">
        <v>107</v>
      </c>
      <c r="Y213" s="163" t="s">
        <v>132</v>
      </c>
      <c r="Z213" s="166">
        <v>124444</v>
      </c>
      <c r="AA213" s="166">
        <v>29933</v>
      </c>
      <c r="AB213" s="166">
        <v>242394</v>
      </c>
      <c r="AC213" s="166">
        <v>751</v>
      </c>
      <c r="AD213" s="166">
        <v>9</v>
      </c>
      <c r="AE213" s="166">
        <v>18418</v>
      </c>
      <c r="AF213" s="166">
        <v>320</v>
      </c>
      <c r="AG213" s="166">
        <v>61</v>
      </c>
      <c r="AH213" s="165">
        <v>13</v>
      </c>
      <c r="AI213" s="167">
        <v>3</v>
      </c>
    </row>
    <row customHeight="true" ht="16.071428571428573" r="214">
      <c r="A214" s="149"/>
      <c r="B214" s="150" t="s">
        <v>118</v>
      </c>
      <c r="C214" s="194" t="s">
        <v>123</v>
      </c>
      <c r="D214" s="195">
        <v>1452.79</v>
      </c>
      <c r="E214" s="172">
        <v>10</v>
      </c>
      <c r="F214" s="154">
        <f t="shared" si="429"/>
      </c>
      <c r="G214" s="172">
        <v>5826.800000000003</v>
      </c>
      <c r="H214" s="156">
        <f t="shared" si="459"/>
      </c>
      <c r="I214" s="157">
        <f t="shared" si="369"/>
      </c>
      <c r="J214" s="158">
        <f t="shared" si="399"/>
      </c>
      <c r="K214" s="159">
        <f t="shared" si="309"/>
      </c>
      <c r="L214" s="174">
        <f t="shared" si="339"/>
      </c>
      <c r="M214" s="175">
        <f t="shared" si="219"/>
      </c>
      <c r="N214" s="176">
        <f t="shared" si="249"/>
      </c>
      <c r="O214" s="176">
        <f t="shared" si="279"/>
      </c>
      <c r="P214" s="176">
        <f t="shared" si="159"/>
      </c>
      <c r="Q214" s="176">
        <f t="shared" si="189"/>
      </c>
      <c r="R214" s="175">
        <f t="shared" si="99"/>
      </c>
      <c r="S214" s="177">
        <f t="shared" si="129"/>
      </c>
      <c r="T214" s="176">
        <f t="shared" si="39"/>
      </c>
      <c r="U214" s="176">
        <f t="shared" si="69"/>
      </c>
      <c r="V214" s="176">
        <f t="shared" si="489"/>
      </c>
      <c r="W214" s="176">
        <f t="shared" si="9"/>
      </c>
      <c r="X214" s="169" t="s">
        <v>107</v>
      </c>
      <c r="Y214" s="163" t="s">
        <v>132</v>
      </c>
      <c r="Z214" s="166">
        <v>58544</v>
      </c>
      <c r="AA214" s="166">
        <v>7418</v>
      </c>
      <c r="AB214" s="166">
        <v>87927</v>
      </c>
      <c r="AC214" s="166">
        <v>371</v>
      </c>
      <c r="AD214" s="166">
        <v>7</v>
      </c>
      <c r="AE214" s="166">
        <v>4515</v>
      </c>
      <c r="AF214" s="166">
        <v>65</v>
      </c>
      <c r="AG214" s="166">
        <v>7</v>
      </c>
      <c r="AH214" s="165">
        <v>5</v>
      </c>
      <c r="AI214" s="167">
        <v>2</v>
      </c>
    </row>
    <row customHeight="true" ht="16.071428571428573" r="215">
      <c r="A215" s="149"/>
      <c r="B215" s="178" t="s">
        <v>112</v>
      </c>
      <c r="C215" s="178"/>
      <c r="D215" s="179">
        <f>SUM(D211:D214)</f>
      </c>
      <c r="E215" s="180">
        <f>SUM(E211:E214)</f>
      </c>
      <c r="F215" s="181">
        <f t="shared" si="429"/>
      </c>
      <c r="G215" s="182">
        <f>SUM(G211:G214)</f>
      </c>
      <c r="H215" s="183">
        <f t="shared" si="459"/>
      </c>
      <c r="I215" s="184">
        <f t="shared" si="369"/>
      </c>
      <c r="J215" s="185">
        <f t="shared" si="399"/>
      </c>
      <c r="K215" s="181">
        <f t="shared" si="309"/>
      </c>
      <c r="L215" s="186">
        <f t="shared" si="339"/>
      </c>
      <c r="M215" s="185">
        <f t="shared" si="219"/>
      </c>
      <c r="N215" s="187">
        <f t="shared" si="249"/>
      </c>
      <c r="O215" s="187">
        <f t="shared" si="279"/>
      </c>
      <c r="P215" s="187">
        <f t="shared" si="159"/>
      </c>
      <c r="Q215" s="187">
        <f t="shared" si="189"/>
      </c>
      <c r="R215" s="185">
        <f t="shared" si="99"/>
      </c>
      <c r="S215" s="181">
        <f t="shared" si="129"/>
      </c>
      <c r="T215" s="187">
        <f t="shared" si="39"/>
      </c>
      <c r="U215" s="187">
        <f t="shared" si="69"/>
      </c>
      <c r="V215" s="187">
        <f t="shared" si="489"/>
      </c>
      <c r="W215" s="187">
        <f t="shared" si="9"/>
      </c>
      <c r="X215" s="187"/>
      <c r="Y215" s="188"/>
      <c r="Z215" s="179">
        <f>SUM(Z211:Z214)</f>
      </c>
      <c r="AA215" s="179">
        <f>SUM(AA211:AA214)</f>
      </c>
      <c r="AB215" s="179">
        <f>SUM(AB211:AB214)</f>
      </c>
      <c r="AC215" s="179">
        <f>SUM(AC211:AC214)</f>
      </c>
      <c r="AD215" s="179">
        <f>SUM(AD211:AD214)</f>
      </c>
      <c r="AE215" s="179">
        <f>SUM(AE211:AE214)</f>
      </c>
      <c r="AF215" s="179">
        <f>SUM(AF211:AF214)</f>
      </c>
      <c r="AG215" s="179">
        <f>SUM(AG211:AG214)</f>
      </c>
      <c r="AH215" s="179">
        <f>SUM(AH211:AH214)</f>
      </c>
      <c r="AI215" s="179">
        <f>SUM(AI211:AI214)</f>
      </c>
    </row>
    <row customHeight="true" ht="16.071428571428573" r="216">
      <c r="A216" s="149"/>
      <c r="B216" s="150" t="s">
        <v>130</v>
      </c>
      <c r="C216" s="196" t="s">
        <v>125</v>
      </c>
      <c r="D216" s="198">
        <v>8942.838</v>
      </c>
      <c r="E216" s="153">
        <v>23</v>
      </c>
      <c r="F216" s="154">
        <f t="shared" si="429"/>
      </c>
      <c r="G216" s="155">
        <v>6587.0999999999985</v>
      </c>
      <c r="H216" s="156">
        <f t="shared" si="459"/>
      </c>
      <c r="I216" s="157">
        <f t="shared" si="369"/>
      </c>
      <c r="J216" s="158">
        <f t="shared" si="399"/>
      </c>
      <c r="K216" s="159">
        <f t="shared" si="309"/>
      </c>
      <c r="L216" s="174">
        <f t="shared" si="339"/>
      </c>
      <c r="M216" s="175">
        <f t="shared" si="219"/>
      </c>
      <c r="N216" s="176">
        <f t="shared" si="249"/>
      </c>
      <c r="O216" s="176">
        <f t="shared" si="279"/>
      </c>
      <c r="P216" s="176">
        <f t="shared" si="159"/>
      </c>
      <c r="Q216" s="176">
        <f t="shared" si="189"/>
      </c>
      <c r="R216" s="175">
        <f t="shared" si="99"/>
      </c>
      <c r="S216" s="177">
        <f t="shared" si="129"/>
      </c>
      <c r="T216" s="176">
        <f t="shared" si="39"/>
      </c>
      <c r="U216" s="176">
        <f t="shared" si="69"/>
      </c>
      <c r="V216" s="176">
        <f t="shared" si="489"/>
      </c>
      <c r="W216" s="176">
        <f t="shared" si="9"/>
      </c>
      <c r="X216" s="169" t="s">
        <v>107</v>
      </c>
      <c r="Y216" s="163" t="s">
        <v>132</v>
      </c>
      <c r="Z216" s="166">
        <v>369919</v>
      </c>
      <c r="AA216" s="166">
        <v>22791</v>
      </c>
      <c r="AB216" s="166">
        <v>934014</v>
      </c>
      <c r="AC216" s="199">
        <v>1694</v>
      </c>
      <c r="AD216" s="199">
        <v>21</v>
      </c>
      <c r="AE216" s="199">
        <v>36684</v>
      </c>
      <c r="AF216" s="199">
        <v>270</v>
      </c>
      <c r="AG216" s="199">
        <v>118</v>
      </c>
      <c r="AH216" s="199">
        <v>23</v>
      </c>
      <c r="AI216" s="167">
        <v>3</v>
      </c>
    </row>
    <row customHeight="true" ht="16.071428571428573" r="217">
      <c r="A217" s="149"/>
      <c r="B217" s="150" t="s">
        <v>130</v>
      </c>
      <c r="C217" s="194" t="s">
        <v>126</v>
      </c>
      <c r="D217" s="198">
        <v>1809.908</v>
      </c>
      <c r="E217" s="153">
        <v>11</v>
      </c>
      <c r="F217" s="154">
        <f t="shared" si="429"/>
      </c>
      <c r="G217" s="155">
        <v>6697.599999999991</v>
      </c>
      <c r="H217" s="156">
        <f t="shared" si="459"/>
      </c>
      <c r="I217" s="157">
        <f t="shared" si="369"/>
      </c>
      <c r="J217" s="158">
        <f t="shared" si="399"/>
      </c>
      <c r="K217" s="159">
        <f t="shared" si="309"/>
      </c>
      <c r="L217" s="174">
        <f t="shared" si="339"/>
      </c>
      <c r="M217" s="175">
        <f t="shared" si="219"/>
      </c>
      <c r="N217" s="176">
        <f t="shared" si="249"/>
      </c>
      <c r="O217" s="176">
        <f t="shared" si="279"/>
      </c>
      <c r="P217" s="176">
        <f t="shared" si="159"/>
      </c>
      <c r="Q217" s="176">
        <f t="shared" si="189"/>
      </c>
      <c r="R217" s="175">
        <f t="shared" si="99"/>
      </c>
      <c r="S217" s="177">
        <f t="shared" si="129"/>
      </c>
      <c r="T217" s="176">
        <f t="shared" si="39"/>
      </c>
      <c r="U217" s="176">
        <f t="shared" si="69"/>
      </c>
      <c r="V217" s="176">
        <f t="shared" si="489"/>
      </c>
      <c r="W217" s="176">
        <f t="shared" si="9"/>
      </c>
      <c r="X217" s="169" t="s">
        <v>107</v>
      </c>
      <c r="Y217" s="163" t="s">
        <v>132</v>
      </c>
      <c r="Z217" s="166">
        <v>73576</v>
      </c>
      <c r="AA217" s="166">
        <v>8385</v>
      </c>
      <c r="AB217" s="166">
        <v>124161</v>
      </c>
      <c r="AC217" s="199">
        <v>384</v>
      </c>
      <c r="AD217" s="199">
        <v>8</v>
      </c>
      <c r="AE217" s="199">
        <v>5985</v>
      </c>
      <c r="AF217" s="199">
        <v>113</v>
      </c>
      <c r="AG217" s="199">
        <v>21</v>
      </c>
      <c r="AH217" s="199">
        <v>16</v>
      </c>
      <c r="AI217" s="167">
        <v>2</v>
      </c>
    </row>
    <row customHeight="true" ht="16.071428571428573" r="218">
      <c r="A218" s="149"/>
      <c r="B218" s="150" t="s">
        <v>130</v>
      </c>
      <c r="C218" s="200" t="s">
        <v>127</v>
      </c>
      <c r="D218" s="171">
        <v>1108.034</v>
      </c>
      <c r="E218" s="172">
        <v>5</v>
      </c>
      <c r="F218" s="154">
        <f t="shared" si="429"/>
      </c>
      <c r="G218" s="172">
        <v>2114.4000000000015</v>
      </c>
      <c r="H218" s="156">
        <f t="shared" si="459"/>
      </c>
      <c r="I218" s="157">
        <f t="shared" si="369"/>
      </c>
      <c r="J218" s="158">
        <f t="shared" si="399"/>
      </c>
      <c r="K218" s="159">
        <f t="shared" si="309"/>
      </c>
      <c r="L218" s="174">
        <f t="shared" si="339"/>
      </c>
      <c r="M218" s="175">
        <f t="shared" si="219"/>
      </c>
      <c r="N218" s="176">
        <f t="shared" si="249"/>
      </c>
      <c r="O218" s="176">
        <f t="shared" si="279"/>
      </c>
      <c r="P218" s="176">
        <f t="shared" si="159"/>
      </c>
      <c r="Q218" s="176">
        <f t="shared" si="189"/>
      </c>
      <c r="R218" s="175">
        <f t="shared" si="99"/>
      </c>
      <c r="S218" s="177">
        <f t="shared" si="129"/>
      </c>
      <c r="T218" s="176">
        <f t="shared" si="39"/>
      </c>
      <c r="U218" s="176">
        <f t="shared" si="69"/>
      </c>
      <c r="V218" s="176">
        <f t="shared" si="489"/>
      </c>
      <c r="W218" s="176">
        <f t="shared" si="9"/>
      </c>
      <c r="X218" s="169" t="s">
        <v>107</v>
      </c>
      <c r="Y218" s="163" t="s">
        <v>132</v>
      </c>
      <c r="Z218" s="166">
        <v>49213</v>
      </c>
      <c r="AA218" s="166">
        <v>6262</v>
      </c>
      <c r="AB218" s="166">
        <v>52048</v>
      </c>
      <c r="AC218" s="166">
        <v>186</v>
      </c>
      <c r="AD218" s="166">
        <v>2</v>
      </c>
      <c r="AE218" s="166">
        <v>2732</v>
      </c>
      <c r="AF218" s="166">
        <v>65</v>
      </c>
      <c r="AG218" s="166">
        <v>16</v>
      </c>
      <c r="AH218" s="165">
        <v>8</v>
      </c>
      <c r="AI218" s="167">
        <v>4</v>
      </c>
    </row>
    <row customHeight="true" ht="16.071428571428573" r="219">
      <c r="A219" s="149"/>
      <c r="B219" s="150" t="s">
        <v>130</v>
      </c>
      <c r="C219" s="201" t="s">
        <v>128</v>
      </c>
      <c r="D219" s="195">
        <v>574.988</v>
      </c>
      <c r="E219" s="172">
        <v>2</v>
      </c>
      <c r="F219" s="154">
        <f t="shared" si="429"/>
      </c>
      <c r="G219" s="172">
        <v>424.00000000001455</v>
      </c>
      <c r="H219" s="156">
        <f t="shared" si="459"/>
      </c>
      <c r="I219" s="157">
        <f t="shared" si="369"/>
      </c>
      <c r="J219" s="158">
        <f t="shared" si="399"/>
      </c>
      <c r="K219" s="159">
        <f t="shared" si="309"/>
      </c>
      <c r="L219" s="174">
        <f t="shared" si="339"/>
      </c>
      <c r="M219" s="175">
        <f t="shared" si="219"/>
      </c>
      <c r="N219" s="176">
        <f t="shared" si="249"/>
      </c>
      <c r="O219" s="176">
        <f t="shared" si="279"/>
      </c>
      <c r="P219" s="176">
        <f t="shared" si="159"/>
      </c>
      <c r="Q219" s="176">
        <f t="shared" si="189"/>
      </c>
      <c r="R219" s="175">
        <f t="shared" si="99"/>
      </c>
      <c r="S219" s="177">
        <f t="shared" si="129"/>
      </c>
      <c r="T219" s="176">
        <f t="shared" si="39"/>
      </c>
      <c r="U219" s="176">
        <f t="shared" si="69"/>
      </c>
      <c r="V219" s="176">
        <f t="shared" si="489"/>
      </c>
      <c r="W219" s="176">
        <f t="shared" si="9"/>
      </c>
      <c r="X219" s="169" t="s">
        <v>107</v>
      </c>
      <c r="Y219" s="163" t="s">
        <v>132</v>
      </c>
      <c r="Z219" s="166">
        <v>37888</v>
      </c>
      <c r="AA219" s="166">
        <v>4048</v>
      </c>
      <c r="AB219" s="166">
        <v>30729</v>
      </c>
      <c r="AC219" s="166">
        <v>111</v>
      </c>
      <c r="AD219" s="166">
        <v>2</v>
      </c>
      <c r="AE219" s="166">
        <v>1565</v>
      </c>
      <c r="AF219" s="166">
        <v>51</v>
      </c>
      <c r="AG219" s="166">
        <v>6</v>
      </c>
      <c r="AH219" s="165">
        <v>4</v>
      </c>
      <c r="AI219" s="167">
        <v>0</v>
      </c>
    </row>
    <row customHeight="true" ht="16.071428571428573" r="220">
      <c r="A220" s="149"/>
      <c r="B220" s="178" t="s">
        <v>112</v>
      </c>
      <c r="C220" s="178"/>
      <c r="D220" s="179">
        <f>SUM(D216:D219)</f>
      </c>
      <c r="E220" s="180">
        <f>SUM(E216:E219)</f>
      </c>
      <c r="F220" s="181">
        <f t="shared" si="429"/>
      </c>
      <c r="G220" s="182">
        <f>SUM(G216:G219)</f>
      </c>
      <c r="H220" s="183">
        <f t="shared" si="459"/>
      </c>
      <c r="I220" s="184">
        <f t="shared" si="369"/>
      </c>
      <c r="J220" s="185">
        <f t="shared" si="399"/>
      </c>
      <c r="K220" s="181">
        <f t="shared" si="309"/>
      </c>
      <c r="L220" s="186">
        <f t="shared" si="339"/>
      </c>
      <c r="M220" s="185">
        <f t="shared" si="219"/>
      </c>
      <c r="N220" s="187">
        <f t="shared" si="249"/>
      </c>
      <c r="O220" s="187">
        <f t="shared" si="279"/>
      </c>
      <c r="P220" s="187">
        <f t="shared" si="159"/>
      </c>
      <c r="Q220" s="187">
        <f t="shared" si="189"/>
      </c>
      <c r="R220" s="185">
        <f t="shared" si="99"/>
      </c>
      <c r="S220" s="181">
        <f t="shared" si="129"/>
      </c>
      <c r="T220" s="187">
        <f t="shared" si="39"/>
      </c>
      <c r="U220" s="187">
        <f t="shared" si="69"/>
      </c>
      <c r="V220" s="187">
        <f t="shared" si="489"/>
      </c>
      <c r="W220" s="187">
        <f t="shared" si="9"/>
      </c>
      <c r="X220" s="187"/>
      <c r="Y220" s="188"/>
      <c r="Z220" s="179">
        <f>SUM(Z216:Z219)</f>
      </c>
      <c r="AA220" s="179">
        <f>SUM(AA216:AA219)</f>
      </c>
      <c r="AB220" s="179">
        <f>SUM(AB216:AB219)</f>
      </c>
      <c r="AC220" s="179">
        <f>SUM(AC216:AC219)</f>
      </c>
      <c r="AD220" s="179">
        <f>SUM(AD216:AD219)</f>
      </c>
      <c r="AE220" s="179">
        <f>SUM(AE216:AE219)</f>
      </c>
      <c r="AF220" s="179">
        <f>SUM(AF216:AF219)</f>
      </c>
      <c r="AG220" s="179">
        <f>SUM(AG216:AG219)</f>
      </c>
      <c r="AH220" s="179">
        <f>SUM(AH216:AH219)</f>
      </c>
      <c r="AI220" s="179">
        <f>SUM(AI216:AI219)</f>
      </c>
    </row>
    <row customHeight="true" ht="16.071428571428573" r="221">
      <c r="A221" s="149"/>
      <c r="B221" s="202" t="s">
        <v>129</v>
      </c>
      <c r="C221" s="202"/>
      <c r="D221" s="203">
        <f>SUM(D220+D205+D210+D215)</f>
      </c>
      <c r="E221" s="204">
        <f>SUM(E220+E205+E210+E215)</f>
      </c>
      <c r="F221" s="205">
        <f t="shared" si="429"/>
      </c>
      <c r="G221" s="206">
        <f>SUM(G220+G205+G210+G215)</f>
      </c>
      <c r="H221" s="207">
        <f t="shared" si="459"/>
      </c>
      <c r="I221" s="208">
        <f t="shared" si="369"/>
      </c>
      <c r="J221" s="209">
        <f t="shared" si="399"/>
      </c>
      <c r="K221" s="205">
        <f t="shared" si="309"/>
      </c>
      <c r="L221" s="210">
        <f t="shared" si="339"/>
      </c>
      <c r="M221" s="210">
        <f t="shared" si="219"/>
      </c>
      <c r="N221" s="211">
        <f t="shared" si="249"/>
      </c>
      <c r="O221" s="211">
        <f t="shared" si="279"/>
      </c>
      <c r="P221" s="211">
        <f t="shared" si="159"/>
      </c>
      <c r="Q221" s="211">
        <f t="shared" si="189"/>
      </c>
      <c r="R221" s="212">
        <f t="shared" si="99"/>
      </c>
      <c r="S221" s="213">
        <f t="shared" si="129"/>
      </c>
      <c r="T221" s="214">
        <f t="shared" si="39"/>
      </c>
      <c r="U221" s="214">
        <f t="shared" si="69"/>
      </c>
      <c r="V221" s="214">
        <f t="shared" si="489"/>
      </c>
      <c r="W221" s="214">
        <f t="shared" si="9"/>
      </c>
      <c r="X221" s="214"/>
      <c r="Y221" s="215"/>
      <c r="Z221" s="216">
        <f>SUM(Z205+Z220+Z210+Z215)</f>
      </c>
      <c r="AA221" s="216">
        <f>SUM(AA205+AA220+AA210+AA215)</f>
      </c>
      <c r="AB221" s="216">
        <f>SUM(AB205+AB220+AB210+AB215)</f>
      </c>
      <c r="AC221" s="216">
        <f>SUM(AC205+AC220+AC210+AC215)</f>
      </c>
      <c r="AD221" s="216">
        <f>SUM(AD205+AD220+AD210+AD215)</f>
      </c>
      <c r="AE221" s="216">
        <f>SUM(AE205+AE220+AE210+AE215)</f>
      </c>
      <c r="AF221" s="216">
        <f>SUM(AF205+AF220+AF210+AF215)</f>
      </c>
      <c r="AG221" s="216">
        <f>SUM(AG205+AG220+AG210+AG215)</f>
      </c>
      <c r="AH221" s="216">
        <f>SUM(AH205+AH220+AH210+AH215)</f>
      </c>
      <c r="AI221" s="216">
        <f>SUM(AI205+AI220+AI210+AI215)</f>
      </c>
    </row>
    <row customHeight="true" ht="16.071428571428573" r="222">
      <c r="A222" s="133" t="s">
        <v>70</v>
      </c>
      <c r="B222" s="134" t="s">
        <v>71</v>
      </c>
      <c r="C222" s="135" t="s">
        <v>72</v>
      </c>
      <c r="D222" s="136" t="s">
        <v>73</v>
      </c>
      <c r="E222" s="137" t="s">
        <v>74</v>
      </c>
      <c r="F222" s="138" t="s">
        <v>75</v>
      </c>
      <c r="G222" s="139" t="s">
        <v>76</v>
      </c>
      <c r="H222" s="138" t="s">
        <v>77</v>
      </c>
      <c r="I222" s="139" t="s">
        <v>78</v>
      </c>
      <c r="J222" s="140" t="s">
        <v>79</v>
      </c>
      <c r="K222" s="140" t="s">
        <v>80</v>
      </c>
      <c r="L222" s="141" t="s">
        <v>81</v>
      </c>
      <c r="M222" s="141" t="s">
        <v>82</v>
      </c>
      <c r="N222" s="141" t="s">
        <v>83</v>
      </c>
      <c r="O222" s="141" t="s">
        <v>84</v>
      </c>
      <c r="P222" s="141" t="s">
        <v>85</v>
      </c>
      <c r="Q222" s="141" t="s">
        <v>86</v>
      </c>
      <c r="R222" s="141" t="s">
        <v>87</v>
      </c>
      <c r="S222" s="141" t="s">
        <v>88</v>
      </c>
      <c r="T222" s="142" t="s">
        <v>89</v>
      </c>
      <c r="U222" s="142" t="s">
        <v>90</v>
      </c>
      <c r="V222" s="142" t="s">
        <v>91</v>
      </c>
      <c r="W222" s="142" t="s">
        <v>92</v>
      </c>
      <c r="X222" s="143" t="s">
        <v>93</v>
      </c>
      <c r="Y222" s="143" t="s">
        <v>94</v>
      </c>
      <c r="Z222" s="144" t="s">
        <v>95</v>
      </c>
      <c r="AA222" s="144" t="s">
        <v>96</v>
      </c>
      <c r="AB222" s="144" t="s">
        <v>97</v>
      </c>
      <c r="AC222" s="145" t="s">
        <v>98</v>
      </c>
      <c r="AD222" s="145" t="s">
        <v>99</v>
      </c>
      <c r="AE222" s="146" t="s">
        <v>100</v>
      </c>
      <c r="AF222" s="145" t="s">
        <v>101</v>
      </c>
      <c r="AG222" s="145" t="s">
        <v>102</v>
      </c>
      <c r="AH222" s="147" t="s">
        <v>103</v>
      </c>
      <c r="AI222" s="148" t="s">
        <v>104</v>
      </c>
    </row>
    <row customHeight="true" ht="16.071428571428573" r="223">
      <c r="A223" s="149">
        <v>46276</v>
      </c>
      <c r="B223" s="150" t="s">
        <v>124</v>
      </c>
      <c r="C223" s="151" t="s">
        <v>135</v>
      </c>
      <c r="D223" s="152">
        <v>1104.7559999999999</v>
      </c>
      <c r="E223" s="153">
        <v>2</v>
      </c>
      <c r="F223" s="154">
        <f t="shared" ref="F223:F248" si="430">D223/E223</f>
      </c>
      <c r="G223" s="155">
        <v>424</v>
      </c>
      <c r="H223" s="156">
        <f t="shared" ref="H223:H248" si="460">AD223</f>
      </c>
      <c r="I223" s="157">
        <f t="shared" ref="I223:I248" si="370">D223/AD223</f>
      </c>
      <c r="J223" s="158">
        <f t="shared" ref="J223:J248" si="400">G223/E223</f>
      </c>
      <c r="K223" s="159">
        <f t="shared" ref="K223:K248" si="310">G223/D223</f>
      </c>
      <c r="L223" s="160">
        <f t="shared" ref="L223:L248" si="340">D223/AB223</f>
      </c>
      <c r="M223" s="158">
        <f t="shared" ref="M223:M248" si="220">D223/AC223</f>
      </c>
      <c r="N223" s="161">
        <f t="shared" ref="N223:N248" si="250">AC223/AB223</f>
      </c>
      <c r="O223" s="161">
        <f t="shared" ref="O223:O248" si="280">AD223/AC223</f>
      </c>
      <c r="P223" s="161">
        <f t="shared" ref="P223:P248" si="160">AA223/Z223</f>
      </c>
      <c r="Q223" s="161">
        <f t="shared" ref="Q223:Q248" si="190">AD223/AA223</f>
      </c>
      <c r="R223" s="158">
        <f t="shared" ref="R223:R248" si="100">D223/Z223*1000</f>
      </c>
      <c r="S223" s="159">
        <f t="shared" ref="S223:S248" si="130">D223/AA223</f>
      </c>
      <c r="T223" s="161">
        <f t="shared" ref="T223:T248" si="40">AE223/AB223</f>
      </c>
      <c r="U223" s="161">
        <f t="shared" ref="U223:U248" si="70">AF223/AB223</f>
      </c>
      <c r="V223" s="161">
        <f t="shared" ref="V223:V248" si="490">AG223/AB223</f>
      </c>
      <c r="W223" s="161">
        <f t="shared" ref="W223:W248" si="10">AH223/AB223</f>
      </c>
      <c r="X223" s="162" t="s">
        <v>107</v>
      </c>
      <c r="Y223" s="163" t="s">
        <v>120</v>
      </c>
      <c r="Z223" s="164">
        <v>39098</v>
      </c>
      <c r="AA223" s="164">
        <v>17914</v>
      </c>
      <c r="AB223" s="164">
        <v>58589</v>
      </c>
      <c r="AC223" s="164">
        <v>202</v>
      </c>
      <c r="AD223" s="165">
        <v>2</v>
      </c>
      <c r="AE223" s="164">
        <v>7721</v>
      </c>
      <c r="AF223" s="166">
        <v>103</v>
      </c>
      <c r="AG223" s="166">
        <v>57</v>
      </c>
      <c r="AH223" s="166">
        <v>10</v>
      </c>
      <c r="AI223" s="167">
        <v>1</v>
      </c>
    </row>
    <row customHeight="true" ht="16.071428571428573" r="224">
      <c r="A224" s="149"/>
      <c r="B224" s="150" t="s">
        <v>124</v>
      </c>
      <c r="C224" s="168" t="s">
        <v>136</v>
      </c>
      <c r="D224" s="152">
        <v>1798.459</v>
      </c>
      <c r="E224" s="153">
        <v>7</v>
      </c>
      <c r="F224" s="154">
        <f t="shared" si="430"/>
      </c>
      <c r="G224" s="155">
        <v>2100</v>
      </c>
      <c r="H224" s="156">
        <f t="shared" si="460"/>
      </c>
      <c r="I224" s="157">
        <f t="shared" si="370"/>
      </c>
      <c r="J224" s="158">
        <f t="shared" si="400"/>
      </c>
      <c r="K224" s="159">
        <f t="shared" si="310"/>
      </c>
      <c r="L224" s="160">
        <f t="shared" si="340"/>
      </c>
      <c r="M224" s="158">
        <f t="shared" si="220"/>
      </c>
      <c r="N224" s="161">
        <f t="shared" si="250"/>
      </c>
      <c r="O224" s="161">
        <f t="shared" si="280"/>
      </c>
      <c r="P224" s="161">
        <f t="shared" si="160"/>
      </c>
      <c r="Q224" s="161">
        <f t="shared" si="190"/>
      </c>
      <c r="R224" s="158">
        <f t="shared" si="100"/>
      </c>
      <c r="S224" s="159">
        <f t="shared" si="130"/>
      </c>
      <c r="T224" s="161">
        <f t="shared" si="40"/>
      </c>
      <c r="U224" s="161">
        <f t="shared" si="70"/>
      </c>
      <c r="V224" s="161">
        <f t="shared" si="490"/>
      </c>
      <c r="W224" s="161">
        <f t="shared" si="10"/>
      </c>
      <c r="X224" s="169" t="s">
        <v>107</v>
      </c>
      <c r="Y224" s="163" t="s">
        <v>120</v>
      </c>
      <c r="Z224" s="166">
        <v>82023</v>
      </c>
      <c r="AA224" s="164">
        <v>29824</v>
      </c>
      <c r="AB224" s="164">
        <v>109043</v>
      </c>
      <c r="AC224" s="164">
        <v>564</v>
      </c>
      <c r="AD224" s="166">
        <v>7</v>
      </c>
      <c r="AE224" s="164">
        <v>14134</v>
      </c>
      <c r="AF224" s="166">
        <v>232</v>
      </c>
      <c r="AG224" s="166">
        <v>65</v>
      </c>
      <c r="AH224" s="165">
        <v>8</v>
      </c>
      <c r="AI224" s="167">
        <v>0</v>
      </c>
    </row>
    <row customHeight="true" ht="16.071428571428573" r="225">
      <c r="A225" s="149"/>
      <c r="B225" s="150" t="s">
        <v>124</v>
      </c>
      <c r="C225" s="170" t="s">
        <v>106</v>
      </c>
      <c r="D225" s="171">
        <v>1847.494</v>
      </c>
      <c r="E225" s="172">
        <v>7</v>
      </c>
      <c r="F225" s="154">
        <f t="shared" si="430"/>
      </c>
      <c r="G225" s="172">
        <v>1467.6</v>
      </c>
      <c r="H225" s="156">
        <f t="shared" si="460"/>
      </c>
      <c r="I225" s="157">
        <f t="shared" si="370"/>
      </c>
      <c r="J225" s="158">
        <f t="shared" si="400"/>
      </c>
      <c r="K225" s="159">
        <f t="shared" si="310"/>
      </c>
      <c r="L225" s="160">
        <f t="shared" si="340"/>
      </c>
      <c r="M225" s="158">
        <f t="shared" si="220"/>
      </c>
      <c r="N225" s="161">
        <f t="shared" si="250"/>
      </c>
      <c r="O225" s="161">
        <f t="shared" si="280"/>
      </c>
      <c r="P225" s="161">
        <f t="shared" si="160"/>
      </c>
      <c r="Q225" s="161">
        <f t="shared" si="190"/>
      </c>
      <c r="R225" s="158">
        <f t="shared" si="100"/>
      </c>
      <c r="S225" s="159">
        <f t="shared" si="130"/>
      </c>
      <c r="T225" s="161">
        <f t="shared" si="40"/>
      </c>
      <c r="U225" s="161">
        <f t="shared" si="70"/>
      </c>
      <c r="V225" s="161">
        <f t="shared" si="490"/>
      </c>
      <c r="W225" s="161">
        <f t="shared" si="10"/>
      </c>
      <c r="X225" s="169" t="s">
        <v>107</v>
      </c>
      <c r="Y225" s="163" t="s">
        <v>120</v>
      </c>
      <c r="Z225" s="166">
        <v>78210</v>
      </c>
      <c r="AA225" s="166">
        <v>25598</v>
      </c>
      <c r="AB225" s="166">
        <v>112773</v>
      </c>
      <c r="AC225" s="166">
        <v>571</v>
      </c>
      <c r="AD225" s="166">
        <v>7</v>
      </c>
      <c r="AE225" s="166">
        <v>12275</v>
      </c>
      <c r="AF225" s="166">
        <v>253</v>
      </c>
      <c r="AG225" s="166">
        <v>55</v>
      </c>
      <c r="AH225" s="166">
        <v>9</v>
      </c>
      <c r="AI225" s="167">
        <v>1</v>
      </c>
    </row>
    <row customHeight="true" ht="16.071428571428573" r="226">
      <c r="A226" s="149"/>
      <c r="B226" s="150" t="s">
        <v>124</v>
      </c>
      <c r="C226" s="173" t="s">
        <v>109</v>
      </c>
      <c r="D226" s="171">
        <v>2920.9150000000004</v>
      </c>
      <c r="E226" s="172">
        <v>15</v>
      </c>
      <c r="F226" s="154">
        <f t="shared" si="430"/>
      </c>
      <c r="G226" s="172">
        <v>4996.699999999999</v>
      </c>
      <c r="H226" s="156">
        <f t="shared" si="460"/>
      </c>
      <c r="I226" s="157">
        <f t="shared" si="370"/>
      </c>
      <c r="J226" s="158">
        <f t="shared" si="400"/>
      </c>
      <c r="K226" s="159">
        <f t="shared" si="310"/>
      </c>
      <c r="L226" s="174">
        <f t="shared" si="340"/>
      </c>
      <c r="M226" s="175">
        <f t="shared" si="220"/>
      </c>
      <c r="N226" s="176">
        <f t="shared" si="250"/>
      </c>
      <c r="O226" s="176">
        <f t="shared" si="280"/>
      </c>
      <c r="P226" s="176">
        <f t="shared" si="160"/>
      </c>
      <c r="Q226" s="176">
        <f t="shared" si="190"/>
      </c>
      <c r="R226" s="175">
        <f t="shared" si="100"/>
      </c>
      <c r="S226" s="177">
        <f t="shared" si="130"/>
      </c>
      <c r="T226" s="176">
        <f t="shared" si="40"/>
      </c>
      <c r="U226" s="176">
        <f t="shared" si="70"/>
      </c>
      <c r="V226" s="176">
        <f t="shared" si="490"/>
      </c>
      <c r="W226" s="176">
        <f t="shared" si="10"/>
      </c>
      <c r="X226" s="169" t="s">
        <v>107</v>
      </c>
      <c r="Y226" s="163" t="s">
        <v>120</v>
      </c>
      <c r="Z226" s="166">
        <v>144994</v>
      </c>
      <c r="AA226" s="166">
        <v>35126</v>
      </c>
      <c r="AB226" s="166">
        <v>195608</v>
      </c>
      <c r="AC226" s="166">
        <v>814</v>
      </c>
      <c r="AD226" s="166">
        <v>11</v>
      </c>
      <c r="AE226" s="166">
        <v>17655</v>
      </c>
      <c r="AF226" s="166">
        <v>383</v>
      </c>
      <c r="AG226" s="166">
        <v>70</v>
      </c>
      <c r="AH226" s="165">
        <v>19</v>
      </c>
      <c r="AI226" s="167">
        <v>1</v>
      </c>
    </row>
    <row customHeight="true" ht="16.071428571428573" r="227">
      <c r="A227" s="149"/>
      <c r="B227" s="178" t="s">
        <v>112</v>
      </c>
      <c r="C227" s="178"/>
      <c r="D227" s="179">
        <f>SUM(D223:D226)</f>
      </c>
      <c r="E227" s="180">
        <f>SUM(E223:E226)</f>
      </c>
      <c r="F227" s="181">
        <f t="shared" si="430"/>
      </c>
      <c r="G227" s="182">
        <f>SUM(G223:G226)</f>
      </c>
      <c r="H227" s="183">
        <f t="shared" si="460"/>
      </c>
      <c r="I227" s="184">
        <f t="shared" si="370"/>
      </c>
      <c r="J227" s="185">
        <f t="shared" si="400"/>
      </c>
      <c r="K227" s="181">
        <f t="shared" si="310"/>
      </c>
      <c r="L227" s="186">
        <f t="shared" si="340"/>
      </c>
      <c r="M227" s="185">
        <f t="shared" si="220"/>
      </c>
      <c r="N227" s="187">
        <f t="shared" si="250"/>
      </c>
      <c r="O227" s="187">
        <f t="shared" si="280"/>
      </c>
      <c r="P227" s="187">
        <f t="shared" si="160"/>
      </c>
      <c r="Q227" s="187">
        <f t="shared" si="190"/>
      </c>
      <c r="R227" s="185">
        <f t="shared" si="100"/>
      </c>
      <c r="S227" s="181">
        <f t="shared" si="130"/>
      </c>
      <c r="T227" s="187">
        <f t="shared" si="40"/>
      </c>
      <c r="U227" s="187">
        <f t="shared" si="70"/>
      </c>
      <c r="V227" s="187">
        <f t="shared" si="490"/>
      </c>
      <c r="W227" s="187">
        <f t="shared" si="10"/>
      </c>
      <c r="X227" s="187"/>
      <c r="Y227" s="188"/>
      <c r="Z227" s="179">
        <f>SUM(Z223:Z226)</f>
      </c>
      <c r="AA227" s="179">
        <f>SUM(AA223:AA226)</f>
      </c>
      <c r="AB227" s="179">
        <f>SUM(AB223:AB226)</f>
      </c>
      <c r="AC227" s="179">
        <f>SUM(AC223:AC226)</f>
      </c>
      <c r="AD227" s="179">
        <f>SUM(AD223:AD226)</f>
      </c>
      <c r="AE227" s="179">
        <f>SUM(AE223:AE226)</f>
      </c>
      <c r="AF227" s="179">
        <f>SUM(AF223:AF226)</f>
      </c>
      <c r="AG227" s="179">
        <f>SUM(AG223:AG226)</f>
      </c>
      <c r="AH227" s="179">
        <f>SUM(AH223:AH226)</f>
      </c>
      <c r="AI227" s="179">
        <f>SUM(AI223:AI226)</f>
      </c>
    </row>
    <row customHeight="true" ht="16.071428571428573" r="228">
      <c r="A228" s="149"/>
      <c r="B228" s="150" t="s">
        <v>118</v>
      </c>
      <c r="C228" s="173" t="s">
        <v>110</v>
      </c>
      <c r="D228" s="190">
        <v>4839.7970000000005</v>
      </c>
      <c r="E228" s="191">
        <v>9</v>
      </c>
      <c r="F228" s="154">
        <f t="shared" si="430"/>
      </c>
      <c r="G228" s="172">
        <v>1904.6000000000004</v>
      </c>
      <c r="H228" s="156">
        <f t="shared" si="460"/>
      </c>
      <c r="I228" s="157">
        <f t="shared" si="370"/>
      </c>
      <c r="J228" s="158">
        <f t="shared" si="400"/>
      </c>
      <c r="K228" s="159">
        <f t="shared" si="310"/>
      </c>
      <c r="L228" s="160">
        <f t="shared" si="340"/>
      </c>
      <c r="M228" s="158">
        <f t="shared" si="220"/>
      </c>
      <c r="N228" s="161">
        <f t="shared" si="250"/>
      </c>
      <c r="O228" s="161">
        <f t="shared" si="280"/>
      </c>
      <c r="P228" s="161">
        <f t="shared" si="160"/>
      </c>
      <c r="Q228" s="161">
        <f t="shared" si="190"/>
      </c>
      <c r="R228" s="158">
        <f t="shared" si="100"/>
      </c>
      <c r="S228" s="159">
        <f t="shared" si="130"/>
      </c>
      <c r="T228" s="161">
        <f t="shared" si="40"/>
      </c>
      <c r="U228" s="161">
        <f t="shared" si="70"/>
      </c>
      <c r="V228" s="161">
        <f t="shared" si="490"/>
      </c>
      <c r="W228" s="161">
        <f t="shared" si="10"/>
      </c>
      <c r="X228" s="169" t="s">
        <v>107</v>
      </c>
      <c r="Y228" s="163" t="s">
        <v>120</v>
      </c>
      <c r="Z228" s="166">
        <v>186666</v>
      </c>
      <c r="AA228" s="166">
        <v>45410</v>
      </c>
      <c r="AB228" s="166">
        <v>340499</v>
      </c>
      <c r="AC228" s="166">
        <v>1071</v>
      </c>
      <c r="AD228" s="166">
        <v>10</v>
      </c>
      <c r="AE228" s="166">
        <v>28493</v>
      </c>
      <c r="AF228" s="166">
        <v>495</v>
      </c>
      <c r="AG228" s="166">
        <v>105</v>
      </c>
      <c r="AH228" s="166">
        <v>21</v>
      </c>
      <c r="AI228" s="167">
        <v>1</v>
      </c>
    </row>
    <row customHeight="true" ht="16.071428571428573" r="229">
      <c r="A229" s="149"/>
      <c r="B229" s="150" t="s">
        <v>118</v>
      </c>
      <c r="C229" s="192" t="s">
        <v>111</v>
      </c>
      <c r="D229" s="171">
        <v>3730.727</v>
      </c>
      <c r="E229" s="172">
        <v>10</v>
      </c>
      <c r="F229" s="154">
        <f t="shared" si="430"/>
      </c>
      <c r="G229" s="172">
        <v>2703.5</v>
      </c>
      <c r="H229" s="156">
        <f t="shared" si="460"/>
      </c>
      <c r="I229" s="157">
        <f t="shared" si="370"/>
      </c>
      <c r="J229" s="158">
        <f t="shared" si="400"/>
      </c>
      <c r="K229" s="159">
        <f t="shared" si="310"/>
      </c>
      <c r="L229" s="160">
        <f t="shared" si="340"/>
      </c>
      <c r="M229" s="158">
        <f t="shared" si="220"/>
      </c>
      <c r="N229" s="161">
        <f t="shared" si="250"/>
      </c>
      <c r="O229" s="161">
        <f t="shared" si="280"/>
      </c>
      <c r="P229" s="161">
        <f t="shared" si="160"/>
      </c>
      <c r="Q229" s="161">
        <f t="shared" si="190"/>
      </c>
      <c r="R229" s="158">
        <f t="shared" si="100"/>
      </c>
      <c r="S229" s="159">
        <f t="shared" si="130"/>
      </c>
      <c r="T229" s="161">
        <f t="shared" si="40"/>
      </c>
      <c r="U229" s="161">
        <f t="shared" si="70"/>
      </c>
      <c r="V229" s="161">
        <f t="shared" si="490"/>
      </c>
      <c r="W229" s="161">
        <f t="shared" si="10"/>
      </c>
      <c r="X229" s="169" t="s">
        <v>107</v>
      </c>
      <c r="Y229" s="163" t="s">
        <v>120</v>
      </c>
      <c r="Z229" s="166">
        <v>109998</v>
      </c>
      <c r="AA229" s="166">
        <v>22668</v>
      </c>
      <c r="AB229" s="166">
        <v>218112</v>
      </c>
      <c r="AC229" s="166">
        <v>549</v>
      </c>
      <c r="AD229" s="166">
        <v>8</v>
      </c>
      <c r="AE229" s="166">
        <v>17624</v>
      </c>
      <c r="AF229" s="166">
        <v>226</v>
      </c>
      <c r="AG229" s="166">
        <v>49</v>
      </c>
      <c r="AH229" s="166">
        <v>9</v>
      </c>
      <c r="AI229" s="167">
        <v>2</v>
      </c>
    </row>
    <row customHeight="true" ht="16.071428571428573" r="230">
      <c r="A230" s="149"/>
      <c r="B230" s="150" t="s">
        <v>118</v>
      </c>
      <c r="C230" s="193" t="s">
        <v>114</v>
      </c>
      <c r="D230" s="171">
        <v>3385.1940000000004</v>
      </c>
      <c r="E230" s="172">
        <v>7</v>
      </c>
      <c r="F230" s="154">
        <f t="shared" si="430"/>
      </c>
      <c r="G230" s="172">
        <v>1899.199999999999</v>
      </c>
      <c r="H230" s="156">
        <f t="shared" si="460"/>
      </c>
      <c r="I230" s="157">
        <f t="shared" si="370"/>
      </c>
      <c r="J230" s="158">
        <f t="shared" si="400"/>
      </c>
      <c r="K230" s="159">
        <f t="shared" si="310"/>
      </c>
      <c r="L230" s="174">
        <f t="shared" si="340"/>
      </c>
      <c r="M230" s="175">
        <f t="shared" si="220"/>
      </c>
      <c r="N230" s="176">
        <f t="shared" si="250"/>
      </c>
      <c r="O230" s="176">
        <f t="shared" si="280"/>
      </c>
      <c r="P230" s="176">
        <f t="shared" si="160"/>
      </c>
      <c r="Q230" s="176">
        <f t="shared" si="190"/>
      </c>
      <c r="R230" s="175">
        <f t="shared" si="100"/>
      </c>
      <c r="S230" s="177">
        <f t="shared" si="130"/>
      </c>
      <c r="T230" s="176">
        <f t="shared" si="40"/>
      </c>
      <c r="U230" s="176">
        <f t="shared" si="70"/>
      </c>
      <c r="V230" s="176">
        <f t="shared" si="490"/>
      </c>
      <c r="W230" s="176">
        <f t="shared" si="10"/>
      </c>
      <c r="X230" s="169" t="s">
        <v>107</v>
      </c>
      <c r="Y230" s="163" t="s">
        <v>120</v>
      </c>
      <c r="Z230" s="166">
        <v>99145</v>
      </c>
      <c r="AA230" s="166">
        <v>14264</v>
      </c>
      <c r="AB230" s="166">
        <v>228669</v>
      </c>
      <c r="AC230" s="166">
        <v>378</v>
      </c>
      <c r="AD230" s="166">
        <v>3</v>
      </c>
      <c r="AE230" s="166">
        <v>12865</v>
      </c>
      <c r="AF230" s="166">
        <v>157</v>
      </c>
      <c r="AG230" s="166">
        <v>40</v>
      </c>
      <c r="AH230" s="165">
        <v>12</v>
      </c>
      <c r="AI230" s="167">
        <v>1</v>
      </c>
    </row>
    <row customHeight="true" ht="16.071428571428573" r="231">
      <c r="A231" s="149"/>
      <c r="B231" s="150" t="s">
        <v>118</v>
      </c>
      <c r="C231" s="194" t="s">
        <v>115</v>
      </c>
      <c r="D231" s="195">
        <v>2586.4400000000005</v>
      </c>
      <c r="E231" s="172">
        <v>6</v>
      </c>
      <c r="F231" s="154">
        <f t="shared" si="430"/>
      </c>
      <c r="G231" s="172">
        <v>1830.4000000000015</v>
      </c>
      <c r="H231" s="156">
        <f t="shared" si="460"/>
      </c>
      <c r="I231" s="157">
        <f t="shared" si="370"/>
      </c>
      <c r="J231" s="158">
        <f t="shared" si="400"/>
      </c>
      <c r="K231" s="159">
        <f t="shared" si="310"/>
      </c>
      <c r="L231" s="174">
        <f t="shared" si="340"/>
      </c>
      <c r="M231" s="175">
        <f t="shared" si="220"/>
      </c>
      <c r="N231" s="176">
        <f t="shared" si="250"/>
      </c>
      <c r="O231" s="176">
        <f t="shared" si="280"/>
      </c>
      <c r="P231" s="176">
        <f t="shared" si="160"/>
      </c>
      <c r="Q231" s="176">
        <f t="shared" si="190"/>
      </c>
      <c r="R231" s="175">
        <f t="shared" si="100"/>
      </c>
      <c r="S231" s="177">
        <f t="shared" si="130"/>
      </c>
      <c r="T231" s="176">
        <f t="shared" si="40"/>
      </c>
      <c r="U231" s="176">
        <f t="shared" si="70"/>
      </c>
      <c r="V231" s="176">
        <f t="shared" si="490"/>
      </c>
      <c r="W231" s="176">
        <f t="shared" si="10"/>
      </c>
      <c r="X231" s="169" t="s">
        <v>107</v>
      </c>
      <c r="Y231" s="163" t="s">
        <v>120</v>
      </c>
      <c r="Z231" s="166">
        <v>72766</v>
      </c>
      <c r="AA231" s="166">
        <v>9869</v>
      </c>
      <c r="AB231" s="166">
        <v>157723</v>
      </c>
      <c r="AC231" s="166">
        <v>295</v>
      </c>
      <c r="AD231" s="166">
        <v>6</v>
      </c>
      <c r="AE231" s="166">
        <v>9195</v>
      </c>
      <c r="AF231" s="166">
        <v>116</v>
      </c>
      <c r="AG231" s="166">
        <v>28</v>
      </c>
      <c r="AH231" s="165">
        <v>12</v>
      </c>
      <c r="AI231" s="167">
        <v>0</v>
      </c>
    </row>
    <row customHeight="true" ht="16.071428571428573" r="232">
      <c r="A232" s="149"/>
      <c r="B232" s="178" t="s">
        <v>112</v>
      </c>
      <c r="C232" s="178"/>
      <c r="D232" s="179">
        <f>SUM(D228:D231)</f>
      </c>
      <c r="E232" s="180">
        <f>SUM(E228:E231)</f>
      </c>
      <c r="F232" s="181">
        <f t="shared" si="430"/>
      </c>
      <c r="G232" s="182">
        <f>SUM(G228:G231)</f>
      </c>
      <c r="H232" s="183">
        <f t="shared" si="460"/>
      </c>
      <c r="I232" s="184">
        <f t="shared" si="370"/>
      </c>
      <c r="J232" s="185">
        <f t="shared" si="400"/>
      </c>
      <c r="K232" s="181">
        <f t="shared" si="310"/>
      </c>
      <c r="L232" s="186">
        <f t="shared" si="340"/>
      </c>
      <c r="M232" s="185">
        <f t="shared" si="220"/>
      </c>
      <c r="N232" s="187">
        <f t="shared" si="250"/>
      </c>
      <c r="O232" s="187">
        <f t="shared" si="280"/>
      </c>
      <c r="P232" s="187">
        <f t="shared" si="160"/>
      </c>
      <c r="Q232" s="187">
        <f t="shared" si="190"/>
      </c>
      <c r="R232" s="185">
        <f t="shared" si="100"/>
      </c>
      <c r="S232" s="181">
        <f t="shared" si="130"/>
      </c>
      <c r="T232" s="187">
        <f t="shared" si="40"/>
      </c>
      <c r="U232" s="187">
        <f t="shared" si="70"/>
      </c>
      <c r="V232" s="187">
        <f t="shared" si="490"/>
      </c>
      <c r="W232" s="187">
        <f t="shared" si="10"/>
      </c>
      <c r="X232" s="187"/>
      <c r="Y232" s="188"/>
      <c r="Z232" s="179">
        <f>SUM(Z228:Z231)</f>
      </c>
      <c r="AA232" s="179">
        <f>SUM(AA228:AA231)</f>
      </c>
      <c r="AB232" s="179">
        <f>SUM(AB228:AB231)</f>
      </c>
      <c r="AC232" s="179">
        <f>SUM(AC228:AC231)</f>
      </c>
      <c r="AD232" s="179">
        <f>SUM(AD228:AD231)</f>
      </c>
      <c r="AE232" s="179">
        <f>SUM(AE228:AE231)</f>
      </c>
      <c r="AF232" s="179">
        <f>SUM(AF228:AF231)</f>
      </c>
      <c r="AG232" s="179">
        <f>SUM(AG228:AG231)</f>
      </c>
      <c r="AH232" s="179">
        <f>SUM(AH228:AH231)</f>
      </c>
      <c r="AI232" s="179">
        <f>SUM(AI228:AI231)</f>
      </c>
    </row>
    <row customHeight="true" ht="16.071428571428573" r="233">
      <c r="A233" s="149"/>
      <c r="B233" s="150" t="s">
        <v>131</v>
      </c>
      <c r="C233" s="196" t="s">
        <v>116</v>
      </c>
      <c r="D233" s="171">
        <v>1610.871</v>
      </c>
      <c r="E233" s="172">
        <v>7</v>
      </c>
      <c r="F233" s="154">
        <f t="shared" si="430"/>
      </c>
      <c r="G233" s="172">
        <v>2111.5</v>
      </c>
      <c r="H233" s="156">
        <f t="shared" si="460"/>
      </c>
      <c r="I233" s="157">
        <f t="shared" si="370"/>
      </c>
      <c r="J233" s="158">
        <f t="shared" si="400"/>
      </c>
      <c r="K233" s="159">
        <f t="shared" si="310"/>
      </c>
      <c r="L233" s="160">
        <f t="shared" si="340"/>
      </c>
      <c r="M233" s="158">
        <f t="shared" si="220"/>
      </c>
      <c r="N233" s="161">
        <f t="shared" si="250"/>
      </c>
      <c r="O233" s="161">
        <f t="shared" si="280"/>
      </c>
      <c r="P233" s="161">
        <f t="shared" si="160"/>
      </c>
      <c r="Q233" s="161">
        <f t="shared" si="190"/>
      </c>
      <c r="R233" s="158">
        <f t="shared" si="100"/>
      </c>
      <c r="S233" s="159">
        <f t="shared" si="130"/>
      </c>
      <c r="T233" s="161">
        <f t="shared" si="40"/>
      </c>
      <c r="U233" s="161">
        <f t="shared" si="70"/>
      </c>
      <c r="V233" s="161">
        <f t="shared" si="490"/>
      </c>
      <c r="W233" s="161">
        <f t="shared" si="10"/>
      </c>
      <c r="X233" s="169" t="s">
        <v>107</v>
      </c>
      <c r="Y233" s="163" t="s">
        <v>120</v>
      </c>
      <c r="Z233" s="166">
        <v>55103</v>
      </c>
      <c r="AA233" s="166">
        <v>5866</v>
      </c>
      <c r="AB233" s="166">
        <v>95862</v>
      </c>
      <c r="AC233" s="166">
        <v>230</v>
      </c>
      <c r="AD233" s="166">
        <v>4</v>
      </c>
      <c r="AE233" s="166">
        <v>4938</v>
      </c>
      <c r="AF233" s="166">
        <v>85</v>
      </c>
      <c r="AG233" s="166">
        <v>6</v>
      </c>
      <c r="AH233" s="166">
        <v>6</v>
      </c>
      <c r="AI233" s="167">
        <v>2</v>
      </c>
    </row>
    <row customHeight="true" ht="16.071428571428573" r="234">
      <c r="A234" s="149"/>
      <c r="B234" s="150" t="s">
        <v>131</v>
      </c>
      <c r="C234" s="197" t="s">
        <v>117</v>
      </c>
      <c r="D234" s="171">
        <v>3015.593</v>
      </c>
      <c r="E234" s="172">
        <v>7</v>
      </c>
      <c r="F234" s="154">
        <f t="shared" si="430"/>
      </c>
      <c r="G234" s="172">
        <v>2690.3</v>
      </c>
      <c r="H234" s="156">
        <f t="shared" si="460"/>
      </c>
      <c r="I234" s="157">
        <f t="shared" si="370"/>
      </c>
      <c r="J234" s="158">
        <f t="shared" si="400"/>
      </c>
      <c r="K234" s="159">
        <f t="shared" si="310"/>
      </c>
      <c r="L234" s="160">
        <f t="shared" si="340"/>
      </c>
      <c r="M234" s="158">
        <f t="shared" si="220"/>
      </c>
      <c r="N234" s="161">
        <f t="shared" si="250"/>
      </c>
      <c r="O234" s="161">
        <f t="shared" si="280"/>
      </c>
      <c r="P234" s="161">
        <f t="shared" si="160"/>
      </c>
      <c r="Q234" s="161">
        <f t="shared" si="190"/>
      </c>
      <c r="R234" s="158">
        <f t="shared" si="100"/>
      </c>
      <c r="S234" s="159">
        <f t="shared" si="130"/>
      </c>
      <c r="T234" s="161">
        <f t="shared" si="40"/>
      </c>
      <c r="U234" s="161">
        <f t="shared" si="70"/>
      </c>
      <c r="V234" s="161">
        <f t="shared" si="490"/>
      </c>
      <c r="W234" s="161">
        <f t="shared" si="10"/>
      </c>
      <c r="X234" s="169" t="s">
        <v>107</v>
      </c>
      <c r="Y234" s="163" t="s">
        <v>120</v>
      </c>
      <c r="Z234" s="166">
        <v>125376</v>
      </c>
      <c r="AA234" s="166">
        <v>14142</v>
      </c>
      <c r="AB234" s="166">
        <v>232323</v>
      </c>
      <c r="AC234" s="166">
        <v>721</v>
      </c>
      <c r="AD234" s="166">
        <v>7</v>
      </c>
      <c r="AE234" s="166">
        <v>12588</v>
      </c>
      <c r="AF234" s="166">
        <v>212</v>
      </c>
      <c r="AG234" s="166">
        <v>33</v>
      </c>
      <c r="AH234" s="165">
        <v>9</v>
      </c>
      <c r="AI234" s="167">
        <v>0</v>
      </c>
    </row>
    <row customHeight="true" ht="16.071428571428573" r="235">
      <c r="A235" s="149"/>
      <c r="B235" s="150" t="s">
        <v>131</v>
      </c>
      <c r="C235" s="194" t="s">
        <v>119</v>
      </c>
      <c r="D235" s="171">
        <v>4003.191</v>
      </c>
      <c r="E235" s="172">
        <v>11</v>
      </c>
      <c r="F235" s="154">
        <f t="shared" si="430"/>
      </c>
      <c r="G235" s="172">
        <v>5295.6</v>
      </c>
      <c r="H235" s="156">
        <f t="shared" si="460"/>
      </c>
      <c r="I235" s="157">
        <f t="shared" si="370"/>
      </c>
      <c r="J235" s="158">
        <f t="shared" si="400"/>
      </c>
      <c r="K235" s="159">
        <f t="shared" si="310"/>
      </c>
      <c r="L235" s="174">
        <f t="shared" si="340"/>
      </c>
      <c r="M235" s="175">
        <f t="shared" si="220"/>
      </c>
      <c r="N235" s="176">
        <f t="shared" si="250"/>
      </c>
      <c r="O235" s="176">
        <f t="shared" si="280"/>
      </c>
      <c r="P235" s="176">
        <f t="shared" si="160"/>
      </c>
      <c r="Q235" s="176">
        <f t="shared" si="190"/>
      </c>
      <c r="R235" s="175">
        <f t="shared" si="100"/>
      </c>
      <c r="S235" s="177">
        <f t="shared" si="130"/>
      </c>
      <c r="T235" s="176">
        <f t="shared" si="40"/>
      </c>
      <c r="U235" s="176">
        <f t="shared" si="70"/>
      </c>
      <c r="V235" s="176">
        <f t="shared" si="490"/>
      </c>
      <c r="W235" s="176">
        <f t="shared" si="10"/>
      </c>
      <c r="X235" s="169" t="s">
        <v>107</v>
      </c>
      <c r="Y235" s="163" t="s">
        <v>137</v>
      </c>
      <c r="Z235" s="166">
        <v>167374</v>
      </c>
      <c r="AA235" s="166">
        <v>29547</v>
      </c>
      <c r="AB235" s="166">
        <v>336566</v>
      </c>
      <c r="AC235" s="166">
        <v>1266</v>
      </c>
      <c r="AD235" s="166">
        <v>8</v>
      </c>
      <c r="AE235" s="166">
        <v>22327</v>
      </c>
      <c r="AF235" s="166">
        <v>298</v>
      </c>
      <c r="AG235" s="166">
        <v>56</v>
      </c>
      <c r="AH235" s="165">
        <v>12</v>
      </c>
      <c r="AI235" s="167">
        <v>1</v>
      </c>
    </row>
    <row customHeight="true" ht="16.071428571428573" r="236">
      <c r="A236" s="149"/>
      <c r="B236" s="150" t="s">
        <v>131</v>
      </c>
      <c r="C236" s="194" t="s">
        <v>121</v>
      </c>
      <c r="D236" s="195">
        <v>4048.029</v>
      </c>
      <c r="E236" s="172">
        <v>12</v>
      </c>
      <c r="F236" s="154">
        <f t="shared" si="430"/>
      </c>
      <c r="G236" s="172">
        <v>3165.2</v>
      </c>
      <c r="H236" s="156">
        <f t="shared" si="460"/>
      </c>
      <c r="I236" s="157">
        <f t="shared" si="370"/>
      </c>
      <c r="J236" s="158">
        <f t="shared" si="400"/>
      </c>
      <c r="K236" s="159">
        <f t="shared" si="310"/>
      </c>
      <c r="L236" s="174">
        <f t="shared" si="340"/>
      </c>
      <c r="M236" s="175">
        <f t="shared" si="220"/>
      </c>
      <c r="N236" s="176">
        <f t="shared" si="250"/>
      </c>
      <c r="O236" s="176">
        <f t="shared" si="280"/>
      </c>
      <c r="P236" s="176">
        <f t="shared" si="160"/>
      </c>
      <c r="Q236" s="176">
        <f t="shared" si="190"/>
      </c>
      <c r="R236" s="175">
        <f t="shared" si="100"/>
      </c>
      <c r="S236" s="177">
        <f t="shared" si="130"/>
      </c>
      <c r="T236" s="176">
        <f t="shared" si="40"/>
      </c>
      <c r="U236" s="176">
        <f t="shared" si="70"/>
      </c>
      <c r="V236" s="176">
        <f t="shared" si="490"/>
      </c>
      <c r="W236" s="176">
        <f t="shared" si="10"/>
      </c>
      <c r="X236" s="169" t="s">
        <v>107</v>
      </c>
      <c r="Y236" s="163" t="s">
        <v>137</v>
      </c>
      <c r="Z236" s="166">
        <v>173436</v>
      </c>
      <c r="AA236" s="166">
        <v>33413</v>
      </c>
      <c r="AB236" s="166">
        <v>355666</v>
      </c>
      <c r="AC236" s="166">
        <v>1048</v>
      </c>
      <c r="AD236" s="166">
        <v>8</v>
      </c>
      <c r="AE236" s="166">
        <v>25089</v>
      </c>
      <c r="AF236" s="166">
        <v>306</v>
      </c>
      <c r="AG236" s="166">
        <v>58</v>
      </c>
      <c r="AH236" s="165">
        <v>16</v>
      </c>
      <c r="AI236" s="167">
        <v>1</v>
      </c>
    </row>
    <row customHeight="true" ht="16.071428571428573" r="237">
      <c r="A237" s="149"/>
      <c r="B237" s="178" t="s">
        <v>112</v>
      </c>
      <c r="C237" s="178"/>
      <c r="D237" s="179">
        <f>SUM(D233:D236)</f>
      </c>
      <c r="E237" s="180">
        <f>SUM(E233:E236)</f>
      </c>
      <c r="F237" s="181">
        <f t="shared" si="430"/>
      </c>
      <c r="G237" s="182">
        <f>SUM(G233:G236)</f>
      </c>
      <c r="H237" s="183">
        <f t="shared" si="460"/>
      </c>
      <c r="I237" s="184">
        <f t="shared" si="370"/>
      </c>
      <c r="J237" s="185">
        <f t="shared" si="400"/>
      </c>
      <c r="K237" s="181">
        <f t="shared" si="310"/>
      </c>
      <c r="L237" s="186">
        <f t="shared" si="340"/>
      </c>
      <c r="M237" s="185">
        <f t="shared" si="220"/>
      </c>
      <c r="N237" s="187">
        <f t="shared" si="250"/>
      </c>
      <c r="O237" s="187">
        <f t="shared" si="280"/>
      </c>
      <c r="P237" s="187">
        <f t="shared" si="160"/>
      </c>
      <c r="Q237" s="187">
        <f t="shared" si="190"/>
      </c>
      <c r="R237" s="185">
        <f t="shared" si="100"/>
      </c>
      <c r="S237" s="181">
        <f t="shared" si="130"/>
      </c>
      <c r="T237" s="187">
        <f t="shared" si="40"/>
      </c>
      <c r="U237" s="187">
        <f t="shared" si="70"/>
      </c>
      <c r="V237" s="187">
        <f t="shared" si="490"/>
      </c>
      <c r="W237" s="187">
        <f t="shared" si="10"/>
      </c>
      <c r="X237" s="187"/>
      <c r="Y237" s="188"/>
      <c r="Z237" s="179">
        <f>SUM(Z233:Z236)</f>
      </c>
      <c r="AA237" s="179">
        <f>SUM(AA233:AA236)</f>
      </c>
      <c r="AB237" s="179">
        <f>SUM(AB233:AB236)</f>
      </c>
      <c r="AC237" s="179">
        <f>SUM(AC233:AC236)</f>
      </c>
      <c r="AD237" s="179">
        <f>SUM(AD233:AD236)</f>
      </c>
      <c r="AE237" s="179">
        <f>SUM(AE233:AE236)</f>
      </c>
      <c r="AF237" s="179">
        <f>SUM(AF233:AF236)</f>
      </c>
      <c r="AG237" s="179">
        <f>SUM(AG233:AG236)</f>
      </c>
      <c r="AH237" s="179">
        <f>SUM(AH233:AH236)</f>
      </c>
      <c r="AI237" s="179">
        <f>SUM(AI233:AI236)</f>
      </c>
    </row>
    <row customHeight="true" ht="16.071428571428573" r="238">
      <c r="A238" s="149"/>
      <c r="B238" s="150" t="s">
        <v>130</v>
      </c>
      <c r="C238" s="196" t="s">
        <v>122</v>
      </c>
      <c r="D238" s="171">
        <v>3182.788</v>
      </c>
      <c r="E238" s="172">
        <v>8</v>
      </c>
      <c r="F238" s="154">
        <f t="shared" si="430"/>
      </c>
      <c r="G238" s="172">
        <v>4104</v>
      </c>
      <c r="H238" s="156">
        <f t="shared" si="460"/>
      </c>
      <c r="I238" s="157">
        <f t="shared" si="370"/>
      </c>
      <c r="J238" s="158">
        <f t="shared" si="400"/>
      </c>
      <c r="K238" s="159">
        <f t="shared" si="310"/>
      </c>
      <c r="L238" s="160">
        <f t="shared" si="340"/>
      </c>
      <c r="M238" s="158">
        <f t="shared" si="220"/>
      </c>
      <c r="N238" s="161">
        <f t="shared" si="250"/>
      </c>
      <c r="O238" s="161">
        <f t="shared" si="280"/>
      </c>
      <c r="P238" s="161">
        <f t="shared" si="160"/>
      </c>
      <c r="Q238" s="161">
        <f t="shared" si="190"/>
      </c>
      <c r="R238" s="158">
        <f t="shared" si="100"/>
      </c>
      <c r="S238" s="159">
        <f t="shared" si="130"/>
      </c>
      <c r="T238" s="161">
        <f t="shared" si="40"/>
      </c>
      <c r="U238" s="161">
        <f t="shared" si="70"/>
      </c>
      <c r="V238" s="161">
        <f t="shared" si="490"/>
      </c>
      <c r="W238" s="161">
        <f t="shared" si="10"/>
      </c>
      <c r="X238" s="169" t="s">
        <v>107</v>
      </c>
      <c r="Y238" s="163" t="s">
        <v>137</v>
      </c>
      <c r="Z238" s="166">
        <v>145700</v>
      </c>
      <c r="AA238" s="166">
        <v>19748</v>
      </c>
      <c r="AB238" s="166">
        <v>292693</v>
      </c>
      <c r="AC238" s="166">
        <v>881</v>
      </c>
      <c r="AD238" s="166">
        <v>10</v>
      </c>
      <c r="AE238" s="166">
        <v>18026</v>
      </c>
      <c r="AF238" s="166">
        <v>191</v>
      </c>
      <c r="AG238" s="166">
        <v>63</v>
      </c>
      <c r="AH238" s="166">
        <v>8</v>
      </c>
      <c r="AI238" s="167">
        <v>0</v>
      </c>
    </row>
    <row customHeight="true" ht="16.071428571428573" r="239">
      <c r="A239" s="149"/>
      <c r="B239" s="150" t="s">
        <v>130</v>
      </c>
      <c r="C239" s="197" t="s">
        <v>123</v>
      </c>
      <c r="D239" s="171">
        <v>2593.466</v>
      </c>
      <c r="E239" s="172">
        <v>7</v>
      </c>
      <c r="F239" s="154">
        <f t="shared" si="430"/>
      </c>
      <c r="G239" s="172">
        <v>1522.3</v>
      </c>
      <c r="H239" s="156">
        <f t="shared" si="460"/>
      </c>
      <c r="I239" s="157">
        <f t="shared" si="370"/>
      </c>
      <c r="J239" s="158">
        <f t="shared" si="400"/>
      </c>
      <c r="K239" s="159">
        <f t="shared" si="310"/>
      </c>
      <c r="L239" s="160">
        <f t="shared" si="340"/>
      </c>
      <c r="M239" s="158">
        <f t="shared" si="220"/>
      </c>
      <c r="N239" s="161">
        <f t="shared" si="250"/>
      </c>
      <c r="O239" s="161">
        <f t="shared" si="280"/>
      </c>
      <c r="P239" s="161">
        <f t="shared" si="160"/>
      </c>
      <c r="Q239" s="161">
        <f t="shared" si="190"/>
      </c>
      <c r="R239" s="158">
        <f t="shared" si="100"/>
      </c>
      <c r="S239" s="159">
        <f t="shared" si="130"/>
      </c>
      <c r="T239" s="161">
        <f t="shared" si="40"/>
      </c>
      <c r="U239" s="161">
        <f t="shared" si="70"/>
      </c>
      <c r="V239" s="161">
        <f t="shared" si="490"/>
      </c>
      <c r="W239" s="161">
        <f t="shared" si="10"/>
      </c>
      <c r="X239" s="169" t="s">
        <v>107</v>
      </c>
      <c r="Y239" s="163" t="s">
        <v>137</v>
      </c>
      <c r="Z239" s="166">
        <v>122924</v>
      </c>
      <c r="AA239" s="166">
        <v>10511</v>
      </c>
      <c r="AB239" s="166">
        <v>250321</v>
      </c>
      <c r="AC239" s="166">
        <v>631</v>
      </c>
      <c r="AD239" s="166">
        <v>6</v>
      </c>
      <c r="AE239" s="166">
        <v>11042</v>
      </c>
      <c r="AF239" s="166">
        <v>108</v>
      </c>
      <c r="AG239" s="166">
        <v>37</v>
      </c>
      <c r="AH239" s="165">
        <v>6</v>
      </c>
      <c r="AI239" s="167">
        <v>1</v>
      </c>
    </row>
    <row customHeight="true" ht="16.071428571428573" r="240">
      <c r="A240" s="149"/>
      <c r="B240" s="150" t="s">
        <v>130</v>
      </c>
      <c r="C240" s="194" t="s">
        <v>125</v>
      </c>
      <c r="D240" s="171">
        <v>3117.112</v>
      </c>
      <c r="E240" s="172">
        <v>6</v>
      </c>
      <c r="F240" s="154">
        <f t="shared" si="430"/>
      </c>
      <c r="G240" s="172">
        <v>2476</v>
      </c>
      <c r="H240" s="156">
        <f t="shared" si="460"/>
      </c>
      <c r="I240" s="157">
        <f t="shared" si="370"/>
      </c>
      <c r="J240" s="158">
        <f t="shared" si="400"/>
      </c>
      <c r="K240" s="159">
        <f t="shared" si="310"/>
      </c>
      <c r="L240" s="174">
        <f t="shared" si="340"/>
      </c>
      <c r="M240" s="175">
        <f t="shared" si="220"/>
      </c>
      <c r="N240" s="176">
        <f t="shared" si="250"/>
      </c>
      <c r="O240" s="176">
        <f t="shared" si="280"/>
      </c>
      <c r="P240" s="176">
        <f t="shared" si="160"/>
      </c>
      <c r="Q240" s="176">
        <f t="shared" si="190"/>
      </c>
      <c r="R240" s="175">
        <f t="shared" si="100"/>
      </c>
      <c r="S240" s="177">
        <f t="shared" si="130"/>
      </c>
      <c r="T240" s="176">
        <f t="shared" si="40"/>
      </c>
      <c r="U240" s="176">
        <f t="shared" si="70"/>
      </c>
      <c r="V240" s="176">
        <f t="shared" si="490"/>
      </c>
      <c r="W240" s="176">
        <f t="shared" si="10"/>
      </c>
      <c r="X240" s="169" t="s">
        <v>107</v>
      </c>
      <c r="Y240" s="163" t="s">
        <v>137</v>
      </c>
      <c r="Z240" s="166">
        <v>141315</v>
      </c>
      <c r="AA240" s="166">
        <v>13407</v>
      </c>
      <c r="AB240" s="166">
        <v>341601</v>
      </c>
      <c r="AC240" s="166">
        <v>765</v>
      </c>
      <c r="AD240" s="166">
        <v>5</v>
      </c>
      <c r="AE240" s="166">
        <v>13605</v>
      </c>
      <c r="AF240" s="166">
        <v>178</v>
      </c>
      <c r="AG240" s="166">
        <v>43</v>
      </c>
      <c r="AH240" s="165">
        <v>4</v>
      </c>
      <c r="AI240" s="167">
        <v>0</v>
      </c>
    </row>
    <row customHeight="true" ht="16.071428571428573" r="241">
      <c r="A241" s="149"/>
      <c r="B241" s="150" t="s">
        <v>130</v>
      </c>
      <c r="C241" s="194" t="s">
        <v>126</v>
      </c>
      <c r="D241" s="195">
        <v>3022.952</v>
      </c>
      <c r="E241" s="172">
        <v>10</v>
      </c>
      <c r="F241" s="154">
        <f t="shared" si="430"/>
      </c>
      <c r="G241" s="172">
        <v>2748.8</v>
      </c>
      <c r="H241" s="156">
        <f t="shared" si="460"/>
      </c>
      <c r="I241" s="157">
        <f t="shared" si="370"/>
      </c>
      <c r="J241" s="158">
        <f t="shared" si="400"/>
      </c>
      <c r="K241" s="159">
        <f t="shared" si="310"/>
      </c>
      <c r="L241" s="174">
        <f t="shared" si="340"/>
      </c>
      <c r="M241" s="175">
        <f t="shared" si="220"/>
      </c>
      <c r="N241" s="176">
        <f t="shared" si="250"/>
      </c>
      <c r="O241" s="176">
        <f t="shared" si="280"/>
      </c>
      <c r="P241" s="176">
        <f t="shared" si="160"/>
      </c>
      <c r="Q241" s="176">
        <f t="shared" si="190"/>
      </c>
      <c r="R241" s="175">
        <f t="shared" si="100"/>
      </c>
      <c r="S241" s="177">
        <f t="shared" si="130"/>
      </c>
      <c r="T241" s="176">
        <f t="shared" si="40"/>
      </c>
      <c r="U241" s="176">
        <f t="shared" si="70"/>
      </c>
      <c r="V241" s="176">
        <f t="shared" si="490"/>
      </c>
      <c r="W241" s="176">
        <f t="shared" si="10"/>
      </c>
      <c r="X241" s="169" t="s">
        <v>107</v>
      </c>
      <c r="Y241" s="163" t="s">
        <v>137</v>
      </c>
      <c r="Z241" s="166">
        <v>144333</v>
      </c>
      <c r="AA241" s="166">
        <v>10305</v>
      </c>
      <c r="AB241" s="166">
        <v>315314</v>
      </c>
      <c r="AC241" s="166">
        <v>701</v>
      </c>
      <c r="AD241" s="166">
        <v>9</v>
      </c>
      <c r="AE241" s="166">
        <v>12094</v>
      </c>
      <c r="AF241" s="166">
        <v>161</v>
      </c>
      <c r="AG241" s="166">
        <v>41</v>
      </c>
      <c r="AH241" s="165">
        <v>21</v>
      </c>
      <c r="AI241" s="167">
        <v>1</v>
      </c>
    </row>
    <row customHeight="true" ht="16.071428571428573" r="242">
      <c r="A242" s="149"/>
      <c r="B242" s="178" t="s">
        <v>112</v>
      </c>
      <c r="C242" s="178"/>
      <c r="D242" s="179">
        <f>SUM(D238:D241)</f>
      </c>
      <c r="E242" s="180">
        <f>SUM(E238:E241)</f>
      </c>
      <c r="F242" s="181">
        <f t="shared" si="430"/>
      </c>
      <c r="G242" s="182">
        <f>SUM(G238:G241)</f>
      </c>
      <c r="H242" s="183">
        <f t="shared" si="460"/>
      </c>
      <c r="I242" s="184">
        <f t="shared" si="370"/>
      </c>
      <c r="J242" s="185">
        <f t="shared" si="400"/>
      </c>
      <c r="K242" s="181">
        <f t="shared" si="310"/>
      </c>
      <c r="L242" s="186">
        <f t="shared" si="340"/>
      </c>
      <c r="M242" s="185">
        <f t="shared" si="220"/>
      </c>
      <c r="N242" s="187">
        <f t="shared" si="250"/>
      </c>
      <c r="O242" s="187">
        <f t="shared" si="280"/>
      </c>
      <c r="P242" s="187">
        <f t="shared" si="160"/>
      </c>
      <c r="Q242" s="187">
        <f t="shared" si="190"/>
      </c>
      <c r="R242" s="185">
        <f t="shared" si="100"/>
      </c>
      <c r="S242" s="181">
        <f t="shared" si="130"/>
      </c>
      <c r="T242" s="187">
        <f t="shared" si="40"/>
      </c>
      <c r="U242" s="187">
        <f t="shared" si="70"/>
      </c>
      <c r="V242" s="187">
        <f t="shared" si="490"/>
      </c>
      <c r="W242" s="187">
        <f t="shared" si="10"/>
      </c>
      <c r="X242" s="187"/>
      <c r="Y242" s="188"/>
      <c r="Z242" s="179">
        <f>SUM(Z238:Z241)</f>
      </c>
      <c r="AA242" s="179">
        <f>SUM(AA238:AA241)</f>
      </c>
      <c r="AB242" s="179">
        <f>SUM(AB238:AB241)</f>
      </c>
      <c r="AC242" s="179">
        <f>SUM(AC238:AC241)</f>
      </c>
      <c r="AD242" s="179">
        <f>SUM(AD238:AD241)</f>
      </c>
      <c r="AE242" s="179">
        <f>SUM(AE238:AE241)</f>
      </c>
      <c r="AF242" s="179">
        <f>SUM(AF238:AF241)</f>
      </c>
      <c r="AG242" s="179">
        <f>SUM(AG238:AG241)</f>
      </c>
      <c r="AH242" s="179">
        <f>SUM(AH238:AH241)</f>
      </c>
      <c r="AI242" s="179">
        <f>SUM(AI238:AI241)</f>
      </c>
    </row>
    <row customHeight="true" ht="16.071428571428573" r="243">
      <c r="A243" s="149"/>
      <c r="B243" s="150" t="s">
        <v>105</v>
      </c>
      <c r="C243" s="196" t="s">
        <v>127</v>
      </c>
      <c r="D243" s="198">
        <v>2850.537</v>
      </c>
      <c r="E243" s="153">
        <v>5</v>
      </c>
      <c r="F243" s="154">
        <f t="shared" si="430"/>
      </c>
      <c r="G243" s="155">
        <v>1034.3</v>
      </c>
      <c r="H243" s="156">
        <f t="shared" si="460"/>
      </c>
      <c r="I243" s="157">
        <f t="shared" si="370"/>
      </c>
      <c r="J243" s="158">
        <f t="shared" si="400"/>
      </c>
      <c r="K243" s="159">
        <f t="shared" si="310"/>
      </c>
      <c r="L243" s="174">
        <f t="shared" si="340"/>
      </c>
      <c r="M243" s="175">
        <f t="shared" si="220"/>
      </c>
      <c r="N243" s="176">
        <f t="shared" si="250"/>
      </c>
      <c r="O243" s="176">
        <f t="shared" si="280"/>
      </c>
      <c r="P243" s="176">
        <f t="shared" si="160"/>
      </c>
      <c r="Q243" s="176">
        <f t="shared" si="190"/>
      </c>
      <c r="R243" s="175">
        <f t="shared" si="100"/>
      </c>
      <c r="S243" s="177">
        <f t="shared" si="130"/>
      </c>
      <c r="T243" s="176">
        <f t="shared" si="40"/>
      </c>
      <c r="U243" s="176">
        <f t="shared" si="70"/>
      </c>
      <c r="V243" s="176">
        <f t="shared" si="490"/>
      </c>
      <c r="W243" s="176">
        <f t="shared" si="10"/>
      </c>
      <c r="X243" s="169" t="s">
        <v>107</v>
      </c>
      <c r="Y243" s="163" t="s">
        <v>137</v>
      </c>
      <c r="Z243" s="166">
        <v>154584</v>
      </c>
      <c r="AA243" s="166">
        <v>9929</v>
      </c>
      <c r="AB243" s="166">
        <v>325986</v>
      </c>
      <c r="AC243" s="199">
        <v>819</v>
      </c>
      <c r="AD243" s="199">
        <v>5</v>
      </c>
      <c r="AE243" s="199">
        <v>13258</v>
      </c>
      <c r="AF243" s="199">
        <v>158</v>
      </c>
      <c r="AG243" s="199">
        <v>37</v>
      </c>
      <c r="AH243" s="199">
        <v>14</v>
      </c>
      <c r="AI243" s="167">
        <v>0</v>
      </c>
    </row>
    <row customHeight="true" ht="16.071428571428573" r="244">
      <c r="A244" s="149"/>
      <c r="B244" s="150" t="s">
        <v>105</v>
      </c>
      <c r="C244" s="194" t="s">
        <v>138</v>
      </c>
      <c r="D244" s="198">
        <v>2077.878</v>
      </c>
      <c r="E244" s="153">
        <v>11</v>
      </c>
      <c r="F244" s="154">
        <f t="shared" si="430"/>
      </c>
      <c r="G244" s="155">
        <v>3772.2</v>
      </c>
      <c r="H244" s="156">
        <f t="shared" si="460"/>
      </c>
      <c r="I244" s="157">
        <f t="shared" si="370"/>
      </c>
      <c r="J244" s="158">
        <f t="shared" si="400"/>
      </c>
      <c r="K244" s="159">
        <f t="shared" si="310"/>
      </c>
      <c r="L244" s="174">
        <f t="shared" si="340"/>
      </c>
      <c r="M244" s="175">
        <f t="shared" si="220"/>
      </c>
      <c r="N244" s="176">
        <f t="shared" si="250"/>
      </c>
      <c r="O244" s="176">
        <f t="shared" si="280"/>
      </c>
      <c r="P244" s="176">
        <f t="shared" si="160"/>
      </c>
      <c r="Q244" s="176">
        <f t="shared" si="190"/>
      </c>
      <c r="R244" s="175">
        <f t="shared" si="100"/>
      </c>
      <c r="S244" s="177">
        <f t="shared" si="130"/>
      </c>
      <c r="T244" s="176">
        <f t="shared" si="40"/>
      </c>
      <c r="U244" s="176">
        <f t="shared" si="70"/>
      </c>
      <c r="V244" s="176">
        <f t="shared" si="490"/>
      </c>
      <c r="W244" s="176">
        <f t="shared" si="10"/>
      </c>
      <c r="X244" s="169" t="s">
        <v>107</v>
      </c>
      <c r="Y244" s="163" t="s">
        <v>137</v>
      </c>
      <c r="Z244" s="166">
        <v>115102</v>
      </c>
      <c r="AA244" s="166">
        <v>8094</v>
      </c>
      <c r="AB244" s="166">
        <v>253741</v>
      </c>
      <c r="AC244" s="199">
        <v>650</v>
      </c>
      <c r="AD244" s="199">
        <v>7</v>
      </c>
      <c r="AE244" s="199">
        <v>10884</v>
      </c>
      <c r="AF244" s="199">
        <v>115</v>
      </c>
      <c r="AG244" s="199">
        <v>31</v>
      </c>
      <c r="AH244" s="199">
        <v>13</v>
      </c>
      <c r="AI244" s="167">
        <v>3</v>
      </c>
    </row>
    <row customHeight="true" ht="16.071428571428573" r="245">
      <c r="A245" s="149"/>
      <c r="B245" s="150" t="s">
        <v>105</v>
      </c>
      <c r="C245" s="200" t="s">
        <v>139</v>
      </c>
      <c r="D245" s="171">
        <v>429.483</v>
      </c>
      <c r="E245" s="172">
        <v>7</v>
      </c>
      <c r="F245" s="154">
        <f t="shared" si="430"/>
      </c>
      <c r="G245" s="172">
        <v>1467.6</v>
      </c>
      <c r="H245" s="156">
        <f t="shared" si="460"/>
      </c>
      <c r="I245" s="157">
        <f t="shared" si="370"/>
      </c>
      <c r="J245" s="158">
        <f t="shared" si="400"/>
      </c>
      <c r="K245" s="159">
        <f t="shared" si="310"/>
      </c>
      <c r="L245" s="174">
        <f t="shared" si="340"/>
      </c>
      <c r="M245" s="175">
        <f t="shared" si="220"/>
      </c>
      <c r="N245" s="176">
        <f t="shared" si="250"/>
      </c>
      <c r="O245" s="176">
        <f t="shared" si="280"/>
      </c>
      <c r="P245" s="176">
        <f t="shared" si="160"/>
      </c>
      <c r="Q245" s="176">
        <f t="shared" si="190"/>
      </c>
      <c r="R245" s="175">
        <f t="shared" si="100"/>
      </c>
      <c r="S245" s="177">
        <f t="shared" si="130"/>
      </c>
      <c r="T245" s="176">
        <f t="shared" si="40"/>
      </c>
      <c r="U245" s="176">
        <f t="shared" si="70"/>
      </c>
      <c r="V245" s="176">
        <f t="shared" si="490"/>
      </c>
      <c r="W245" s="176">
        <f t="shared" si="10"/>
      </c>
      <c r="X245" s="169" t="s">
        <v>107</v>
      </c>
      <c r="Y245" s="163" t="s">
        <v>140</v>
      </c>
      <c r="Z245" s="166">
        <v>20810</v>
      </c>
      <c r="AA245" s="166">
        <v>2989</v>
      </c>
      <c r="AB245" s="166">
        <v>38705</v>
      </c>
      <c r="AC245" s="166">
        <v>234</v>
      </c>
      <c r="AD245" s="166">
        <v>5</v>
      </c>
      <c r="AE245" s="166">
        <v>2482</v>
      </c>
      <c r="AF245" s="166">
        <v>24</v>
      </c>
      <c r="AG245" s="166">
        <v>15</v>
      </c>
      <c r="AH245" s="165">
        <v>6</v>
      </c>
      <c r="AI245" s="167">
        <v>2</v>
      </c>
    </row>
    <row customHeight="true" ht="16.071428571428573" r="246">
      <c r="A246" s="149"/>
      <c r="B246" s="150" t="s">
        <v>105</v>
      </c>
      <c r="C246" s="201" t="s">
        <v>141</v>
      </c>
      <c r="D246" s="195">
        <f>545.952+0.956</f>
      </c>
      <c r="E246" s="172">
        <v>1</v>
      </c>
      <c r="F246" s="154">
        <f t="shared" si="430"/>
      </c>
      <c r="G246" s="172">
        <v>828</v>
      </c>
      <c r="H246" s="156">
        <f t="shared" si="460"/>
      </c>
      <c r="I246" s="157">
        <f t="shared" si="370"/>
      </c>
      <c r="J246" s="158">
        <f t="shared" si="400"/>
      </c>
      <c r="K246" s="159">
        <f t="shared" si="310"/>
      </c>
      <c r="L246" s="174">
        <f t="shared" si="340"/>
      </c>
      <c r="M246" s="175">
        <f t="shared" si="220"/>
      </c>
      <c r="N246" s="176">
        <f t="shared" si="250"/>
      </c>
      <c r="O246" s="176">
        <f t="shared" si="280"/>
      </c>
      <c r="P246" s="176">
        <f t="shared" si="160"/>
      </c>
      <c r="Q246" s="176">
        <f t="shared" si="190"/>
      </c>
      <c r="R246" s="175">
        <f t="shared" si="100"/>
      </c>
      <c r="S246" s="177">
        <f t="shared" si="130"/>
      </c>
      <c r="T246" s="176">
        <f t="shared" si="40"/>
      </c>
      <c r="U246" s="176">
        <f t="shared" si="70"/>
      </c>
      <c r="V246" s="176">
        <f t="shared" si="490"/>
      </c>
      <c r="W246" s="176">
        <f t="shared" si="10"/>
      </c>
      <c r="X246" s="169" t="s">
        <v>107</v>
      </c>
      <c r="Y246" s="163" t="s">
        <v>140</v>
      </c>
      <c r="Z246" s="166">
        <v>35599</v>
      </c>
      <c r="AA246" s="166">
        <v>3773</v>
      </c>
      <c r="AB246" s="166">
        <v>55735</v>
      </c>
      <c r="AC246" s="166">
        <v>395</v>
      </c>
      <c r="AD246" s="166">
        <v>1</v>
      </c>
      <c r="AE246" s="166">
        <v>3453</v>
      </c>
      <c r="AF246" s="166">
        <v>26</v>
      </c>
      <c r="AG246" s="166">
        <v>19</v>
      </c>
      <c r="AH246" s="165">
        <v>5</v>
      </c>
      <c r="AI246" s="167">
        <v>0</v>
      </c>
    </row>
    <row customHeight="true" ht="16.071428571428573" r="247">
      <c r="A247" s="149"/>
      <c r="B247" s="178" t="s">
        <v>112</v>
      </c>
      <c r="C247" s="178"/>
      <c r="D247" s="179">
        <f>SUM(D243:D246)</f>
      </c>
      <c r="E247" s="180">
        <f>SUM(E243:E246)</f>
      </c>
      <c r="F247" s="181">
        <f t="shared" si="430"/>
      </c>
      <c r="G247" s="182">
        <f>SUM(G243:G246)</f>
      </c>
      <c r="H247" s="183">
        <f t="shared" si="460"/>
      </c>
      <c r="I247" s="184">
        <f t="shared" si="370"/>
      </c>
      <c r="J247" s="185">
        <f t="shared" si="400"/>
      </c>
      <c r="K247" s="181">
        <f t="shared" si="310"/>
      </c>
      <c r="L247" s="186">
        <f t="shared" si="340"/>
      </c>
      <c r="M247" s="185">
        <f t="shared" si="220"/>
      </c>
      <c r="N247" s="187">
        <f t="shared" si="250"/>
      </c>
      <c r="O247" s="187">
        <f t="shared" si="280"/>
      </c>
      <c r="P247" s="187">
        <f t="shared" si="160"/>
      </c>
      <c r="Q247" s="187">
        <f t="shared" si="190"/>
      </c>
      <c r="R247" s="185">
        <f t="shared" si="100"/>
      </c>
      <c r="S247" s="181">
        <f t="shared" si="130"/>
      </c>
      <c r="T247" s="187">
        <f t="shared" si="40"/>
      </c>
      <c r="U247" s="187">
        <f t="shared" si="70"/>
      </c>
      <c r="V247" s="187">
        <f t="shared" si="490"/>
      </c>
      <c r="W247" s="187">
        <f t="shared" si="10"/>
      </c>
      <c r="X247" s="187"/>
      <c r="Y247" s="188"/>
      <c r="Z247" s="179">
        <f>SUM(Z243:Z246)</f>
      </c>
      <c r="AA247" s="179">
        <f>SUM(AA243:AA246)</f>
      </c>
      <c r="AB247" s="179">
        <f>SUM(AB243:AB246)</f>
      </c>
      <c r="AC247" s="179">
        <f>SUM(AC243:AC246)</f>
      </c>
      <c r="AD247" s="179">
        <f>SUM(AD243:AD246)</f>
      </c>
      <c r="AE247" s="179">
        <f>SUM(AE243:AE246)</f>
      </c>
      <c r="AF247" s="179">
        <f>SUM(AF243:AF246)</f>
      </c>
      <c r="AG247" s="179">
        <f>SUM(AG243:AG246)</f>
      </c>
      <c r="AH247" s="179">
        <f>SUM(AH243:AH246)</f>
      </c>
      <c r="AI247" s="179">
        <f>SUM(AI243:AI246)</f>
      </c>
    </row>
    <row customHeight="true" ht="16.071428571428573" r="248">
      <c r="A248" s="149"/>
      <c r="B248" s="202" t="s">
        <v>129</v>
      </c>
      <c r="C248" s="202"/>
      <c r="D248" s="203">
        <f>SUM(D247+D227+D232+D242+D237)</f>
      </c>
      <c r="E248" s="203">
        <f>SUM(E247+E227+E232+E242+E237)</f>
      </c>
      <c r="F248" s="205">
        <f t="shared" si="430"/>
      </c>
      <c r="G248" s="206">
        <f>SUM(G247+G227+G232+G242+G237)</f>
      </c>
      <c r="H248" s="207">
        <f t="shared" si="460"/>
      </c>
      <c r="I248" s="208">
        <f t="shared" si="370"/>
      </c>
      <c r="J248" s="209">
        <f t="shared" si="400"/>
      </c>
      <c r="K248" s="205">
        <f t="shared" si="310"/>
      </c>
      <c r="L248" s="210">
        <f t="shared" si="340"/>
      </c>
      <c r="M248" s="210">
        <f t="shared" si="220"/>
      </c>
      <c r="N248" s="211">
        <f t="shared" si="250"/>
      </c>
      <c r="O248" s="211">
        <f t="shared" si="280"/>
      </c>
      <c r="P248" s="211">
        <f t="shared" si="160"/>
      </c>
      <c r="Q248" s="211">
        <f t="shared" si="190"/>
      </c>
      <c r="R248" s="212">
        <f t="shared" si="100"/>
      </c>
      <c r="S248" s="213">
        <f t="shared" si="130"/>
      </c>
      <c r="T248" s="214">
        <f t="shared" si="40"/>
      </c>
      <c r="U248" s="214">
        <f t="shared" si="70"/>
      </c>
      <c r="V248" s="214">
        <f t="shared" si="490"/>
      </c>
      <c r="W248" s="214">
        <f t="shared" si="10"/>
      </c>
      <c r="X248" s="214"/>
      <c r="Y248" s="215"/>
      <c r="Z248" s="216">
        <f>SUM(Z227+Z247+Z232+Z242+Z237)</f>
      </c>
      <c r="AA248" s="216">
        <f>SUM(AA227+AA247+AA232+AA242+AA237)</f>
      </c>
      <c r="AB248" s="216">
        <f>SUM(AB227+AB247+AB232+AB242+AB237)</f>
      </c>
      <c r="AC248" s="216">
        <f>SUM(AC227+AC247+AC232+AC242+AC237)</f>
      </c>
      <c r="AD248" s="216">
        <f>SUM(AD227+AD247+AD232+AD242+AD237)</f>
      </c>
      <c r="AE248" s="216">
        <f>SUM(AE227+AE247+AE232+AE242+AE237)</f>
      </c>
      <c r="AF248" s="216">
        <f>SUM(AF227+AF247+AF232+AF242+AF237)</f>
      </c>
      <c r="AG248" s="216">
        <f>SUM(AG227+AG247+AG232+AG242+AG237)</f>
      </c>
      <c r="AH248" s="216">
        <f>SUM(AH227+AH247+AH232+AH242+AH237)</f>
      </c>
      <c r="AI248" s="216">
        <f>SUM(AI227+AI247+AI232+AI242+AI237)</f>
      </c>
    </row>
    <row customHeight="true" ht="16.071428571428573" r="249">
      <c r="A249" s="133" t="s">
        <v>70</v>
      </c>
      <c r="B249" s="134" t="s">
        <v>71</v>
      </c>
      <c r="C249" s="135" t="s">
        <v>72</v>
      </c>
      <c r="D249" s="136" t="s">
        <v>73</v>
      </c>
      <c r="E249" s="137" t="s">
        <v>74</v>
      </c>
      <c r="F249" s="138" t="s">
        <v>75</v>
      </c>
      <c r="G249" s="139" t="s">
        <v>76</v>
      </c>
      <c r="H249" s="138" t="s">
        <v>77</v>
      </c>
      <c r="I249" s="139" t="s">
        <v>78</v>
      </c>
      <c r="J249" s="140" t="s">
        <v>79</v>
      </c>
      <c r="K249" s="140" t="s">
        <v>80</v>
      </c>
      <c r="L249" s="141" t="s">
        <v>81</v>
      </c>
      <c r="M249" s="141" t="s">
        <v>82</v>
      </c>
      <c r="N249" s="141" t="s">
        <v>83</v>
      </c>
      <c r="O249" s="141" t="s">
        <v>84</v>
      </c>
      <c r="P249" s="141" t="s">
        <v>85</v>
      </c>
      <c r="Q249" s="141" t="s">
        <v>86</v>
      </c>
      <c r="R249" s="141" t="s">
        <v>87</v>
      </c>
      <c r="S249" s="141" t="s">
        <v>88</v>
      </c>
      <c r="T249" s="142" t="s">
        <v>89</v>
      </c>
      <c r="U249" s="142" t="s">
        <v>90</v>
      </c>
      <c r="V249" s="142" t="s">
        <v>91</v>
      </c>
      <c r="W249" s="142" t="s">
        <v>92</v>
      </c>
      <c r="X249" s="143" t="s">
        <v>93</v>
      </c>
      <c r="Y249" s="143" t="s">
        <v>94</v>
      </c>
      <c r="Z249" s="144" t="s">
        <v>95</v>
      </c>
      <c r="AA249" s="144" t="s">
        <v>96</v>
      </c>
      <c r="AB249" s="144" t="s">
        <v>97</v>
      </c>
      <c r="AC249" s="145" t="s">
        <v>98</v>
      </c>
      <c r="AD249" s="145" t="s">
        <v>99</v>
      </c>
      <c r="AE249" s="146" t="s">
        <v>100</v>
      </c>
      <c r="AF249" s="145" t="s">
        <v>101</v>
      </c>
      <c r="AG249" s="145" t="s">
        <v>102</v>
      </c>
      <c r="AH249" s="147" t="s">
        <v>103</v>
      </c>
      <c r="AI249" s="148" t="s">
        <v>104</v>
      </c>
    </row>
    <row customHeight="true" ht="16.071428571428573" r="250">
      <c r="A250" s="149">
        <v>46277</v>
      </c>
      <c r="B250" s="150" t="s">
        <v>124</v>
      </c>
      <c r="C250" s="151" t="s">
        <v>135</v>
      </c>
      <c r="D250" s="152">
        <v>1838.7399999999998</v>
      </c>
      <c r="E250" s="153">
        <v>5</v>
      </c>
      <c r="F250" s="154">
        <f t="shared" ref="F250:F275" si="431">D250/E250</f>
      </c>
      <c r="G250" s="155">
        <v>1708</v>
      </c>
      <c r="H250" s="156">
        <f t="shared" ref="H250:H275" si="461">AD250</f>
      </c>
      <c r="I250" s="157">
        <f t="shared" ref="I250:I275" si="371">D250/AD250</f>
      </c>
      <c r="J250" s="158">
        <f t="shared" ref="J250:J275" si="401">G250/E250</f>
      </c>
      <c r="K250" s="159">
        <f t="shared" ref="K250:K275" si="311">G250/D250</f>
      </c>
      <c r="L250" s="160">
        <f t="shared" ref="L250:L275" si="341">D250/AB250</f>
      </c>
      <c r="M250" s="158">
        <f t="shared" ref="M250:M275" si="221">D250/AC250</f>
      </c>
      <c r="N250" s="161">
        <f t="shared" ref="N250:N275" si="251">AC250/AB250</f>
      </c>
      <c r="O250" s="161">
        <f t="shared" ref="O250:O275" si="281">AD250/AC250</f>
      </c>
      <c r="P250" s="161">
        <f t="shared" ref="P250:P275" si="161">AA250/Z250</f>
      </c>
      <c r="Q250" s="161">
        <f t="shared" ref="Q250:Q275" si="191">AD250/AA250</f>
      </c>
      <c r="R250" s="158">
        <f t="shared" ref="R250:R275" si="101">D250/Z250*1000</f>
      </c>
      <c r="S250" s="159">
        <f t="shared" ref="S250:S275" si="131">D250/AA250</f>
      </c>
      <c r="T250" s="161">
        <f t="shared" ref="T250:T275" si="41">AE250/AB250</f>
      </c>
      <c r="U250" s="161">
        <f t="shared" ref="U250:U275" si="71">AF250/AB250</f>
      </c>
      <c r="V250" s="161">
        <f t="shared" ref="V250:V275" si="491">AG250/AB250</f>
      </c>
      <c r="W250" s="161">
        <f t="shared" ref="W250:W275" si="11">AH250/AB250</f>
      </c>
      <c r="X250" s="162" t="s">
        <v>107</v>
      </c>
      <c r="Y250" s="163" t="s">
        <v>120</v>
      </c>
      <c r="Z250" s="164">
        <v>84573</v>
      </c>
      <c r="AA250" s="164">
        <v>30264</v>
      </c>
      <c r="AB250" s="164">
        <v>132689</v>
      </c>
      <c r="AC250" s="164">
        <v>745</v>
      </c>
      <c r="AD250" s="165">
        <v>6</v>
      </c>
      <c r="AE250" s="164">
        <v>15494</v>
      </c>
      <c r="AF250" s="166">
        <v>309</v>
      </c>
      <c r="AG250" s="166">
        <v>89</v>
      </c>
      <c r="AH250" s="166">
        <v>9</v>
      </c>
      <c r="AI250" s="167">
        <v>0</v>
      </c>
    </row>
    <row customHeight="true" ht="16.071428571428573" r="251">
      <c r="A251" s="149"/>
      <c r="B251" s="150" t="s">
        <v>124</v>
      </c>
      <c r="C251" s="168" t="s">
        <v>136</v>
      </c>
      <c r="D251" s="152">
        <v>2085.7929999999997</v>
      </c>
      <c r="E251" s="153">
        <v>5</v>
      </c>
      <c r="F251" s="154">
        <f t="shared" si="431"/>
      </c>
      <c r="G251" s="155">
        <v>1740</v>
      </c>
      <c r="H251" s="156">
        <f t="shared" si="461"/>
      </c>
      <c r="I251" s="157">
        <f t="shared" si="371"/>
      </c>
      <c r="J251" s="158">
        <f t="shared" si="401"/>
      </c>
      <c r="K251" s="159">
        <f t="shared" si="311"/>
      </c>
      <c r="L251" s="160">
        <f t="shared" si="341"/>
      </c>
      <c r="M251" s="158">
        <f t="shared" si="221"/>
      </c>
      <c r="N251" s="161">
        <f t="shared" si="251"/>
      </c>
      <c r="O251" s="161">
        <f t="shared" si="281"/>
      </c>
      <c r="P251" s="161">
        <f t="shared" si="161"/>
      </c>
      <c r="Q251" s="161">
        <f t="shared" si="191"/>
      </c>
      <c r="R251" s="158">
        <f t="shared" si="101"/>
      </c>
      <c r="S251" s="159">
        <f t="shared" si="131"/>
      </c>
      <c r="T251" s="161">
        <f t="shared" si="41"/>
      </c>
      <c r="U251" s="161">
        <f t="shared" si="71"/>
      </c>
      <c r="V251" s="161">
        <f t="shared" si="491"/>
      </c>
      <c r="W251" s="161">
        <f t="shared" si="11"/>
      </c>
      <c r="X251" s="169" t="s">
        <v>107</v>
      </c>
      <c r="Y251" s="163" t="s">
        <v>120</v>
      </c>
      <c r="Z251" s="166">
        <v>76457</v>
      </c>
      <c r="AA251" s="164">
        <v>27051</v>
      </c>
      <c r="AB251" s="164">
        <v>123758</v>
      </c>
      <c r="AC251" s="164">
        <v>678</v>
      </c>
      <c r="AD251" s="166">
        <v>6</v>
      </c>
      <c r="AE251" s="164">
        <v>14620</v>
      </c>
      <c r="AF251" s="166">
        <v>281</v>
      </c>
      <c r="AG251" s="166">
        <v>75</v>
      </c>
      <c r="AH251" s="165">
        <v>9</v>
      </c>
      <c r="AI251" s="167">
        <v>0</v>
      </c>
    </row>
    <row customHeight="true" ht="16.071428571428573" r="252">
      <c r="A252" s="149"/>
      <c r="B252" s="150" t="s">
        <v>124</v>
      </c>
      <c r="C252" s="170" t="s">
        <v>106</v>
      </c>
      <c r="D252" s="171">
        <v>1955.4039999999998</v>
      </c>
      <c r="E252" s="172">
        <v>11</v>
      </c>
      <c r="F252" s="154">
        <f t="shared" si="431"/>
      </c>
      <c r="G252" s="172">
        <v>2210.3</v>
      </c>
      <c r="H252" s="156">
        <f t="shared" si="461"/>
      </c>
      <c r="I252" s="157">
        <f t="shared" si="371"/>
      </c>
      <c r="J252" s="158">
        <f t="shared" si="401"/>
      </c>
      <c r="K252" s="159">
        <f t="shared" si="311"/>
      </c>
      <c r="L252" s="160">
        <f t="shared" si="341"/>
      </c>
      <c r="M252" s="158">
        <f t="shared" si="221"/>
      </c>
      <c r="N252" s="161">
        <f t="shared" si="251"/>
      </c>
      <c r="O252" s="161">
        <f t="shared" si="281"/>
      </c>
      <c r="P252" s="161">
        <f t="shared" si="161"/>
      </c>
      <c r="Q252" s="161">
        <f t="shared" si="191"/>
      </c>
      <c r="R252" s="158">
        <f t="shared" si="101"/>
      </c>
      <c r="S252" s="159">
        <f t="shared" si="131"/>
      </c>
      <c r="T252" s="161">
        <f t="shared" si="41"/>
      </c>
      <c r="U252" s="161">
        <f t="shared" si="71"/>
      </c>
      <c r="V252" s="161">
        <f t="shared" si="491"/>
      </c>
      <c r="W252" s="161">
        <f t="shared" si="11"/>
      </c>
      <c r="X252" s="169" t="s">
        <v>107</v>
      </c>
      <c r="Y252" s="163" t="s">
        <v>120</v>
      </c>
      <c r="Z252" s="166">
        <v>74961</v>
      </c>
      <c r="AA252" s="166">
        <v>23456</v>
      </c>
      <c r="AB252" s="166">
        <v>129076</v>
      </c>
      <c r="AC252" s="166">
        <v>632</v>
      </c>
      <c r="AD252" s="166">
        <v>11</v>
      </c>
      <c r="AE252" s="166">
        <v>13260</v>
      </c>
      <c r="AF252" s="166">
        <v>218</v>
      </c>
      <c r="AG252" s="166">
        <v>40</v>
      </c>
      <c r="AH252" s="166">
        <v>17</v>
      </c>
      <c r="AI252" s="167">
        <v>0</v>
      </c>
    </row>
    <row customHeight="true" ht="16.071428571428573" r="253">
      <c r="A253" s="149"/>
      <c r="B253" s="150" t="s">
        <v>124</v>
      </c>
      <c r="C253" s="173" t="s">
        <v>109</v>
      </c>
      <c r="D253" s="171">
        <v>3234.1330000000003</v>
      </c>
      <c r="E253" s="172">
        <v>11</v>
      </c>
      <c r="F253" s="154">
        <f t="shared" si="431"/>
      </c>
      <c r="G253" s="172">
        <v>4067.6000000000013</v>
      </c>
      <c r="H253" s="156">
        <f t="shared" si="461"/>
      </c>
      <c r="I253" s="157">
        <f t="shared" si="371"/>
      </c>
      <c r="J253" s="158">
        <f t="shared" si="401"/>
      </c>
      <c r="K253" s="159">
        <f t="shared" si="311"/>
      </c>
      <c r="L253" s="174">
        <f t="shared" si="341"/>
      </c>
      <c r="M253" s="175">
        <f t="shared" si="221"/>
      </c>
      <c r="N253" s="176">
        <f t="shared" si="251"/>
      </c>
      <c r="O253" s="176">
        <f t="shared" si="281"/>
      </c>
      <c r="P253" s="176">
        <f t="shared" si="161"/>
      </c>
      <c r="Q253" s="176">
        <f t="shared" si="191"/>
      </c>
      <c r="R253" s="175">
        <f t="shared" si="101"/>
      </c>
      <c r="S253" s="177">
        <f t="shared" si="131"/>
      </c>
      <c r="T253" s="176">
        <f t="shared" si="41"/>
      </c>
      <c r="U253" s="176">
        <f t="shared" si="71"/>
      </c>
      <c r="V253" s="176">
        <f t="shared" si="491"/>
      </c>
      <c r="W253" s="176">
        <f t="shared" si="11"/>
      </c>
      <c r="X253" s="169" t="s">
        <v>107</v>
      </c>
      <c r="Y253" s="163" t="s">
        <v>120</v>
      </c>
      <c r="Z253" s="166">
        <v>153039</v>
      </c>
      <c r="AA253" s="166">
        <v>26368</v>
      </c>
      <c r="AB253" s="166">
        <v>275808</v>
      </c>
      <c r="AC253" s="166">
        <v>990</v>
      </c>
      <c r="AD253" s="166">
        <v>9</v>
      </c>
      <c r="AE253" s="166">
        <v>20466</v>
      </c>
      <c r="AF253" s="166">
        <v>322</v>
      </c>
      <c r="AG253" s="166">
        <v>60</v>
      </c>
      <c r="AH253" s="165">
        <v>13</v>
      </c>
      <c r="AI253" s="167">
        <v>2</v>
      </c>
    </row>
    <row customHeight="true" ht="16.071428571428573" r="254">
      <c r="A254" s="149"/>
      <c r="B254" s="178" t="s">
        <v>112</v>
      </c>
      <c r="C254" s="178"/>
      <c r="D254" s="179">
        <f>SUM(D250:D253)</f>
      </c>
      <c r="E254" s="180">
        <f>SUM(E250:E253)</f>
      </c>
      <c r="F254" s="181">
        <f t="shared" si="431"/>
      </c>
      <c r="G254" s="182">
        <f>SUM(G250:G253)</f>
      </c>
      <c r="H254" s="183">
        <f t="shared" si="461"/>
      </c>
      <c r="I254" s="184">
        <f t="shared" si="371"/>
      </c>
      <c r="J254" s="185">
        <f t="shared" si="401"/>
      </c>
      <c r="K254" s="181">
        <f t="shared" si="311"/>
      </c>
      <c r="L254" s="186">
        <f t="shared" si="341"/>
      </c>
      <c r="M254" s="185">
        <f t="shared" si="221"/>
      </c>
      <c r="N254" s="187">
        <f t="shared" si="251"/>
      </c>
      <c r="O254" s="187">
        <f t="shared" si="281"/>
      </c>
      <c r="P254" s="187">
        <f t="shared" si="161"/>
      </c>
      <c r="Q254" s="187">
        <f t="shared" si="191"/>
      </c>
      <c r="R254" s="185">
        <f t="shared" si="101"/>
      </c>
      <c r="S254" s="181">
        <f t="shared" si="131"/>
      </c>
      <c r="T254" s="187">
        <f t="shared" si="41"/>
      </c>
      <c r="U254" s="187">
        <f t="shared" si="71"/>
      </c>
      <c r="V254" s="187">
        <f t="shared" si="491"/>
      </c>
      <c r="W254" s="187">
        <f t="shared" si="11"/>
      </c>
      <c r="X254" s="187"/>
      <c r="Y254" s="188"/>
      <c r="Z254" s="179">
        <f>SUM(Z250:Z253)</f>
      </c>
      <c r="AA254" s="179">
        <f>SUM(AA250:AA253)</f>
      </c>
      <c r="AB254" s="179">
        <f>SUM(AB250:AB253)</f>
      </c>
      <c r="AC254" s="179">
        <f>SUM(AC250:AC253)</f>
      </c>
      <c r="AD254" s="179">
        <f>SUM(AD250:AD253)</f>
      </c>
      <c r="AE254" s="179">
        <f>SUM(AE250:AE253)</f>
      </c>
      <c r="AF254" s="179">
        <f>SUM(AF250:AF253)</f>
      </c>
      <c r="AG254" s="179">
        <f>SUM(AG250:AG253)</f>
      </c>
      <c r="AH254" s="179">
        <f>SUM(AH250:AH253)</f>
      </c>
      <c r="AI254" s="179">
        <f>SUM(AI250:AI253)</f>
      </c>
    </row>
    <row customHeight="true" ht="16.071428571428573" r="255">
      <c r="A255" s="149"/>
      <c r="B255" s="150" t="s">
        <v>130</v>
      </c>
      <c r="C255" s="173" t="s">
        <v>110</v>
      </c>
      <c r="D255" s="190">
        <v>3958.474</v>
      </c>
      <c r="E255" s="191">
        <v>8</v>
      </c>
      <c r="F255" s="154">
        <f t="shared" si="431"/>
      </c>
      <c r="G255" s="172">
        <v>3549.2000000000007</v>
      </c>
      <c r="H255" s="156">
        <f t="shared" si="461"/>
      </c>
      <c r="I255" s="157">
        <f t="shared" si="371"/>
      </c>
      <c r="J255" s="158">
        <f t="shared" si="401"/>
      </c>
      <c r="K255" s="159">
        <f t="shared" si="311"/>
      </c>
      <c r="L255" s="160">
        <f t="shared" si="341"/>
      </c>
      <c r="M255" s="158">
        <f t="shared" si="221"/>
      </c>
      <c r="N255" s="161">
        <f t="shared" si="251"/>
      </c>
      <c r="O255" s="161">
        <f t="shared" si="281"/>
      </c>
      <c r="P255" s="161">
        <f t="shared" si="161"/>
      </c>
      <c r="Q255" s="161">
        <f t="shared" si="191"/>
      </c>
      <c r="R255" s="158">
        <f t="shared" si="101"/>
      </c>
      <c r="S255" s="159">
        <f t="shared" si="131"/>
      </c>
      <c r="T255" s="161">
        <f t="shared" si="41"/>
      </c>
      <c r="U255" s="161">
        <f t="shared" si="71"/>
      </c>
      <c r="V255" s="161">
        <f t="shared" si="491"/>
      </c>
      <c r="W255" s="161">
        <f t="shared" si="11"/>
      </c>
      <c r="X255" s="169" t="s">
        <v>107</v>
      </c>
      <c r="Y255" s="163" t="s">
        <v>120</v>
      </c>
      <c r="Z255" s="166">
        <v>199220</v>
      </c>
      <c r="AA255" s="166">
        <v>19274</v>
      </c>
      <c r="AB255" s="166">
        <v>380491</v>
      </c>
      <c r="AC255" s="166">
        <v>1088</v>
      </c>
      <c r="AD255" s="166">
        <v>8</v>
      </c>
      <c r="AE255" s="166">
        <v>25415</v>
      </c>
      <c r="AF255" s="166">
        <v>230</v>
      </c>
      <c r="AG255" s="166">
        <v>53</v>
      </c>
      <c r="AH255" s="166">
        <v>17</v>
      </c>
      <c r="AI255" s="167">
        <v>2</v>
      </c>
    </row>
    <row customHeight="true" ht="16.071428571428573" r="256">
      <c r="A256" s="149"/>
      <c r="B256" s="150" t="s">
        <v>130</v>
      </c>
      <c r="C256" s="192" t="s">
        <v>111</v>
      </c>
      <c r="D256" s="171">
        <v>1565.206</v>
      </c>
      <c r="E256" s="172">
        <v>9</v>
      </c>
      <c r="F256" s="154">
        <f t="shared" si="431"/>
      </c>
      <c r="G256" s="172">
        <v>1853</v>
      </c>
      <c r="H256" s="156">
        <f t="shared" si="461"/>
      </c>
      <c r="I256" s="157">
        <f t="shared" si="371"/>
      </c>
      <c r="J256" s="158">
        <f t="shared" si="401"/>
      </c>
      <c r="K256" s="159">
        <f t="shared" si="311"/>
      </c>
      <c r="L256" s="160">
        <f t="shared" si="341"/>
      </c>
      <c r="M256" s="158">
        <f t="shared" si="221"/>
      </c>
      <c r="N256" s="161">
        <f t="shared" si="251"/>
      </c>
      <c r="O256" s="161">
        <f t="shared" si="281"/>
      </c>
      <c r="P256" s="161">
        <f t="shared" si="161"/>
      </c>
      <c r="Q256" s="161">
        <f t="shared" si="191"/>
      </c>
      <c r="R256" s="158">
        <f t="shared" si="101"/>
      </c>
      <c r="S256" s="159">
        <f t="shared" si="131"/>
      </c>
      <c r="T256" s="161">
        <f t="shared" si="41"/>
      </c>
      <c r="U256" s="161">
        <f t="shared" si="71"/>
      </c>
      <c r="V256" s="161">
        <f t="shared" si="491"/>
      </c>
      <c r="W256" s="161">
        <f t="shared" si="11"/>
      </c>
      <c r="X256" s="169" t="s">
        <v>107</v>
      </c>
      <c r="Y256" s="163" t="s">
        <v>120</v>
      </c>
      <c r="Z256" s="166">
        <v>59565</v>
      </c>
      <c r="AA256" s="166">
        <v>8234</v>
      </c>
      <c r="AB256" s="166">
        <v>111852</v>
      </c>
      <c r="AC256" s="166">
        <v>343</v>
      </c>
      <c r="AD256" s="166">
        <v>5</v>
      </c>
      <c r="AE256" s="166">
        <v>7289</v>
      </c>
      <c r="AF256" s="166">
        <v>76</v>
      </c>
      <c r="AG256" s="166">
        <v>12</v>
      </c>
      <c r="AH256" s="166">
        <v>9</v>
      </c>
      <c r="AI256" s="167">
        <v>1</v>
      </c>
    </row>
    <row customHeight="true" ht="16.071428571428573" r="257">
      <c r="A257" s="149"/>
      <c r="B257" s="150" t="s">
        <v>130</v>
      </c>
      <c r="C257" s="193" t="s">
        <v>114</v>
      </c>
      <c r="D257" s="171">
        <v>2725.728</v>
      </c>
      <c r="E257" s="172">
        <v>10</v>
      </c>
      <c r="F257" s="154">
        <f t="shared" si="431"/>
      </c>
      <c r="G257" s="172">
        <v>3628</v>
      </c>
      <c r="H257" s="156">
        <f t="shared" si="461"/>
      </c>
      <c r="I257" s="157">
        <f t="shared" si="371"/>
      </c>
      <c r="J257" s="158">
        <f t="shared" si="401"/>
      </c>
      <c r="K257" s="159">
        <f t="shared" si="311"/>
      </c>
      <c r="L257" s="174">
        <f t="shared" si="341"/>
      </c>
      <c r="M257" s="175">
        <f t="shared" si="221"/>
      </c>
      <c r="N257" s="176">
        <f t="shared" si="251"/>
      </c>
      <c r="O257" s="176">
        <f t="shared" si="281"/>
      </c>
      <c r="P257" s="176">
        <f t="shared" si="161"/>
      </c>
      <c r="Q257" s="176">
        <f t="shared" si="191"/>
      </c>
      <c r="R257" s="175">
        <f t="shared" si="101"/>
      </c>
      <c r="S257" s="177">
        <f t="shared" si="131"/>
      </c>
      <c r="T257" s="176">
        <f t="shared" si="41"/>
      </c>
      <c r="U257" s="176">
        <f t="shared" si="71"/>
      </c>
      <c r="V257" s="176">
        <f t="shared" si="491"/>
      </c>
      <c r="W257" s="176">
        <f t="shared" si="11"/>
      </c>
      <c r="X257" s="169" t="s">
        <v>107</v>
      </c>
      <c r="Y257" s="163" t="s">
        <v>120</v>
      </c>
      <c r="Z257" s="166">
        <v>128358</v>
      </c>
      <c r="AA257" s="166">
        <v>20774</v>
      </c>
      <c r="AB257" s="166">
        <v>270246</v>
      </c>
      <c r="AC257" s="166">
        <v>776</v>
      </c>
      <c r="AD257" s="166">
        <v>10</v>
      </c>
      <c r="AE257" s="166">
        <v>16602</v>
      </c>
      <c r="AF257" s="166">
        <v>173</v>
      </c>
      <c r="AG257" s="166">
        <v>31</v>
      </c>
      <c r="AH257" s="165">
        <v>8</v>
      </c>
      <c r="AI257" s="167">
        <v>0</v>
      </c>
    </row>
    <row customHeight="true" ht="16.071428571428573" r="258">
      <c r="A258" s="149"/>
      <c r="B258" s="150" t="s">
        <v>130</v>
      </c>
      <c r="C258" s="194" t="s">
        <v>115</v>
      </c>
      <c r="D258" s="195">
        <v>2869.66</v>
      </c>
      <c r="E258" s="172">
        <v>7</v>
      </c>
      <c r="F258" s="154">
        <f t="shared" si="431"/>
      </c>
      <c r="G258" s="172">
        <v>1304.0400000000009</v>
      </c>
      <c r="H258" s="156">
        <f t="shared" si="461"/>
      </c>
      <c r="I258" s="157">
        <f t="shared" si="371"/>
      </c>
      <c r="J258" s="158">
        <f t="shared" si="401"/>
      </c>
      <c r="K258" s="159">
        <f t="shared" si="311"/>
      </c>
      <c r="L258" s="174">
        <f t="shared" si="341"/>
      </c>
      <c r="M258" s="175">
        <f t="shared" si="221"/>
      </c>
      <c r="N258" s="176">
        <f t="shared" si="251"/>
      </c>
      <c r="O258" s="176">
        <f t="shared" si="281"/>
      </c>
      <c r="P258" s="176">
        <f t="shared" si="161"/>
      </c>
      <c r="Q258" s="176">
        <f t="shared" si="191"/>
      </c>
      <c r="R258" s="175">
        <f t="shared" si="101"/>
      </c>
      <c r="S258" s="177">
        <f t="shared" si="131"/>
      </c>
      <c r="T258" s="176">
        <f t="shared" si="41"/>
      </c>
      <c r="U258" s="176">
        <f t="shared" si="71"/>
      </c>
      <c r="V258" s="176">
        <f t="shared" si="491"/>
      </c>
      <c r="W258" s="176">
        <f t="shared" si="11"/>
      </c>
      <c r="X258" s="169" t="s">
        <v>107</v>
      </c>
      <c r="Y258" s="163" t="s">
        <v>120</v>
      </c>
      <c r="Z258" s="166">
        <v>150904</v>
      </c>
      <c r="AA258" s="166">
        <v>19969</v>
      </c>
      <c r="AB258" s="166">
        <v>265084</v>
      </c>
      <c r="AC258" s="166">
        <v>833</v>
      </c>
      <c r="AD258" s="166">
        <v>6</v>
      </c>
      <c r="AE258" s="166">
        <v>15310</v>
      </c>
      <c r="AF258" s="166">
        <v>185</v>
      </c>
      <c r="AG258" s="166">
        <v>53</v>
      </c>
      <c r="AH258" s="165">
        <v>23</v>
      </c>
      <c r="AI258" s="167">
        <v>1</v>
      </c>
    </row>
    <row customHeight="true" ht="16.071428571428573" r="259">
      <c r="A259" s="149"/>
      <c r="B259" s="178" t="s">
        <v>112</v>
      </c>
      <c r="C259" s="178"/>
      <c r="D259" s="179">
        <f>SUM(D255:D258)</f>
      </c>
      <c r="E259" s="180">
        <f>SUM(E255:E258)</f>
      </c>
      <c r="F259" s="181">
        <f t="shared" si="431"/>
      </c>
      <c r="G259" s="182">
        <f>SUM(G255:G258)</f>
      </c>
      <c r="H259" s="183">
        <f t="shared" si="461"/>
      </c>
      <c r="I259" s="184">
        <f t="shared" si="371"/>
      </c>
      <c r="J259" s="185">
        <f t="shared" si="401"/>
      </c>
      <c r="K259" s="181">
        <f t="shared" si="311"/>
      </c>
      <c r="L259" s="186">
        <f t="shared" si="341"/>
      </c>
      <c r="M259" s="185">
        <f t="shared" si="221"/>
      </c>
      <c r="N259" s="187">
        <f t="shared" si="251"/>
      </c>
      <c r="O259" s="187">
        <f t="shared" si="281"/>
      </c>
      <c r="P259" s="187">
        <f t="shared" si="161"/>
      </c>
      <c r="Q259" s="187">
        <f t="shared" si="191"/>
      </c>
      <c r="R259" s="185">
        <f t="shared" si="101"/>
      </c>
      <c r="S259" s="181">
        <f t="shared" si="131"/>
      </c>
      <c r="T259" s="187">
        <f t="shared" si="41"/>
      </c>
      <c r="U259" s="187">
        <f t="shared" si="71"/>
      </c>
      <c r="V259" s="187">
        <f t="shared" si="491"/>
      </c>
      <c r="W259" s="187">
        <f t="shared" si="11"/>
      </c>
      <c r="X259" s="187"/>
      <c r="Y259" s="188"/>
      <c r="Z259" s="179">
        <f>SUM(Z255:Z258)</f>
      </c>
      <c r="AA259" s="179">
        <f>SUM(AA255:AA258)</f>
      </c>
      <c r="AB259" s="179">
        <f>SUM(AB255:AB258)</f>
      </c>
      <c r="AC259" s="179">
        <f>SUM(AC255:AC258)</f>
      </c>
      <c r="AD259" s="179">
        <f>SUM(AD255:AD258)</f>
      </c>
      <c r="AE259" s="179">
        <f>SUM(AE255:AE258)</f>
      </c>
      <c r="AF259" s="179">
        <f>SUM(AF255:AF258)</f>
      </c>
      <c r="AG259" s="179">
        <f>SUM(AG255:AG258)</f>
      </c>
      <c r="AH259" s="179">
        <f>SUM(AH255:AH258)</f>
      </c>
      <c r="AI259" s="179">
        <f>SUM(AI255:AI258)</f>
      </c>
    </row>
    <row customHeight="true" ht="16.071428571428573" r="260">
      <c r="A260" s="149"/>
      <c r="B260" s="150" t="s">
        <v>131</v>
      </c>
      <c r="C260" s="196" t="s">
        <v>116</v>
      </c>
      <c r="D260" s="171">
        <v>2771.041</v>
      </c>
      <c r="E260" s="172">
        <v>7</v>
      </c>
      <c r="F260" s="154">
        <f t="shared" si="431"/>
      </c>
      <c r="G260" s="172">
        <v>1427.9000000000015</v>
      </c>
      <c r="H260" s="156">
        <f t="shared" si="461"/>
      </c>
      <c r="I260" s="157">
        <f t="shared" si="371"/>
      </c>
      <c r="J260" s="158">
        <f t="shared" si="401"/>
      </c>
      <c r="K260" s="159">
        <f t="shared" si="311"/>
      </c>
      <c r="L260" s="160">
        <f t="shared" si="341"/>
      </c>
      <c r="M260" s="158">
        <f t="shared" si="221"/>
      </c>
      <c r="N260" s="161">
        <f t="shared" si="251"/>
      </c>
      <c r="O260" s="161">
        <f t="shared" si="281"/>
      </c>
      <c r="P260" s="161">
        <f t="shared" si="161"/>
      </c>
      <c r="Q260" s="161">
        <f t="shared" si="191"/>
      </c>
      <c r="R260" s="158">
        <f t="shared" si="101"/>
      </c>
      <c r="S260" s="159">
        <f t="shared" si="131"/>
      </c>
      <c r="T260" s="161">
        <f t="shared" si="41"/>
      </c>
      <c r="U260" s="161">
        <f t="shared" si="71"/>
      </c>
      <c r="V260" s="161">
        <f t="shared" si="491"/>
      </c>
      <c r="W260" s="161">
        <f t="shared" si="11"/>
      </c>
      <c r="X260" s="169" t="s">
        <v>107</v>
      </c>
      <c r="Y260" s="163" t="s">
        <v>120</v>
      </c>
      <c r="Z260" s="166">
        <v>131364</v>
      </c>
      <c r="AA260" s="166">
        <v>19243</v>
      </c>
      <c r="AB260" s="166">
        <v>232760</v>
      </c>
      <c r="AC260" s="166">
        <v>790</v>
      </c>
      <c r="AD260" s="166">
        <v>5</v>
      </c>
      <c r="AE260" s="166">
        <v>13681</v>
      </c>
      <c r="AF260" s="166">
        <v>203</v>
      </c>
      <c r="AG260" s="166">
        <v>50</v>
      </c>
      <c r="AH260" s="166">
        <v>13</v>
      </c>
      <c r="AI260" s="167">
        <v>2</v>
      </c>
    </row>
    <row customHeight="true" ht="16.071428571428573" r="261">
      <c r="A261" s="149"/>
      <c r="B261" s="150" t="s">
        <v>131</v>
      </c>
      <c r="C261" s="197" t="s">
        <v>117</v>
      </c>
      <c r="D261" s="171">
        <v>2668.736</v>
      </c>
      <c r="E261" s="172">
        <v>13</v>
      </c>
      <c r="F261" s="154">
        <f t="shared" si="431"/>
      </c>
      <c r="G261" s="172">
        <v>4610.8</v>
      </c>
      <c r="H261" s="156">
        <f t="shared" si="461"/>
      </c>
      <c r="I261" s="157">
        <f t="shared" si="371"/>
      </c>
      <c r="J261" s="158">
        <f t="shared" si="401"/>
      </c>
      <c r="K261" s="159">
        <f t="shared" si="311"/>
      </c>
      <c r="L261" s="160">
        <f t="shared" si="341"/>
      </c>
      <c r="M261" s="158">
        <f t="shared" si="221"/>
      </c>
      <c r="N261" s="161">
        <f t="shared" si="251"/>
      </c>
      <c r="O261" s="161">
        <f t="shared" si="281"/>
      </c>
      <c r="P261" s="161">
        <f t="shared" si="161"/>
      </c>
      <c r="Q261" s="161">
        <f t="shared" si="191"/>
      </c>
      <c r="R261" s="158">
        <f t="shared" si="101"/>
      </c>
      <c r="S261" s="159">
        <f t="shared" si="131"/>
      </c>
      <c r="T261" s="161">
        <f t="shared" si="41"/>
      </c>
      <c r="U261" s="161">
        <f t="shared" si="71"/>
      </c>
      <c r="V261" s="161">
        <f t="shared" si="491"/>
      </c>
      <c r="W261" s="161">
        <f t="shared" si="11"/>
      </c>
      <c r="X261" s="169" t="s">
        <v>107</v>
      </c>
      <c r="Y261" s="163" t="s">
        <v>120</v>
      </c>
      <c r="Z261" s="166">
        <v>126581</v>
      </c>
      <c r="AA261" s="166">
        <v>22745</v>
      </c>
      <c r="AB261" s="166">
        <v>222655</v>
      </c>
      <c r="AC261" s="166">
        <v>898</v>
      </c>
      <c r="AD261" s="166">
        <v>8</v>
      </c>
      <c r="AE261" s="166">
        <v>13820</v>
      </c>
      <c r="AF261" s="166">
        <v>265</v>
      </c>
      <c r="AG261" s="166">
        <v>42</v>
      </c>
      <c r="AH261" s="165">
        <v>17</v>
      </c>
      <c r="AI261" s="167">
        <v>1</v>
      </c>
    </row>
    <row customHeight="true" ht="16.071428571428573" r="262">
      <c r="A262" s="149"/>
      <c r="B262" s="150" t="s">
        <v>131</v>
      </c>
      <c r="C262" s="194" t="s">
        <v>119</v>
      </c>
      <c r="D262" s="171">
        <v>2737.602</v>
      </c>
      <c r="E262" s="172">
        <v>7</v>
      </c>
      <c r="F262" s="154">
        <f t="shared" si="431"/>
      </c>
      <c r="G262" s="172">
        <v>2600.4</v>
      </c>
      <c r="H262" s="156">
        <f t="shared" si="461"/>
      </c>
      <c r="I262" s="157">
        <f t="shared" si="371"/>
      </c>
      <c r="J262" s="158">
        <f t="shared" si="401"/>
      </c>
      <c r="K262" s="159">
        <f t="shared" si="311"/>
      </c>
      <c r="L262" s="174">
        <f t="shared" si="341"/>
      </c>
      <c r="M262" s="175">
        <f t="shared" si="221"/>
      </c>
      <c r="N262" s="176">
        <f t="shared" si="251"/>
      </c>
      <c r="O262" s="176">
        <f t="shared" si="281"/>
      </c>
      <c r="P262" s="176">
        <f t="shared" si="161"/>
      </c>
      <c r="Q262" s="176">
        <f t="shared" si="191"/>
      </c>
      <c r="R262" s="175">
        <f t="shared" si="101"/>
      </c>
      <c r="S262" s="177">
        <f t="shared" si="131"/>
      </c>
      <c r="T262" s="176">
        <f t="shared" si="41"/>
      </c>
      <c r="U262" s="176">
        <f t="shared" si="71"/>
      </c>
      <c r="V262" s="176">
        <f t="shared" si="491"/>
      </c>
      <c r="W262" s="176">
        <f t="shared" si="11"/>
      </c>
      <c r="X262" s="169" t="s">
        <v>107</v>
      </c>
      <c r="Y262" s="163" t="s">
        <v>137</v>
      </c>
      <c r="Z262" s="166">
        <v>132760</v>
      </c>
      <c r="AA262" s="166">
        <v>22784</v>
      </c>
      <c r="AB262" s="166">
        <v>246542</v>
      </c>
      <c r="AC262" s="166">
        <v>898</v>
      </c>
      <c r="AD262" s="166">
        <v>6</v>
      </c>
      <c r="AE262" s="166">
        <v>15271</v>
      </c>
      <c r="AF262" s="166">
        <v>199</v>
      </c>
      <c r="AG262" s="166">
        <v>63</v>
      </c>
      <c r="AH262" s="165">
        <v>15</v>
      </c>
      <c r="AI262" s="167">
        <v>1</v>
      </c>
    </row>
    <row r="263">
      <c r="A263" s="149"/>
      <c r="B263" s="150" t="s">
        <v>131</v>
      </c>
      <c r="C263" s="194" t="s">
        <v>121</v>
      </c>
      <c r="D263" s="195">
        <v>2588.23</v>
      </c>
      <c r="E263" s="172">
        <v>8</v>
      </c>
      <c r="F263" s="154">
        <f t="shared" si="431"/>
      </c>
      <c r="G263" s="172">
        <v>2413.2</v>
      </c>
      <c r="H263" s="156">
        <f t="shared" si="461"/>
      </c>
      <c r="I263" s="157">
        <f t="shared" si="371"/>
      </c>
      <c r="J263" s="158">
        <f t="shared" si="401"/>
      </c>
      <c r="K263" s="159">
        <f t="shared" si="311"/>
      </c>
      <c r="L263" s="174">
        <f t="shared" si="341"/>
      </c>
      <c r="M263" s="175">
        <f t="shared" si="221"/>
      </c>
      <c r="N263" s="176">
        <f t="shared" si="251"/>
      </c>
      <c r="O263" s="176">
        <f t="shared" si="281"/>
      </c>
      <c r="P263" s="176">
        <f t="shared" si="161"/>
      </c>
      <c r="Q263" s="176">
        <f t="shared" si="191"/>
      </c>
      <c r="R263" s="175">
        <f t="shared" si="101"/>
      </c>
      <c r="S263" s="177">
        <f t="shared" si="131"/>
      </c>
      <c r="T263" s="176">
        <f t="shared" si="41"/>
      </c>
      <c r="U263" s="176">
        <f t="shared" si="71"/>
      </c>
      <c r="V263" s="176">
        <f t="shared" si="491"/>
      </c>
      <c r="W263" s="176">
        <f t="shared" si="11"/>
      </c>
      <c r="X263" s="169" t="s">
        <v>107</v>
      </c>
      <c r="Y263" s="163" t="s">
        <v>137</v>
      </c>
      <c r="Z263" s="166">
        <v>111678</v>
      </c>
      <c r="AA263" s="166">
        <v>21621</v>
      </c>
      <c r="AB263" s="166">
        <v>230554</v>
      </c>
      <c r="AC263" s="166">
        <v>728</v>
      </c>
      <c r="AD263" s="166">
        <v>6</v>
      </c>
      <c r="AE263" s="166">
        <v>15241</v>
      </c>
      <c r="AF263" s="166">
        <v>219</v>
      </c>
      <c r="AG263" s="166">
        <v>51</v>
      </c>
      <c r="AH263" s="165">
        <v>13</v>
      </c>
      <c r="AI263" s="167">
        <v>1</v>
      </c>
    </row>
    <row r="264">
      <c r="A264" s="149"/>
      <c r="B264" s="178" t="s">
        <v>112</v>
      </c>
      <c r="C264" s="178"/>
      <c r="D264" s="179">
        <f>SUM(D260:D263)</f>
      </c>
      <c r="E264" s="180">
        <f>SUM(E260:E263)</f>
      </c>
      <c r="F264" s="181">
        <f t="shared" si="431"/>
      </c>
      <c r="G264" s="182">
        <f>SUM(G260:G263)</f>
      </c>
      <c r="H264" s="183">
        <f t="shared" si="461"/>
      </c>
      <c r="I264" s="184">
        <f t="shared" si="371"/>
      </c>
      <c r="J264" s="185">
        <f t="shared" si="401"/>
      </c>
      <c r="K264" s="181">
        <f t="shared" si="311"/>
      </c>
      <c r="L264" s="186">
        <f t="shared" si="341"/>
      </c>
      <c r="M264" s="185">
        <f t="shared" si="221"/>
      </c>
      <c r="N264" s="187">
        <f t="shared" si="251"/>
      </c>
      <c r="O264" s="187">
        <f t="shared" si="281"/>
      </c>
      <c r="P264" s="187">
        <f t="shared" si="161"/>
      </c>
      <c r="Q264" s="187">
        <f t="shared" si="191"/>
      </c>
      <c r="R264" s="185">
        <f t="shared" si="101"/>
      </c>
      <c r="S264" s="181">
        <f t="shared" si="131"/>
      </c>
      <c r="T264" s="187">
        <f t="shared" si="41"/>
      </c>
      <c r="U264" s="187">
        <f t="shared" si="71"/>
      </c>
      <c r="V264" s="187">
        <f t="shared" si="491"/>
      </c>
      <c r="W264" s="187">
        <f t="shared" si="11"/>
      </c>
      <c r="X264" s="187"/>
      <c r="Y264" s="188"/>
      <c r="Z264" s="179">
        <f>SUM(Z260:Z263)</f>
      </c>
      <c r="AA264" s="179">
        <f>SUM(AA260:AA263)</f>
      </c>
      <c r="AB264" s="179">
        <f>SUM(AB260:AB263)</f>
      </c>
      <c r="AC264" s="179">
        <f>SUM(AC260:AC263)</f>
      </c>
      <c r="AD264" s="179">
        <f>SUM(AD260:AD263)</f>
      </c>
      <c r="AE264" s="179">
        <f>SUM(AE260:AE263)</f>
      </c>
      <c r="AF264" s="179">
        <f>SUM(AF260:AF263)</f>
      </c>
      <c r="AG264" s="179">
        <f>SUM(AG260:AG263)</f>
      </c>
      <c r="AH264" s="179">
        <f>SUM(AH260:AH263)</f>
      </c>
      <c r="AI264" s="179">
        <f>SUM(AI260:AI263)</f>
      </c>
    </row>
    <row r="265">
      <c r="A265" s="149"/>
      <c r="B265" s="150" t="s">
        <v>118</v>
      </c>
      <c r="C265" s="196" t="s">
        <v>122</v>
      </c>
      <c r="D265" s="171">
        <v>2926.707</v>
      </c>
      <c r="E265" s="172">
        <v>2</v>
      </c>
      <c r="F265" s="154">
        <f t="shared" si="431"/>
      </c>
      <c r="G265" s="172">
        <v>1024</v>
      </c>
      <c r="H265" s="156">
        <f t="shared" si="461"/>
      </c>
      <c r="I265" s="157">
        <f t="shared" si="371"/>
      </c>
      <c r="J265" s="158">
        <f t="shared" si="401"/>
      </c>
      <c r="K265" s="159">
        <f t="shared" si="311"/>
      </c>
      <c r="L265" s="160">
        <f t="shared" si="341"/>
      </c>
      <c r="M265" s="158">
        <f t="shared" si="221"/>
      </c>
      <c r="N265" s="161">
        <f t="shared" si="251"/>
      </c>
      <c r="O265" s="161">
        <f t="shared" si="281"/>
      </c>
      <c r="P265" s="161">
        <f t="shared" si="161"/>
      </c>
      <c r="Q265" s="161">
        <f t="shared" si="191"/>
      </c>
      <c r="R265" s="158">
        <f t="shared" si="101"/>
      </c>
      <c r="S265" s="159">
        <f t="shared" si="131"/>
      </c>
      <c r="T265" s="161">
        <f t="shared" si="41"/>
      </c>
      <c r="U265" s="161">
        <f t="shared" si="71"/>
      </c>
      <c r="V265" s="161">
        <f t="shared" si="491"/>
      </c>
      <c r="W265" s="161">
        <f t="shared" si="11"/>
      </c>
      <c r="X265" s="169" t="s">
        <v>107</v>
      </c>
      <c r="Y265" s="163" t="s">
        <v>137</v>
      </c>
      <c r="Z265" s="166">
        <v>131704</v>
      </c>
      <c r="AA265" s="166">
        <v>22093</v>
      </c>
      <c r="AB265" s="166">
        <v>277503</v>
      </c>
      <c r="AC265" s="166">
        <v>683</v>
      </c>
      <c r="AD265" s="166">
        <v>2</v>
      </c>
      <c r="AE265" s="166">
        <v>17030</v>
      </c>
      <c r="AF265" s="166">
        <v>172</v>
      </c>
      <c r="AG265" s="166">
        <v>85</v>
      </c>
      <c r="AH265" s="166">
        <v>7</v>
      </c>
      <c r="AI265" s="167">
        <v>0</v>
      </c>
    </row>
    <row r="266">
      <c r="A266" s="149"/>
      <c r="B266" s="150" t="s">
        <v>118</v>
      </c>
      <c r="C266" s="197" t="s">
        <v>123</v>
      </c>
      <c r="D266" s="171">
        <v>3504.478</v>
      </c>
      <c r="E266" s="172">
        <v>13</v>
      </c>
      <c r="F266" s="154">
        <f t="shared" si="431"/>
      </c>
      <c r="G266" s="172">
        <v>4985.6</v>
      </c>
      <c r="H266" s="156">
        <f t="shared" si="461"/>
      </c>
      <c r="I266" s="157">
        <f t="shared" si="371"/>
      </c>
      <c r="J266" s="158">
        <f t="shared" si="401"/>
      </c>
      <c r="K266" s="159">
        <f t="shared" si="311"/>
      </c>
      <c r="L266" s="160">
        <f t="shared" si="341"/>
      </c>
      <c r="M266" s="158">
        <f t="shared" si="221"/>
      </c>
      <c r="N266" s="161">
        <f t="shared" si="251"/>
      </c>
      <c r="O266" s="161">
        <f t="shared" si="281"/>
      </c>
      <c r="P266" s="161">
        <f t="shared" si="161"/>
      </c>
      <c r="Q266" s="161">
        <f t="shared" si="191"/>
      </c>
      <c r="R266" s="158">
        <f t="shared" si="101"/>
      </c>
      <c r="S266" s="159">
        <f t="shared" si="131"/>
      </c>
      <c r="T266" s="161">
        <f t="shared" si="41"/>
      </c>
      <c r="U266" s="161">
        <f t="shared" si="71"/>
      </c>
      <c r="V266" s="161">
        <f t="shared" si="491"/>
      </c>
      <c r="W266" s="161">
        <f t="shared" si="11"/>
      </c>
      <c r="X266" s="169" t="s">
        <v>107</v>
      </c>
      <c r="Y266" s="163" t="s">
        <v>137</v>
      </c>
      <c r="Z266" s="166">
        <v>166616</v>
      </c>
      <c r="AA266" s="166">
        <v>23377</v>
      </c>
      <c r="AB266" s="166">
        <v>314944</v>
      </c>
      <c r="AC266" s="166">
        <v>905</v>
      </c>
      <c r="AD266" s="166">
        <v>9</v>
      </c>
      <c r="AE266" s="166">
        <v>16284</v>
      </c>
      <c r="AF266" s="166">
        <v>182</v>
      </c>
      <c r="AG266" s="166">
        <v>66</v>
      </c>
      <c r="AH266" s="165">
        <v>15</v>
      </c>
      <c r="AI266" s="167">
        <v>2</v>
      </c>
    </row>
    <row r="267">
      <c r="A267" s="149"/>
      <c r="B267" s="150" t="s">
        <v>118</v>
      </c>
      <c r="C267" s="194" t="s">
        <v>125</v>
      </c>
      <c r="D267" s="171">
        <v>3602.836</v>
      </c>
      <c r="E267" s="172">
        <v>11</v>
      </c>
      <c r="F267" s="154">
        <f t="shared" si="431"/>
      </c>
      <c r="G267" s="172">
        <v>3520</v>
      </c>
      <c r="H267" s="156">
        <f t="shared" si="461"/>
      </c>
      <c r="I267" s="157">
        <f t="shared" si="371"/>
      </c>
      <c r="J267" s="158">
        <f t="shared" si="401"/>
      </c>
      <c r="K267" s="159">
        <f t="shared" si="311"/>
      </c>
      <c r="L267" s="174">
        <f t="shared" si="341"/>
      </c>
      <c r="M267" s="175">
        <f t="shared" si="221"/>
      </c>
      <c r="N267" s="176">
        <f t="shared" si="251"/>
      </c>
      <c r="O267" s="176">
        <f t="shared" si="281"/>
      </c>
      <c r="P267" s="176">
        <f t="shared" si="161"/>
      </c>
      <c r="Q267" s="176">
        <f t="shared" si="191"/>
      </c>
      <c r="R267" s="175">
        <f t="shared" si="101"/>
      </c>
      <c r="S267" s="177">
        <f t="shared" si="131"/>
      </c>
      <c r="T267" s="176">
        <f t="shared" si="41"/>
      </c>
      <c r="U267" s="176">
        <f t="shared" si="71"/>
      </c>
      <c r="V267" s="176">
        <f t="shared" si="491"/>
      </c>
      <c r="W267" s="176">
        <f t="shared" si="11"/>
      </c>
      <c r="X267" s="169" t="s">
        <v>107</v>
      </c>
      <c r="Y267" s="163" t="s">
        <v>137</v>
      </c>
      <c r="Z267" s="166">
        <v>196194</v>
      </c>
      <c r="AA267" s="166">
        <v>26235</v>
      </c>
      <c r="AB267" s="166">
        <v>392357</v>
      </c>
      <c r="AC267" s="166">
        <v>955</v>
      </c>
      <c r="AD267" s="166">
        <v>9</v>
      </c>
      <c r="AE267" s="166">
        <v>17510</v>
      </c>
      <c r="AF267" s="166">
        <v>199</v>
      </c>
      <c r="AG267" s="166">
        <v>72</v>
      </c>
      <c r="AH267" s="165">
        <v>15</v>
      </c>
      <c r="AI267" s="167">
        <v>2</v>
      </c>
    </row>
    <row r="268">
      <c r="A268" s="149"/>
      <c r="B268" s="150" t="s">
        <v>118</v>
      </c>
      <c r="C268" s="194" t="s">
        <v>126</v>
      </c>
      <c r="D268" s="195">
        <v>3514.501</v>
      </c>
      <c r="E268" s="172">
        <v>9</v>
      </c>
      <c r="F268" s="154">
        <f t="shared" si="431"/>
      </c>
      <c r="G268" s="172">
        <v>2556.7</v>
      </c>
      <c r="H268" s="156">
        <f t="shared" si="461"/>
      </c>
      <c r="I268" s="157">
        <f t="shared" si="371"/>
      </c>
      <c r="J268" s="158">
        <f t="shared" si="401"/>
      </c>
      <c r="K268" s="159">
        <f t="shared" si="311"/>
      </c>
      <c r="L268" s="174">
        <f t="shared" si="341"/>
      </c>
      <c r="M268" s="175">
        <f t="shared" si="221"/>
      </c>
      <c r="N268" s="176">
        <f t="shared" si="251"/>
      </c>
      <c r="O268" s="176">
        <f t="shared" si="281"/>
      </c>
      <c r="P268" s="176">
        <f t="shared" si="161"/>
      </c>
      <c r="Q268" s="176">
        <f t="shared" si="191"/>
      </c>
      <c r="R268" s="175">
        <f t="shared" si="101"/>
      </c>
      <c r="S268" s="177">
        <f t="shared" si="131"/>
      </c>
      <c r="T268" s="176">
        <f t="shared" si="41"/>
      </c>
      <c r="U268" s="176">
        <f t="shared" si="71"/>
      </c>
      <c r="V268" s="176">
        <f t="shared" si="491"/>
      </c>
      <c r="W268" s="176">
        <f t="shared" si="11"/>
      </c>
      <c r="X268" s="169" t="s">
        <v>107</v>
      </c>
      <c r="Y268" s="163" t="s">
        <v>137</v>
      </c>
      <c r="Z268" s="166">
        <v>213725</v>
      </c>
      <c r="AA268" s="166">
        <v>28417</v>
      </c>
      <c r="AB268" s="166">
        <v>414491</v>
      </c>
      <c r="AC268" s="166">
        <v>1156</v>
      </c>
      <c r="AD268" s="166">
        <v>8</v>
      </c>
      <c r="AE268" s="166">
        <v>18766</v>
      </c>
      <c r="AF268" s="166">
        <v>179</v>
      </c>
      <c r="AG268" s="166">
        <v>81</v>
      </c>
      <c r="AH268" s="165">
        <v>18</v>
      </c>
      <c r="AI268" s="167">
        <v>0</v>
      </c>
    </row>
    <row r="269">
      <c r="A269" s="149"/>
      <c r="B269" s="178" t="s">
        <v>112</v>
      </c>
      <c r="C269" s="178"/>
      <c r="D269" s="179">
        <f>SUM(D265:D268)</f>
      </c>
      <c r="E269" s="180">
        <f>SUM(E265:E268)</f>
      </c>
      <c r="F269" s="181">
        <f t="shared" si="431"/>
      </c>
      <c r="G269" s="182">
        <f>SUM(G265:G268)</f>
      </c>
      <c r="H269" s="183">
        <f t="shared" si="461"/>
      </c>
      <c r="I269" s="184">
        <f t="shared" si="371"/>
      </c>
      <c r="J269" s="185">
        <f t="shared" si="401"/>
      </c>
      <c r="K269" s="181">
        <f t="shared" si="311"/>
      </c>
      <c r="L269" s="186">
        <f t="shared" si="341"/>
      </c>
      <c r="M269" s="185">
        <f t="shared" si="221"/>
      </c>
      <c r="N269" s="187">
        <f t="shared" si="251"/>
      </c>
      <c r="O269" s="187">
        <f t="shared" si="281"/>
      </c>
      <c r="P269" s="187">
        <f t="shared" si="161"/>
      </c>
      <c r="Q269" s="187">
        <f t="shared" si="191"/>
      </c>
      <c r="R269" s="185">
        <f t="shared" si="101"/>
      </c>
      <c r="S269" s="181">
        <f t="shared" si="131"/>
      </c>
      <c r="T269" s="187">
        <f t="shared" si="41"/>
      </c>
      <c r="U269" s="187">
        <f t="shared" si="71"/>
      </c>
      <c r="V269" s="187">
        <f t="shared" si="491"/>
      </c>
      <c r="W269" s="187">
        <f t="shared" si="11"/>
      </c>
      <c r="X269" s="187"/>
      <c r="Y269" s="188"/>
      <c r="Z269" s="179">
        <f>SUM(Z265:Z268)</f>
      </c>
      <c r="AA269" s="179">
        <f>SUM(AA265:AA268)</f>
      </c>
      <c r="AB269" s="179">
        <f>SUM(AB265:AB268)</f>
      </c>
      <c r="AC269" s="179">
        <f>SUM(AC265:AC268)</f>
      </c>
      <c r="AD269" s="179">
        <f>SUM(AD265:AD268)</f>
      </c>
      <c r="AE269" s="179">
        <f>SUM(AE265:AE268)</f>
      </c>
      <c r="AF269" s="179">
        <f>SUM(AF265:AF268)</f>
      </c>
      <c r="AG269" s="179">
        <f>SUM(AG265:AG268)</f>
      </c>
      <c r="AH269" s="179">
        <f>SUM(AH265:AH268)</f>
      </c>
      <c r="AI269" s="179">
        <f>SUM(AI265:AI268)</f>
      </c>
    </row>
    <row r="270">
      <c r="A270" s="149"/>
      <c r="B270" s="150" t="s">
        <v>105</v>
      </c>
      <c r="C270" s="196" t="s">
        <v>127</v>
      </c>
      <c r="D270" s="198">
        <v>2368.72</v>
      </c>
      <c r="E270" s="153">
        <v>11</v>
      </c>
      <c r="F270" s="154">
        <f t="shared" si="431"/>
      </c>
      <c r="G270" s="155">
        <v>3589.2</v>
      </c>
      <c r="H270" s="156">
        <f t="shared" si="461"/>
      </c>
      <c r="I270" s="157">
        <f t="shared" si="371"/>
      </c>
      <c r="J270" s="158">
        <f t="shared" si="401"/>
      </c>
      <c r="K270" s="159">
        <f t="shared" si="311"/>
      </c>
      <c r="L270" s="174">
        <f t="shared" si="341"/>
      </c>
      <c r="M270" s="175">
        <f t="shared" si="221"/>
      </c>
      <c r="N270" s="176">
        <f t="shared" si="251"/>
      </c>
      <c r="O270" s="176">
        <f t="shared" si="281"/>
      </c>
      <c r="P270" s="176">
        <f t="shared" si="161"/>
      </c>
      <c r="Q270" s="176">
        <f t="shared" si="191"/>
      </c>
      <c r="R270" s="175">
        <f t="shared" si="101"/>
      </c>
      <c r="S270" s="177">
        <f t="shared" si="131"/>
      </c>
      <c r="T270" s="176">
        <f t="shared" si="41"/>
      </c>
      <c r="U270" s="176">
        <f t="shared" si="71"/>
      </c>
      <c r="V270" s="176">
        <f t="shared" si="491"/>
      </c>
      <c r="W270" s="176">
        <f t="shared" si="11"/>
      </c>
      <c r="X270" s="169" t="s">
        <v>107</v>
      </c>
      <c r="Y270" s="163" t="s">
        <v>137</v>
      </c>
      <c r="Z270" s="166">
        <v>148612</v>
      </c>
      <c r="AA270" s="166">
        <v>12846</v>
      </c>
      <c r="AB270" s="166">
        <v>263524</v>
      </c>
      <c r="AC270" s="199">
        <v>812</v>
      </c>
      <c r="AD270" s="199">
        <v>7</v>
      </c>
      <c r="AE270" s="199">
        <v>11514</v>
      </c>
      <c r="AF270" s="199">
        <v>108</v>
      </c>
      <c r="AG270" s="199">
        <v>58</v>
      </c>
      <c r="AH270" s="199">
        <v>12</v>
      </c>
      <c r="AI270" s="167">
        <v>2</v>
      </c>
    </row>
    <row r="271">
      <c r="A271" s="149"/>
      <c r="B271" s="150" t="s">
        <v>105</v>
      </c>
      <c r="C271" s="194" t="s">
        <v>138</v>
      </c>
      <c r="D271" s="198">
        <v>5215.364</v>
      </c>
      <c r="E271" s="153">
        <v>10</v>
      </c>
      <c r="F271" s="154">
        <f t="shared" si="431"/>
      </c>
      <c r="G271" s="155">
        <v>2111.9</v>
      </c>
      <c r="H271" s="156">
        <f t="shared" si="461"/>
      </c>
      <c r="I271" s="157">
        <f t="shared" si="371"/>
      </c>
      <c r="J271" s="158">
        <f t="shared" si="401"/>
      </c>
      <c r="K271" s="159">
        <f t="shared" si="311"/>
      </c>
      <c r="L271" s="174">
        <f t="shared" si="341"/>
      </c>
      <c r="M271" s="175">
        <f t="shared" si="221"/>
      </c>
      <c r="N271" s="176">
        <f t="shared" si="251"/>
      </c>
      <c r="O271" s="176">
        <f t="shared" si="281"/>
      </c>
      <c r="P271" s="176">
        <f t="shared" si="161"/>
      </c>
      <c r="Q271" s="176">
        <f t="shared" si="191"/>
      </c>
      <c r="R271" s="175">
        <f t="shared" si="101"/>
      </c>
      <c r="S271" s="177">
        <f t="shared" si="131"/>
      </c>
      <c r="T271" s="176">
        <f t="shared" si="41"/>
      </c>
      <c r="U271" s="176">
        <f t="shared" si="71"/>
      </c>
      <c r="V271" s="176">
        <f t="shared" si="491"/>
      </c>
      <c r="W271" s="176">
        <f t="shared" si="11"/>
      </c>
      <c r="X271" s="169" t="s">
        <v>107</v>
      </c>
      <c r="Y271" s="163" t="s">
        <v>137</v>
      </c>
      <c r="Z271" s="166">
        <v>492383</v>
      </c>
      <c r="AA271" s="166">
        <v>17766</v>
      </c>
      <c r="AB271" s="166">
        <v>646504</v>
      </c>
      <c r="AC271" s="199">
        <v>2406</v>
      </c>
      <c r="AD271" s="199">
        <v>8</v>
      </c>
      <c r="AE271" s="199">
        <v>26809</v>
      </c>
      <c r="AF271" s="199">
        <v>167</v>
      </c>
      <c r="AG271" s="199">
        <v>110</v>
      </c>
      <c r="AH271" s="199">
        <v>20</v>
      </c>
      <c r="AI271" s="167">
        <v>2</v>
      </c>
    </row>
    <row r="272">
      <c r="A272" s="149"/>
      <c r="B272" s="150" t="s">
        <v>105</v>
      </c>
      <c r="C272" s="200" t="s">
        <v>139</v>
      </c>
      <c r="D272" s="171">
        <f>83.92+751.264</f>
      </c>
      <c r="E272" s="172">
        <v>10</v>
      </c>
      <c r="F272" s="154">
        <f t="shared" si="431"/>
      </c>
      <c r="G272" s="172">
        <v>3227.7</v>
      </c>
      <c r="H272" s="156">
        <f t="shared" si="461"/>
      </c>
      <c r="I272" s="157">
        <f t="shared" si="371"/>
      </c>
      <c r="J272" s="158">
        <f t="shared" si="401"/>
      </c>
      <c r="K272" s="159">
        <f t="shared" si="311"/>
      </c>
      <c r="L272" s="174">
        <f t="shared" si="341"/>
      </c>
      <c r="M272" s="175">
        <f t="shared" si="221"/>
      </c>
      <c r="N272" s="176">
        <f t="shared" si="251"/>
      </c>
      <c r="O272" s="176">
        <f t="shared" si="281"/>
      </c>
      <c r="P272" s="176">
        <f t="shared" si="161"/>
      </c>
      <c r="Q272" s="176">
        <f t="shared" si="191"/>
      </c>
      <c r="R272" s="175">
        <f t="shared" si="101"/>
      </c>
      <c r="S272" s="177">
        <f t="shared" si="131"/>
      </c>
      <c r="T272" s="176">
        <f t="shared" si="41"/>
      </c>
      <c r="U272" s="176">
        <f t="shared" si="71"/>
      </c>
      <c r="V272" s="176">
        <f t="shared" si="491"/>
      </c>
      <c r="W272" s="176">
        <f t="shared" si="11"/>
      </c>
      <c r="X272" s="169" t="s">
        <v>107</v>
      </c>
      <c r="Y272" s="163" t="s">
        <v>137</v>
      </c>
      <c r="Z272" s="166">
        <v>79385</v>
      </c>
      <c r="AA272" s="166">
        <v>3768</v>
      </c>
      <c r="AB272" s="166">
        <v>128408</v>
      </c>
      <c r="AC272" s="166">
        <v>627</v>
      </c>
      <c r="AD272" s="166">
        <v>6</v>
      </c>
      <c r="AE272" s="166">
        <v>6751</v>
      </c>
      <c r="AF272" s="166">
        <v>44</v>
      </c>
      <c r="AG272" s="166">
        <v>33</v>
      </c>
      <c r="AH272" s="165">
        <v>8</v>
      </c>
      <c r="AI272" s="167">
        <v>3</v>
      </c>
    </row>
    <row r="273">
      <c r="A273" s="149"/>
      <c r="B273" s="150" t="s">
        <v>105</v>
      </c>
      <c r="C273" s="201" t="s">
        <v>141</v>
      </c>
      <c r="D273" s="195">
        <f>969.233+0.31</f>
      </c>
      <c r="E273" s="172">
        <v>7</v>
      </c>
      <c r="F273" s="154">
        <f t="shared" si="431"/>
      </c>
      <c r="G273" s="172">
        <v>2008.8</v>
      </c>
      <c r="H273" s="156">
        <f t="shared" si="461"/>
      </c>
      <c r="I273" s="157">
        <f t="shared" si="371"/>
      </c>
      <c r="J273" s="158">
        <f t="shared" si="401"/>
      </c>
      <c r="K273" s="159">
        <f t="shared" si="311"/>
      </c>
      <c r="L273" s="174">
        <f t="shared" si="341"/>
      </c>
      <c r="M273" s="175">
        <f t="shared" si="221"/>
      </c>
      <c r="N273" s="176">
        <f t="shared" si="251"/>
      </c>
      <c r="O273" s="176">
        <f t="shared" si="281"/>
      </c>
      <c r="P273" s="176">
        <f t="shared" si="161"/>
      </c>
      <c r="Q273" s="176">
        <f t="shared" si="191"/>
      </c>
      <c r="R273" s="175">
        <f t="shared" si="101"/>
      </c>
      <c r="S273" s="177">
        <f t="shared" si="131"/>
      </c>
      <c r="T273" s="176">
        <f t="shared" si="41"/>
      </c>
      <c r="U273" s="176">
        <f t="shared" si="71"/>
      </c>
      <c r="V273" s="176">
        <f t="shared" si="491"/>
      </c>
      <c r="W273" s="176">
        <f t="shared" si="11"/>
      </c>
      <c r="X273" s="169" t="s">
        <v>107</v>
      </c>
      <c r="Y273" s="163" t="s">
        <v>137</v>
      </c>
      <c r="Z273" s="166">
        <v>80109</v>
      </c>
      <c r="AA273" s="166">
        <v>7152</v>
      </c>
      <c r="AB273" s="166">
        <v>136712</v>
      </c>
      <c r="AC273" s="166">
        <v>617</v>
      </c>
      <c r="AD273" s="166">
        <v>4</v>
      </c>
      <c r="AE273" s="166">
        <v>7932</v>
      </c>
      <c r="AF273" s="166">
        <v>85</v>
      </c>
      <c r="AG273" s="166">
        <v>41</v>
      </c>
      <c r="AH273" s="165">
        <v>6</v>
      </c>
      <c r="AI273" s="167">
        <v>1</v>
      </c>
    </row>
    <row r="274">
      <c r="A274" s="149"/>
      <c r="B274" s="178" t="s">
        <v>112</v>
      </c>
      <c r="C274" s="178"/>
      <c r="D274" s="179">
        <f>SUM(D270:D273)</f>
      </c>
      <c r="E274" s="180">
        <f>SUM(E270:E273)</f>
      </c>
      <c r="F274" s="181">
        <f t="shared" si="431"/>
      </c>
      <c r="G274" s="182">
        <f>SUM(G270:G273)</f>
      </c>
      <c r="H274" s="183">
        <f t="shared" si="461"/>
      </c>
      <c r="I274" s="184">
        <f t="shared" si="371"/>
      </c>
      <c r="J274" s="185">
        <f t="shared" si="401"/>
      </c>
      <c r="K274" s="181">
        <f t="shared" si="311"/>
      </c>
      <c r="L274" s="186">
        <f t="shared" si="341"/>
      </c>
      <c r="M274" s="185">
        <f t="shared" si="221"/>
      </c>
      <c r="N274" s="187">
        <f t="shared" si="251"/>
      </c>
      <c r="O274" s="187">
        <f t="shared" si="281"/>
      </c>
      <c r="P274" s="187">
        <f t="shared" si="161"/>
      </c>
      <c r="Q274" s="187">
        <f t="shared" si="191"/>
      </c>
      <c r="R274" s="185">
        <f t="shared" si="101"/>
      </c>
      <c r="S274" s="181">
        <f t="shared" si="131"/>
      </c>
      <c r="T274" s="187">
        <f t="shared" si="41"/>
      </c>
      <c r="U274" s="187">
        <f t="shared" si="71"/>
      </c>
      <c r="V274" s="187">
        <f t="shared" si="491"/>
      </c>
      <c r="W274" s="187">
        <f t="shared" si="11"/>
      </c>
      <c r="X274" s="187"/>
      <c r="Y274" s="188"/>
      <c r="Z274" s="179">
        <f>SUM(Z270:Z273)</f>
      </c>
      <c r="AA274" s="179">
        <f>SUM(AA270:AA273)</f>
      </c>
      <c r="AB274" s="179">
        <f>SUM(AB270:AB273)</f>
      </c>
      <c r="AC274" s="179">
        <f>SUM(AC270:AC273)</f>
      </c>
      <c r="AD274" s="179">
        <f>SUM(AD270:AD273)</f>
      </c>
      <c r="AE274" s="179">
        <f>SUM(AE270:AE273)</f>
      </c>
      <c r="AF274" s="179">
        <f>SUM(AF270:AF273)</f>
      </c>
      <c r="AG274" s="179">
        <f>SUM(AG270:AG273)</f>
      </c>
      <c r="AH274" s="179">
        <f>SUM(AH270:AH273)</f>
      </c>
      <c r="AI274" s="179">
        <f>SUM(AI270:AI273)</f>
      </c>
    </row>
    <row r="275">
      <c r="A275" s="149"/>
      <c r="B275" s="202" t="s">
        <v>129</v>
      </c>
      <c r="C275" s="202"/>
      <c r="D275" s="203">
        <f>SUM(D274+D254+D259+D269+D264)</f>
      </c>
      <c r="E275" s="203">
        <f>SUM(E274+E254+E259+E269+E264)</f>
      </c>
      <c r="F275" s="205">
        <f t="shared" si="431"/>
      </c>
      <c r="G275" s="206">
        <f>SUM(G274+G254+G259+G269+G264)</f>
      </c>
      <c r="H275" s="207">
        <f t="shared" si="461"/>
      </c>
      <c r="I275" s="208">
        <f t="shared" si="371"/>
      </c>
      <c r="J275" s="209">
        <f t="shared" si="401"/>
      </c>
      <c r="K275" s="205">
        <f t="shared" si="311"/>
      </c>
      <c r="L275" s="210">
        <f t="shared" si="341"/>
      </c>
      <c r="M275" s="210">
        <f t="shared" si="221"/>
      </c>
      <c r="N275" s="211">
        <f t="shared" si="251"/>
      </c>
      <c r="O275" s="211">
        <f t="shared" si="281"/>
      </c>
      <c r="P275" s="211">
        <f t="shared" si="161"/>
      </c>
      <c r="Q275" s="211">
        <f t="shared" si="191"/>
      </c>
      <c r="R275" s="212">
        <f t="shared" si="101"/>
      </c>
      <c r="S275" s="213">
        <f t="shared" si="131"/>
      </c>
      <c r="T275" s="214">
        <f t="shared" si="41"/>
      </c>
      <c r="U275" s="214">
        <f t="shared" si="71"/>
      </c>
      <c r="V275" s="214">
        <f t="shared" si="491"/>
      </c>
      <c r="W275" s="214">
        <f t="shared" si="11"/>
      </c>
      <c r="X275" s="214"/>
      <c r="Y275" s="215"/>
      <c r="Z275" s="216">
        <f>SUM(Z254+Z274+Z259+Z269+Z264)</f>
      </c>
      <c r="AA275" s="216">
        <f>SUM(AA254+AA274+AA259+AA269+AA264)</f>
      </c>
      <c r="AB275" s="216">
        <f>SUM(AB254+AB274+AB259+AB269+AB264)</f>
      </c>
      <c r="AC275" s="216">
        <f>SUM(AC254+AC274+AC259+AC269+AC264)</f>
      </c>
      <c r="AD275" s="216">
        <f>SUM(AD254+AD274+AD259+AD269+AD264)</f>
      </c>
      <c r="AE275" s="216">
        <f>SUM(AE254+AE274+AE259+AE269+AE264)</f>
      </c>
      <c r="AF275" s="216">
        <f>SUM(AF254+AF274+AF259+AF269+AF264)</f>
      </c>
      <c r="AG275" s="216">
        <f>SUM(AG254+AG274+AG259+AG269+AG264)</f>
      </c>
      <c r="AH275" s="216">
        <f>SUM(AH254+AH274+AH259+AH269+AH264)</f>
      </c>
      <c r="AI275" s="216">
        <f>SUM(AI254+AI274+AI259+AI269+AI264)</f>
      </c>
    </row>
    <row r="276">
      <c r="A276" s="133" t="s">
        <v>70</v>
      </c>
      <c r="B276" s="134" t="s">
        <v>71</v>
      </c>
      <c r="C276" s="135" t="s">
        <v>72</v>
      </c>
      <c r="D276" s="136" t="s">
        <v>73</v>
      </c>
      <c r="E276" s="137" t="s">
        <v>74</v>
      </c>
      <c r="F276" s="138" t="s">
        <v>75</v>
      </c>
      <c r="G276" s="139" t="s">
        <v>76</v>
      </c>
      <c r="H276" s="138" t="s">
        <v>77</v>
      </c>
      <c r="I276" s="139" t="s">
        <v>78</v>
      </c>
      <c r="J276" s="140" t="s">
        <v>79</v>
      </c>
      <c r="K276" s="140" t="s">
        <v>80</v>
      </c>
      <c r="L276" s="141" t="s">
        <v>81</v>
      </c>
      <c r="M276" s="141" t="s">
        <v>82</v>
      </c>
      <c r="N276" s="141" t="s">
        <v>83</v>
      </c>
      <c r="O276" s="141" t="s">
        <v>84</v>
      </c>
      <c r="P276" s="141" t="s">
        <v>85</v>
      </c>
      <c r="Q276" s="141" t="s">
        <v>86</v>
      </c>
      <c r="R276" s="141" t="s">
        <v>87</v>
      </c>
      <c r="S276" s="141" t="s">
        <v>88</v>
      </c>
      <c r="T276" s="142" t="s">
        <v>89</v>
      </c>
      <c r="U276" s="142" t="s">
        <v>90</v>
      </c>
      <c r="V276" s="142" t="s">
        <v>91</v>
      </c>
      <c r="W276" s="142" t="s">
        <v>92</v>
      </c>
      <c r="X276" s="143" t="s">
        <v>93</v>
      </c>
      <c r="Y276" s="143" t="s">
        <v>94</v>
      </c>
      <c r="Z276" s="144" t="s">
        <v>95</v>
      </c>
      <c r="AA276" s="144" t="s">
        <v>96</v>
      </c>
      <c r="AB276" s="144" t="s">
        <v>97</v>
      </c>
      <c r="AC276" s="145" t="s">
        <v>98</v>
      </c>
      <c r="AD276" s="145" t="s">
        <v>99</v>
      </c>
      <c r="AE276" s="146" t="s">
        <v>100</v>
      </c>
      <c r="AF276" s="145" t="s">
        <v>101</v>
      </c>
      <c r="AG276" s="145" t="s">
        <v>102</v>
      </c>
      <c r="AH276" s="147" t="s">
        <v>103</v>
      </c>
      <c r="AI276" s="148" t="s">
        <v>104</v>
      </c>
    </row>
    <row r="277">
      <c r="A277" s="149">
        <v>46278</v>
      </c>
      <c r="B277" s="150" t="s">
        <v>124</v>
      </c>
      <c r="C277" s="151" t="s">
        <v>135</v>
      </c>
      <c r="D277" s="152">
        <v>2532.4519999999998</v>
      </c>
      <c r="E277" s="153">
        <v>9</v>
      </c>
      <c r="F277" s="154">
        <f t="shared" ref="F277:F302" si="432">D277/E277</f>
      </c>
      <c r="G277" s="155">
        <v>3075.9</v>
      </c>
      <c r="H277" s="156">
        <f t="shared" ref="H277:H302" si="462">AD277</f>
      </c>
      <c r="I277" s="157">
        <f t="shared" ref="I277:I302" si="372">D277/AD277</f>
      </c>
      <c r="J277" s="158">
        <f t="shared" ref="J277:J302" si="402">G277/E277</f>
      </c>
      <c r="K277" s="159">
        <f t="shared" ref="K277:K302" si="312">G277/D277</f>
      </c>
      <c r="L277" s="160">
        <f t="shared" ref="L277:L302" si="342">D277/AB277</f>
      </c>
      <c r="M277" s="158">
        <f t="shared" ref="M277:M302" si="222">D277/AC277</f>
      </c>
      <c r="N277" s="161">
        <f t="shared" ref="N277:N302" si="252">AC277/AB277</f>
      </c>
      <c r="O277" s="161">
        <f t="shared" ref="O277:O302" si="282">AD277/AC277</f>
      </c>
      <c r="P277" s="161">
        <f t="shared" ref="P277:P302" si="162">AA277/Z277</f>
      </c>
      <c r="Q277" s="161">
        <f t="shared" ref="Q277:Q302" si="192">AD277/AA277</f>
      </c>
      <c r="R277" s="158">
        <f t="shared" ref="R277:R302" si="102">D277/Z277*1000</f>
      </c>
      <c r="S277" s="159">
        <f t="shared" ref="S277:S302" si="132">D277/AA277</f>
      </c>
      <c r="T277" s="161">
        <f t="shared" ref="T277:T302" si="42">AE277/AB277</f>
      </c>
      <c r="U277" s="161">
        <f t="shared" ref="U277:U302" si="72">AF277/AB277</f>
      </c>
      <c r="V277" s="161">
        <f t="shared" ref="V277:V302" si="492">AG277/AB277</f>
      </c>
      <c r="W277" s="161">
        <f t="shared" ref="W277:W302" si="12">AH277/AB277</f>
      </c>
      <c r="X277" s="162" t="s">
        <v>107</v>
      </c>
      <c r="Y277" s="163" t="s">
        <v>132</v>
      </c>
      <c r="Z277" s="164">
        <v>146420</v>
      </c>
      <c r="AA277" s="164">
        <v>34144</v>
      </c>
      <c r="AB277" s="164">
        <v>287627</v>
      </c>
      <c r="AC277" s="164">
        <v>972</v>
      </c>
      <c r="AD277" s="165">
        <v>8</v>
      </c>
      <c r="AE277" s="164">
        <v>26092</v>
      </c>
      <c r="AF277" s="166">
        <v>258</v>
      </c>
      <c r="AG277" s="166">
        <v>121</v>
      </c>
      <c r="AH277" s="166">
        <v>26</v>
      </c>
      <c r="AI277" s="167">
        <v>2</v>
      </c>
    </row>
    <row r="278">
      <c r="A278" s="149"/>
      <c r="B278" s="150" t="s">
        <v>124</v>
      </c>
      <c r="C278" s="168" t="s">
        <v>136</v>
      </c>
      <c r="D278" s="152">
        <v>2105.834</v>
      </c>
      <c r="E278" s="153">
        <v>6</v>
      </c>
      <c r="F278" s="154">
        <f t="shared" si="432"/>
      </c>
      <c r="G278" s="155">
        <v>1871.9999999999995</v>
      </c>
      <c r="H278" s="156">
        <f t="shared" si="462"/>
      </c>
      <c r="I278" s="157">
        <f t="shared" si="372"/>
      </c>
      <c r="J278" s="158">
        <f t="shared" si="402"/>
      </c>
      <c r="K278" s="159">
        <f t="shared" si="312"/>
      </c>
      <c r="L278" s="160">
        <f t="shared" si="342"/>
      </c>
      <c r="M278" s="158">
        <f t="shared" si="222"/>
      </c>
      <c r="N278" s="161">
        <f t="shared" si="252"/>
      </c>
      <c r="O278" s="161">
        <f t="shared" si="282"/>
      </c>
      <c r="P278" s="161">
        <f t="shared" si="162"/>
      </c>
      <c r="Q278" s="161">
        <f t="shared" si="192"/>
      </c>
      <c r="R278" s="158">
        <f t="shared" si="102"/>
      </c>
      <c r="S278" s="159">
        <f t="shared" si="132"/>
      </c>
      <c r="T278" s="161">
        <f t="shared" si="42"/>
      </c>
      <c r="U278" s="161">
        <f t="shared" si="72"/>
      </c>
      <c r="V278" s="161">
        <f t="shared" si="492"/>
      </c>
      <c r="W278" s="161">
        <f t="shared" si="12"/>
      </c>
      <c r="X278" s="169" t="s">
        <v>107</v>
      </c>
      <c r="Y278" s="163" t="s">
        <v>132</v>
      </c>
      <c r="Z278" s="166">
        <v>93567</v>
      </c>
      <c r="AA278" s="164">
        <v>22721</v>
      </c>
      <c r="AB278" s="164">
        <v>165633</v>
      </c>
      <c r="AC278" s="164">
        <v>854</v>
      </c>
      <c r="AD278" s="166">
        <v>6</v>
      </c>
      <c r="AE278" s="164">
        <v>15833</v>
      </c>
      <c r="AF278" s="166">
        <v>201</v>
      </c>
      <c r="AG278" s="166">
        <v>63</v>
      </c>
      <c r="AH278" s="165">
        <v>6</v>
      </c>
      <c r="AI278" s="167">
        <v>0</v>
      </c>
    </row>
    <row r="279">
      <c r="A279" s="149"/>
      <c r="B279" s="150" t="s">
        <v>124</v>
      </c>
      <c r="C279" s="170" t="s">
        <v>106</v>
      </c>
      <c r="D279" s="171">
        <v>2087.231</v>
      </c>
      <c r="E279" s="172">
        <v>3</v>
      </c>
      <c r="F279" s="154">
        <f t="shared" si="432"/>
      </c>
      <c r="G279" s="172">
        <v>1245.6000000000004</v>
      </c>
      <c r="H279" s="156">
        <f t="shared" si="462"/>
      </c>
      <c r="I279" s="157">
        <f t="shared" si="372"/>
      </c>
      <c r="J279" s="158">
        <f t="shared" si="402"/>
      </c>
      <c r="K279" s="159">
        <f t="shared" si="312"/>
      </c>
      <c r="L279" s="160">
        <f t="shared" si="342"/>
      </c>
      <c r="M279" s="158">
        <f t="shared" si="222"/>
      </c>
      <c r="N279" s="161">
        <f t="shared" si="252"/>
      </c>
      <c r="O279" s="161">
        <f t="shared" si="282"/>
      </c>
      <c r="P279" s="161">
        <f t="shared" si="162"/>
      </c>
      <c r="Q279" s="161">
        <f t="shared" si="192"/>
      </c>
      <c r="R279" s="158">
        <f t="shared" si="102"/>
      </c>
      <c r="S279" s="159">
        <f t="shared" si="132"/>
      </c>
      <c r="T279" s="161">
        <f t="shared" si="42"/>
      </c>
      <c r="U279" s="161">
        <f t="shared" si="72"/>
      </c>
      <c r="V279" s="161">
        <f t="shared" si="492"/>
      </c>
      <c r="W279" s="161">
        <f t="shared" si="12"/>
      </c>
      <c r="X279" s="169" t="s">
        <v>107</v>
      </c>
      <c r="Y279" s="163" t="s">
        <v>132</v>
      </c>
      <c r="Z279" s="166">
        <v>91270</v>
      </c>
      <c r="AA279" s="166">
        <v>19063</v>
      </c>
      <c r="AB279" s="166">
        <v>168422</v>
      </c>
      <c r="AC279" s="166">
        <v>750</v>
      </c>
      <c r="AD279" s="166">
        <v>2</v>
      </c>
      <c r="AE279" s="166">
        <v>13625</v>
      </c>
      <c r="AF279" s="166">
        <v>184</v>
      </c>
      <c r="AG279" s="166">
        <v>45</v>
      </c>
      <c r="AH279" s="166">
        <v>13</v>
      </c>
      <c r="AI279" s="167">
        <v>1</v>
      </c>
    </row>
    <row r="280">
      <c r="A280" s="149"/>
      <c r="B280" s="150" t="s">
        <v>124</v>
      </c>
      <c r="C280" s="173" t="s">
        <v>109</v>
      </c>
      <c r="D280" s="171">
        <v>2007.064</v>
      </c>
      <c r="E280" s="172">
        <v>5</v>
      </c>
      <c r="F280" s="154">
        <f t="shared" si="432"/>
      </c>
      <c r="G280" s="172">
        <v>1076</v>
      </c>
      <c r="H280" s="156">
        <f t="shared" si="462"/>
      </c>
      <c r="I280" s="157">
        <f t="shared" si="372"/>
      </c>
      <c r="J280" s="158">
        <f t="shared" si="402"/>
      </c>
      <c r="K280" s="159">
        <f t="shared" si="312"/>
      </c>
      <c r="L280" s="174">
        <f t="shared" si="342"/>
      </c>
      <c r="M280" s="175">
        <f t="shared" si="222"/>
      </c>
      <c r="N280" s="176">
        <f t="shared" si="252"/>
      </c>
      <c r="O280" s="176">
        <f t="shared" si="282"/>
      </c>
      <c r="P280" s="176">
        <f t="shared" si="162"/>
      </c>
      <c r="Q280" s="176">
        <f t="shared" si="192"/>
      </c>
      <c r="R280" s="175">
        <f t="shared" si="102"/>
      </c>
      <c r="S280" s="177">
        <f t="shared" si="132"/>
      </c>
      <c r="T280" s="176">
        <f t="shared" si="42"/>
      </c>
      <c r="U280" s="176">
        <f t="shared" si="72"/>
      </c>
      <c r="V280" s="176">
        <f t="shared" si="492"/>
      </c>
      <c r="W280" s="176">
        <f t="shared" si="12"/>
      </c>
      <c r="X280" s="169" t="s">
        <v>107</v>
      </c>
      <c r="Y280" s="163" t="s">
        <v>132</v>
      </c>
      <c r="Z280" s="166">
        <v>100232</v>
      </c>
      <c r="AA280" s="166">
        <v>17616</v>
      </c>
      <c r="AB280" s="166">
        <v>159076</v>
      </c>
      <c r="AC280" s="166">
        <v>797</v>
      </c>
      <c r="AD280" s="166">
        <v>5</v>
      </c>
      <c r="AE280" s="166">
        <v>13283</v>
      </c>
      <c r="AF280" s="166">
        <v>203</v>
      </c>
      <c r="AG280" s="166">
        <v>34</v>
      </c>
      <c r="AH280" s="165">
        <v>8</v>
      </c>
      <c r="AI280" s="167">
        <v>0</v>
      </c>
    </row>
    <row r="281">
      <c r="A281" s="149"/>
      <c r="B281" s="178" t="s">
        <v>112</v>
      </c>
      <c r="C281" s="178"/>
      <c r="D281" s="179">
        <f>SUM(D277:D280)</f>
      </c>
      <c r="E281" s="180">
        <f>SUM(E277:E280)</f>
      </c>
      <c r="F281" s="181">
        <f t="shared" si="432"/>
      </c>
      <c r="G281" s="182">
        <f>SUM(G277:G280)</f>
      </c>
      <c r="H281" s="183">
        <f t="shared" si="462"/>
      </c>
      <c r="I281" s="184">
        <f t="shared" si="372"/>
      </c>
      <c r="J281" s="185">
        <f t="shared" si="402"/>
      </c>
      <c r="K281" s="181">
        <f t="shared" si="312"/>
      </c>
      <c r="L281" s="186">
        <f t="shared" si="342"/>
      </c>
      <c r="M281" s="185">
        <f t="shared" si="222"/>
      </c>
      <c r="N281" s="187">
        <f t="shared" si="252"/>
      </c>
      <c r="O281" s="187">
        <f t="shared" si="282"/>
      </c>
      <c r="P281" s="187">
        <f t="shared" si="162"/>
      </c>
      <c r="Q281" s="187">
        <f t="shared" si="192"/>
      </c>
      <c r="R281" s="185">
        <f t="shared" si="102"/>
      </c>
      <c r="S281" s="181">
        <f t="shared" si="132"/>
      </c>
      <c r="T281" s="187">
        <f t="shared" si="42"/>
      </c>
      <c r="U281" s="187">
        <f t="shared" si="72"/>
      </c>
      <c r="V281" s="187">
        <f t="shared" si="492"/>
      </c>
      <c r="W281" s="187">
        <f t="shared" si="12"/>
      </c>
      <c r="X281" s="187"/>
      <c r="Y281" s="188"/>
      <c r="Z281" s="179">
        <f>SUM(Z277:Z280)</f>
      </c>
      <c r="AA281" s="179">
        <f>SUM(AA277:AA280)</f>
      </c>
      <c r="AB281" s="179">
        <f>SUM(AB277:AB280)</f>
      </c>
      <c r="AC281" s="179">
        <f>SUM(AC277:AC280)</f>
      </c>
      <c r="AD281" s="179">
        <f>SUM(AD277:AD280)</f>
      </c>
      <c r="AE281" s="179">
        <f>SUM(AE277:AE280)</f>
      </c>
      <c r="AF281" s="179">
        <f>SUM(AF277:AF280)</f>
      </c>
      <c r="AG281" s="179">
        <f>SUM(AG277:AG280)</f>
      </c>
      <c r="AH281" s="179">
        <f>SUM(AH277:AH280)</f>
      </c>
      <c r="AI281" s="179">
        <f>SUM(AI277:AI280)</f>
      </c>
    </row>
    <row r="282">
      <c r="A282" s="149"/>
      <c r="B282" s="150" t="s">
        <v>131</v>
      </c>
      <c r="C282" s="173" t="s">
        <v>110</v>
      </c>
      <c r="D282" s="190">
        <v>2250.696</v>
      </c>
      <c r="E282" s="191">
        <v>7</v>
      </c>
      <c r="F282" s="154">
        <f t="shared" si="432"/>
      </c>
      <c r="G282" s="172">
        <v>1596</v>
      </c>
      <c r="H282" s="156">
        <f t="shared" si="462"/>
      </c>
      <c r="I282" s="157">
        <f t="shared" si="372"/>
      </c>
      <c r="J282" s="158">
        <f t="shared" si="402"/>
      </c>
      <c r="K282" s="159">
        <f t="shared" si="312"/>
      </c>
      <c r="L282" s="160">
        <f t="shared" si="342"/>
      </c>
      <c r="M282" s="158">
        <f t="shared" si="222"/>
      </c>
      <c r="N282" s="161">
        <f t="shared" si="252"/>
      </c>
      <c r="O282" s="161">
        <f t="shared" si="282"/>
      </c>
      <c r="P282" s="161">
        <f t="shared" si="162"/>
      </c>
      <c r="Q282" s="161">
        <f t="shared" si="192"/>
      </c>
      <c r="R282" s="158">
        <f t="shared" si="102"/>
      </c>
      <c r="S282" s="159">
        <f t="shared" si="132"/>
      </c>
      <c r="T282" s="161">
        <f t="shared" si="42"/>
      </c>
      <c r="U282" s="161">
        <f t="shared" si="72"/>
      </c>
      <c r="V282" s="161">
        <f t="shared" si="492"/>
      </c>
      <c r="W282" s="161">
        <f t="shared" si="12"/>
      </c>
      <c r="X282" s="169" t="s">
        <v>107</v>
      </c>
      <c r="Y282" s="163" t="s">
        <v>132</v>
      </c>
      <c r="Z282" s="166">
        <v>102145</v>
      </c>
      <c r="AA282" s="166">
        <v>17685</v>
      </c>
      <c r="AB282" s="166">
        <v>181292</v>
      </c>
      <c r="AC282" s="166">
        <v>802</v>
      </c>
      <c r="AD282" s="166">
        <v>6</v>
      </c>
      <c r="AE282" s="166">
        <v>14216</v>
      </c>
      <c r="AF282" s="166">
        <v>164</v>
      </c>
      <c r="AG282" s="166">
        <v>30</v>
      </c>
      <c r="AH282" s="166">
        <v>10</v>
      </c>
      <c r="AI282" s="167">
        <v>0</v>
      </c>
    </row>
    <row r="283">
      <c r="A283" s="149"/>
      <c r="B283" s="150" t="s">
        <v>131</v>
      </c>
      <c r="C283" s="192" t="s">
        <v>111</v>
      </c>
      <c r="D283" s="171">
        <v>2773.429</v>
      </c>
      <c r="E283" s="172">
        <v>3</v>
      </c>
      <c r="F283" s="154">
        <f t="shared" si="432"/>
      </c>
      <c r="G283" s="172">
        <v>684</v>
      </c>
      <c r="H283" s="156">
        <f t="shared" si="462"/>
      </c>
      <c r="I283" s="157">
        <f t="shared" si="372"/>
      </c>
      <c r="J283" s="158">
        <f t="shared" si="402"/>
      </c>
      <c r="K283" s="159">
        <f t="shared" si="312"/>
      </c>
      <c r="L283" s="160">
        <f t="shared" si="342"/>
      </c>
      <c r="M283" s="158">
        <f t="shared" si="222"/>
      </c>
      <c r="N283" s="161">
        <f t="shared" si="252"/>
      </c>
      <c r="O283" s="161">
        <f t="shared" si="282"/>
      </c>
      <c r="P283" s="161">
        <f t="shared" si="162"/>
      </c>
      <c r="Q283" s="161">
        <f t="shared" si="192"/>
      </c>
      <c r="R283" s="158">
        <f t="shared" si="102"/>
      </c>
      <c r="S283" s="159">
        <f t="shared" si="132"/>
      </c>
      <c r="T283" s="161">
        <f t="shared" si="42"/>
      </c>
      <c r="U283" s="161">
        <f t="shared" si="72"/>
      </c>
      <c r="V283" s="161">
        <f t="shared" si="492"/>
      </c>
      <c r="W283" s="161">
        <f t="shared" si="12"/>
      </c>
      <c r="X283" s="169" t="s">
        <v>107</v>
      </c>
      <c r="Y283" s="163" t="s">
        <v>132</v>
      </c>
      <c r="Z283" s="166">
        <v>122324</v>
      </c>
      <c r="AA283" s="166">
        <v>24465</v>
      </c>
      <c r="AB283" s="166">
        <v>239474</v>
      </c>
      <c r="AC283" s="166">
        <v>826</v>
      </c>
      <c r="AD283" s="166">
        <v>3</v>
      </c>
      <c r="AE283" s="166">
        <v>20007</v>
      </c>
      <c r="AF283" s="166">
        <v>207</v>
      </c>
      <c r="AG283" s="166">
        <v>63</v>
      </c>
      <c r="AH283" s="166">
        <v>6</v>
      </c>
      <c r="AI283" s="167">
        <v>0</v>
      </c>
    </row>
    <row r="284">
      <c r="A284" s="149"/>
      <c r="B284" s="150" t="s">
        <v>131</v>
      </c>
      <c r="C284" s="193" t="s">
        <v>114</v>
      </c>
      <c r="D284" s="171">
        <v>4420.665</v>
      </c>
      <c r="E284" s="172">
        <v>14</v>
      </c>
      <c r="F284" s="154">
        <f t="shared" si="432"/>
      </c>
      <c r="G284" s="172">
        <v>4321.200000000001</v>
      </c>
      <c r="H284" s="156">
        <f t="shared" si="462"/>
      </c>
      <c r="I284" s="157">
        <f t="shared" si="372"/>
      </c>
      <c r="J284" s="158">
        <f t="shared" si="402"/>
      </c>
      <c r="K284" s="159">
        <f t="shared" si="312"/>
      </c>
      <c r="L284" s="174">
        <f t="shared" si="342"/>
      </c>
      <c r="M284" s="175">
        <f t="shared" si="222"/>
      </c>
      <c r="N284" s="176">
        <f t="shared" si="252"/>
      </c>
      <c r="O284" s="176">
        <f t="shared" si="282"/>
      </c>
      <c r="P284" s="176">
        <f t="shared" si="162"/>
      </c>
      <c r="Q284" s="176">
        <f t="shared" si="192"/>
      </c>
      <c r="R284" s="175">
        <f t="shared" si="102"/>
      </c>
      <c r="S284" s="177">
        <f t="shared" si="132"/>
      </c>
      <c r="T284" s="176">
        <f t="shared" si="42"/>
      </c>
      <c r="U284" s="176">
        <f t="shared" si="72"/>
      </c>
      <c r="V284" s="176">
        <f t="shared" si="492"/>
      </c>
      <c r="W284" s="176">
        <f t="shared" si="12"/>
      </c>
      <c r="X284" s="169" t="s">
        <v>107</v>
      </c>
      <c r="Y284" s="163" t="s">
        <v>132</v>
      </c>
      <c r="Z284" s="166">
        <v>179567</v>
      </c>
      <c r="AA284" s="166">
        <v>31471</v>
      </c>
      <c r="AB284" s="166">
        <v>403715</v>
      </c>
      <c r="AC284" s="166">
        <v>1029</v>
      </c>
      <c r="AD284" s="166">
        <v>13</v>
      </c>
      <c r="AE284" s="166">
        <v>26544</v>
      </c>
      <c r="AF284" s="166">
        <v>265</v>
      </c>
      <c r="AG284" s="166">
        <v>80</v>
      </c>
      <c r="AH284" s="165">
        <v>26</v>
      </c>
      <c r="AI284" s="167">
        <v>3</v>
      </c>
    </row>
    <row r="285">
      <c r="A285" s="149"/>
      <c r="B285" s="150" t="s">
        <v>131</v>
      </c>
      <c r="C285" s="194" t="s">
        <v>115</v>
      </c>
      <c r="D285" s="195">
        <v>4957.421</v>
      </c>
      <c r="E285" s="172">
        <v>15</v>
      </c>
      <c r="F285" s="154">
        <f t="shared" si="432"/>
      </c>
      <c r="G285" s="172">
        <v>4544.799999999999</v>
      </c>
      <c r="H285" s="156">
        <f t="shared" si="462"/>
      </c>
      <c r="I285" s="157">
        <f t="shared" si="372"/>
      </c>
      <c r="J285" s="158">
        <f t="shared" si="402"/>
      </c>
      <c r="K285" s="159">
        <f t="shared" si="312"/>
      </c>
      <c r="L285" s="174">
        <f t="shared" si="342"/>
      </c>
      <c r="M285" s="175">
        <f t="shared" si="222"/>
      </c>
      <c r="N285" s="176">
        <f t="shared" si="252"/>
      </c>
      <c r="O285" s="176">
        <f t="shared" si="282"/>
      </c>
      <c r="P285" s="176">
        <f t="shared" si="162"/>
      </c>
      <c r="Q285" s="176">
        <f t="shared" si="192"/>
      </c>
      <c r="R285" s="175">
        <f t="shared" si="102"/>
      </c>
      <c r="S285" s="177">
        <f t="shared" si="132"/>
      </c>
      <c r="T285" s="176">
        <f t="shared" si="42"/>
      </c>
      <c r="U285" s="176">
        <f t="shared" si="72"/>
      </c>
      <c r="V285" s="176">
        <f t="shared" si="492"/>
      </c>
      <c r="W285" s="176">
        <f t="shared" si="12"/>
      </c>
      <c r="X285" s="169" t="s">
        <v>107</v>
      </c>
      <c r="Y285" s="163" t="s">
        <v>132</v>
      </c>
      <c r="Z285" s="166">
        <v>186940</v>
      </c>
      <c r="AA285" s="166">
        <v>35136</v>
      </c>
      <c r="AB285" s="166">
        <v>386044</v>
      </c>
      <c r="AC285" s="166">
        <v>974</v>
      </c>
      <c r="AD285" s="166">
        <v>12</v>
      </c>
      <c r="AE285" s="166">
        <v>25632</v>
      </c>
      <c r="AF285" s="166">
        <v>258</v>
      </c>
      <c r="AG285" s="166">
        <v>74</v>
      </c>
      <c r="AH285" s="165">
        <v>24</v>
      </c>
      <c r="AI285" s="167">
        <v>3</v>
      </c>
    </row>
    <row r="286">
      <c r="A286" s="149"/>
      <c r="B286" s="178" t="s">
        <v>112</v>
      </c>
      <c r="C286" s="178"/>
      <c r="D286" s="179">
        <f>SUM(D282:D285)</f>
      </c>
      <c r="E286" s="180">
        <f>SUM(E282:E285)</f>
      </c>
      <c r="F286" s="181">
        <f t="shared" si="432"/>
      </c>
      <c r="G286" s="182">
        <f>SUM(G282:G285)</f>
      </c>
      <c r="H286" s="183">
        <f t="shared" si="462"/>
      </c>
      <c r="I286" s="184">
        <f t="shared" si="372"/>
      </c>
      <c r="J286" s="185">
        <f t="shared" si="402"/>
      </c>
      <c r="K286" s="181">
        <f t="shared" si="312"/>
      </c>
      <c r="L286" s="186">
        <f t="shared" si="342"/>
      </c>
      <c r="M286" s="185">
        <f t="shared" si="222"/>
      </c>
      <c r="N286" s="187">
        <f t="shared" si="252"/>
      </c>
      <c r="O286" s="187">
        <f t="shared" si="282"/>
      </c>
      <c r="P286" s="187">
        <f t="shared" si="162"/>
      </c>
      <c r="Q286" s="187">
        <f t="shared" si="192"/>
      </c>
      <c r="R286" s="185">
        <f t="shared" si="102"/>
      </c>
      <c r="S286" s="181">
        <f t="shared" si="132"/>
      </c>
      <c r="T286" s="187">
        <f t="shared" si="42"/>
      </c>
      <c r="U286" s="187">
        <f t="shared" si="72"/>
      </c>
      <c r="V286" s="187">
        <f t="shared" si="492"/>
      </c>
      <c r="W286" s="187">
        <f t="shared" si="12"/>
      </c>
      <c r="X286" s="187"/>
      <c r="Y286" s="188"/>
      <c r="Z286" s="179">
        <f>SUM(Z282:Z285)</f>
      </c>
      <c r="AA286" s="179">
        <f>SUM(AA282:AA285)</f>
      </c>
      <c r="AB286" s="179">
        <f>SUM(AB282:AB285)</f>
      </c>
      <c r="AC286" s="179">
        <f>SUM(AC282:AC285)</f>
      </c>
      <c r="AD286" s="179">
        <f>SUM(AD282:AD285)</f>
      </c>
      <c r="AE286" s="179">
        <f>SUM(AE282:AE285)</f>
      </c>
      <c r="AF286" s="179">
        <f>SUM(AF282:AF285)</f>
      </c>
      <c r="AG286" s="179">
        <f>SUM(AG282:AG285)</f>
      </c>
      <c r="AH286" s="179">
        <f>SUM(AH282:AH285)</f>
      </c>
      <c r="AI286" s="179">
        <f>SUM(AI282:AI285)</f>
      </c>
    </row>
    <row r="287">
      <c r="A287" s="149"/>
      <c r="B287" s="150" t="s">
        <v>113</v>
      </c>
      <c r="C287" s="196" t="s">
        <v>116</v>
      </c>
      <c r="D287" s="171">
        <v>5378.4310000000005</v>
      </c>
      <c r="E287" s="172">
        <v>18</v>
      </c>
      <c r="F287" s="154">
        <f t="shared" si="432"/>
      </c>
      <c r="G287" s="172">
        <v>4542</v>
      </c>
      <c r="H287" s="156">
        <f t="shared" si="462"/>
      </c>
      <c r="I287" s="157">
        <f t="shared" si="372"/>
      </c>
      <c r="J287" s="158">
        <f t="shared" si="402"/>
      </c>
      <c r="K287" s="159">
        <f t="shared" si="312"/>
      </c>
      <c r="L287" s="160">
        <f t="shared" si="342"/>
      </c>
      <c r="M287" s="158">
        <f t="shared" si="222"/>
      </c>
      <c r="N287" s="161">
        <f t="shared" si="252"/>
      </c>
      <c r="O287" s="161">
        <f t="shared" si="282"/>
      </c>
      <c r="P287" s="161">
        <f t="shared" si="162"/>
      </c>
      <c r="Q287" s="161">
        <f t="shared" si="192"/>
      </c>
      <c r="R287" s="158">
        <f t="shared" si="102"/>
      </c>
      <c r="S287" s="159">
        <f t="shared" si="132"/>
      </c>
      <c r="T287" s="161">
        <f t="shared" si="42"/>
      </c>
      <c r="U287" s="161">
        <f t="shared" si="72"/>
      </c>
      <c r="V287" s="161">
        <f t="shared" si="492"/>
      </c>
      <c r="W287" s="161">
        <f t="shared" si="12"/>
      </c>
      <c r="X287" s="169" t="s">
        <v>107</v>
      </c>
      <c r="Y287" s="163" t="s">
        <v>132</v>
      </c>
      <c r="Z287" s="166">
        <v>200050</v>
      </c>
      <c r="AA287" s="166">
        <v>38899</v>
      </c>
      <c r="AB287" s="166">
        <v>418129</v>
      </c>
      <c r="AC287" s="166">
        <v>1005</v>
      </c>
      <c r="AD287" s="166">
        <v>12</v>
      </c>
      <c r="AE287" s="166">
        <v>27974</v>
      </c>
      <c r="AF287" s="166">
        <v>264</v>
      </c>
      <c r="AG287" s="166">
        <v>105</v>
      </c>
      <c r="AH287" s="166">
        <v>39</v>
      </c>
      <c r="AI287" s="167">
        <v>6</v>
      </c>
    </row>
    <row r="288">
      <c r="A288" s="149"/>
      <c r="B288" s="150" t="s">
        <v>113</v>
      </c>
      <c r="C288" s="197" t="s">
        <v>117</v>
      </c>
      <c r="D288" s="171">
        <v>4512.848</v>
      </c>
      <c r="E288" s="172">
        <v>12</v>
      </c>
      <c r="F288" s="154">
        <f t="shared" si="432"/>
      </c>
      <c r="G288" s="172">
        <v>5457.1</v>
      </c>
      <c r="H288" s="156">
        <f t="shared" si="462"/>
      </c>
      <c r="I288" s="157">
        <f t="shared" si="372"/>
      </c>
      <c r="J288" s="158">
        <f t="shared" si="402"/>
      </c>
      <c r="K288" s="159">
        <f t="shared" si="312"/>
      </c>
      <c r="L288" s="160">
        <f t="shared" si="342"/>
      </c>
      <c r="M288" s="158">
        <f t="shared" si="222"/>
      </c>
      <c r="N288" s="161">
        <f t="shared" si="252"/>
      </c>
      <c r="O288" s="161">
        <f t="shared" si="282"/>
      </c>
      <c r="P288" s="161">
        <f t="shared" si="162"/>
      </c>
      <c r="Q288" s="161">
        <f t="shared" si="192"/>
      </c>
      <c r="R288" s="158">
        <f t="shared" si="102"/>
      </c>
      <c r="S288" s="159">
        <f t="shared" si="132"/>
      </c>
      <c r="T288" s="161">
        <f t="shared" si="42"/>
      </c>
      <c r="U288" s="161">
        <f t="shared" si="72"/>
      </c>
      <c r="V288" s="161">
        <f t="shared" si="492"/>
      </c>
      <c r="W288" s="161">
        <f t="shared" si="12"/>
      </c>
      <c r="X288" s="169" t="s">
        <v>107</v>
      </c>
      <c r="Y288" s="163" t="s">
        <v>132</v>
      </c>
      <c r="Z288" s="166">
        <v>162396</v>
      </c>
      <c r="AA288" s="166">
        <v>31650</v>
      </c>
      <c r="AB288" s="166">
        <v>341423</v>
      </c>
      <c r="AC288" s="166">
        <v>876</v>
      </c>
      <c r="AD288" s="166">
        <v>8</v>
      </c>
      <c r="AE288" s="166">
        <v>22848</v>
      </c>
      <c r="AF288" s="166">
        <v>257</v>
      </c>
      <c r="AG288" s="166">
        <v>89</v>
      </c>
      <c r="AH288" s="165">
        <v>23</v>
      </c>
      <c r="AI288" s="167">
        <v>3</v>
      </c>
    </row>
    <row r="289">
      <c r="A289" s="149"/>
      <c r="B289" s="150" t="s">
        <v>113</v>
      </c>
      <c r="C289" s="194" t="s">
        <v>119</v>
      </c>
      <c r="D289" s="171">
        <v>3776.487</v>
      </c>
      <c r="E289" s="172">
        <v>8</v>
      </c>
      <c r="F289" s="154">
        <f t="shared" si="432"/>
      </c>
      <c r="G289" s="172">
        <v>2329.6</v>
      </c>
      <c r="H289" s="156">
        <f t="shared" si="462"/>
      </c>
      <c r="I289" s="157">
        <f t="shared" si="372"/>
      </c>
      <c r="J289" s="158">
        <f t="shared" si="402"/>
      </c>
      <c r="K289" s="159">
        <f t="shared" si="312"/>
      </c>
      <c r="L289" s="174">
        <f t="shared" si="342"/>
      </c>
      <c r="M289" s="175">
        <f t="shared" si="222"/>
      </c>
      <c r="N289" s="176">
        <f t="shared" si="252"/>
      </c>
      <c r="O289" s="176">
        <f t="shared" si="282"/>
      </c>
      <c r="P289" s="176">
        <f t="shared" si="162"/>
      </c>
      <c r="Q289" s="176">
        <f t="shared" si="192"/>
      </c>
      <c r="R289" s="175">
        <f t="shared" si="102"/>
      </c>
      <c r="S289" s="177">
        <f t="shared" si="132"/>
      </c>
      <c r="T289" s="176">
        <f t="shared" si="42"/>
      </c>
      <c r="U289" s="176">
        <f t="shared" si="72"/>
      </c>
      <c r="V289" s="176">
        <f t="shared" si="492"/>
      </c>
      <c r="W289" s="176">
        <f t="shared" si="12"/>
      </c>
      <c r="X289" s="169" t="s">
        <v>107</v>
      </c>
      <c r="Y289" s="163" t="s">
        <v>137</v>
      </c>
      <c r="Z289" s="166">
        <v>151021</v>
      </c>
      <c r="AA289" s="166">
        <v>28815</v>
      </c>
      <c r="AB289" s="166">
        <v>302560</v>
      </c>
      <c r="AC289" s="166">
        <v>864</v>
      </c>
      <c r="AD289" s="166">
        <v>6</v>
      </c>
      <c r="AE289" s="166">
        <v>20731</v>
      </c>
      <c r="AF289" s="166">
        <v>267</v>
      </c>
      <c r="AG289" s="166">
        <v>60</v>
      </c>
      <c r="AH289" s="165">
        <v>10</v>
      </c>
      <c r="AI289" s="167">
        <v>1</v>
      </c>
    </row>
    <row r="290">
      <c r="A290" s="149"/>
      <c r="B290" s="150" t="s">
        <v>113</v>
      </c>
      <c r="C290" s="194" t="s">
        <v>121</v>
      </c>
      <c r="D290" s="195">
        <v>3717.704</v>
      </c>
      <c r="E290" s="172">
        <v>10</v>
      </c>
      <c r="F290" s="154">
        <f t="shared" si="432"/>
      </c>
      <c r="G290" s="172">
        <v>3437.2</v>
      </c>
      <c r="H290" s="156">
        <f t="shared" si="462"/>
      </c>
      <c r="I290" s="157">
        <f t="shared" si="372"/>
      </c>
      <c r="J290" s="158">
        <f t="shared" si="402"/>
      </c>
      <c r="K290" s="159">
        <f t="shared" si="312"/>
      </c>
      <c r="L290" s="174">
        <f t="shared" si="342"/>
      </c>
      <c r="M290" s="175">
        <f t="shared" si="222"/>
      </c>
      <c r="N290" s="176">
        <f t="shared" si="252"/>
      </c>
      <c r="O290" s="176">
        <f t="shared" si="282"/>
      </c>
      <c r="P290" s="176">
        <f t="shared" si="162"/>
      </c>
      <c r="Q290" s="176">
        <f t="shared" si="192"/>
      </c>
      <c r="R290" s="175">
        <f t="shared" si="102"/>
      </c>
      <c r="S290" s="177">
        <f t="shared" si="132"/>
      </c>
      <c r="T290" s="176">
        <f t="shared" si="42"/>
      </c>
      <c r="U290" s="176">
        <f t="shared" si="72"/>
      </c>
      <c r="V290" s="176">
        <f t="shared" si="492"/>
      </c>
      <c r="W290" s="176">
        <f t="shared" si="12"/>
      </c>
      <c r="X290" s="169" t="s">
        <v>107</v>
      </c>
      <c r="Y290" s="163" t="s">
        <v>137</v>
      </c>
      <c r="Z290" s="166">
        <v>162201</v>
      </c>
      <c r="AA290" s="166">
        <v>29550</v>
      </c>
      <c r="AB290" s="166">
        <v>311737</v>
      </c>
      <c r="AC290" s="166">
        <v>879</v>
      </c>
      <c r="AD290" s="166">
        <v>10</v>
      </c>
      <c r="AE290" s="166">
        <v>22307</v>
      </c>
      <c r="AF290" s="166">
        <v>246</v>
      </c>
      <c r="AG290" s="166">
        <v>79</v>
      </c>
      <c r="AH290" s="165">
        <v>17</v>
      </c>
      <c r="AI290" s="167">
        <v>1</v>
      </c>
    </row>
    <row r="291">
      <c r="A291" s="149"/>
      <c r="B291" s="178" t="s">
        <v>112</v>
      </c>
      <c r="C291" s="178"/>
      <c r="D291" s="179">
        <f>SUM(D287:D290)</f>
      </c>
      <c r="E291" s="180">
        <f>SUM(E287:E290)</f>
      </c>
      <c r="F291" s="181">
        <f t="shared" si="432"/>
      </c>
      <c r="G291" s="182">
        <f>SUM(G287:G290)</f>
      </c>
      <c r="H291" s="183">
        <f t="shared" si="462"/>
      </c>
      <c r="I291" s="184">
        <f t="shared" si="372"/>
      </c>
      <c r="J291" s="185">
        <f t="shared" si="402"/>
      </c>
      <c r="K291" s="181">
        <f t="shared" si="312"/>
      </c>
      <c r="L291" s="186">
        <f t="shared" si="342"/>
      </c>
      <c r="M291" s="185">
        <f t="shared" si="222"/>
      </c>
      <c r="N291" s="187">
        <f t="shared" si="252"/>
      </c>
      <c r="O291" s="187">
        <f t="shared" si="282"/>
      </c>
      <c r="P291" s="187">
        <f t="shared" si="162"/>
      </c>
      <c r="Q291" s="187">
        <f t="shared" si="192"/>
      </c>
      <c r="R291" s="185">
        <f t="shared" si="102"/>
      </c>
      <c r="S291" s="181">
        <f t="shared" si="132"/>
      </c>
      <c r="T291" s="187">
        <f t="shared" si="42"/>
      </c>
      <c r="U291" s="187">
        <f t="shared" si="72"/>
      </c>
      <c r="V291" s="187">
        <f t="shared" si="492"/>
      </c>
      <c r="W291" s="187">
        <f t="shared" si="12"/>
      </c>
      <c r="X291" s="187"/>
      <c r="Y291" s="188"/>
      <c r="Z291" s="179">
        <f>SUM(Z287:Z290)</f>
      </c>
      <c r="AA291" s="179">
        <f>SUM(AA287:AA290)</f>
      </c>
      <c r="AB291" s="179">
        <f>SUM(AB287:AB290)</f>
      </c>
      <c r="AC291" s="179">
        <f>SUM(AC287:AC290)</f>
      </c>
      <c r="AD291" s="179">
        <f>SUM(AD287:AD290)</f>
      </c>
      <c r="AE291" s="179">
        <f>SUM(AE287:AE290)</f>
      </c>
      <c r="AF291" s="179">
        <f>SUM(AF287:AF290)</f>
      </c>
      <c r="AG291" s="179">
        <f>SUM(AG287:AG290)</f>
      </c>
      <c r="AH291" s="179">
        <f>SUM(AH287:AH290)</f>
      </c>
      <c r="AI291" s="179">
        <f>SUM(AI287:AI290)</f>
      </c>
    </row>
    <row r="292">
      <c r="A292" s="149"/>
      <c r="B292" s="150" t="s">
        <v>118</v>
      </c>
      <c r="C292" s="196" t="s">
        <v>122</v>
      </c>
      <c r="D292" s="171">
        <v>3726.909</v>
      </c>
      <c r="E292" s="172">
        <v>9</v>
      </c>
      <c r="F292" s="154">
        <f t="shared" si="432"/>
      </c>
      <c r="G292" s="172">
        <v>2577.2</v>
      </c>
      <c r="H292" s="156">
        <f t="shared" si="462"/>
      </c>
      <c r="I292" s="157">
        <f t="shared" si="372"/>
      </c>
      <c r="J292" s="158">
        <f t="shared" si="402"/>
      </c>
      <c r="K292" s="159">
        <f t="shared" si="312"/>
      </c>
      <c r="L292" s="160">
        <f t="shared" si="342"/>
      </c>
      <c r="M292" s="158">
        <f t="shared" si="222"/>
      </c>
      <c r="N292" s="161">
        <f t="shared" si="252"/>
      </c>
      <c r="O292" s="161">
        <f t="shared" si="282"/>
      </c>
      <c r="P292" s="161">
        <f t="shared" si="162"/>
      </c>
      <c r="Q292" s="161">
        <f t="shared" si="192"/>
      </c>
      <c r="R292" s="158">
        <f t="shared" si="102"/>
      </c>
      <c r="S292" s="159">
        <f t="shared" si="132"/>
      </c>
      <c r="T292" s="161">
        <f t="shared" si="42"/>
      </c>
      <c r="U292" s="161">
        <f t="shared" si="72"/>
      </c>
      <c r="V292" s="161">
        <f t="shared" si="492"/>
      </c>
      <c r="W292" s="161">
        <f t="shared" si="12"/>
      </c>
      <c r="X292" s="169" t="s">
        <v>107</v>
      </c>
      <c r="Y292" s="163" t="s">
        <v>137</v>
      </c>
      <c r="Z292" s="166">
        <v>160784</v>
      </c>
      <c r="AA292" s="166">
        <v>28857</v>
      </c>
      <c r="AB292" s="166">
        <v>307925</v>
      </c>
      <c r="AC292" s="166">
        <v>918</v>
      </c>
      <c r="AD292" s="166">
        <v>8</v>
      </c>
      <c r="AE292" s="166">
        <v>21045</v>
      </c>
      <c r="AF292" s="166">
        <v>235</v>
      </c>
      <c r="AG292" s="166">
        <v>62</v>
      </c>
      <c r="AH292" s="166">
        <v>17</v>
      </c>
      <c r="AI292" s="167">
        <v>1</v>
      </c>
    </row>
    <row r="293">
      <c r="A293" s="149"/>
      <c r="B293" s="150" t="s">
        <v>118</v>
      </c>
      <c r="C293" s="197" t="s">
        <v>123</v>
      </c>
      <c r="D293" s="171">
        <v>3549.088</v>
      </c>
      <c r="E293" s="172">
        <v>6</v>
      </c>
      <c r="F293" s="154">
        <f t="shared" si="432"/>
      </c>
      <c r="G293" s="172">
        <v>2465.6</v>
      </c>
      <c r="H293" s="156">
        <f t="shared" si="462"/>
      </c>
      <c r="I293" s="157">
        <f t="shared" si="372"/>
      </c>
      <c r="J293" s="158">
        <f t="shared" si="402"/>
      </c>
      <c r="K293" s="159">
        <f t="shared" si="312"/>
      </c>
      <c r="L293" s="160">
        <f t="shared" si="342"/>
      </c>
      <c r="M293" s="158">
        <f t="shared" si="222"/>
      </c>
      <c r="N293" s="161">
        <f t="shared" si="252"/>
      </c>
      <c r="O293" s="161">
        <f t="shared" si="282"/>
      </c>
      <c r="P293" s="161">
        <f t="shared" si="162"/>
      </c>
      <c r="Q293" s="161">
        <f t="shared" si="192"/>
      </c>
      <c r="R293" s="158">
        <f t="shared" si="102"/>
      </c>
      <c r="S293" s="159">
        <f t="shared" si="132"/>
      </c>
      <c r="T293" s="161">
        <f t="shared" si="42"/>
      </c>
      <c r="U293" s="161">
        <f t="shared" si="72"/>
      </c>
      <c r="V293" s="161">
        <f t="shared" si="492"/>
      </c>
      <c r="W293" s="161">
        <f t="shared" si="12"/>
      </c>
      <c r="X293" s="169" t="s">
        <v>107</v>
      </c>
      <c r="Y293" s="163" t="s">
        <v>137</v>
      </c>
      <c r="Z293" s="166">
        <v>171739</v>
      </c>
      <c r="AA293" s="166">
        <v>32384</v>
      </c>
      <c r="AB293" s="166">
        <v>329082</v>
      </c>
      <c r="AC293" s="166">
        <v>927</v>
      </c>
      <c r="AD293" s="166">
        <v>5</v>
      </c>
      <c r="AE293" s="166">
        <v>19469</v>
      </c>
      <c r="AF293" s="166">
        <v>236</v>
      </c>
      <c r="AG293" s="166">
        <v>84</v>
      </c>
      <c r="AH293" s="165">
        <v>12</v>
      </c>
      <c r="AI293" s="167">
        <v>1</v>
      </c>
    </row>
    <row r="294">
      <c r="A294" s="149"/>
      <c r="B294" s="150" t="s">
        <v>118</v>
      </c>
      <c r="C294" s="194" t="s">
        <v>125</v>
      </c>
      <c r="D294" s="171">
        <v>2644.641</v>
      </c>
      <c r="E294" s="172">
        <v>11</v>
      </c>
      <c r="F294" s="154">
        <f t="shared" si="432"/>
      </c>
      <c r="G294" s="172">
        <v>3573.6</v>
      </c>
      <c r="H294" s="156">
        <f t="shared" si="462"/>
      </c>
      <c r="I294" s="157">
        <f t="shared" si="372"/>
      </c>
      <c r="J294" s="158">
        <f t="shared" si="402"/>
      </c>
      <c r="K294" s="159">
        <f t="shared" si="312"/>
      </c>
      <c r="L294" s="174">
        <f t="shared" si="342"/>
      </c>
      <c r="M294" s="175">
        <f t="shared" si="222"/>
      </c>
      <c r="N294" s="176">
        <f t="shared" si="252"/>
      </c>
      <c r="O294" s="176">
        <f t="shared" si="282"/>
      </c>
      <c r="P294" s="176">
        <f t="shared" si="162"/>
      </c>
      <c r="Q294" s="176">
        <f t="shared" si="192"/>
      </c>
      <c r="R294" s="175">
        <f t="shared" si="102"/>
      </c>
      <c r="S294" s="177">
        <f t="shared" si="132"/>
      </c>
      <c r="T294" s="176">
        <f t="shared" si="42"/>
      </c>
      <c r="U294" s="176">
        <f t="shared" si="72"/>
      </c>
      <c r="V294" s="176">
        <f t="shared" si="492"/>
      </c>
      <c r="W294" s="176">
        <f t="shared" si="12"/>
      </c>
      <c r="X294" s="169" t="s">
        <v>107</v>
      </c>
      <c r="Y294" s="163" t="s">
        <v>137</v>
      </c>
      <c r="Z294" s="166">
        <v>168306</v>
      </c>
      <c r="AA294" s="166">
        <v>37187</v>
      </c>
      <c r="AB294" s="166">
        <v>271007</v>
      </c>
      <c r="AC294" s="166">
        <v>855</v>
      </c>
      <c r="AD294" s="166">
        <v>9</v>
      </c>
      <c r="AE294" s="166">
        <v>16746</v>
      </c>
      <c r="AF294" s="166">
        <v>261</v>
      </c>
      <c r="AG294" s="166">
        <v>90</v>
      </c>
      <c r="AH294" s="165">
        <v>19</v>
      </c>
      <c r="AI294" s="167">
        <v>1</v>
      </c>
    </row>
    <row r="295">
      <c r="A295" s="149"/>
      <c r="B295" s="150" t="s">
        <v>118</v>
      </c>
      <c r="C295" s="194" t="s">
        <v>126</v>
      </c>
      <c r="D295" s="195">
        <v>1143.599</v>
      </c>
      <c r="E295" s="172">
        <v>14</v>
      </c>
      <c r="F295" s="154">
        <f t="shared" si="432"/>
      </c>
      <c r="G295" s="172">
        <v>4540</v>
      </c>
      <c r="H295" s="156">
        <f t="shared" si="462"/>
      </c>
      <c r="I295" s="157">
        <f t="shared" si="372"/>
      </c>
      <c r="J295" s="158">
        <f t="shared" si="402"/>
      </c>
      <c r="K295" s="159">
        <f t="shared" si="312"/>
      </c>
      <c r="L295" s="174">
        <f t="shared" si="342"/>
      </c>
      <c r="M295" s="175">
        <f t="shared" si="222"/>
      </c>
      <c r="N295" s="176">
        <f t="shared" si="252"/>
      </c>
      <c r="O295" s="176">
        <f t="shared" si="282"/>
      </c>
      <c r="P295" s="176">
        <f t="shared" si="162"/>
      </c>
      <c r="Q295" s="176">
        <f t="shared" si="192"/>
      </c>
      <c r="R295" s="175">
        <f t="shared" si="102"/>
      </c>
      <c r="S295" s="177">
        <f t="shared" si="132"/>
      </c>
      <c r="T295" s="176">
        <f t="shared" si="42"/>
      </c>
      <c r="U295" s="176">
        <f t="shared" si="72"/>
      </c>
      <c r="V295" s="176">
        <f t="shared" si="492"/>
      </c>
      <c r="W295" s="176">
        <f t="shared" si="12"/>
      </c>
      <c r="X295" s="169" t="s">
        <v>107</v>
      </c>
      <c r="Y295" s="163" t="s">
        <v>137</v>
      </c>
      <c r="Z295" s="166">
        <v>79106</v>
      </c>
      <c r="AA295" s="166">
        <v>16555</v>
      </c>
      <c r="AB295" s="166">
        <v>70537</v>
      </c>
      <c r="AC295" s="166">
        <v>374</v>
      </c>
      <c r="AD295" s="166">
        <v>7</v>
      </c>
      <c r="AE295" s="166">
        <v>5110</v>
      </c>
      <c r="AF295" s="166">
        <v>138</v>
      </c>
      <c r="AG295" s="166">
        <v>30</v>
      </c>
      <c r="AH295" s="165">
        <v>9</v>
      </c>
      <c r="AI295" s="167">
        <v>3</v>
      </c>
    </row>
    <row r="296">
      <c r="A296" s="149"/>
      <c r="B296" s="178" t="s">
        <v>112</v>
      </c>
      <c r="C296" s="178"/>
      <c r="D296" s="179">
        <f>SUM(D292:D295)</f>
      </c>
      <c r="E296" s="180">
        <f>SUM(E292:E295)</f>
      </c>
      <c r="F296" s="181">
        <f t="shared" si="432"/>
      </c>
      <c r="G296" s="182">
        <f>SUM(G292:G295)</f>
      </c>
      <c r="H296" s="183">
        <f t="shared" si="462"/>
      </c>
      <c r="I296" s="184">
        <f t="shared" si="372"/>
      </c>
      <c r="J296" s="185">
        <f t="shared" si="402"/>
      </c>
      <c r="K296" s="181">
        <f t="shared" si="312"/>
      </c>
      <c r="L296" s="186">
        <f t="shared" si="342"/>
      </c>
      <c r="M296" s="185">
        <f t="shared" si="222"/>
      </c>
      <c r="N296" s="187">
        <f t="shared" si="252"/>
      </c>
      <c r="O296" s="187">
        <f t="shared" si="282"/>
      </c>
      <c r="P296" s="187">
        <f t="shared" si="162"/>
      </c>
      <c r="Q296" s="187">
        <f t="shared" si="192"/>
      </c>
      <c r="R296" s="185">
        <f t="shared" si="102"/>
      </c>
      <c r="S296" s="181">
        <f t="shared" si="132"/>
      </c>
      <c r="T296" s="187">
        <f t="shared" si="42"/>
      </c>
      <c r="U296" s="187">
        <f t="shared" si="72"/>
      </c>
      <c r="V296" s="187">
        <f t="shared" si="492"/>
      </c>
      <c r="W296" s="187">
        <f t="shared" si="12"/>
      </c>
      <c r="X296" s="187"/>
      <c r="Y296" s="188"/>
      <c r="Z296" s="179">
        <f>SUM(Z292:Z295)</f>
      </c>
      <c r="AA296" s="179">
        <f>SUM(AA292:AA295)</f>
      </c>
      <c r="AB296" s="179">
        <f>SUM(AB292:AB295)</f>
      </c>
      <c r="AC296" s="179">
        <f>SUM(AC292:AC295)</f>
      </c>
      <c r="AD296" s="179">
        <f>SUM(AD292:AD295)</f>
      </c>
      <c r="AE296" s="179">
        <f>SUM(AE292:AE295)</f>
      </c>
      <c r="AF296" s="179">
        <f>SUM(AF292:AF295)</f>
      </c>
      <c r="AG296" s="179">
        <f>SUM(AG292:AG295)</f>
      </c>
      <c r="AH296" s="179">
        <f>SUM(AH292:AH295)</f>
      </c>
      <c r="AI296" s="179">
        <f>SUM(AI292:AI295)</f>
      </c>
    </row>
    <row r="297">
      <c r="A297" s="149"/>
      <c r="B297" s="150" t="s">
        <v>105</v>
      </c>
      <c r="C297" s="196" t="s">
        <v>127</v>
      </c>
      <c r="D297" s="198">
        <v>4744.202</v>
      </c>
      <c r="E297" s="153">
        <v>20</v>
      </c>
      <c r="F297" s="154">
        <f t="shared" si="432"/>
      </c>
      <c r="G297" s="155">
        <v>6210.4</v>
      </c>
      <c r="H297" s="156">
        <f t="shared" si="462"/>
      </c>
      <c r="I297" s="157">
        <f t="shared" si="372"/>
      </c>
      <c r="J297" s="158">
        <f t="shared" si="402"/>
      </c>
      <c r="K297" s="159">
        <f t="shared" si="312"/>
      </c>
      <c r="L297" s="174">
        <f t="shared" si="342"/>
      </c>
      <c r="M297" s="175">
        <f t="shared" si="222"/>
      </c>
      <c r="N297" s="176">
        <f t="shared" si="252"/>
      </c>
      <c r="O297" s="176">
        <f t="shared" si="282"/>
      </c>
      <c r="P297" s="176">
        <f t="shared" si="162"/>
      </c>
      <c r="Q297" s="176">
        <f t="shared" si="192"/>
      </c>
      <c r="R297" s="175">
        <f t="shared" si="102"/>
      </c>
      <c r="S297" s="177">
        <f t="shared" si="132"/>
      </c>
      <c r="T297" s="176">
        <f t="shared" si="42"/>
      </c>
      <c r="U297" s="176">
        <f t="shared" si="72"/>
      </c>
      <c r="V297" s="176">
        <f t="shared" si="492"/>
      </c>
      <c r="W297" s="176">
        <f t="shared" si="12"/>
      </c>
      <c r="X297" s="169" t="s">
        <v>107</v>
      </c>
      <c r="Y297" s="163" t="s">
        <v>137</v>
      </c>
      <c r="Z297" s="166">
        <v>279959</v>
      </c>
      <c r="AA297" s="166">
        <v>36899</v>
      </c>
      <c r="AB297" s="166">
        <v>519336</v>
      </c>
      <c r="AC297" s="199">
        <v>1102</v>
      </c>
      <c r="AD297" s="199">
        <v>19</v>
      </c>
      <c r="AE297" s="199">
        <v>26370</v>
      </c>
      <c r="AF297" s="199">
        <v>263</v>
      </c>
      <c r="AG297" s="199">
        <v>127</v>
      </c>
      <c r="AH297" s="199">
        <v>25</v>
      </c>
      <c r="AI297" s="167">
        <v>2</v>
      </c>
    </row>
    <row r="298">
      <c r="A298" s="149"/>
      <c r="B298" s="150" t="s">
        <v>105</v>
      </c>
      <c r="C298" s="194" t="s">
        <v>138</v>
      </c>
      <c r="D298" s="198">
        <v>3745.265</v>
      </c>
      <c r="E298" s="153">
        <v>15</v>
      </c>
      <c r="F298" s="154">
        <f t="shared" si="432"/>
      </c>
      <c r="G298" s="155">
        <v>7146.4</v>
      </c>
      <c r="H298" s="156">
        <f t="shared" si="462"/>
      </c>
      <c r="I298" s="157">
        <f t="shared" si="372"/>
      </c>
      <c r="J298" s="158">
        <f t="shared" si="402"/>
      </c>
      <c r="K298" s="159">
        <f t="shared" si="312"/>
      </c>
      <c r="L298" s="174">
        <f t="shared" si="342"/>
      </c>
      <c r="M298" s="175">
        <f t="shared" si="222"/>
      </c>
      <c r="N298" s="176">
        <f t="shared" si="252"/>
      </c>
      <c r="O298" s="176">
        <f t="shared" si="282"/>
      </c>
      <c r="P298" s="176">
        <f t="shared" si="162"/>
      </c>
      <c r="Q298" s="176">
        <f t="shared" si="192"/>
      </c>
      <c r="R298" s="175">
        <f t="shared" si="102"/>
      </c>
      <c r="S298" s="177">
        <f t="shared" si="132"/>
      </c>
      <c r="T298" s="176">
        <f t="shared" si="42"/>
      </c>
      <c r="U298" s="176">
        <f t="shared" si="72"/>
      </c>
      <c r="V298" s="176">
        <f t="shared" si="492"/>
      </c>
      <c r="W298" s="176">
        <f t="shared" si="12"/>
      </c>
      <c r="X298" s="169" t="s">
        <v>107</v>
      </c>
      <c r="Y298" s="163" t="s">
        <v>137</v>
      </c>
      <c r="Z298" s="166">
        <v>197039</v>
      </c>
      <c r="AA298" s="166">
        <v>20070</v>
      </c>
      <c r="AB298" s="166">
        <v>257779</v>
      </c>
      <c r="AC298" s="199">
        <v>267</v>
      </c>
      <c r="AD298" s="199">
        <v>7</v>
      </c>
      <c r="AE298" s="199">
        <v>14240</v>
      </c>
      <c r="AF298" s="199">
        <v>119</v>
      </c>
      <c r="AG298" s="199">
        <v>71</v>
      </c>
      <c r="AH298" s="199">
        <v>16</v>
      </c>
      <c r="AI298" s="167">
        <v>3</v>
      </c>
    </row>
    <row r="299">
      <c r="A299" s="149"/>
      <c r="B299" s="150" t="s">
        <v>105</v>
      </c>
      <c r="C299" s="200" t="s">
        <v>139</v>
      </c>
      <c r="D299" s="171">
        <v>480.86</v>
      </c>
      <c r="E299" s="172">
        <v>0</v>
      </c>
      <c r="F299" s="154">
        <f t="shared" si="432"/>
      </c>
      <c r="G299" s="172">
        <v>0</v>
      </c>
      <c r="H299" s="156">
        <f t="shared" si="462"/>
      </c>
      <c r="I299" s="157">
        <f t="shared" si="372"/>
      </c>
      <c r="J299" s="158">
        <f t="shared" si="402"/>
      </c>
      <c r="K299" s="159">
        <f t="shared" si="312"/>
      </c>
      <c r="L299" s="174">
        <f t="shared" si="342"/>
      </c>
      <c r="M299" s="175">
        <f t="shared" si="222"/>
      </c>
      <c r="N299" s="176">
        <f t="shared" si="252"/>
      </c>
      <c r="O299" s="176">
        <f t="shared" si="282"/>
      </c>
      <c r="P299" s="176">
        <f t="shared" si="162"/>
      </c>
      <c r="Q299" s="176">
        <f t="shared" si="192"/>
      </c>
      <c r="R299" s="175">
        <f t="shared" si="102"/>
      </c>
      <c r="S299" s="177">
        <f t="shared" si="132"/>
      </c>
      <c r="T299" s="176">
        <f t="shared" si="42"/>
      </c>
      <c r="U299" s="176">
        <f t="shared" si="72"/>
      </c>
      <c r="V299" s="176">
        <f t="shared" si="492"/>
      </c>
      <c r="W299" s="176">
        <f t="shared" si="12"/>
      </c>
      <c r="X299" s="169" t="s">
        <v>107</v>
      </c>
      <c r="Y299" s="163" t="s">
        <v>137</v>
      </c>
      <c r="Z299" s="166">
        <v>26759</v>
      </c>
      <c r="AA299" s="166">
        <v>5980</v>
      </c>
      <c r="AB299" s="166">
        <v>45238</v>
      </c>
      <c r="AC299" s="166">
        <v>205</v>
      </c>
      <c r="AD299" s="166">
        <v>1</v>
      </c>
      <c r="AE299" s="166">
        <v>3441</v>
      </c>
      <c r="AF299" s="166">
        <v>65</v>
      </c>
      <c r="AG299" s="166">
        <v>23</v>
      </c>
      <c r="AH299" s="165">
        <v>6</v>
      </c>
      <c r="AI299" s="167">
        <v>0</v>
      </c>
    </row>
    <row r="300">
      <c r="A300" s="149"/>
      <c r="B300" s="150" t="s">
        <v>105</v>
      </c>
      <c r="C300" s="201" t="s">
        <v>141</v>
      </c>
      <c r="D300" s="195">
        <f>902.445+0.176+0.323</f>
      </c>
      <c r="E300" s="172">
        <v>6</v>
      </c>
      <c r="F300" s="154">
        <f t="shared" si="432"/>
      </c>
      <c r="G300" s="172">
        <v>2568</v>
      </c>
      <c r="H300" s="156">
        <f t="shared" si="462"/>
      </c>
      <c r="I300" s="157">
        <f t="shared" si="372"/>
      </c>
      <c r="J300" s="158">
        <f t="shared" si="402"/>
      </c>
      <c r="K300" s="159">
        <f t="shared" si="312"/>
      </c>
      <c r="L300" s="174">
        <f t="shared" si="342"/>
      </c>
      <c r="M300" s="175">
        <f t="shared" si="222"/>
      </c>
      <c r="N300" s="176">
        <f t="shared" si="252"/>
      </c>
      <c r="O300" s="176">
        <f t="shared" si="282"/>
      </c>
      <c r="P300" s="176">
        <f t="shared" si="162"/>
      </c>
      <c r="Q300" s="176">
        <f t="shared" si="192"/>
      </c>
      <c r="R300" s="175">
        <f t="shared" si="102"/>
      </c>
      <c r="S300" s="177">
        <f t="shared" si="132"/>
      </c>
      <c r="T300" s="176">
        <f t="shared" si="42"/>
      </c>
      <c r="U300" s="176">
        <f t="shared" si="72"/>
      </c>
      <c r="V300" s="176">
        <f t="shared" si="492"/>
      </c>
      <c r="W300" s="176">
        <f t="shared" si="12"/>
      </c>
      <c r="X300" s="169" t="s">
        <v>107</v>
      </c>
      <c r="Y300" s="163" t="s">
        <v>137</v>
      </c>
      <c r="Z300" s="166">
        <v>59648</v>
      </c>
      <c r="AA300" s="166">
        <v>9483</v>
      </c>
      <c r="AB300" s="166">
        <v>128701</v>
      </c>
      <c r="AC300" s="166">
        <v>447</v>
      </c>
      <c r="AD300" s="166">
        <v>6</v>
      </c>
      <c r="AE300" s="166">
        <v>9445</v>
      </c>
      <c r="AF300" s="166">
        <v>100</v>
      </c>
      <c r="AG300" s="166">
        <v>45</v>
      </c>
      <c r="AH300" s="165">
        <v>13</v>
      </c>
      <c r="AI300" s="167">
        <v>0</v>
      </c>
    </row>
    <row r="301">
      <c r="A301" s="149"/>
      <c r="B301" s="178" t="s">
        <v>112</v>
      </c>
      <c r="C301" s="178"/>
      <c r="D301" s="179">
        <f>SUM(D297:D300)</f>
      </c>
      <c r="E301" s="180">
        <f>SUM(E297:E300)</f>
      </c>
      <c r="F301" s="181">
        <f t="shared" si="432"/>
      </c>
      <c r="G301" s="182">
        <f>SUM(G297:G300)</f>
      </c>
      <c r="H301" s="183">
        <f t="shared" si="462"/>
      </c>
      <c r="I301" s="184">
        <f t="shared" si="372"/>
      </c>
      <c r="J301" s="185">
        <f t="shared" si="402"/>
      </c>
      <c r="K301" s="181">
        <f t="shared" si="312"/>
      </c>
      <c r="L301" s="186">
        <f t="shared" si="342"/>
      </c>
      <c r="M301" s="185">
        <f t="shared" si="222"/>
      </c>
      <c r="N301" s="187">
        <f t="shared" si="252"/>
      </c>
      <c r="O301" s="187">
        <f t="shared" si="282"/>
      </c>
      <c r="P301" s="187">
        <f t="shared" si="162"/>
      </c>
      <c r="Q301" s="187">
        <f t="shared" si="192"/>
      </c>
      <c r="R301" s="185">
        <f t="shared" si="102"/>
      </c>
      <c r="S301" s="181">
        <f t="shared" si="132"/>
      </c>
      <c r="T301" s="187">
        <f t="shared" si="42"/>
      </c>
      <c r="U301" s="187">
        <f t="shared" si="72"/>
      </c>
      <c r="V301" s="187">
        <f t="shared" si="492"/>
      </c>
      <c r="W301" s="187">
        <f t="shared" si="12"/>
      </c>
      <c r="X301" s="187"/>
      <c r="Y301" s="188"/>
      <c r="Z301" s="179">
        <f>SUM(Z297:Z300)</f>
      </c>
      <c r="AA301" s="179">
        <f>SUM(AA297:AA300)</f>
      </c>
      <c r="AB301" s="179">
        <f>SUM(AB297:AB300)</f>
      </c>
      <c r="AC301" s="179">
        <f>SUM(AC297:AC300)</f>
      </c>
      <c r="AD301" s="179">
        <f>SUM(AD297:AD300)</f>
      </c>
      <c r="AE301" s="179">
        <f>SUM(AE297:AE300)</f>
      </c>
      <c r="AF301" s="179">
        <f>SUM(AF297:AF300)</f>
      </c>
      <c r="AG301" s="179">
        <f>SUM(AG297:AG300)</f>
      </c>
      <c r="AH301" s="179">
        <f>SUM(AH297:AH300)</f>
      </c>
      <c r="AI301" s="179">
        <f>SUM(AI297:AI300)</f>
      </c>
    </row>
    <row r="302">
      <c r="A302" s="149"/>
      <c r="B302" s="202" t="s">
        <v>129</v>
      </c>
      <c r="C302" s="202"/>
      <c r="D302" s="203">
        <f>SUM(D301+D281+D286+D296+D291)</f>
      </c>
      <c r="E302" s="203">
        <f>SUM(E301+E281+E286+E296+E291)</f>
      </c>
      <c r="F302" s="205">
        <f t="shared" si="432"/>
      </c>
      <c r="G302" s="206">
        <f>SUM(G301+G281+G286+G296+G291)</f>
      </c>
      <c r="H302" s="207">
        <f t="shared" si="462"/>
      </c>
      <c r="I302" s="208">
        <f t="shared" si="372"/>
      </c>
      <c r="J302" s="209">
        <f t="shared" si="402"/>
      </c>
      <c r="K302" s="205">
        <f t="shared" si="312"/>
      </c>
      <c r="L302" s="210">
        <f t="shared" si="342"/>
      </c>
      <c r="M302" s="210">
        <f t="shared" si="222"/>
      </c>
      <c r="N302" s="211">
        <f t="shared" si="252"/>
      </c>
      <c r="O302" s="211">
        <f t="shared" si="282"/>
      </c>
      <c r="P302" s="211">
        <f t="shared" si="162"/>
      </c>
      <c r="Q302" s="211">
        <f t="shared" si="192"/>
      </c>
      <c r="R302" s="212">
        <f t="shared" si="102"/>
      </c>
      <c r="S302" s="213">
        <f t="shared" si="132"/>
      </c>
      <c r="T302" s="214">
        <f t="shared" si="42"/>
      </c>
      <c r="U302" s="214">
        <f t="shared" si="72"/>
      </c>
      <c r="V302" s="214">
        <f t="shared" si="492"/>
      </c>
      <c r="W302" s="214">
        <f t="shared" si="12"/>
      </c>
      <c r="X302" s="214"/>
      <c r="Y302" s="215"/>
      <c r="Z302" s="216">
        <f>SUM(Z281+Z301+Z286+Z296+Z291)</f>
      </c>
      <c r="AA302" s="216">
        <f>SUM(AA281+AA301+AA286+AA296+AA291)</f>
      </c>
      <c r="AB302" s="216">
        <f>SUM(AB281+AB301+AB286+AB296+AB291)</f>
      </c>
      <c r="AC302" s="216">
        <f>SUM(AC281+AC301+AC286+AC296+AC291)</f>
      </c>
      <c r="AD302" s="216">
        <f>SUM(AD281+AD301+AD286+AD296+AD291)</f>
      </c>
      <c r="AE302" s="216">
        <f>SUM(AE281+AE301+AE286+AE296+AE291)</f>
      </c>
      <c r="AF302" s="216">
        <f>SUM(AF281+AF301+AF286+AF296+AF291)</f>
      </c>
      <c r="AG302" s="216">
        <f>SUM(AG281+AG301+AG286+AG296+AG291)</f>
      </c>
      <c r="AH302" s="216">
        <f>SUM(AH281+AH301+AH286+AH296+AH291)</f>
      </c>
      <c r="AI302" s="216">
        <f>SUM(AI281+AI301+AI286+AI296+AI291)</f>
      </c>
    </row>
    <row r="303">
      <c r="A303" s="133" t="s">
        <v>70</v>
      </c>
      <c r="B303" s="134" t="s">
        <v>71</v>
      </c>
      <c r="C303" s="135" t="s">
        <v>72</v>
      </c>
      <c r="D303" s="136" t="s">
        <v>73</v>
      </c>
      <c r="E303" s="137" t="s">
        <v>74</v>
      </c>
      <c r="F303" s="138" t="s">
        <v>75</v>
      </c>
      <c r="G303" s="139" t="s">
        <v>76</v>
      </c>
      <c r="H303" s="138" t="s">
        <v>77</v>
      </c>
      <c r="I303" s="139" t="s">
        <v>78</v>
      </c>
      <c r="J303" s="140" t="s">
        <v>79</v>
      </c>
      <c r="K303" s="140" t="s">
        <v>80</v>
      </c>
      <c r="L303" s="141" t="s">
        <v>81</v>
      </c>
      <c r="M303" s="141" t="s">
        <v>82</v>
      </c>
      <c r="N303" s="141" t="s">
        <v>83</v>
      </c>
      <c r="O303" s="141" t="s">
        <v>84</v>
      </c>
      <c r="P303" s="141" t="s">
        <v>85</v>
      </c>
      <c r="Q303" s="141" t="s">
        <v>86</v>
      </c>
      <c r="R303" s="141" t="s">
        <v>87</v>
      </c>
      <c r="S303" s="141" t="s">
        <v>88</v>
      </c>
      <c r="T303" s="142" t="s">
        <v>89</v>
      </c>
      <c r="U303" s="142" t="s">
        <v>90</v>
      </c>
      <c r="V303" s="142" t="s">
        <v>91</v>
      </c>
      <c r="W303" s="142" t="s">
        <v>92</v>
      </c>
      <c r="X303" s="143" t="s">
        <v>93</v>
      </c>
      <c r="Y303" s="143" t="s">
        <v>94</v>
      </c>
      <c r="Z303" s="144" t="s">
        <v>95</v>
      </c>
      <c r="AA303" s="144" t="s">
        <v>96</v>
      </c>
      <c r="AB303" s="144" t="s">
        <v>97</v>
      </c>
      <c r="AC303" s="145" t="s">
        <v>98</v>
      </c>
      <c r="AD303" s="145" t="s">
        <v>99</v>
      </c>
      <c r="AE303" s="146" t="s">
        <v>100</v>
      </c>
      <c r="AF303" s="145" t="s">
        <v>101</v>
      </c>
      <c r="AG303" s="145" t="s">
        <v>102</v>
      </c>
      <c r="AH303" s="147" t="s">
        <v>103</v>
      </c>
      <c r="AI303" s="148" t="s">
        <v>104</v>
      </c>
    </row>
    <row r="304">
      <c r="A304" s="149">
        <v>46279</v>
      </c>
      <c r="B304" s="150" t="s">
        <v>124</v>
      </c>
      <c r="C304" s="151" t="s">
        <v>135</v>
      </c>
      <c r="D304" s="152">
        <v>2897.799</v>
      </c>
      <c r="E304" s="153">
        <v>10</v>
      </c>
      <c r="F304" s="154">
        <f t="shared" ref="F304:F329" si="433">D304/E304</f>
      </c>
      <c r="G304" s="155">
        <v>3418.8</v>
      </c>
      <c r="H304" s="156">
        <f t="shared" ref="H304:H329" si="463">AD304</f>
      </c>
      <c r="I304" s="157">
        <f t="shared" ref="I304:I329" si="373">D304/AD304</f>
      </c>
      <c r="J304" s="158">
        <f t="shared" ref="J304:J329" si="403">G304/E304</f>
      </c>
      <c r="K304" s="159">
        <f t="shared" ref="K304:K329" si="313">G304/D304</f>
      </c>
      <c r="L304" s="160">
        <f t="shared" ref="L304:L329" si="343">D304/AB304</f>
      </c>
      <c r="M304" s="158">
        <f t="shared" ref="M304:M329" si="223">D304/AC304</f>
      </c>
      <c r="N304" s="161">
        <f t="shared" ref="N304:N329" si="253">AC304/AB304</f>
      </c>
      <c r="O304" s="161">
        <f t="shared" ref="O304:O329" si="283">AD304/AC304</f>
      </c>
      <c r="P304" s="161">
        <f t="shared" ref="P304:P329" si="163">AA304/Z304</f>
      </c>
      <c r="Q304" s="161">
        <f t="shared" ref="Q304:Q329" si="193">AD304/AA304</f>
      </c>
      <c r="R304" s="158">
        <f t="shared" ref="R304:R329" si="103">D304/Z304*1000</f>
      </c>
      <c r="S304" s="159">
        <f t="shared" ref="S304:S329" si="133">D304/AA304</f>
      </c>
      <c r="T304" s="161">
        <f t="shared" ref="T304:T329" si="43">AE304/AB304</f>
      </c>
      <c r="U304" s="161">
        <f t="shared" ref="U304:U329" si="73">AF304/AB304</f>
      </c>
      <c r="V304" s="161">
        <f t="shared" ref="V304:V329" si="493">AG304/AB304</f>
      </c>
      <c r="W304" s="161">
        <f t="shared" ref="W304:W329" si="13">AH304/AB304</f>
      </c>
      <c r="X304" s="162" t="s">
        <v>107</v>
      </c>
      <c r="Y304" s="163" t="s">
        <v>132</v>
      </c>
      <c r="Z304" s="164">
        <v>178624</v>
      </c>
      <c r="AA304" s="164">
        <v>59302</v>
      </c>
      <c r="AB304" s="164">
        <v>348457</v>
      </c>
      <c r="AC304" s="164">
        <v>1128</v>
      </c>
      <c r="AD304" s="165">
        <v>7</v>
      </c>
      <c r="AE304" s="164">
        <v>39935</v>
      </c>
      <c r="AF304" s="166">
        <v>232</v>
      </c>
      <c r="AG304" s="166">
        <v>159</v>
      </c>
      <c r="AH304" s="166">
        <v>24</v>
      </c>
      <c r="AI304" s="167">
        <v>2</v>
      </c>
    </row>
    <row r="305">
      <c r="A305" s="149"/>
      <c r="B305" s="150" t="s">
        <v>124</v>
      </c>
      <c r="C305" s="168" t="s">
        <v>136</v>
      </c>
      <c r="D305" s="152">
        <v>2611.159</v>
      </c>
      <c r="E305" s="153">
        <v>7</v>
      </c>
      <c r="F305" s="154">
        <f t="shared" si="433"/>
      </c>
      <c r="G305" s="155">
        <v>2185.2</v>
      </c>
      <c r="H305" s="156">
        <f t="shared" si="463"/>
      </c>
      <c r="I305" s="157">
        <f t="shared" si="373"/>
      </c>
      <c r="J305" s="158">
        <f t="shared" si="403"/>
      </c>
      <c r="K305" s="159">
        <f t="shared" si="313"/>
      </c>
      <c r="L305" s="160">
        <f t="shared" si="343"/>
      </c>
      <c r="M305" s="158">
        <f t="shared" si="223"/>
      </c>
      <c r="N305" s="161">
        <f t="shared" si="253"/>
      </c>
      <c r="O305" s="161">
        <f t="shared" si="283"/>
      </c>
      <c r="P305" s="161">
        <f t="shared" si="163"/>
      </c>
      <c r="Q305" s="161">
        <f t="shared" si="193"/>
      </c>
      <c r="R305" s="158">
        <f t="shared" si="103"/>
      </c>
      <c r="S305" s="159">
        <f t="shared" si="133"/>
      </c>
      <c r="T305" s="161">
        <f t="shared" si="43"/>
      </c>
      <c r="U305" s="161">
        <f t="shared" si="73"/>
      </c>
      <c r="V305" s="161">
        <f t="shared" si="493"/>
      </c>
      <c r="W305" s="161">
        <f t="shared" si="13"/>
      </c>
      <c r="X305" s="169" t="s">
        <v>107</v>
      </c>
      <c r="Y305" s="163" t="s">
        <v>132</v>
      </c>
      <c r="Z305" s="166">
        <v>151555</v>
      </c>
      <c r="AA305" s="164">
        <v>49985</v>
      </c>
      <c r="AB305" s="164">
        <v>242351</v>
      </c>
      <c r="AC305" s="164">
        <v>1006</v>
      </c>
      <c r="AD305" s="166">
        <v>8</v>
      </c>
      <c r="AE305" s="164">
        <v>30764</v>
      </c>
      <c r="AF305" s="166">
        <v>329</v>
      </c>
      <c r="AG305" s="166">
        <v>125</v>
      </c>
      <c r="AH305" s="165">
        <v>12</v>
      </c>
      <c r="AI305" s="167">
        <v>1</v>
      </c>
    </row>
    <row r="306">
      <c r="A306" s="149"/>
      <c r="B306" s="150" t="s">
        <v>124</v>
      </c>
      <c r="C306" s="170" t="s">
        <v>106</v>
      </c>
      <c r="D306" s="171">
        <v>2665.4719999999998</v>
      </c>
      <c r="E306" s="172">
        <v>9</v>
      </c>
      <c r="F306" s="154">
        <f t="shared" si="433"/>
      </c>
      <c r="G306" s="172">
        <v>3177.2000000000007</v>
      </c>
      <c r="H306" s="156">
        <f t="shared" si="463"/>
      </c>
      <c r="I306" s="157">
        <f t="shared" si="373"/>
      </c>
      <c r="J306" s="158">
        <f t="shared" si="403"/>
      </c>
      <c r="K306" s="159">
        <f t="shared" si="313"/>
      </c>
      <c r="L306" s="160">
        <f t="shared" si="343"/>
      </c>
      <c r="M306" s="158">
        <f t="shared" si="223"/>
      </c>
      <c r="N306" s="161">
        <f t="shared" si="253"/>
      </c>
      <c r="O306" s="161">
        <f t="shared" si="283"/>
      </c>
      <c r="P306" s="161">
        <f t="shared" si="163"/>
      </c>
      <c r="Q306" s="161">
        <f t="shared" si="193"/>
      </c>
      <c r="R306" s="158">
        <f t="shared" si="103"/>
      </c>
      <c r="S306" s="159">
        <f t="shared" si="133"/>
      </c>
      <c r="T306" s="161">
        <f t="shared" si="43"/>
      </c>
      <c r="U306" s="161">
        <f t="shared" si="73"/>
      </c>
      <c r="V306" s="161">
        <f t="shared" si="493"/>
      </c>
      <c r="W306" s="161">
        <f t="shared" si="13"/>
      </c>
      <c r="X306" s="169" t="s">
        <v>107</v>
      </c>
      <c r="Y306" s="163" t="s">
        <v>132</v>
      </c>
      <c r="Z306" s="166">
        <v>142939</v>
      </c>
      <c r="AA306" s="166">
        <v>46773</v>
      </c>
      <c r="AB306" s="166">
        <v>227352</v>
      </c>
      <c r="AC306" s="166">
        <v>1095</v>
      </c>
      <c r="AD306" s="166">
        <v>7</v>
      </c>
      <c r="AE306" s="166">
        <v>27123</v>
      </c>
      <c r="AF306" s="166">
        <v>375</v>
      </c>
      <c r="AG306" s="166">
        <v>86</v>
      </c>
      <c r="AH306" s="166">
        <v>15</v>
      </c>
      <c r="AI306" s="167">
        <v>1</v>
      </c>
    </row>
    <row r="307">
      <c r="A307" s="149"/>
      <c r="B307" s="150" t="s">
        <v>124</v>
      </c>
      <c r="C307" s="173" t="s">
        <v>109</v>
      </c>
      <c r="D307" s="171">
        <v>3297.7760000000003</v>
      </c>
      <c r="E307" s="172">
        <v>9</v>
      </c>
      <c r="F307" s="154">
        <f t="shared" si="433"/>
      </c>
      <c r="G307" s="172">
        <v>1987.5999999999985</v>
      </c>
      <c r="H307" s="156">
        <f t="shared" si="463"/>
      </c>
      <c r="I307" s="157">
        <f t="shared" si="373"/>
      </c>
      <c r="J307" s="158">
        <f t="shared" si="403"/>
      </c>
      <c r="K307" s="159">
        <f t="shared" si="313"/>
      </c>
      <c r="L307" s="174">
        <f t="shared" si="343"/>
      </c>
      <c r="M307" s="175">
        <f t="shared" si="223"/>
      </c>
      <c r="N307" s="176">
        <f t="shared" si="253"/>
      </c>
      <c r="O307" s="176">
        <f t="shared" si="283"/>
      </c>
      <c r="P307" s="176">
        <f t="shared" si="163"/>
      </c>
      <c r="Q307" s="176">
        <f t="shared" si="193"/>
      </c>
      <c r="R307" s="175">
        <f t="shared" si="103"/>
      </c>
      <c r="S307" s="177">
        <f t="shared" si="133"/>
      </c>
      <c r="T307" s="176">
        <f t="shared" si="43"/>
      </c>
      <c r="U307" s="176">
        <f t="shared" si="73"/>
      </c>
      <c r="V307" s="176">
        <f t="shared" si="493"/>
      </c>
      <c r="W307" s="176">
        <f t="shared" si="13"/>
      </c>
      <c r="X307" s="169" t="s">
        <v>107</v>
      </c>
      <c r="Y307" s="163" t="s">
        <v>132</v>
      </c>
      <c r="Z307" s="166">
        <v>165019</v>
      </c>
      <c r="AA307" s="166">
        <v>49903</v>
      </c>
      <c r="AB307" s="166">
        <v>262237</v>
      </c>
      <c r="AC307" s="166">
        <v>1165</v>
      </c>
      <c r="AD307" s="166">
        <v>10</v>
      </c>
      <c r="AE307" s="166">
        <v>28948</v>
      </c>
      <c r="AF307" s="166">
        <v>366</v>
      </c>
      <c r="AG307" s="166">
        <v>93</v>
      </c>
      <c r="AH307" s="165">
        <v>19</v>
      </c>
      <c r="AI307" s="167">
        <v>2</v>
      </c>
    </row>
    <row r="308">
      <c r="A308" s="149"/>
      <c r="B308" s="178" t="s">
        <v>112</v>
      </c>
      <c r="C308" s="178"/>
      <c r="D308" s="179">
        <f>SUM(D304:D307)</f>
      </c>
      <c r="E308" s="180">
        <f>SUM(E304:E307)</f>
      </c>
      <c r="F308" s="181">
        <f t="shared" si="433"/>
      </c>
      <c r="G308" s="182">
        <f>SUM(G304:G307)</f>
      </c>
      <c r="H308" s="183">
        <f t="shared" si="463"/>
      </c>
      <c r="I308" s="184">
        <f t="shared" si="373"/>
      </c>
      <c r="J308" s="185">
        <f t="shared" si="403"/>
      </c>
      <c r="K308" s="181">
        <f t="shared" si="313"/>
      </c>
      <c r="L308" s="186">
        <f t="shared" si="343"/>
      </c>
      <c r="M308" s="185">
        <f t="shared" si="223"/>
      </c>
      <c r="N308" s="187">
        <f t="shared" si="253"/>
      </c>
      <c r="O308" s="187">
        <f t="shared" si="283"/>
      </c>
      <c r="P308" s="187">
        <f t="shared" si="163"/>
      </c>
      <c r="Q308" s="187">
        <f t="shared" si="193"/>
      </c>
      <c r="R308" s="185">
        <f t="shared" si="103"/>
      </c>
      <c r="S308" s="181">
        <f t="shared" si="133"/>
      </c>
      <c r="T308" s="187">
        <f t="shared" si="43"/>
      </c>
      <c r="U308" s="187">
        <f t="shared" si="73"/>
      </c>
      <c r="V308" s="187">
        <f t="shared" si="493"/>
      </c>
      <c r="W308" s="187">
        <f t="shared" si="13"/>
      </c>
      <c r="X308" s="187"/>
      <c r="Y308" s="188"/>
      <c r="Z308" s="179">
        <f>SUM(Z304:Z307)</f>
      </c>
      <c r="AA308" s="179">
        <f>SUM(AA304:AA307)</f>
      </c>
      <c r="AB308" s="179">
        <f>SUM(AB304:AB307)</f>
      </c>
      <c r="AC308" s="179">
        <f>SUM(AC304:AC307)</f>
      </c>
      <c r="AD308" s="179">
        <f>SUM(AD304:AD307)</f>
      </c>
      <c r="AE308" s="179">
        <f>SUM(AE304:AE307)</f>
      </c>
      <c r="AF308" s="179">
        <f>SUM(AF304:AF307)</f>
      </c>
      <c r="AG308" s="179">
        <f>SUM(AG304:AG307)</f>
      </c>
      <c r="AH308" s="179">
        <f>SUM(AH304:AH307)</f>
      </c>
      <c r="AI308" s="179">
        <f>SUM(AI304:AI307)</f>
      </c>
    </row>
    <row r="309">
      <c r="A309" s="149"/>
      <c r="B309" s="150" t="s">
        <v>113</v>
      </c>
      <c r="C309" s="173" t="s">
        <v>110</v>
      </c>
      <c r="D309" s="190">
        <v>3978.031</v>
      </c>
      <c r="E309" s="191">
        <v>4</v>
      </c>
      <c r="F309" s="154">
        <f t="shared" si="433"/>
      </c>
      <c r="G309" s="172">
        <v>901.2000000000007</v>
      </c>
      <c r="H309" s="156">
        <f t="shared" si="463"/>
      </c>
      <c r="I309" s="157">
        <f t="shared" si="373"/>
      </c>
      <c r="J309" s="158">
        <f t="shared" si="403"/>
      </c>
      <c r="K309" s="159">
        <f t="shared" si="313"/>
      </c>
      <c r="L309" s="160">
        <f t="shared" si="343"/>
      </c>
      <c r="M309" s="158">
        <f t="shared" si="223"/>
      </c>
      <c r="N309" s="161">
        <f t="shared" si="253"/>
      </c>
      <c r="O309" s="161">
        <f t="shared" si="283"/>
      </c>
      <c r="P309" s="161">
        <f t="shared" si="163"/>
      </c>
      <c r="Q309" s="161">
        <f t="shared" si="193"/>
      </c>
      <c r="R309" s="158">
        <f t="shared" si="103"/>
      </c>
      <c r="S309" s="159">
        <f t="shared" si="133"/>
      </c>
      <c r="T309" s="161">
        <f t="shared" si="43"/>
      </c>
      <c r="U309" s="161">
        <f t="shared" si="73"/>
      </c>
      <c r="V309" s="161">
        <f t="shared" si="493"/>
      </c>
      <c r="W309" s="161">
        <f t="shared" si="13"/>
      </c>
      <c r="X309" s="169" t="s">
        <v>107</v>
      </c>
      <c r="Y309" s="163" t="s">
        <v>132</v>
      </c>
      <c r="Z309" s="166">
        <v>182615</v>
      </c>
      <c r="AA309" s="166">
        <v>51413</v>
      </c>
      <c r="AB309" s="166">
        <v>315100</v>
      </c>
      <c r="AC309" s="166">
        <v>1092</v>
      </c>
      <c r="AD309" s="166">
        <v>3</v>
      </c>
      <c r="AE309" s="166">
        <v>31852</v>
      </c>
      <c r="AF309" s="166">
        <v>373</v>
      </c>
      <c r="AG309" s="166">
        <v>96</v>
      </c>
      <c r="AH309" s="166">
        <v>26</v>
      </c>
      <c r="AI309" s="167">
        <v>1</v>
      </c>
    </row>
    <row r="310">
      <c r="A310" s="149"/>
      <c r="B310" s="150" t="s">
        <v>113</v>
      </c>
      <c r="C310" s="192" t="s">
        <v>111</v>
      </c>
      <c r="D310" s="171">
        <v>3224.85</v>
      </c>
      <c r="E310" s="172">
        <v>9</v>
      </c>
      <c r="F310" s="154">
        <f t="shared" si="433"/>
      </c>
      <c r="G310" s="172">
        <v>1936.7000000000007</v>
      </c>
      <c r="H310" s="156">
        <f t="shared" si="463"/>
      </c>
      <c r="I310" s="157">
        <f t="shared" si="373"/>
      </c>
      <c r="J310" s="158">
        <f t="shared" si="403"/>
      </c>
      <c r="K310" s="159">
        <f t="shared" si="313"/>
      </c>
      <c r="L310" s="160">
        <f t="shared" si="343"/>
      </c>
      <c r="M310" s="158">
        <f t="shared" si="223"/>
      </c>
      <c r="N310" s="161">
        <f t="shared" si="253"/>
      </c>
      <c r="O310" s="161">
        <f t="shared" si="283"/>
      </c>
      <c r="P310" s="161">
        <f t="shared" si="163"/>
      </c>
      <c r="Q310" s="161">
        <f t="shared" si="193"/>
      </c>
      <c r="R310" s="158">
        <f t="shared" si="103"/>
      </c>
      <c r="S310" s="159">
        <f t="shared" si="133"/>
      </c>
      <c r="T310" s="161">
        <f t="shared" si="43"/>
      </c>
      <c r="U310" s="161">
        <f t="shared" si="73"/>
      </c>
      <c r="V310" s="161">
        <f t="shared" si="493"/>
      </c>
      <c r="W310" s="161">
        <f t="shared" si="13"/>
      </c>
      <c r="X310" s="169" t="s">
        <v>107</v>
      </c>
      <c r="Y310" s="163" t="s">
        <v>132</v>
      </c>
      <c r="Z310" s="166">
        <v>157957</v>
      </c>
      <c r="AA310" s="166">
        <v>34871</v>
      </c>
      <c r="AB310" s="166">
        <v>288730</v>
      </c>
      <c r="AC310" s="166">
        <v>971</v>
      </c>
      <c r="AD310" s="166">
        <v>6</v>
      </c>
      <c r="AE310" s="166">
        <v>26340</v>
      </c>
      <c r="AF310" s="166">
        <v>285</v>
      </c>
      <c r="AG310" s="166">
        <v>81</v>
      </c>
      <c r="AH310" s="166">
        <v>17</v>
      </c>
      <c r="AI310" s="167">
        <v>5</v>
      </c>
    </row>
    <row r="311">
      <c r="A311" s="149"/>
      <c r="B311" s="150" t="s">
        <v>113</v>
      </c>
      <c r="C311" s="193" t="s">
        <v>114</v>
      </c>
      <c r="D311" s="171">
        <v>2126.812</v>
      </c>
      <c r="E311" s="172">
        <v>10</v>
      </c>
      <c r="F311" s="154">
        <f t="shared" si="433"/>
      </c>
      <c r="G311" s="172">
        <v>2650.699999999999</v>
      </c>
      <c r="H311" s="156">
        <f t="shared" si="463"/>
      </c>
      <c r="I311" s="157">
        <f t="shared" si="373"/>
      </c>
      <c r="J311" s="158">
        <f t="shared" si="403"/>
      </c>
      <c r="K311" s="159">
        <f t="shared" si="313"/>
      </c>
      <c r="L311" s="174">
        <f t="shared" si="343"/>
      </c>
      <c r="M311" s="175">
        <f t="shared" si="223"/>
      </c>
      <c r="N311" s="176">
        <f t="shared" si="253"/>
      </c>
      <c r="O311" s="176">
        <f t="shared" si="283"/>
      </c>
      <c r="P311" s="176">
        <f t="shared" si="163"/>
      </c>
      <c r="Q311" s="176">
        <f t="shared" si="193"/>
      </c>
      <c r="R311" s="175">
        <f t="shared" si="103"/>
      </c>
      <c r="S311" s="177">
        <f t="shared" si="133"/>
      </c>
      <c r="T311" s="176">
        <f t="shared" si="43"/>
      </c>
      <c r="U311" s="176">
        <f t="shared" si="73"/>
      </c>
      <c r="V311" s="176">
        <f t="shared" si="493"/>
      </c>
      <c r="W311" s="176">
        <f t="shared" si="13"/>
      </c>
      <c r="X311" s="169" t="s">
        <v>107</v>
      </c>
      <c r="Y311" s="163" t="s">
        <v>132</v>
      </c>
      <c r="Z311" s="166">
        <v>96707</v>
      </c>
      <c r="AA311" s="166">
        <v>19216</v>
      </c>
      <c r="AB311" s="166">
        <v>156646</v>
      </c>
      <c r="AC311" s="166">
        <v>669</v>
      </c>
      <c r="AD311" s="166">
        <v>7</v>
      </c>
      <c r="AE311" s="166">
        <v>12026</v>
      </c>
      <c r="AF311" s="166">
        <v>180</v>
      </c>
      <c r="AG311" s="166">
        <v>37</v>
      </c>
      <c r="AH311" s="165">
        <v>15</v>
      </c>
      <c r="AI311" s="167">
        <v>4</v>
      </c>
    </row>
    <row r="312">
      <c r="A312" s="149"/>
      <c r="B312" s="150" t="s">
        <v>113</v>
      </c>
      <c r="C312" s="194" t="s">
        <v>115</v>
      </c>
      <c r="D312" s="195">
        <v>1794.9789999999998</v>
      </c>
      <c r="E312" s="172">
        <v>6</v>
      </c>
      <c r="F312" s="154">
        <f t="shared" si="433"/>
      </c>
      <c r="G312" s="172">
        <v>1229.199999999999</v>
      </c>
      <c r="H312" s="156">
        <f t="shared" si="463"/>
      </c>
      <c r="I312" s="157">
        <f t="shared" si="373"/>
      </c>
      <c r="J312" s="158">
        <f t="shared" si="403"/>
      </c>
      <c r="K312" s="159">
        <f t="shared" si="313"/>
      </c>
      <c r="L312" s="174">
        <f t="shared" si="343"/>
      </c>
      <c r="M312" s="175">
        <f t="shared" si="223"/>
      </c>
      <c r="N312" s="176">
        <f t="shared" si="253"/>
      </c>
      <c r="O312" s="176">
        <f t="shared" si="283"/>
      </c>
      <c r="P312" s="176">
        <f t="shared" si="163"/>
      </c>
      <c r="Q312" s="176">
        <f t="shared" si="193"/>
      </c>
      <c r="R312" s="175">
        <f t="shared" si="103"/>
      </c>
      <c r="S312" s="177">
        <f t="shared" si="133"/>
      </c>
      <c r="T312" s="176">
        <f t="shared" si="43"/>
      </c>
      <c r="U312" s="176">
        <f t="shared" si="73"/>
      </c>
      <c r="V312" s="176">
        <f t="shared" si="493"/>
      </c>
      <c r="W312" s="176">
        <f t="shared" si="13"/>
      </c>
      <c r="X312" s="169" t="s">
        <v>107</v>
      </c>
      <c r="Y312" s="163" t="s">
        <v>132</v>
      </c>
      <c r="Z312" s="166">
        <v>74801</v>
      </c>
      <c r="AA312" s="166">
        <v>15373</v>
      </c>
      <c r="AB312" s="166">
        <v>106352</v>
      </c>
      <c r="AC312" s="166">
        <v>617</v>
      </c>
      <c r="AD312" s="166">
        <v>5</v>
      </c>
      <c r="AE312" s="166">
        <v>8411</v>
      </c>
      <c r="AF312" s="166">
        <v>155</v>
      </c>
      <c r="AG312" s="166">
        <v>28</v>
      </c>
      <c r="AH312" s="165">
        <v>14</v>
      </c>
      <c r="AI312" s="167">
        <v>1</v>
      </c>
    </row>
    <row r="313">
      <c r="A313" s="149"/>
      <c r="B313" s="178" t="s">
        <v>112</v>
      </c>
      <c r="C313" s="178"/>
      <c r="D313" s="179">
        <f>SUM(D309:D312)</f>
      </c>
      <c r="E313" s="180">
        <f>SUM(E309:E312)</f>
      </c>
      <c r="F313" s="181">
        <f t="shared" si="433"/>
      </c>
      <c r="G313" s="182">
        <f>SUM(G309:G312)</f>
      </c>
      <c r="H313" s="183">
        <f t="shared" si="463"/>
      </c>
      <c r="I313" s="184">
        <f t="shared" si="373"/>
      </c>
      <c r="J313" s="185">
        <f t="shared" si="403"/>
      </c>
      <c r="K313" s="181">
        <f t="shared" si="313"/>
      </c>
      <c r="L313" s="186">
        <f t="shared" si="343"/>
      </c>
      <c r="M313" s="185">
        <f t="shared" si="223"/>
      </c>
      <c r="N313" s="187">
        <f t="shared" si="253"/>
      </c>
      <c r="O313" s="187">
        <f t="shared" si="283"/>
      </c>
      <c r="P313" s="187">
        <f t="shared" si="163"/>
      </c>
      <c r="Q313" s="187">
        <f t="shared" si="193"/>
      </c>
      <c r="R313" s="185">
        <f t="shared" si="103"/>
      </c>
      <c r="S313" s="181">
        <f t="shared" si="133"/>
      </c>
      <c r="T313" s="187">
        <f t="shared" si="43"/>
      </c>
      <c r="U313" s="187">
        <f t="shared" si="73"/>
      </c>
      <c r="V313" s="187">
        <f t="shared" si="493"/>
      </c>
      <c r="W313" s="187">
        <f t="shared" si="13"/>
      </c>
      <c r="X313" s="187"/>
      <c r="Y313" s="188"/>
      <c r="Z313" s="179">
        <f>SUM(Z309:Z312)</f>
      </c>
      <c r="AA313" s="179">
        <f>SUM(AA309:AA312)</f>
      </c>
      <c r="AB313" s="179">
        <f>SUM(AB309:AB312)</f>
      </c>
      <c r="AC313" s="179">
        <f>SUM(AC309:AC312)</f>
      </c>
      <c r="AD313" s="179">
        <f>SUM(AD309:AD312)</f>
      </c>
      <c r="AE313" s="179">
        <f>SUM(AE309:AE312)</f>
      </c>
      <c r="AF313" s="179">
        <f>SUM(AF309:AF312)</f>
      </c>
      <c r="AG313" s="179">
        <f>SUM(AG309:AG312)</f>
      </c>
      <c r="AH313" s="179">
        <f>SUM(AH309:AH312)</f>
      </c>
      <c r="AI313" s="179">
        <f>SUM(AI309:AI312)</f>
      </c>
    </row>
    <row r="314">
      <c r="A314" s="149"/>
      <c r="B314" s="150" t="s">
        <v>130</v>
      </c>
      <c r="C314" s="196" t="s">
        <v>116</v>
      </c>
      <c r="D314" s="171">
        <v>1824.972</v>
      </c>
      <c r="E314" s="172">
        <v>9</v>
      </c>
      <c r="F314" s="154">
        <f t="shared" si="433"/>
      </c>
      <c r="G314" s="172">
        <v>3384.2000000000007</v>
      </c>
      <c r="H314" s="156">
        <f t="shared" si="463"/>
      </c>
      <c r="I314" s="157">
        <f t="shared" si="373"/>
      </c>
      <c r="J314" s="158">
        <f t="shared" si="403"/>
      </c>
      <c r="K314" s="159">
        <f t="shared" si="313"/>
      </c>
      <c r="L314" s="160">
        <f t="shared" si="343"/>
      </c>
      <c r="M314" s="158">
        <f t="shared" si="223"/>
      </c>
      <c r="N314" s="161">
        <f t="shared" si="253"/>
      </c>
      <c r="O314" s="161">
        <f t="shared" si="283"/>
      </c>
      <c r="P314" s="161">
        <f t="shared" si="163"/>
      </c>
      <c r="Q314" s="161">
        <f t="shared" si="193"/>
      </c>
      <c r="R314" s="158">
        <f t="shared" si="103"/>
      </c>
      <c r="S314" s="159">
        <f t="shared" si="133"/>
      </c>
      <c r="T314" s="161">
        <f t="shared" si="43"/>
      </c>
      <c r="U314" s="161">
        <f t="shared" si="73"/>
      </c>
      <c r="V314" s="161">
        <f t="shared" si="493"/>
      </c>
      <c r="W314" s="161">
        <f t="shared" si="13"/>
      </c>
      <c r="X314" s="169" t="s">
        <v>107</v>
      </c>
      <c r="Y314" s="163" t="s">
        <v>132</v>
      </c>
      <c r="Z314" s="166">
        <v>82339</v>
      </c>
      <c r="AA314" s="166">
        <v>14202</v>
      </c>
      <c r="AB314" s="166">
        <v>112241</v>
      </c>
      <c r="AC314" s="166">
        <v>578</v>
      </c>
      <c r="AD314" s="166">
        <v>7</v>
      </c>
      <c r="AE314" s="166">
        <v>8332</v>
      </c>
      <c r="AF314" s="166">
        <v>166</v>
      </c>
      <c r="AG314" s="166">
        <v>34</v>
      </c>
      <c r="AH314" s="166">
        <v>9</v>
      </c>
      <c r="AI314" s="167">
        <v>4</v>
      </c>
    </row>
    <row r="315">
      <c r="A315" s="149"/>
      <c r="B315" s="150" t="s">
        <v>130</v>
      </c>
      <c r="C315" s="197" t="s">
        <v>117</v>
      </c>
      <c r="D315" s="171">
        <v>2715.671</v>
      </c>
      <c r="E315" s="172">
        <v>8</v>
      </c>
      <c r="F315" s="154">
        <f t="shared" si="433"/>
      </c>
      <c r="G315" s="172">
        <v>2307.5</v>
      </c>
      <c r="H315" s="156">
        <f t="shared" si="463"/>
      </c>
      <c r="I315" s="157">
        <f t="shared" si="373"/>
      </c>
      <c r="J315" s="158">
        <f t="shared" si="403"/>
      </c>
      <c r="K315" s="159">
        <f t="shared" si="313"/>
      </c>
      <c r="L315" s="160">
        <f t="shared" si="343"/>
      </c>
      <c r="M315" s="158">
        <f t="shared" si="223"/>
      </c>
      <c r="N315" s="161">
        <f t="shared" si="253"/>
      </c>
      <c r="O315" s="161">
        <f t="shared" si="283"/>
      </c>
      <c r="P315" s="161">
        <f t="shared" si="163"/>
      </c>
      <c r="Q315" s="161">
        <f t="shared" si="193"/>
      </c>
      <c r="R315" s="158">
        <f t="shared" si="103"/>
      </c>
      <c r="S315" s="159">
        <f t="shared" si="133"/>
      </c>
      <c r="T315" s="161">
        <f t="shared" si="43"/>
      </c>
      <c r="U315" s="161">
        <f t="shared" si="73"/>
      </c>
      <c r="V315" s="161">
        <f t="shared" si="493"/>
      </c>
      <c r="W315" s="161">
        <f t="shared" si="13"/>
      </c>
      <c r="X315" s="169" t="s">
        <v>107</v>
      </c>
      <c r="Y315" s="163" t="s">
        <v>132</v>
      </c>
      <c r="Z315" s="166">
        <v>161144</v>
      </c>
      <c r="AA315" s="166">
        <v>21918</v>
      </c>
      <c r="AB315" s="166">
        <v>227174</v>
      </c>
      <c r="AC315" s="166">
        <v>849</v>
      </c>
      <c r="AD315" s="166">
        <v>5</v>
      </c>
      <c r="AE315" s="166">
        <v>13932</v>
      </c>
      <c r="AF315" s="166">
        <v>134</v>
      </c>
      <c r="AG315" s="166">
        <v>50</v>
      </c>
      <c r="AH315" s="165">
        <v>8</v>
      </c>
      <c r="AI315" s="167">
        <v>1</v>
      </c>
    </row>
    <row r="316">
      <c r="A316" s="149"/>
      <c r="B316" s="150" t="s">
        <v>130</v>
      </c>
      <c r="C316" s="194" t="s">
        <v>119</v>
      </c>
      <c r="D316" s="171">
        <v>2600.321</v>
      </c>
      <c r="E316" s="172">
        <v>5</v>
      </c>
      <c r="F316" s="154">
        <f t="shared" si="433"/>
      </c>
      <c r="G316" s="172">
        <v>1076</v>
      </c>
      <c r="H316" s="156">
        <f t="shared" si="463"/>
      </c>
      <c r="I316" s="157">
        <f t="shared" si="373"/>
      </c>
      <c r="J316" s="158">
        <f t="shared" si="403"/>
      </c>
      <c r="K316" s="159">
        <f t="shared" si="313"/>
      </c>
      <c r="L316" s="174">
        <f t="shared" si="343"/>
      </c>
      <c r="M316" s="175">
        <f t="shared" si="223"/>
      </c>
      <c r="N316" s="176">
        <f t="shared" si="253"/>
      </c>
      <c r="O316" s="176">
        <f t="shared" si="283"/>
      </c>
      <c r="P316" s="176">
        <f t="shared" si="163"/>
      </c>
      <c r="Q316" s="176">
        <f t="shared" si="193"/>
      </c>
      <c r="R316" s="175">
        <f t="shared" si="103"/>
      </c>
      <c r="S316" s="177">
        <f t="shared" si="133"/>
      </c>
      <c r="T316" s="176">
        <f t="shared" si="43"/>
      </c>
      <c r="U316" s="176">
        <f t="shared" si="73"/>
      </c>
      <c r="V316" s="176">
        <f t="shared" si="493"/>
      </c>
      <c r="W316" s="176">
        <f t="shared" si="13"/>
      </c>
      <c r="X316" s="169" t="s">
        <v>107</v>
      </c>
      <c r="Y316" s="163" t="s">
        <v>108</v>
      </c>
      <c r="Z316" s="166">
        <v>150676</v>
      </c>
      <c r="AA316" s="166">
        <v>28543</v>
      </c>
      <c r="AB316" s="166">
        <v>274791</v>
      </c>
      <c r="AC316" s="166">
        <v>921</v>
      </c>
      <c r="AD316" s="166">
        <v>5</v>
      </c>
      <c r="AE316" s="166">
        <v>21199</v>
      </c>
      <c r="AF316" s="166">
        <v>211</v>
      </c>
      <c r="AG316" s="166">
        <v>50</v>
      </c>
      <c r="AH316" s="165">
        <v>11</v>
      </c>
      <c r="AI316" s="167">
        <v>0</v>
      </c>
    </row>
    <row r="317">
      <c r="A317" s="149"/>
      <c r="B317" s="150" t="s">
        <v>130</v>
      </c>
      <c r="C317" s="194" t="s">
        <v>121</v>
      </c>
      <c r="D317" s="195">
        <v>1339.004</v>
      </c>
      <c r="E317" s="172">
        <v>2</v>
      </c>
      <c r="F317" s="154">
        <f t="shared" si="433"/>
      </c>
      <c r="G317" s="172">
        <v>456</v>
      </c>
      <c r="H317" s="156">
        <f t="shared" si="463"/>
      </c>
      <c r="I317" s="157">
        <f t="shared" si="373"/>
      </c>
      <c r="J317" s="158">
        <f t="shared" si="403"/>
      </c>
      <c r="K317" s="159">
        <f t="shared" si="313"/>
      </c>
      <c r="L317" s="174">
        <f t="shared" si="343"/>
      </c>
      <c r="M317" s="175">
        <f t="shared" si="223"/>
      </c>
      <c r="N317" s="176">
        <f t="shared" si="253"/>
      </c>
      <c r="O317" s="176">
        <f t="shared" si="283"/>
      </c>
      <c r="P317" s="176">
        <f t="shared" si="163"/>
      </c>
      <c r="Q317" s="176">
        <f t="shared" si="193"/>
      </c>
      <c r="R317" s="175">
        <f t="shared" si="103"/>
      </c>
      <c r="S317" s="177">
        <f t="shared" si="133"/>
      </c>
      <c r="T317" s="176">
        <f t="shared" si="43"/>
      </c>
      <c r="U317" s="176">
        <f t="shared" si="73"/>
      </c>
      <c r="V317" s="176">
        <f t="shared" si="493"/>
      </c>
      <c r="W317" s="176">
        <f t="shared" si="13"/>
      </c>
      <c r="X317" s="169" t="s">
        <v>107</v>
      </c>
      <c r="Y317" s="163" t="s">
        <v>108</v>
      </c>
      <c r="Z317" s="166">
        <v>82630</v>
      </c>
      <c r="AA317" s="166">
        <v>26137</v>
      </c>
      <c r="AB317" s="166">
        <v>113129</v>
      </c>
      <c r="AC317" s="166">
        <v>565</v>
      </c>
      <c r="AD317" s="166">
        <v>2</v>
      </c>
      <c r="AE317" s="166">
        <v>11738</v>
      </c>
      <c r="AF317" s="166">
        <v>154</v>
      </c>
      <c r="AG317" s="166">
        <v>39</v>
      </c>
      <c r="AH317" s="165">
        <v>8</v>
      </c>
      <c r="AI317" s="167">
        <v>0</v>
      </c>
    </row>
    <row r="318">
      <c r="A318" s="149"/>
      <c r="B318" s="178" t="s">
        <v>112</v>
      </c>
      <c r="C318" s="178"/>
      <c r="D318" s="179">
        <f>SUM(D314:D317)</f>
      </c>
      <c r="E318" s="180">
        <f>SUM(E314:E317)</f>
      </c>
      <c r="F318" s="181">
        <f t="shared" si="433"/>
      </c>
      <c r="G318" s="182">
        <f>SUM(G314:G317)</f>
      </c>
      <c r="H318" s="183">
        <f t="shared" si="463"/>
      </c>
      <c r="I318" s="184">
        <f t="shared" si="373"/>
      </c>
      <c r="J318" s="185">
        <f t="shared" si="403"/>
      </c>
      <c r="K318" s="181">
        <f t="shared" si="313"/>
      </c>
      <c r="L318" s="186">
        <f t="shared" si="343"/>
      </c>
      <c r="M318" s="185">
        <f t="shared" si="223"/>
      </c>
      <c r="N318" s="187">
        <f t="shared" si="253"/>
      </c>
      <c r="O318" s="187">
        <f t="shared" si="283"/>
      </c>
      <c r="P318" s="187">
        <f t="shared" si="163"/>
      </c>
      <c r="Q318" s="187">
        <f t="shared" si="193"/>
      </c>
      <c r="R318" s="185">
        <f t="shared" si="103"/>
      </c>
      <c r="S318" s="181">
        <f t="shared" si="133"/>
      </c>
      <c r="T318" s="187">
        <f t="shared" si="43"/>
      </c>
      <c r="U318" s="187">
        <f t="shared" si="73"/>
      </c>
      <c r="V318" s="187">
        <f t="shared" si="493"/>
      </c>
      <c r="W318" s="187">
        <f t="shared" si="13"/>
      </c>
      <c r="X318" s="187"/>
      <c r="Y318" s="188"/>
      <c r="Z318" s="179">
        <f>SUM(Z314:Z317)</f>
      </c>
      <c r="AA318" s="179">
        <f>SUM(AA314:AA317)</f>
      </c>
      <c r="AB318" s="179">
        <f>SUM(AB314:AB317)</f>
      </c>
      <c r="AC318" s="179">
        <f>SUM(AC314:AC317)</f>
      </c>
      <c r="AD318" s="179">
        <f>SUM(AD314:AD317)</f>
      </c>
      <c r="AE318" s="179">
        <f>SUM(AE314:AE317)</f>
      </c>
      <c r="AF318" s="179">
        <f>SUM(AF314:AF317)</f>
      </c>
      <c r="AG318" s="179">
        <f>SUM(AG314:AG317)</f>
      </c>
      <c r="AH318" s="179">
        <f>SUM(AH314:AH317)</f>
      </c>
      <c r="AI318" s="179">
        <f>SUM(AI314:AI317)</f>
      </c>
    </row>
    <row r="319">
      <c r="A319" s="149"/>
      <c r="B319" s="150" t="s">
        <v>131</v>
      </c>
      <c r="C319" s="196" t="s">
        <v>122</v>
      </c>
      <c r="D319" s="171">
        <v>1479.526</v>
      </c>
      <c r="E319" s="172">
        <v>4</v>
      </c>
      <c r="F319" s="154">
        <f t="shared" si="433"/>
      </c>
      <c r="G319" s="172">
        <v>848</v>
      </c>
      <c r="H319" s="156">
        <f t="shared" si="463"/>
      </c>
      <c r="I319" s="157">
        <f t="shared" si="373"/>
      </c>
      <c r="J319" s="158">
        <f t="shared" si="403"/>
      </c>
      <c r="K319" s="159">
        <f t="shared" si="313"/>
      </c>
      <c r="L319" s="160">
        <f t="shared" si="343"/>
      </c>
      <c r="M319" s="158">
        <f t="shared" si="223"/>
      </c>
      <c r="N319" s="161">
        <f t="shared" si="253"/>
      </c>
      <c r="O319" s="161">
        <f t="shared" si="283"/>
      </c>
      <c r="P319" s="161">
        <f t="shared" si="163"/>
      </c>
      <c r="Q319" s="161">
        <f t="shared" si="193"/>
      </c>
      <c r="R319" s="158">
        <f t="shared" si="103"/>
      </c>
      <c r="S319" s="159">
        <f t="shared" si="133"/>
      </c>
      <c r="T319" s="161">
        <f t="shared" si="43"/>
      </c>
      <c r="U319" s="161">
        <f t="shared" si="73"/>
      </c>
      <c r="V319" s="161">
        <f t="shared" si="493"/>
      </c>
      <c r="W319" s="161">
        <f t="shared" si="13"/>
      </c>
      <c r="X319" s="169" t="s">
        <v>107</v>
      </c>
      <c r="Y319" s="163" t="s">
        <v>108</v>
      </c>
      <c r="Z319" s="166">
        <v>83038</v>
      </c>
      <c r="AA319" s="166">
        <v>23433</v>
      </c>
      <c r="AB319" s="166">
        <v>123238</v>
      </c>
      <c r="AC319" s="166">
        <v>536</v>
      </c>
      <c r="AD319" s="166">
        <v>4</v>
      </c>
      <c r="AE319" s="166">
        <v>11788</v>
      </c>
      <c r="AF319" s="166">
        <v>185</v>
      </c>
      <c r="AG319" s="166">
        <v>50</v>
      </c>
      <c r="AH319" s="166">
        <v>8</v>
      </c>
      <c r="AI319" s="167">
        <v>0</v>
      </c>
    </row>
    <row r="320">
      <c r="A320" s="149"/>
      <c r="B320" s="150" t="s">
        <v>131</v>
      </c>
      <c r="C320" s="197" t="s">
        <v>123</v>
      </c>
      <c r="D320" s="171">
        <v>1756.404</v>
      </c>
      <c r="E320" s="172">
        <v>7</v>
      </c>
      <c r="F320" s="154">
        <f t="shared" si="433"/>
      </c>
      <c r="G320" s="172">
        <v>1525.2</v>
      </c>
      <c r="H320" s="156">
        <f t="shared" si="463"/>
      </c>
      <c r="I320" s="157">
        <f t="shared" si="373"/>
      </c>
      <c r="J320" s="158">
        <f t="shared" si="403"/>
      </c>
      <c r="K320" s="159">
        <f t="shared" si="313"/>
      </c>
      <c r="L320" s="160">
        <f t="shared" si="343"/>
      </c>
      <c r="M320" s="158">
        <f t="shared" si="223"/>
      </c>
      <c r="N320" s="161">
        <f t="shared" si="253"/>
      </c>
      <c r="O320" s="161">
        <f t="shared" si="283"/>
      </c>
      <c r="P320" s="161">
        <f t="shared" si="163"/>
      </c>
      <c r="Q320" s="161">
        <f t="shared" si="193"/>
      </c>
      <c r="R320" s="158">
        <f t="shared" si="103"/>
      </c>
      <c r="S320" s="159">
        <f t="shared" si="133"/>
      </c>
      <c r="T320" s="161">
        <f t="shared" si="43"/>
      </c>
      <c r="U320" s="161">
        <f t="shared" si="73"/>
      </c>
      <c r="V320" s="161">
        <f t="shared" si="493"/>
      </c>
      <c r="W320" s="161">
        <f t="shared" si="13"/>
      </c>
      <c r="X320" s="169" t="s">
        <v>107</v>
      </c>
      <c r="Y320" s="163" t="s">
        <v>108</v>
      </c>
      <c r="Z320" s="166">
        <v>96457</v>
      </c>
      <c r="AA320" s="166">
        <v>25969</v>
      </c>
      <c r="AB320" s="166">
        <v>142635</v>
      </c>
      <c r="AC320" s="166">
        <v>732</v>
      </c>
      <c r="AD320" s="166">
        <v>6</v>
      </c>
      <c r="AE320" s="166">
        <v>11405</v>
      </c>
      <c r="AF320" s="166">
        <v>136</v>
      </c>
      <c r="AG320" s="166">
        <v>43</v>
      </c>
      <c r="AH320" s="165">
        <v>8</v>
      </c>
      <c r="AI320" s="167">
        <v>1</v>
      </c>
    </row>
    <row r="321">
      <c r="A321" s="149"/>
      <c r="B321" s="150" t="s">
        <v>131</v>
      </c>
      <c r="C321" s="194" t="s">
        <v>125</v>
      </c>
      <c r="D321" s="171">
        <v>2750.202</v>
      </c>
      <c r="E321" s="172">
        <v>13</v>
      </c>
      <c r="F321" s="154">
        <f t="shared" si="433"/>
      </c>
      <c r="G321" s="172">
        <v>4693.6</v>
      </c>
      <c r="H321" s="156">
        <f t="shared" si="463"/>
      </c>
      <c r="I321" s="157">
        <f t="shared" si="373"/>
      </c>
      <c r="J321" s="158">
        <f t="shared" si="403"/>
      </c>
      <c r="K321" s="159">
        <f t="shared" si="313"/>
      </c>
      <c r="L321" s="174">
        <f t="shared" si="343"/>
      </c>
      <c r="M321" s="175">
        <f t="shared" si="223"/>
      </c>
      <c r="N321" s="176">
        <f t="shared" si="253"/>
      </c>
      <c r="O321" s="176">
        <f t="shared" si="283"/>
      </c>
      <c r="P321" s="176">
        <f t="shared" si="163"/>
      </c>
      <c r="Q321" s="176">
        <f t="shared" si="193"/>
      </c>
      <c r="R321" s="175">
        <f t="shared" si="103"/>
      </c>
      <c r="S321" s="177">
        <f t="shared" si="133"/>
      </c>
      <c r="T321" s="176">
        <f t="shared" si="43"/>
      </c>
      <c r="U321" s="176">
        <f t="shared" si="73"/>
      </c>
      <c r="V321" s="176">
        <f t="shared" si="493"/>
      </c>
      <c r="W321" s="176">
        <f t="shared" si="13"/>
      </c>
      <c r="X321" s="169" t="s">
        <v>107</v>
      </c>
      <c r="Y321" s="163" t="s">
        <v>108</v>
      </c>
      <c r="Z321" s="166">
        <v>167104</v>
      </c>
      <c r="AA321" s="166">
        <v>41759</v>
      </c>
      <c r="AB321" s="166">
        <v>289090</v>
      </c>
      <c r="AC321" s="166">
        <v>1064</v>
      </c>
      <c r="AD321" s="166">
        <v>12</v>
      </c>
      <c r="AE321" s="166">
        <v>19588</v>
      </c>
      <c r="AF321" s="166">
        <v>320</v>
      </c>
      <c r="AG321" s="166">
        <v>90</v>
      </c>
      <c r="AH321" s="165">
        <v>21</v>
      </c>
      <c r="AI321" s="167">
        <v>1</v>
      </c>
    </row>
    <row r="322">
      <c r="A322" s="149"/>
      <c r="B322" s="150" t="s">
        <v>131</v>
      </c>
      <c r="C322" s="194" t="s">
        <v>126</v>
      </c>
      <c r="D322" s="195">
        <v>2708.025</v>
      </c>
      <c r="E322" s="172">
        <v>11</v>
      </c>
      <c r="F322" s="154">
        <f t="shared" si="433"/>
      </c>
      <c r="G322" s="172">
        <v>4826.8</v>
      </c>
      <c r="H322" s="156">
        <f t="shared" si="463"/>
      </c>
      <c r="I322" s="157">
        <f t="shared" si="373"/>
      </c>
      <c r="J322" s="158">
        <f t="shared" si="403"/>
      </c>
      <c r="K322" s="159">
        <f t="shared" si="313"/>
      </c>
      <c r="L322" s="174">
        <f t="shared" si="343"/>
      </c>
      <c r="M322" s="175">
        <f t="shared" si="223"/>
      </c>
      <c r="N322" s="176">
        <f t="shared" si="253"/>
      </c>
      <c r="O322" s="176">
        <f t="shared" si="283"/>
      </c>
      <c r="P322" s="176">
        <f t="shared" si="163"/>
      </c>
      <c r="Q322" s="176">
        <f t="shared" si="193"/>
      </c>
      <c r="R322" s="175">
        <f t="shared" si="103"/>
      </c>
      <c r="S322" s="177">
        <f t="shared" si="133"/>
      </c>
      <c r="T322" s="176">
        <f t="shared" si="43"/>
      </c>
      <c r="U322" s="176">
        <f t="shared" si="73"/>
      </c>
      <c r="V322" s="176">
        <f t="shared" si="493"/>
      </c>
      <c r="W322" s="176">
        <f t="shared" si="13"/>
      </c>
      <c r="X322" s="169" t="s">
        <v>107</v>
      </c>
      <c r="Y322" s="163" t="s">
        <v>108</v>
      </c>
      <c r="Z322" s="166">
        <v>183536</v>
      </c>
      <c r="AA322" s="166">
        <v>45324</v>
      </c>
      <c r="AB322" s="166">
        <v>330283</v>
      </c>
      <c r="AC322" s="166">
        <v>1169</v>
      </c>
      <c r="AD322" s="166">
        <v>9</v>
      </c>
      <c r="AE322" s="166">
        <v>23231</v>
      </c>
      <c r="AF322" s="166">
        <v>301</v>
      </c>
      <c r="AG322" s="166">
        <v>123</v>
      </c>
      <c r="AH322" s="165">
        <v>22</v>
      </c>
      <c r="AI322" s="167">
        <v>2</v>
      </c>
    </row>
    <row r="323">
      <c r="A323" s="149"/>
      <c r="B323" s="178" t="s">
        <v>112</v>
      </c>
      <c r="C323" s="178"/>
      <c r="D323" s="179">
        <f>SUM(D319:D322)</f>
      </c>
      <c r="E323" s="180">
        <f>SUM(E319:E322)</f>
      </c>
      <c r="F323" s="181">
        <f t="shared" si="433"/>
      </c>
      <c r="G323" s="182">
        <f>SUM(G319:G322)</f>
      </c>
      <c r="H323" s="183">
        <f t="shared" si="463"/>
      </c>
      <c r="I323" s="184">
        <f t="shared" si="373"/>
      </c>
      <c r="J323" s="185">
        <f t="shared" si="403"/>
      </c>
      <c r="K323" s="181">
        <f t="shared" si="313"/>
      </c>
      <c r="L323" s="186">
        <f t="shared" si="343"/>
      </c>
      <c r="M323" s="185">
        <f t="shared" si="223"/>
      </c>
      <c r="N323" s="187">
        <f t="shared" si="253"/>
      </c>
      <c r="O323" s="187">
        <f t="shared" si="283"/>
      </c>
      <c r="P323" s="187">
        <f t="shared" si="163"/>
      </c>
      <c r="Q323" s="187">
        <f t="shared" si="193"/>
      </c>
      <c r="R323" s="185">
        <f t="shared" si="103"/>
      </c>
      <c r="S323" s="181">
        <f t="shared" si="133"/>
      </c>
      <c r="T323" s="187">
        <f t="shared" si="43"/>
      </c>
      <c r="U323" s="187">
        <f t="shared" si="73"/>
      </c>
      <c r="V323" s="187">
        <f t="shared" si="493"/>
      </c>
      <c r="W323" s="187">
        <f t="shared" si="13"/>
      </c>
      <c r="X323" s="187"/>
      <c r="Y323" s="188"/>
      <c r="Z323" s="179">
        <f>SUM(Z319:Z322)</f>
      </c>
      <c r="AA323" s="179">
        <f>SUM(AA319:AA322)</f>
      </c>
      <c r="AB323" s="179">
        <f>SUM(AB319:AB322)</f>
      </c>
      <c r="AC323" s="179">
        <f>SUM(AC319:AC322)</f>
      </c>
      <c r="AD323" s="179">
        <f>SUM(AD319:AD322)</f>
      </c>
      <c r="AE323" s="179">
        <f>SUM(AE319:AE322)</f>
      </c>
      <c r="AF323" s="179">
        <f>SUM(AF319:AF322)</f>
      </c>
      <c r="AG323" s="179">
        <f>SUM(AG319:AG322)</f>
      </c>
      <c r="AH323" s="179">
        <f>SUM(AH319:AH322)</f>
      </c>
      <c r="AI323" s="179">
        <f>SUM(AI319:AI322)</f>
      </c>
    </row>
    <row r="324">
      <c r="A324" s="149"/>
      <c r="B324" s="150" t="s">
        <v>105</v>
      </c>
      <c r="C324" s="196" t="s">
        <v>127</v>
      </c>
      <c r="D324" s="198">
        <v>1886.376</v>
      </c>
      <c r="E324" s="153">
        <v>9</v>
      </c>
      <c r="F324" s="154">
        <f t="shared" si="433"/>
      </c>
      <c r="G324" s="155">
        <v>3160</v>
      </c>
      <c r="H324" s="156">
        <f t="shared" si="463"/>
      </c>
      <c r="I324" s="157">
        <f t="shared" si="373"/>
      </c>
      <c r="J324" s="158">
        <f t="shared" si="403"/>
      </c>
      <c r="K324" s="159">
        <f t="shared" si="313"/>
      </c>
      <c r="L324" s="174">
        <f t="shared" si="343"/>
      </c>
      <c r="M324" s="175">
        <f t="shared" si="223"/>
      </c>
      <c r="N324" s="176">
        <f t="shared" si="253"/>
      </c>
      <c r="O324" s="176">
        <f t="shared" si="283"/>
      </c>
      <c r="P324" s="176">
        <f t="shared" si="163"/>
      </c>
      <c r="Q324" s="176">
        <f t="shared" si="193"/>
      </c>
      <c r="R324" s="175">
        <f t="shared" si="103"/>
      </c>
      <c r="S324" s="177">
        <f t="shared" si="133"/>
      </c>
      <c r="T324" s="176">
        <f t="shared" si="43"/>
      </c>
      <c r="U324" s="176">
        <f t="shared" si="73"/>
      </c>
      <c r="V324" s="176">
        <f t="shared" si="493"/>
      </c>
      <c r="W324" s="176">
        <f t="shared" si="13"/>
      </c>
      <c r="X324" s="169" t="s">
        <v>107</v>
      </c>
      <c r="Y324" s="163" t="s">
        <v>108</v>
      </c>
      <c r="Z324" s="166">
        <v>128783</v>
      </c>
      <c r="AA324" s="166">
        <v>32059</v>
      </c>
      <c r="AB324" s="166">
        <v>213122</v>
      </c>
      <c r="AC324" s="199">
        <v>993</v>
      </c>
      <c r="AD324" s="199">
        <v>7</v>
      </c>
      <c r="AE324" s="199">
        <v>15793</v>
      </c>
      <c r="AF324" s="199">
        <v>199</v>
      </c>
      <c r="AG324" s="199">
        <v>90</v>
      </c>
      <c r="AH324" s="199">
        <v>19</v>
      </c>
      <c r="AI324" s="167">
        <v>1</v>
      </c>
    </row>
    <row r="325">
      <c r="A325" s="149"/>
      <c r="B325" s="150" t="s">
        <v>105</v>
      </c>
      <c r="C325" s="194" t="s">
        <v>138</v>
      </c>
      <c r="D325" s="198">
        <v>1176.164</v>
      </c>
      <c r="E325" s="153">
        <v>8</v>
      </c>
      <c r="F325" s="154">
        <f t="shared" si="433"/>
      </c>
      <c r="G325" s="155">
        <v>2304</v>
      </c>
      <c r="H325" s="156">
        <f t="shared" si="463"/>
      </c>
      <c r="I325" s="157">
        <f t="shared" si="373"/>
      </c>
      <c r="J325" s="158">
        <f t="shared" si="403"/>
      </c>
      <c r="K325" s="159">
        <f t="shared" si="313"/>
      </c>
      <c r="L325" s="174">
        <f t="shared" si="343"/>
      </c>
      <c r="M325" s="175">
        <f t="shared" si="223"/>
      </c>
      <c r="N325" s="176">
        <f t="shared" si="253"/>
      </c>
      <c r="O325" s="176">
        <f t="shared" si="283"/>
      </c>
      <c r="P325" s="176">
        <f t="shared" si="163"/>
      </c>
      <c r="Q325" s="176">
        <f t="shared" si="193"/>
      </c>
      <c r="R325" s="175">
        <f t="shared" si="103"/>
      </c>
      <c r="S325" s="177">
        <f t="shared" si="133"/>
      </c>
      <c r="T325" s="176">
        <f t="shared" si="43"/>
      </c>
      <c r="U325" s="176">
        <f t="shared" si="73"/>
      </c>
      <c r="V325" s="176">
        <f t="shared" si="493"/>
      </c>
      <c r="W325" s="176">
        <f t="shared" si="13"/>
      </c>
      <c r="X325" s="169" t="s">
        <v>107</v>
      </c>
      <c r="Y325" s="163" t="s">
        <v>108</v>
      </c>
      <c r="Z325" s="166">
        <v>90258</v>
      </c>
      <c r="AA325" s="166">
        <v>22675</v>
      </c>
      <c r="AB325" s="166">
        <v>135203</v>
      </c>
      <c r="AC325" s="199">
        <v>686</v>
      </c>
      <c r="AD325" s="199">
        <v>8</v>
      </c>
      <c r="AE325" s="199">
        <v>11282</v>
      </c>
      <c r="AF325" s="199">
        <v>152</v>
      </c>
      <c r="AG325" s="199">
        <v>66</v>
      </c>
      <c r="AH325" s="199">
        <v>18</v>
      </c>
      <c r="AI325" s="167">
        <v>0</v>
      </c>
    </row>
    <row r="326">
      <c r="A326" s="149"/>
      <c r="B326" s="150" t="s">
        <v>105</v>
      </c>
      <c r="C326" s="200" t="s">
        <v>139</v>
      </c>
      <c r="D326" s="171">
        <v>339.812</v>
      </c>
      <c r="E326" s="172">
        <v>1</v>
      </c>
      <c r="F326" s="154">
        <f t="shared" si="433"/>
      </c>
      <c r="G326" s="172">
        <v>228</v>
      </c>
      <c r="H326" s="156">
        <f t="shared" si="463"/>
      </c>
      <c r="I326" s="157">
        <f t="shared" si="373"/>
      </c>
      <c r="J326" s="158">
        <f t="shared" si="403"/>
      </c>
      <c r="K326" s="159">
        <f t="shared" si="313"/>
      </c>
      <c r="L326" s="174">
        <f t="shared" si="343"/>
      </c>
      <c r="M326" s="175">
        <f t="shared" si="223"/>
      </c>
      <c r="N326" s="176">
        <f t="shared" si="253"/>
      </c>
      <c r="O326" s="176">
        <f t="shared" si="283"/>
      </c>
      <c r="P326" s="176">
        <f t="shared" si="163"/>
      </c>
      <c r="Q326" s="176">
        <f t="shared" si="193"/>
      </c>
      <c r="R326" s="175">
        <f t="shared" si="103"/>
      </c>
      <c r="S326" s="177">
        <f t="shared" si="133"/>
      </c>
      <c r="T326" s="176">
        <f t="shared" si="43"/>
      </c>
      <c r="U326" s="176">
        <f t="shared" si="73"/>
      </c>
      <c r="V326" s="176">
        <f t="shared" si="493"/>
      </c>
      <c r="W326" s="176">
        <f t="shared" si="13"/>
      </c>
      <c r="X326" s="169" t="s">
        <v>107</v>
      </c>
      <c r="Y326" s="163" t="s">
        <v>108</v>
      </c>
      <c r="Z326" s="166">
        <v>22927</v>
      </c>
      <c r="AA326" s="166">
        <v>8288</v>
      </c>
      <c r="AB326" s="166">
        <v>37653</v>
      </c>
      <c r="AC326" s="166">
        <v>254</v>
      </c>
      <c r="AD326" s="166">
        <v>1</v>
      </c>
      <c r="AE326" s="166">
        <v>4302</v>
      </c>
      <c r="AF326" s="166">
        <v>49</v>
      </c>
      <c r="AG326" s="166">
        <v>34</v>
      </c>
      <c r="AH326" s="165">
        <v>0</v>
      </c>
      <c r="AI326" s="167">
        <v>0</v>
      </c>
    </row>
    <row r="327">
      <c r="A327" s="149"/>
      <c r="B327" s="150" t="s">
        <v>105</v>
      </c>
      <c r="C327" s="201" t="s">
        <v>141</v>
      </c>
      <c r="D327" s="195">
        <f>471.658+0.079+78.318</f>
      </c>
      <c r="E327" s="172">
        <v>4</v>
      </c>
      <c r="F327" s="154">
        <f t="shared" si="433"/>
      </c>
      <c r="G327" s="172">
        <v>859.5</v>
      </c>
      <c r="H327" s="156">
        <f t="shared" si="463"/>
      </c>
      <c r="I327" s="157">
        <f t="shared" si="373"/>
      </c>
      <c r="J327" s="158">
        <f t="shared" si="403"/>
      </c>
      <c r="K327" s="159">
        <f t="shared" si="313"/>
      </c>
      <c r="L327" s="174">
        <f t="shared" si="343"/>
      </c>
      <c r="M327" s="175">
        <f t="shared" si="223"/>
      </c>
      <c r="N327" s="176">
        <f t="shared" si="253"/>
      </c>
      <c r="O327" s="176">
        <f t="shared" si="283"/>
      </c>
      <c r="P327" s="176">
        <f t="shared" si="163"/>
      </c>
      <c r="Q327" s="176">
        <f t="shared" si="193"/>
      </c>
      <c r="R327" s="175">
        <f t="shared" si="103"/>
      </c>
      <c r="S327" s="177">
        <f t="shared" si="133"/>
      </c>
      <c r="T327" s="176">
        <f t="shared" si="43"/>
      </c>
      <c r="U327" s="176">
        <f t="shared" si="73"/>
      </c>
      <c r="V327" s="176">
        <f t="shared" si="493"/>
      </c>
      <c r="W327" s="176">
        <f t="shared" si="13"/>
      </c>
      <c r="X327" s="169" t="s">
        <v>107</v>
      </c>
      <c r="Y327" s="163" t="s">
        <v>108</v>
      </c>
      <c r="Z327" s="166">
        <v>28439</v>
      </c>
      <c r="AA327" s="166">
        <v>8444</v>
      </c>
      <c r="AB327" s="166">
        <v>62615</v>
      </c>
      <c r="AC327" s="166">
        <v>269</v>
      </c>
      <c r="AD327" s="166">
        <v>2</v>
      </c>
      <c r="AE327" s="166">
        <v>6074</v>
      </c>
      <c r="AF327" s="166">
        <v>60</v>
      </c>
      <c r="AG327" s="166">
        <v>22</v>
      </c>
      <c r="AH327" s="165">
        <v>5</v>
      </c>
      <c r="AI327" s="167">
        <v>2</v>
      </c>
    </row>
    <row r="328">
      <c r="A328" s="149"/>
      <c r="B328" s="178" t="s">
        <v>112</v>
      </c>
      <c r="C328" s="178"/>
      <c r="D328" s="179">
        <f>SUM(D324:D327)</f>
      </c>
      <c r="E328" s="180">
        <f>SUM(E324:E327)</f>
      </c>
      <c r="F328" s="181">
        <f t="shared" si="433"/>
      </c>
      <c r="G328" s="182">
        <f>SUM(G324:G327)</f>
      </c>
      <c r="H328" s="183">
        <f t="shared" si="463"/>
      </c>
      <c r="I328" s="184">
        <f t="shared" si="373"/>
      </c>
      <c r="J328" s="185">
        <f t="shared" si="403"/>
      </c>
      <c r="K328" s="181">
        <f t="shared" si="313"/>
      </c>
      <c r="L328" s="186">
        <f t="shared" si="343"/>
      </c>
      <c r="M328" s="185">
        <f t="shared" si="223"/>
      </c>
      <c r="N328" s="187">
        <f t="shared" si="253"/>
      </c>
      <c r="O328" s="187">
        <f t="shared" si="283"/>
      </c>
      <c r="P328" s="187">
        <f t="shared" si="163"/>
      </c>
      <c r="Q328" s="187">
        <f t="shared" si="193"/>
      </c>
      <c r="R328" s="185">
        <f t="shared" si="103"/>
      </c>
      <c r="S328" s="181">
        <f t="shared" si="133"/>
      </c>
      <c r="T328" s="187">
        <f t="shared" si="43"/>
      </c>
      <c r="U328" s="187">
        <f t="shared" si="73"/>
      </c>
      <c r="V328" s="187">
        <f t="shared" si="493"/>
      </c>
      <c r="W328" s="187">
        <f t="shared" si="13"/>
      </c>
      <c r="X328" s="187"/>
      <c r="Y328" s="188"/>
      <c r="Z328" s="179">
        <f>SUM(Z324:Z327)</f>
      </c>
      <c r="AA328" s="179">
        <f>SUM(AA324:AA327)</f>
      </c>
      <c r="AB328" s="179">
        <f>SUM(AB324:AB327)</f>
      </c>
      <c r="AC328" s="179">
        <f>SUM(AC324:AC327)</f>
      </c>
      <c r="AD328" s="179">
        <f>SUM(AD324:AD327)</f>
      </c>
      <c r="AE328" s="179">
        <f>SUM(AE324:AE327)</f>
      </c>
      <c r="AF328" s="179">
        <f>SUM(AF324:AF327)</f>
      </c>
      <c r="AG328" s="179">
        <f>SUM(AG324:AG327)</f>
      </c>
      <c r="AH328" s="179">
        <f>SUM(AH324:AH327)</f>
      </c>
      <c r="AI328" s="179">
        <f>SUM(AI324:AI327)</f>
      </c>
    </row>
    <row r="329">
      <c r="A329" s="149"/>
      <c r="B329" s="202" t="s">
        <v>129</v>
      </c>
      <c r="C329" s="202"/>
      <c r="D329" s="203">
        <f>SUM(D328+D308+D313+D323+D318)</f>
      </c>
      <c r="E329" s="204">
        <f>SUM(E328+E308+E313+E323+E318)</f>
      </c>
      <c r="F329" s="205">
        <f t="shared" si="433"/>
      </c>
      <c r="G329" s="206">
        <f>SUM(G328+G308+G313+G323+G318)</f>
      </c>
      <c r="H329" s="207">
        <f t="shared" si="463"/>
      </c>
      <c r="I329" s="208">
        <f t="shared" si="373"/>
      </c>
      <c r="J329" s="209">
        <f t="shared" si="403"/>
      </c>
      <c r="K329" s="205">
        <f t="shared" si="313"/>
      </c>
      <c r="L329" s="210">
        <f t="shared" si="343"/>
      </c>
      <c r="M329" s="210">
        <f t="shared" si="223"/>
      </c>
      <c r="N329" s="211">
        <f t="shared" si="253"/>
      </c>
      <c r="O329" s="211">
        <f t="shared" si="283"/>
      </c>
      <c r="P329" s="211">
        <f t="shared" si="163"/>
      </c>
      <c r="Q329" s="211">
        <f t="shared" si="193"/>
      </c>
      <c r="R329" s="212">
        <f t="shared" si="103"/>
      </c>
      <c r="S329" s="213">
        <f t="shared" si="133"/>
      </c>
      <c r="T329" s="214">
        <f t="shared" si="43"/>
      </c>
      <c r="U329" s="214">
        <f t="shared" si="73"/>
      </c>
      <c r="V329" s="214">
        <f t="shared" si="493"/>
      </c>
      <c r="W329" s="214">
        <f t="shared" si="13"/>
      </c>
      <c r="X329" s="214"/>
      <c r="Y329" s="215"/>
      <c r="Z329" s="216">
        <f>SUM(Z308+Z328+Z313+Z323+Z318)</f>
      </c>
      <c r="AA329" s="216">
        <f>SUM(AA308+AA328+AA313+AA323+AA318)</f>
      </c>
      <c r="AB329" s="216">
        <f>SUM(AB308+AB328+AB313+AB323+AB318)</f>
      </c>
      <c r="AC329" s="216">
        <f>SUM(AC308+AC328+AC313+AC323+AC318)</f>
      </c>
      <c r="AD329" s="216">
        <f>SUM(AD308+AD328+AD313+AD323+AD318)</f>
      </c>
      <c r="AE329" s="216">
        <f>SUM(AE308+AE328+AE313+AE323+AE318)</f>
      </c>
      <c r="AF329" s="216">
        <f>SUM(AF308+AF328+AF313+AF323+AF318)</f>
      </c>
      <c r="AG329" s="216">
        <f>SUM(AG308+AG328+AG313+AG323+AG318)</f>
      </c>
      <c r="AH329" s="216">
        <f>SUM(AH308+AH328+AH313+AH323+AH318)</f>
      </c>
      <c r="AI329" s="216">
        <f>SUM(AI308+AI328+AI313+AI323+AI318)</f>
      </c>
    </row>
    <row r="330">
      <c r="A330" s="133" t="s">
        <v>70</v>
      </c>
      <c r="B330" s="134" t="s">
        <v>71</v>
      </c>
      <c r="C330" s="135" t="s">
        <v>72</v>
      </c>
      <c r="D330" s="136" t="s">
        <v>73</v>
      </c>
      <c r="E330" s="137" t="s">
        <v>74</v>
      </c>
      <c r="F330" s="138" t="s">
        <v>75</v>
      </c>
      <c r="G330" s="139" t="s">
        <v>76</v>
      </c>
      <c r="H330" s="138" t="s">
        <v>77</v>
      </c>
      <c r="I330" s="139" t="s">
        <v>78</v>
      </c>
      <c r="J330" s="140" t="s">
        <v>79</v>
      </c>
      <c r="K330" s="140" t="s">
        <v>80</v>
      </c>
      <c r="L330" s="141" t="s">
        <v>81</v>
      </c>
      <c r="M330" s="141" t="s">
        <v>82</v>
      </c>
      <c r="N330" s="141" t="s">
        <v>83</v>
      </c>
      <c r="O330" s="141" t="s">
        <v>84</v>
      </c>
      <c r="P330" s="141" t="s">
        <v>85</v>
      </c>
      <c r="Q330" s="141" t="s">
        <v>86</v>
      </c>
      <c r="R330" s="141" t="s">
        <v>87</v>
      </c>
      <c r="S330" s="141" t="s">
        <v>88</v>
      </c>
      <c r="T330" s="142" t="s">
        <v>89</v>
      </c>
      <c r="U330" s="142" t="s">
        <v>90</v>
      </c>
      <c r="V330" s="142" t="s">
        <v>91</v>
      </c>
      <c r="W330" s="142" t="s">
        <v>92</v>
      </c>
      <c r="X330" s="143" t="s">
        <v>93</v>
      </c>
      <c r="Y330" s="143" t="s">
        <v>94</v>
      </c>
      <c r="Z330" s="144" t="s">
        <v>95</v>
      </c>
      <c r="AA330" s="144" t="s">
        <v>96</v>
      </c>
      <c r="AB330" s="144" t="s">
        <v>97</v>
      </c>
      <c r="AC330" s="145" t="s">
        <v>98</v>
      </c>
      <c r="AD330" s="145" t="s">
        <v>99</v>
      </c>
      <c r="AE330" s="146" t="s">
        <v>100</v>
      </c>
      <c r="AF330" s="145" t="s">
        <v>101</v>
      </c>
      <c r="AG330" s="145" t="s">
        <v>102</v>
      </c>
      <c r="AH330" s="147" t="s">
        <v>103</v>
      </c>
      <c r="AI330" s="148" t="s">
        <v>104</v>
      </c>
    </row>
    <row r="331">
      <c r="A331" s="149">
        <v>46280</v>
      </c>
      <c r="B331" s="150" t="s">
        <v>124</v>
      </c>
      <c r="C331" s="151" t="s">
        <v>135</v>
      </c>
      <c r="D331" s="152">
        <v>2246.6420000000003</v>
      </c>
      <c r="E331" s="153">
        <v>5</v>
      </c>
      <c r="F331" s="154">
        <f t="shared" ref="F331:F353" si="434">D331/E331</f>
      </c>
      <c r="G331" s="155">
        <v>1066.3</v>
      </c>
      <c r="H331" s="156">
        <f t="shared" ref="H331:H353" si="464">AD331</f>
      </c>
      <c r="I331" s="157">
        <f t="shared" ref="I331:I353" si="374">D331/AD331</f>
      </c>
      <c r="J331" s="158">
        <f t="shared" ref="J331:J353" si="404">G331/E331</f>
      </c>
      <c r="K331" s="159">
        <f t="shared" ref="K331:K353" si="314">G331/D331</f>
      </c>
      <c r="L331" s="160">
        <f t="shared" ref="L331:L353" si="344">D331/AB331</f>
      </c>
      <c r="M331" s="158">
        <f t="shared" ref="M331:M353" si="224">D331/AC331</f>
      </c>
      <c r="N331" s="161">
        <f t="shared" ref="N331:N353" si="254">AC331/AB331</f>
      </c>
      <c r="O331" s="161">
        <f t="shared" ref="O331:O353" si="284">AD331/AC331</f>
      </c>
      <c r="P331" s="161">
        <f t="shared" ref="P331:P353" si="164">AA331/Z331</f>
      </c>
      <c r="Q331" s="161">
        <f t="shared" ref="Q331:Q353" si="194">AD331/AA331</f>
      </c>
      <c r="R331" s="158">
        <f t="shared" ref="R331:R353" si="104">D331/Z331*1000</f>
      </c>
      <c r="S331" s="159">
        <f t="shared" ref="S331:S353" si="134">D331/AA331</f>
      </c>
      <c r="T331" s="161">
        <f t="shared" ref="T331:T353" si="44">AE331/AB331</f>
      </c>
      <c r="U331" s="161">
        <f t="shared" ref="U331:U353" si="74">AF331/AB331</f>
      </c>
      <c r="V331" s="161">
        <f t="shared" ref="V331:V353" si="494">AG331/AB331</f>
      </c>
      <c r="W331" s="161">
        <f t="shared" ref="W331:W353" si="14">AH331/AB331</f>
      </c>
      <c r="X331" s="162" t="s">
        <v>107</v>
      </c>
      <c r="Y331" s="163" t="s">
        <v>132</v>
      </c>
      <c r="Z331" s="164">
        <v>143796</v>
      </c>
      <c r="AA331" s="164">
        <v>85854</v>
      </c>
      <c r="AB331" s="164">
        <v>215948</v>
      </c>
      <c r="AC331" s="164">
        <v>1332</v>
      </c>
      <c r="AD331" s="165">
        <v>5</v>
      </c>
      <c r="AE331" s="164">
        <v>39382</v>
      </c>
      <c r="AF331" s="166">
        <v>387</v>
      </c>
      <c r="AG331" s="166">
        <v>197</v>
      </c>
      <c r="AH331" s="166">
        <v>17</v>
      </c>
      <c r="AI331" s="167">
        <v>1</v>
      </c>
    </row>
    <row r="332">
      <c r="A332" s="149"/>
      <c r="B332" s="150" t="s">
        <v>124</v>
      </c>
      <c r="C332" s="168" t="s">
        <v>136</v>
      </c>
      <c r="D332" s="152">
        <v>1898.2920000000001</v>
      </c>
      <c r="E332" s="153">
        <v>7</v>
      </c>
      <c r="F332" s="154">
        <f t="shared" si="434"/>
      </c>
      <c r="G332" s="155">
        <v>2683.8999999999996</v>
      </c>
      <c r="H332" s="156">
        <f t="shared" si="464"/>
      </c>
      <c r="I332" s="157">
        <f t="shared" si="374"/>
      </c>
      <c r="J332" s="158">
        <f t="shared" si="404"/>
      </c>
      <c r="K332" s="159">
        <f t="shared" si="314"/>
      </c>
      <c r="L332" s="160">
        <f t="shared" si="344"/>
      </c>
      <c r="M332" s="158">
        <f t="shared" si="224"/>
      </c>
      <c r="N332" s="161">
        <f t="shared" si="254"/>
      </c>
      <c r="O332" s="161">
        <f t="shared" si="284"/>
      </c>
      <c r="P332" s="161">
        <f t="shared" si="164"/>
      </c>
      <c r="Q332" s="161">
        <f t="shared" si="194"/>
      </c>
      <c r="R332" s="158">
        <f t="shared" si="104"/>
      </c>
      <c r="S332" s="159">
        <f t="shared" si="134"/>
      </c>
      <c r="T332" s="161">
        <f t="shared" si="44"/>
      </c>
      <c r="U332" s="161">
        <f t="shared" si="74"/>
      </c>
      <c r="V332" s="161">
        <f t="shared" si="494"/>
      </c>
      <c r="W332" s="161">
        <f t="shared" si="14"/>
      </c>
      <c r="X332" s="169" t="s">
        <v>107</v>
      </c>
      <c r="Y332" s="163" t="s">
        <v>132</v>
      </c>
      <c r="Z332" s="166">
        <v>137247</v>
      </c>
      <c r="AA332" s="164">
        <v>58432</v>
      </c>
      <c r="AB332" s="164">
        <v>184143</v>
      </c>
      <c r="AC332" s="164">
        <v>1069</v>
      </c>
      <c r="AD332" s="166">
        <v>5</v>
      </c>
      <c r="AE332" s="164">
        <v>29880</v>
      </c>
      <c r="AF332" s="166">
        <v>336</v>
      </c>
      <c r="AG332" s="166">
        <v>135</v>
      </c>
      <c r="AH332" s="165">
        <v>17</v>
      </c>
      <c r="AI332" s="167">
        <v>2</v>
      </c>
    </row>
    <row r="333">
      <c r="A333" s="149"/>
      <c r="B333" s="150" t="s">
        <v>124</v>
      </c>
      <c r="C333" s="170" t="s">
        <v>106</v>
      </c>
      <c r="D333" s="171">
        <v>1844.8690000000001</v>
      </c>
      <c r="E333" s="172">
        <v>6</v>
      </c>
      <c r="F333" s="154">
        <f t="shared" si="434"/>
      </c>
      <c r="G333" s="172">
        <v>2518.8</v>
      </c>
      <c r="H333" s="156">
        <f t="shared" si="464"/>
      </c>
      <c r="I333" s="157">
        <f t="shared" si="374"/>
      </c>
      <c r="J333" s="158">
        <f t="shared" si="404"/>
      </c>
      <c r="K333" s="159">
        <f t="shared" si="314"/>
      </c>
      <c r="L333" s="160">
        <f t="shared" si="344"/>
      </c>
      <c r="M333" s="158">
        <f t="shared" si="224"/>
      </c>
      <c r="N333" s="161">
        <f t="shared" si="254"/>
      </c>
      <c r="O333" s="161">
        <f t="shared" si="284"/>
      </c>
      <c r="P333" s="161">
        <f t="shared" si="164"/>
      </c>
      <c r="Q333" s="161">
        <f t="shared" si="194"/>
      </c>
      <c r="R333" s="158">
        <f t="shared" si="104"/>
      </c>
      <c r="S333" s="159">
        <f t="shared" si="134"/>
      </c>
      <c r="T333" s="161">
        <f t="shared" si="44"/>
      </c>
      <c r="U333" s="161">
        <f t="shared" si="74"/>
      </c>
      <c r="V333" s="161">
        <f t="shared" si="494"/>
      </c>
      <c r="W333" s="161">
        <f t="shared" si="14"/>
      </c>
      <c r="X333" s="169" t="s">
        <v>107</v>
      </c>
      <c r="Y333" s="163" t="s">
        <v>132</v>
      </c>
      <c r="Z333" s="166">
        <v>139226</v>
      </c>
      <c r="AA333" s="166">
        <v>52824</v>
      </c>
      <c r="AB333" s="166">
        <v>185662</v>
      </c>
      <c r="AC333" s="166">
        <v>1165</v>
      </c>
      <c r="AD333" s="166">
        <v>4</v>
      </c>
      <c r="AE333" s="166">
        <v>27085</v>
      </c>
      <c r="AF333" s="166">
        <v>389</v>
      </c>
      <c r="AG333" s="166">
        <v>101</v>
      </c>
      <c r="AH333" s="166">
        <v>22</v>
      </c>
      <c r="AI333" s="167">
        <v>2</v>
      </c>
    </row>
    <row r="334">
      <c r="A334" s="149"/>
      <c r="B334" s="150" t="s">
        <v>124</v>
      </c>
      <c r="C334" s="173" t="s">
        <v>109</v>
      </c>
      <c r="D334" s="171">
        <v>2405.344</v>
      </c>
      <c r="E334" s="172">
        <v>3</v>
      </c>
      <c r="F334" s="154">
        <f t="shared" si="434"/>
      </c>
      <c r="G334" s="172">
        <v>1262.3999999999996</v>
      </c>
      <c r="H334" s="156">
        <f t="shared" si="464"/>
      </c>
      <c r="I334" s="157">
        <f t="shared" si="374"/>
      </c>
      <c r="J334" s="158">
        <f t="shared" si="404"/>
      </c>
      <c r="K334" s="159">
        <f t="shared" si="314"/>
      </c>
      <c r="L334" s="174">
        <f t="shared" si="344"/>
      </c>
      <c r="M334" s="175">
        <f t="shared" si="224"/>
      </c>
      <c r="N334" s="176">
        <f t="shared" si="254"/>
      </c>
      <c r="O334" s="176">
        <f t="shared" si="284"/>
      </c>
      <c r="P334" s="176">
        <f t="shared" si="164"/>
      </c>
      <c r="Q334" s="176">
        <f t="shared" si="194"/>
      </c>
      <c r="R334" s="175">
        <f t="shared" si="104"/>
      </c>
      <c r="S334" s="177">
        <f t="shared" si="134"/>
      </c>
      <c r="T334" s="176">
        <f t="shared" si="44"/>
      </c>
      <c r="U334" s="176">
        <f t="shared" si="74"/>
      </c>
      <c r="V334" s="176">
        <f t="shared" si="494"/>
      </c>
      <c r="W334" s="176">
        <f t="shared" si="14"/>
      </c>
      <c r="X334" s="169" t="s">
        <v>107</v>
      </c>
      <c r="Y334" s="163" t="s">
        <v>132</v>
      </c>
      <c r="Z334" s="166">
        <v>154357</v>
      </c>
      <c r="AA334" s="166">
        <v>51805</v>
      </c>
      <c r="AB334" s="166">
        <v>243095</v>
      </c>
      <c r="AC334" s="166">
        <v>1433</v>
      </c>
      <c r="AD334" s="166">
        <v>1</v>
      </c>
      <c r="AE334" s="166">
        <v>28284</v>
      </c>
      <c r="AF334" s="166">
        <v>440</v>
      </c>
      <c r="AG334" s="166">
        <v>114</v>
      </c>
      <c r="AH334" s="165">
        <v>24</v>
      </c>
      <c r="AI334" s="167">
        <v>1</v>
      </c>
    </row>
    <row r="335">
      <c r="A335" s="149"/>
      <c r="B335" s="178" t="s">
        <v>112</v>
      </c>
      <c r="C335" s="178"/>
      <c r="D335" s="179">
        <f>SUM(D331:D334)</f>
      </c>
      <c r="E335" s="180">
        <f>SUM(E331:E334)</f>
      </c>
      <c r="F335" s="181">
        <f t="shared" si="434"/>
      </c>
      <c r="G335" s="182">
        <f>SUM(G331:G334)</f>
      </c>
      <c r="H335" s="183">
        <f t="shared" si="464"/>
      </c>
      <c r="I335" s="184">
        <f t="shared" si="374"/>
      </c>
      <c r="J335" s="185">
        <f t="shared" si="404"/>
      </c>
      <c r="K335" s="181">
        <f t="shared" si="314"/>
      </c>
      <c r="L335" s="186">
        <f t="shared" si="344"/>
      </c>
      <c r="M335" s="185">
        <f t="shared" si="224"/>
      </c>
      <c r="N335" s="187">
        <f t="shared" si="254"/>
      </c>
      <c r="O335" s="187">
        <f t="shared" si="284"/>
      </c>
      <c r="P335" s="187">
        <f t="shared" si="164"/>
      </c>
      <c r="Q335" s="187">
        <f t="shared" si="194"/>
      </c>
      <c r="R335" s="185">
        <f t="shared" si="104"/>
      </c>
      <c r="S335" s="181">
        <f t="shared" si="134"/>
      </c>
      <c r="T335" s="187">
        <f t="shared" si="44"/>
      </c>
      <c r="U335" s="187">
        <f t="shared" si="74"/>
      </c>
      <c r="V335" s="187">
        <f t="shared" si="494"/>
      </c>
      <c r="W335" s="187">
        <f t="shared" si="14"/>
      </c>
      <c r="X335" s="187"/>
      <c r="Y335" s="188"/>
      <c r="Z335" s="179">
        <f>SUM(Z331:Z334)</f>
      </c>
      <c r="AA335" s="179">
        <f>SUM(AA331:AA334)</f>
      </c>
      <c r="AB335" s="179">
        <f>SUM(AB331:AB334)</f>
      </c>
      <c r="AC335" s="179">
        <f>SUM(AC331:AC334)</f>
      </c>
      <c r="AD335" s="179">
        <f>SUM(AD331:AD334)</f>
      </c>
      <c r="AE335" s="179">
        <f>SUM(AE331:AE334)</f>
      </c>
      <c r="AF335" s="179">
        <f>SUM(AF331:AF334)</f>
      </c>
      <c r="AG335" s="179">
        <f>SUM(AG331:AG334)</f>
      </c>
      <c r="AH335" s="179">
        <f>SUM(AH331:AH334)</f>
      </c>
      <c r="AI335" s="179">
        <f>SUM(AI331:AI334)</f>
      </c>
    </row>
    <row r="336">
      <c r="A336" s="149"/>
      <c r="B336" s="150" t="s">
        <v>113</v>
      </c>
      <c r="C336" s="173" t="s">
        <v>110</v>
      </c>
      <c r="D336" s="190">
        <v>1634.6089999999997</v>
      </c>
      <c r="E336" s="191">
        <v>7</v>
      </c>
      <c r="F336" s="154">
        <f t="shared" si="434"/>
      </c>
      <c r="G336" s="172">
        <v>7335.200000000001</v>
      </c>
      <c r="H336" s="156">
        <f t="shared" si="464"/>
      </c>
      <c r="I336" s="157">
        <f t="shared" si="374"/>
      </c>
      <c r="J336" s="158">
        <f t="shared" si="404"/>
      </c>
      <c r="K336" s="159">
        <f t="shared" si="314"/>
      </c>
      <c r="L336" s="160">
        <f t="shared" si="344"/>
      </c>
      <c r="M336" s="158">
        <f t="shared" si="224"/>
      </c>
      <c r="N336" s="161">
        <f t="shared" si="254"/>
      </c>
      <c r="O336" s="161">
        <f t="shared" si="284"/>
      </c>
      <c r="P336" s="161">
        <f t="shared" si="164"/>
      </c>
      <c r="Q336" s="161">
        <f t="shared" si="194"/>
      </c>
      <c r="R336" s="158">
        <f t="shared" si="104"/>
      </c>
      <c r="S336" s="159">
        <f t="shared" si="134"/>
      </c>
      <c r="T336" s="161">
        <f t="shared" si="44"/>
      </c>
      <c r="U336" s="161">
        <f t="shared" si="74"/>
      </c>
      <c r="V336" s="161">
        <f t="shared" si="494"/>
      </c>
      <c r="W336" s="161">
        <f t="shared" si="14"/>
      </c>
      <c r="X336" s="169" t="s">
        <v>107</v>
      </c>
      <c r="Y336" s="163" t="s">
        <v>132</v>
      </c>
      <c r="Z336" s="166">
        <v>118187</v>
      </c>
      <c r="AA336" s="166">
        <v>33037</v>
      </c>
      <c r="AB336" s="166">
        <v>171800</v>
      </c>
      <c r="AC336" s="166">
        <v>944</v>
      </c>
      <c r="AD336" s="166">
        <v>6</v>
      </c>
      <c r="AE336" s="166">
        <v>19358</v>
      </c>
      <c r="AF336" s="166">
        <v>350</v>
      </c>
      <c r="AG336" s="166">
        <v>71</v>
      </c>
      <c r="AH336" s="166">
        <v>15</v>
      </c>
      <c r="AI336" s="167">
        <v>0</v>
      </c>
    </row>
    <row r="337">
      <c r="A337" s="149"/>
      <c r="B337" s="150" t="s">
        <v>113</v>
      </c>
      <c r="C337" s="192" t="s">
        <v>111</v>
      </c>
      <c r="D337" s="171">
        <v>1069.1109999999999</v>
      </c>
      <c r="E337" s="172">
        <v>4</v>
      </c>
      <c r="F337" s="154">
        <f t="shared" si="434"/>
      </c>
      <c r="G337" s="172">
        <v>1470.2999999999993</v>
      </c>
      <c r="H337" s="156">
        <f t="shared" si="464"/>
      </c>
      <c r="I337" s="157">
        <f t="shared" si="374"/>
      </c>
      <c r="J337" s="158">
        <f t="shared" si="404"/>
      </c>
      <c r="K337" s="159">
        <f t="shared" si="314"/>
      </c>
      <c r="L337" s="160">
        <f t="shared" si="344"/>
      </c>
      <c r="M337" s="158">
        <f t="shared" si="224"/>
      </c>
      <c r="N337" s="161">
        <f t="shared" si="254"/>
      </c>
      <c r="O337" s="161">
        <f t="shared" si="284"/>
      </c>
      <c r="P337" s="161">
        <f t="shared" si="164"/>
      </c>
      <c r="Q337" s="161">
        <f t="shared" si="194"/>
      </c>
      <c r="R337" s="158">
        <f t="shared" si="104"/>
      </c>
      <c r="S337" s="159">
        <f t="shared" si="134"/>
      </c>
      <c r="T337" s="161">
        <f t="shared" si="44"/>
      </c>
      <c r="U337" s="161">
        <f t="shared" si="74"/>
      </c>
      <c r="V337" s="161">
        <f t="shared" si="494"/>
      </c>
      <c r="W337" s="161">
        <f t="shared" si="14"/>
      </c>
      <c r="X337" s="169" t="s">
        <v>107</v>
      </c>
      <c r="Y337" s="163" t="s">
        <v>132</v>
      </c>
      <c r="Z337" s="166">
        <v>67428</v>
      </c>
      <c r="AA337" s="166">
        <v>17335</v>
      </c>
      <c r="AB337" s="166">
        <v>61373</v>
      </c>
      <c r="AC337" s="166">
        <v>405</v>
      </c>
      <c r="AD337" s="166">
        <v>5</v>
      </c>
      <c r="AE337" s="166">
        <v>7603</v>
      </c>
      <c r="AF337" s="166">
        <v>176</v>
      </c>
      <c r="AG337" s="166">
        <v>36</v>
      </c>
      <c r="AH337" s="166">
        <v>8</v>
      </c>
      <c r="AI337" s="167">
        <v>1</v>
      </c>
    </row>
    <row r="338">
      <c r="A338" s="149"/>
      <c r="B338" s="150" t="s">
        <v>113</v>
      </c>
      <c r="C338" s="193" t="s">
        <v>114</v>
      </c>
      <c r="D338" s="171">
        <v>4274.227</v>
      </c>
      <c r="E338" s="172">
        <v>13</v>
      </c>
      <c r="F338" s="154">
        <f t="shared" si="434"/>
      </c>
      <c r="G338" s="172">
        <v>4302.000000000002</v>
      </c>
      <c r="H338" s="156">
        <f t="shared" si="464"/>
      </c>
      <c r="I338" s="157">
        <f t="shared" si="374"/>
      </c>
      <c r="J338" s="158">
        <f t="shared" si="404"/>
      </c>
      <c r="K338" s="159">
        <f t="shared" si="314"/>
      </c>
      <c r="L338" s="174">
        <f t="shared" si="344"/>
      </c>
      <c r="M338" s="175">
        <f t="shared" si="224"/>
      </c>
      <c r="N338" s="176">
        <f t="shared" si="254"/>
      </c>
      <c r="O338" s="176">
        <f t="shared" si="284"/>
      </c>
      <c r="P338" s="176">
        <f t="shared" si="164"/>
      </c>
      <c r="Q338" s="176">
        <f t="shared" si="194"/>
      </c>
      <c r="R338" s="175">
        <f t="shared" si="104"/>
      </c>
      <c r="S338" s="177">
        <f t="shared" si="134"/>
      </c>
      <c r="T338" s="176">
        <f t="shared" si="44"/>
      </c>
      <c r="U338" s="176">
        <f t="shared" si="74"/>
      </c>
      <c r="V338" s="176">
        <f t="shared" si="494"/>
      </c>
      <c r="W338" s="176">
        <f t="shared" si="14"/>
      </c>
      <c r="X338" s="169" t="s">
        <v>107</v>
      </c>
      <c r="Y338" s="163" t="s">
        <v>132</v>
      </c>
      <c r="Z338" s="166">
        <v>178803</v>
      </c>
      <c r="AA338" s="166">
        <v>45180</v>
      </c>
      <c r="AB338" s="166">
        <v>331238</v>
      </c>
      <c r="AC338" s="166">
        <v>777</v>
      </c>
      <c r="AD338" s="166">
        <v>7</v>
      </c>
      <c r="AE338" s="166">
        <v>27890</v>
      </c>
      <c r="AF338" s="166">
        <v>369</v>
      </c>
      <c r="AG338" s="166">
        <v>143</v>
      </c>
      <c r="AH338" s="165">
        <v>28</v>
      </c>
      <c r="AI338" s="167">
        <v>7</v>
      </c>
    </row>
    <row r="339">
      <c r="A339" s="149"/>
      <c r="B339" s="150" t="s">
        <v>113</v>
      </c>
      <c r="C339" s="194" t="s">
        <v>115</v>
      </c>
      <c r="D339" s="195">
        <v>4068.5660000000003</v>
      </c>
      <c r="E339" s="172">
        <v>10</v>
      </c>
      <c r="F339" s="154">
        <f t="shared" si="434"/>
      </c>
      <c r="G339" s="172">
        <v>2237.199999999997</v>
      </c>
      <c r="H339" s="156">
        <f t="shared" si="464"/>
      </c>
      <c r="I339" s="157">
        <f t="shared" si="374"/>
      </c>
      <c r="J339" s="158">
        <f t="shared" si="404"/>
      </c>
      <c r="K339" s="159">
        <f t="shared" si="314"/>
      </c>
      <c r="L339" s="174">
        <f t="shared" si="344"/>
      </c>
      <c r="M339" s="175">
        <f t="shared" si="224"/>
      </c>
      <c r="N339" s="176">
        <f t="shared" si="254"/>
      </c>
      <c r="O339" s="176">
        <f t="shared" si="284"/>
      </c>
      <c r="P339" s="176">
        <f t="shared" si="164"/>
      </c>
      <c r="Q339" s="176">
        <f t="shared" si="194"/>
      </c>
      <c r="R339" s="175">
        <f t="shared" si="104"/>
      </c>
      <c r="S339" s="177">
        <f t="shared" si="134"/>
      </c>
      <c r="T339" s="176">
        <f t="shared" si="44"/>
      </c>
      <c r="U339" s="176">
        <f t="shared" si="74"/>
      </c>
      <c r="V339" s="176">
        <f t="shared" si="494"/>
      </c>
      <c r="W339" s="176">
        <f t="shared" si="14"/>
      </c>
      <c r="X339" s="169" t="s">
        <v>107</v>
      </c>
      <c r="Y339" s="163" t="s">
        <v>132</v>
      </c>
      <c r="Z339" s="166">
        <v>188795</v>
      </c>
      <c r="AA339" s="166">
        <v>47768</v>
      </c>
      <c r="AB339" s="166">
        <v>315531</v>
      </c>
      <c r="AC339" s="166">
        <v>828</v>
      </c>
      <c r="AD339" s="166">
        <v>9</v>
      </c>
      <c r="AE339" s="166">
        <v>26114</v>
      </c>
      <c r="AF339" s="166">
        <v>356</v>
      </c>
      <c r="AG339" s="166">
        <v>128</v>
      </c>
      <c r="AH339" s="165">
        <v>33</v>
      </c>
      <c r="AI339" s="167">
        <v>1</v>
      </c>
    </row>
    <row r="340">
      <c r="A340" s="149"/>
      <c r="B340" s="178" t="s">
        <v>112</v>
      </c>
      <c r="C340" s="178"/>
      <c r="D340" s="179">
        <f>SUM(D336:D339)</f>
      </c>
      <c r="E340" s="180">
        <f>SUM(E336:E339)</f>
      </c>
      <c r="F340" s="181">
        <f t="shared" si="434"/>
      </c>
      <c r="G340" s="182">
        <f>SUM(G336:G339)</f>
      </c>
      <c r="H340" s="183">
        <f t="shared" si="464"/>
      </c>
      <c r="I340" s="184">
        <f t="shared" si="374"/>
      </c>
      <c r="J340" s="185">
        <f t="shared" si="404"/>
      </c>
      <c r="K340" s="181">
        <f t="shared" si="314"/>
      </c>
      <c r="L340" s="186">
        <f t="shared" si="344"/>
      </c>
      <c r="M340" s="185">
        <f t="shared" si="224"/>
      </c>
      <c r="N340" s="187">
        <f t="shared" si="254"/>
      </c>
      <c r="O340" s="187">
        <f t="shared" si="284"/>
      </c>
      <c r="P340" s="187">
        <f t="shared" si="164"/>
      </c>
      <c r="Q340" s="187">
        <f t="shared" si="194"/>
      </c>
      <c r="R340" s="185">
        <f t="shared" si="104"/>
      </c>
      <c r="S340" s="181">
        <f t="shared" si="134"/>
      </c>
      <c r="T340" s="187">
        <f t="shared" si="44"/>
      </c>
      <c r="U340" s="187">
        <f t="shared" si="74"/>
      </c>
      <c r="V340" s="187">
        <f t="shared" si="494"/>
      </c>
      <c r="W340" s="187">
        <f t="shared" si="14"/>
      </c>
      <c r="X340" s="187"/>
      <c r="Y340" s="188"/>
      <c r="Z340" s="179">
        <f>SUM(Z336:Z339)</f>
      </c>
      <c r="AA340" s="179">
        <f>SUM(AA336:AA339)</f>
      </c>
      <c r="AB340" s="179">
        <f>SUM(AB336:AB339)</f>
      </c>
      <c r="AC340" s="179">
        <f>SUM(AC336:AC339)</f>
      </c>
      <c r="AD340" s="179">
        <f>SUM(AD336:AD339)</f>
      </c>
      <c r="AE340" s="179">
        <f>SUM(AE336:AE339)</f>
      </c>
      <c r="AF340" s="179">
        <f>SUM(AF336:AF339)</f>
      </c>
      <c r="AG340" s="179">
        <f>SUM(AG336:AG339)</f>
      </c>
      <c r="AH340" s="179">
        <f>SUM(AH336:AH339)</f>
      </c>
      <c r="AI340" s="179">
        <f>SUM(AI336:AI339)</f>
      </c>
    </row>
    <row r="341">
      <c r="A341" s="149"/>
      <c r="B341" s="150" t="s">
        <v>105</v>
      </c>
      <c r="C341" s="196" t="s">
        <v>116</v>
      </c>
      <c r="D341" s="171">
        <v>3501.124</v>
      </c>
      <c r="E341" s="172">
        <v>9</v>
      </c>
      <c r="F341" s="154">
        <f t="shared" si="434"/>
      </c>
      <c r="G341" s="172">
        <v>3188</v>
      </c>
      <c r="H341" s="156">
        <f t="shared" si="464"/>
      </c>
      <c r="I341" s="157">
        <f t="shared" si="374"/>
      </c>
      <c r="J341" s="158">
        <f t="shared" si="404"/>
      </c>
      <c r="K341" s="159">
        <f t="shared" si="314"/>
      </c>
      <c r="L341" s="160">
        <f t="shared" si="344"/>
      </c>
      <c r="M341" s="158">
        <f t="shared" si="224"/>
      </c>
      <c r="N341" s="161">
        <f t="shared" si="254"/>
      </c>
      <c r="O341" s="161">
        <f t="shared" si="284"/>
      </c>
      <c r="P341" s="161">
        <f t="shared" si="164"/>
      </c>
      <c r="Q341" s="161">
        <f t="shared" si="194"/>
      </c>
      <c r="R341" s="158">
        <f t="shared" si="104"/>
      </c>
      <c r="S341" s="159">
        <f t="shared" si="134"/>
      </c>
      <c r="T341" s="161">
        <f t="shared" si="44"/>
      </c>
      <c r="U341" s="161">
        <f t="shared" si="74"/>
      </c>
      <c r="V341" s="161">
        <f t="shared" si="494"/>
      </c>
      <c r="W341" s="161">
        <f t="shared" si="14"/>
      </c>
      <c r="X341" s="169" t="s">
        <v>107</v>
      </c>
      <c r="Y341" s="200" t="s">
        <v>132</v>
      </c>
      <c r="Z341" s="166">
        <v>145968</v>
      </c>
      <c r="AA341" s="166">
        <v>35074</v>
      </c>
      <c r="AB341" s="166">
        <v>241269</v>
      </c>
      <c r="AC341" s="166">
        <v>685</v>
      </c>
      <c r="AD341" s="166">
        <v>9</v>
      </c>
      <c r="AE341" s="166">
        <v>19357</v>
      </c>
      <c r="AF341" s="166">
        <v>290</v>
      </c>
      <c r="AG341" s="166">
        <v>84</v>
      </c>
      <c r="AH341" s="166">
        <v>20</v>
      </c>
      <c r="AI341" s="167">
        <v>0</v>
      </c>
    </row>
    <row r="342">
      <c r="A342" s="149"/>
      <c r="B342" s="150" t="s">
        <v>105</v>
      </c>
      <c r="C342" s="197" t="s">
        <v>117</v>
      </c>
      <c r="D342" s="171">
        <v>2383.999</v>
      </c>
      <c r="E342" s="172">
        <v>10</v>
      </c>
      <c r="F342" s="154">
        <f t="shared" si="434"/>
      </c>
      <c r="G342" s="172">
        <v>3962.4</v>
      </c>
      <c r="H342" s="156">
        <f t="shared" si="464"/>
      </c>
      <c r="I342" s="157">
        <f t="shared" si="374"/>
      </c>
      <c r="J342" s="158">
        <f t="shared" si="404"/>
      </c>
      <c r="K342" s="159">
        <f t="shared" si="314"/>
      </c>
      <c r="L342" s="160">
        <f t="shared" si="344"/>
      </c>
      <c r="M342" s="158">
        <f t="shared" si="224"/>
      </c>
      <c r="N342" s="161">
        <f t="shared" si="254"/>
      </c>
      <c r="O342" s="161">
        <f t="shared" si="284"/>
      </c>
      <c r="P342" s="161">
        <f t="shared" si="164"/>
      </c>
      <c r="Q342" s="161">
        <f t="shared" si="194"/>
      </c>
      <c r="R342" s="158">
        <f t="shared" si="104"/>
      </c>
      <c r="S342" s="159">
        <f t="shared" si="134"/>
      </c>
      <c r="T342" s="161">
        <f t="shared" si="44"/>
      </c>
      <c r="U342" s="161">
        <f t="shared" si="74"/>
      </c>
      <c r="V342" s="161">
        <f t="shared" si="494"/>
      </c>
      <c r="W342" s="161">
        <f t="shared" si="14"/>
      </c>
      <c r="X342" s="169" t="s">
        <v>107</v>
      </c>
      <c r="Y342" s="163" t="s">
        <v>132</v>
      </c>
      <c r="Z342" s="166">
        <v>135139</v>
      </c>
      <c r="AA342" s="166">
        <v>26637</v>
      </c>
      <c r="AB342" s="166">
        <v>183175</v>
      </c>
      <c r="AC342" s="166">
        <v>862</v>
      </c>
      <c r="AD342" s="166">
        <v>11</v>
      </c>
      <c r="AE342" s="166">
        <v>14695</v>
      </c>
      <c r="AF342" s="166">
        <v>278</v>
      </c>
      <c r="AG342" s="166">
        <v>63</v>
      </c>
      <c r="AH342" s="165">
        <v>22</v>
      </c>
      <c r="AI342" s="167">
        <v>1</v>
      </c>
    </row>
    <row r="343">
      <c r="A343" s="149"/>
      <c r="B343" s="150" t="s">
        <v>105</v>
      </c>
      <c r="C343" s="194" t="s">
        <v>119</v>
      </c>
      <c r="D343" s="171">
        <v>4376.856</v>
      </c>
      <c r="E343" s="172">
        <v>19</v>
      </c>
      <c r="F343" s="154">
        <f t="shared" si="434"/>
      </c>
      <c r="G343" s="172">
        <v>8064.8</v>
      </c>
      <c r="H343" s="156">
        <f t="shared" si="464"/>
      </c>
      <c r="I343" s="157">
        <f t="shared" si="374"/>
      </c>
      <c r="J343" s="158">
        <f t="shared" si="404"/>
      </c>
      <c r="K343" s="159">
        <f t="shared" si="314"/>
      </c>
      <c r="L343" s="174">
        <f t="shared" si="344"/>
      </c>
      <c r="M343" s="175">
        <f t="shared" si="224"/>
      </c>
      <c r="N343" s="176">
        <f t="shared" si="254"/>
      </c>
      <c r="O343" s="176">
        <f t="shared" si="284"/>
      </c>
      <c r="P343" s="176">
        <f t="shared" si="164"/>
      </c>
      <c r="Q343" s="176">
        <f t="shared" si="194"/>
      </c>
      <c r="R343" s="175">
        <f t="shared" si="104"/>
      </c>
      <c r="S343" s="177">
        <f t="shared" si="134"/>
      </c>
      <c r="T343" s="176">
        <f t="shared" si="44"/>
      </c>
      <c r="U343" s="176">
        <f t="shared" si="74"/>
      </c>
      <c r="V343" s="176">
        <f t="shared" si="494"/>
      </c>
      <c r="W343" s="176">
        <f t="shared" si="14"/>
      </c>
      <c r="X343" s="169" t="s">
        <v>107</v>
      </c>
      <c r="Y343" s="163" t="s">
        <v>108</v>
      </c>
      <c r="Z343" s="166">
        <v>229521</v>
      </c>
      <c r="AA343" s="166">
        <v>36665</v>
      </c>
      <c r="AB343" s="166">
        <v>375348</v>
      </c>
      <c r="AC343" s="166">
        <v>1355</v>
      </c>
      <c r="AD343" s="166">
        <v>14</v>
      </c>
      <c r="AE343" s="166">
        <v>25865</v>
      </c>
      <c r="AF343" s="166">
        <v>391</v>
      </c>
      <c r="AG343" s="166">
        <v>124</v>
      </c>
      <c r="AH343" s="165">
        <v>26</v>
      </c>
      <c r="AI343" s="167">
        <v>3</v>
      </c>
    </row>
    <row r="344">
      <c r="A344" s="149"/>
      <c r="B344" s="150" t="s">
        <v>105</v>
      </c>
      <c r="C344" s="194" t="s">
        <v>121</v>
      </c>
      <c r="D344" s="195">
        <v>3476.504</v>
      </c>
      <c r="E344" s="172">
        <v>24</v>
      </c>
      <c r="F344" s="154">
        <f t="shared" si="434"/>
      </c>
      <c r="G344" s="172">
        <v>7695.9</v>
      </c>
      <c r="H344" s="156">
        <f t="shared" si="464"/>
      </c>
      <c r="I344" s="157">
        <f t="shared" si="374"/>
      </c>
      <c r="J344" s="158">
        <f t="shared" si="404"/>
      </c>
      <c r="K344" s="159">
        <f t="shared" si="314"/>
      </c>
      <c r="L344" s="174">
        <f t="shared" si="344"/>
      </c>
      <c r="M344" s="175">
        <f t="shared" si="224"/>
      </c>
      <c r="N344" s="176">
        <f t="shared" si="254"/>
      </c>
      <c r="O344" s="176">
        <f t="shared" si="284"/>
      </c>
      <c r="P344" s="176">
        <f t="shared" si="164"/>
      </c>
      <c r="Q344" s="176">
        <f t="shared" si="194"/>
      </c>
      <c r="R344" s="175">
        <f t="shared" si="104"/>
      </c>
      <c r="S344" s="177">
        <f t="shared" si="134"/>
      </c>
      <c r="T344" s="176">
        <f t="shared" si="44"/>
      </c>
      <c r="U344" s="176">
        <f t="shared" si="74"/>
      </c>
      <c r="V344" s="176">
        <f t="shared" si="494"/>
      </c>
      <c r="W344" s="176">
        <f t="shared" si="14"/>
      </c>
      <c r="X344" s="169" t="s">
        <v>107</v>
      </c>
      <c r="Y344" s="163" t="s">
        <v>108</v>
      </c>
      <c r="Z344" s="166">
        <v>179579</v>
      </c>
      <c r="AA344" s="166">
        <v>38084</v>
      </c>
      <c r="AB344" s="166">
        <v>275992</v>
      </c>
      <c r="AC344" s="166">
        <v>1013</v>
      </c>
      <c r="AD344" s="166">
        <v>23</v>
      </c>
      <c r="AE344" s="166">
        <v>23126</v>
      </c>
      <c r="AF344" s="166">
        <v>317</v>
      </c>
      <c r="AG344" s="166">
        <v>107</v>
      </c>
      <c r="AH344" s="165">
        <v>20</v>
      </c>
      <c r="AI344" s="167">
        <v>2</v>
      </c>
    </row>
    <row customHeight="true" ht="16.071428571428573" r="345">
      <c r="A345" s="149"/>
      <c r="B345" s="150" t="s">
        <v>105</v>
      </c>
      <c r="C345" s="196" t="s">
        <v>122</v>
      </c>
      <c r="D345" s="195">
        <v>3842.84</v>
      </c>
      <c r="E345" s="172">
        <v>13</v>
      </c>
      <c r="F345" s="154">
        <f t="shared" si="434"/>
      </c>
      <c r="G345" s="172">
        <v>4891.2</v>
      </c>
      <c r="H345" s="156">
        <f t="shared" si="464"/>
      </c>
      <c r="I345" s="157">
        <f t="shared" si="374"/>
      </c>
      <c r="J345" s="158">
        <f t="shared" si="404"/>
      </c>
      <c r="K345" s="159">
        <f t="shared" si="314"/>
      </c>
      <c r="L345" s="174">
        <f t="shared" si="344"/>
      </c>
      <c r="M345" s="175">
        <f t="shared" si="224"/>
      </c>
      <c r="N345" s="176">
        <f t="shared" si="254"/>
      </c>
      <c r="O345" s="176">
        <f t="shared" si="284"/>
      </c>
      <c r="P345" s="176">
        <f t="shared" si="164"/>
      </c>
      <c r="Q345" s="176">
        <f t="shared" si="194"/>
      </c>
      <c r="R345" s="175">
        <f t="shared" si="104"/>
      </c>
      <c r="S345" s="177">
        <f t="shared" si="134"/>
      </c>
      <c r="T345" s="176">
        <f t="shared" si="44"/>
      </c>
      <c r="U345" s="176">
        <f t="shared" si="74"/>
      </c>
      <c r="V345" s="176">
        <f t="shared" si="494"/>
      </c>
      <c r="W345" s="176">
        <f t="shared" si="14"/>
      </c>
      <c r="X345" s="169" t="s">
        <v>107</v>
      </c>
      <c r="Y345" s="163" t="s">
        <v>108</v>
      </c>
      <c r="Z345" s="166">
        <v>194568</v>
      </c>
      <c r="AA345" s="166">
        <v>27295</v>
      </c>
      <c r="AB345" s="166">
        <v>267864</v>
      </c>
      <c r="AC345" s="166">
        <v>780</v>
      </c>
      <c r="AD345" s="166">
        <v>10</v>
      </c>
      <c r="AE345" s="166">
        <v>19752</v>
      </c>
      <c r="AF345" s="166">
        <v>212</v>
      </c>
      <c r="AG345" s="166">
        <v>74</v>
      </c>
      <c r="AH345" s="165">
        <v>15</v>
      </c>
      <c r="AI345" s="167">
        <v>0</v>
      </c>
    </row>
    <row r="346">
      <c r="A346" s="149"/>
      <c r="B346" s="178" t="s">
        <v>112</v>
      </c>
      <c r="C346" s="178"/>
      <c r="D346" s="179">
        <f>SUM(D341:D345)</f>
      </c>
      <c r="E346" s="179">
        <f>SUM(E341:E345)</f>
      </c>
      <c r="F346" s="181">
        <f t="shared" si="434"/>
      </c>
      <c r="G346" s="182">
        <f>SUM(G341:G345)</f>
      </c>
      <c r="H346" s="183">
        <f t="shared" si="464"/>
      </c>
      <c r="I346" s="184">
        <f t="shared" si="374"/>
      </c>
      <c r="J346" s="185">
        <f t="shared" si="404"/>
      </c>
      <c r="K346" s="181">
        <f t="shared" si="314"/>
      </c>
      <c r="L346" s="186">
        <f t="shared" si="344"/>
      </c>
      <c r="M346" s="185">
        <f t="shared" si="224"/>
      </c>
      <c r="N346" s="187">
        <f t="shared" si="254"/>
      </c>
      <c r="O346" s="187">
        <f t="shared" si="284"/>
      </c>
      <c r="P346" s="187">
        <f t="shared" si="164"/>
      </c>
      <c r="Q346" s="187">
        <f t="shared" si="194"/>
      </c>
      <c r="R346" s="185">
        <f t="shared" si="104"/>
      </c>
      <c r="S346" s="181">
        <f t="shared" si="134"/>
      </c>
      <c r="T346" s="187">
        <f t="shared" si="44"/>
      </c>
      <c r="U346" s="187">
        <f t="shared" si="74"/>
      </c>
      <c r="V346" s="187">
        <f t="shared" si="494"/>
      </c>
      <c r="W346" s="187">
        <f t="shared" si="14"/>
      </c>
      <c r="X346" s="187"/>
      <c r="Y346" s="188"/>
      <c r="Z346" s="179">
        <f>SUM(Z341:Z345)</f>
      </c>
      <c r="AA346" s="179">
        <f>SUM(AA341:AA345)</f>
      </c>
      <c r="AB346" s="179">
        <f>SUM(AB341:AB345)</f>
      </c>
      <c r="AC346" s="179">
        <f>SUM(AC341:AC345)</f>
      </c>
      <c r="AD346" s="179">
        <f>SUM(AD341:AD345)</f>
      </c>
      <c r="AE346" s="179">
        <f>SUM(AE341:AE345)</f>
      </c>
      <c r="AF346" s="179">
        <f>SUM(AF341:AF345)</f>
      </c>
      <c r="AG346" s="179">
        <f>SUM(AG341:AG345)</f>
      </c>
      <c r="AH346" s="179">
        <f>SUM(AH341:AH345)</f>
      </c>
      <c r="AI346" s="179">
        <f>SUM(AI341:AI345)</f>
      </c>
    </row>
    <row r="347">
      <c r="A347" s="149"/>
      <c r="B347" s="150" t="s">
        <v>131</v>
      </c>
      <c r="C347" s="197" t="s">
        <v>123</v>
      </c>
      <c r="D347" s="198">
        <v>2440.972</v>
      </c>
      <c r="E347" s="153">
        <v>10</v>
      </c>
      <c r="F347" s="154">
        <f t="shared" si="434"/>
      </c>
      <c r="G347" s="155">
        <v>4030.8</v>
      </c>
      <c r="H347" s="156">
        <f t="shared" si="464"/>
      </c>
      <c r="I347" s="157">
        <f t="shared" si="374"/>
      </c>
      <c r="J347" s="158">
        <f t="shared" si="404"/>
      </c>
      <c r="K347" s="159">
        <f t="shared" si="314"/>
      </c>
      <c r="L347" s="174">
        <f t="shared" si="344"/>
      </c>
      <c r="M347" s="175">
        <f t="shared" si="224"/>
      </c>
      <c r="N347" s="176">
        <f t="shared" si="254"/>
      </c>
      <c r="O347" s="176">
        <f t="shared" si="284"/>
      </c>
      <c r="P347" s="176">
        <f t="shared" si="164"/>
      </c>
      <c r="Q347" s="176">
        <f t="shared" si="194"/>
      </c>
      <c r="R347" s="175">
        <f t="shared" si="104"/>
      </c>
      <c r="S347" s="177">
        <f t="shared" si="134"/>
      </c>
      <c r="T347" s="176">
        <f t="shared" si="44"/>
      </c>
      <c r="U347" s="176">
        <f t="shared" si="74"/>
      </c>
      <c r="V347" s="176">
        <f t="shared" si="494"/>
      </c>
      <c r="W347" s="176">
        <f t="shared" si="14"/>
      </c>
      <c r="X347" s="169" t="s">
        <v>107</v>
      </c>
      <c r="Y347" s="163" t="s">
        <v>108</v>
      </c>
      <c r="Z347" s="166">
        <v>135964</v>
      </c>
      <c r="AA347" s="166">
        <v>20551</v>
      </c>
      <c r="AB347" s="166">
        <v>164220</v>
      </c>
      <c r="AC347" s="199">
        <v>712</v>
      </c>
      <c r="AD347" s="199">
        <v>11</v>
      </c>
      <c r="AE347" s="199">
        <v>10376</v>
      </c>
      <c r="AF347" s="199">
        <v>159</v>
      </c>
      <c r="AG347" s="199">
        <v>39</v>
      </c>
      <c r="AH347" s="199">
        <v>18</v>
      </c>
      <c r="AI347" s="167">
        <v>2</v>
      </c>
    </row>
    <row r="348">
      <c r="A348" s="149"/>
      <c r="B348" s="150" t="s">
        <v>131</v>
      </c>
      <c r="C348" s="194" t="s">
        <v>125</v>
      </c>
      <c r="D348" s="198">
        <v>6298.481</v>
      </c>
      <c r="E348" s="153">
        <v>19</v>
      </c>
      <c r="F348" s="154">
        <f t="shared" si="434"/>
      </c>
      <c r="G348" s="155">
        <v>9032.8</v>
      </c>
      <c r="H348" s="156">
        <f t="shared" si="464"/>
      </c>
      <c r="I348" s="157">
        <f t="shared" si="374"/>
      </c>
      <c r="J348" s="158">
        <f t="shared" si="404"/>
      </c>
      <c r="K348" s="159">
        <f t="shared" si="314"/>
      </c>
      <c r="L348" s="174">
        <f t="shared" si="344"/>
      </c>
      <c r="M348" s="175">
        <f t="shared" si="224"/>
      </c>
      <c r="N348" s="176">
        <f t="shared" si="254"/>
      </c>
      <c r="O348" s="176">
        <f t="shared" si="284"/>
      </c>
      <c r="P348" s="176">
        <f t="shared" si="164"/>
      </c>
      <c r="Q348" s="176">
        <f t="shared" si="194"/>
      </c>
      <c r="R348" s="175">
        <f t="shared" si="104"/>
      </c>
      <c r="S348" s="177">
        <f t="shared" si="134"/>
      </c>
      <c r="T348" s="176">
        <f t="shared" si="44"/>
      </c>
      <c r="U348" s="176">
        <f t="shared" si="74"/>
      </c>
      <c r="V348" s="176">
        <f t="shared" si="494"/>
      </c>
      <c r="W348" s="176">
        <f t="shared" si="14"/>
      </c>
      <c r="X348" s="169" t="s">
        <v>107</v>
      </c>
      <c r="Y348" s="163" t="s">
        <v>108</v>
      </c>
      <c r="Z348" s="166">
        <v>364571</v>
      </c>
      <c r="AA348" s="166">
        <v>60790</v>
      </c>
      <c r="AB348" s="166">
        <v>677676</v>
      </c>
      <c r="AC348" s="199">
        <v>1634</v>
      </c>
      <c r="AD348" s="199">
        <v>17</v>
      </c>
      <c r="AE348" s="199">
        <v>38603</v>
      </c>
      <c r="AF348" s="199">
        <v>467</v>
      </c>
      <c r="AG348" s="199">
        <v>193</v>
      </c>
      <c r="AH348" s="199">
        <v>32</v>
      </c>
      <c r="AI348" s="167">
        <v>3</v>
      </c>
    </row>
    <row r="349">
      <c r="A349" s="149"/>
      <c r="B349" s="150" t="s">
        <v>131</v>
      </c>
      <c r="C349" s="194" t="s">
        <v>126</v>
      </c>
      <c r="D349" s="171">
        <v>5689.241</v>
      </c>
      <c r="E349" s="172">
        <v>13</v>
      </c>
      <c r="F349" s="154">
        <f t="shared" si="434"/>
      </c>
      <c r="G349" s="172">
        <v>4022</v>
      </c>
      <c r="H349" s="156">
        <f t="shared" si="464"/>
      </c>
      <c r="I349" s="157">
        <f t="shared" si="374"/>
      </c>
      <c r="J349" s="158">
        <f t="shared" si="404"/>
      </c>
      <c r="K349" s="159">
        <f t="shared" si="314"/>
      </c>
      <c r="L349" s="174">
        <f t="shared" si="344"/>
      </c>
      <c r="M349" s="175">
        <f t="shared" si="224"/>
      </c>
      <c r="N349" s="176">
        <f t="shared" si="254"/>
      </c>
      <c r="O349" s="176">
        <f t="shared" si="284"/>
      </c>
      <c r="P349" s="176">
        <f t="shared" si="164"/>
      </c>
      <c r="Q349" s="176">
        <f t="shared" si="194"/>
      </c>
      <c r="R349" s="175">
        <f t="shared" si="104"/>
      </c>
      <c r="S349" s="177">
        <f t="shared" si="134"/>
      </c>
      <c r="T349" s="176">
        <f t="shared" si="44"/>
      </c>
      <c r="U349" s="176">
        <f t="shared" si="74"/>
      </c>
      <c r="V349" s="176">
        <f t="shared" si="494"/>
      </c>
      <c r="W349" s="176">
        <f t="shared" si="14"/>
      </c>
      <c r="X349" s="169" t="s">
        <v>107</v>
      </c>
      <c r="Y349" s="163" t="s">
        <v>108</v>
      </c>
      <c r="Z349" s="166">
        <v>336650</v>
      </c>
      <c r="AA349" s="166">
        <v>44170</v>
      </c>
      <c r="AB349" s="166">
        <v>633393</v>
      </c>
      <c r="AC349" s="166">
        <v>1650</v>
      </c>
      <c r="AD349" s="166">
        <v>9</v>
      </c>
      <c r="AE349" s="166">
        <v>30471</v>
      </c>
      <c r="AF349" s="166">
        <v>345</v>
      </c>
      <c r="AG349" s="166">
        <v>138</v>
      </c>
      <c r="AH349" s="165">
        <v>37</v>
      </c>
      <c r="AI349" s="167">
        <v>3</v>
      </c>
    </row>
    <row r="350">
      <c r="A350" s="149"/>
      <c r="B350" s="150" t="s">
        <v>131</v>
      </c>
      <c r="C350" s="196" t="s">
        <v>127</v>
      </c>
      <c r="D350" s="195">
        <v>5927.86</v>
      </c>
      <c r="E350" s="172">
        <v>15</v>
      </c>
      <c r="F350" s="154">
        <f t="shared" si="434"/>
      </c>
      <c r="G350" s="172">
        <v>4207.8</v>
      </c>
      <c r="H350" s="156">
        <f t="shared" si="464"/>
      </c>
      <c r="I350" s="157">
        <f t="shared" si="374"/>
      </c>
      <c r="J350" s="158">
        <f t="shared" si="404"/>
      </c>
      <c r="K350" s="159">
        <f t="shared" si="314"/>
      </c>
      <c r="L350" s="174">
        <f t="shared" si="344"/>
      </c>
      <c r="M350" s="175">
        <f t="shared" si="224"/>
      </c>
      <c r="N350" s="176">
        <f t="shared" si="254"/>
      </c>
      <c r="O350" s="176">
        <f t="shared" si="284"/>
      </c>
      <c r="P350" s="176">
        <f t="shared" si="164"/>
      </c>
      <c r="Q350" s="176">
        <f t="shared" si="194"/>
      </c>
      <c r="R350" s="175">
        <f t="shared" si="104"/>
      </c>
      <c r="S350" s="177">
        <f t="shared" si="134"/>
      </c>
      <c r="T350" s="176">
        <f t="shared" si="44"/>
      </c>
      <c r="U350" s="176">
        <f t="shared" si="74"/>
      </c>
      <c r="V350" s="176">
        <f t="shared" si="494"/>
      </c>
      <c r="W350" s="176">
        <f t="shared" si="14"/>
      </c>
      <c r="X350" s="169" t="s">
        <v>107</v>
      </c>
      <c r="Y350" s="163" t="s">
        <v>108</v>
      </c>
      <c r="Z350" s="166">
        <v>357098</v>
      </c>
      <c r="AA350" s="166">
        <v>56305</v>
      </c>
      <c r="AB350" s="166">
        <v>691641</v>
      </c>
      <c r="AC350" s="166">
        <v>1774</v>
      </c>
      <c r="AD350" s="166">
        <v>13</v>
      </c>
      <c r="AE350" s="166">
        <v>37676</v>
      </c>
      <c r="AF350" s="166">
        <v>407</v>
      </c>
      <c r="AG350" s="166">
        <v>169</v>
      </c>
      <c r="AH350" s="165">
        <v>45</v>
      </c>
      <c r="AI350" s="167">
        <v>3</v>
      </c>
    </row>
    <row customHeight="true" ht="16.071428571428573" r="351">
      <c r="A351" s="149"/>
      <c r="B351" s="150" t="s">
        <v>131</v>
      </c>
      <c r="C351" s="194" t="s">
        <v>128</v>
      </c>
      <c r="D351" s="195">
        <f>978.628+7.296+64.439</f>
      </c>
      <c r="E351" s="172">
        <v>14</v>
      </c>
      <c r="F351" s="154">
        <f t="shared" si="434"/>
      </c>
      <c r="G351" s="172">
        <v>3498.6</v>
      </c>
      <c r="H351" s="156">
        <f t="shared" si="464"/>
      </c>
      <c r="I351" s="157">
        <f t="shared" si="374"/>
      </c>
      <c r="J351" s="158">
        <f t="shared" si="404"/>
      </c>
      <c r="K351" s="159">
        <f t="shared" si="314"/>
      </c>
      <c r="L351" s="174">
        <f t="shared" si="344"/>
      </c>
      <c r="M351" s="175">
        <f t="shared" si="224"/>
      </c>
      <c r="N351" s="176">
        <f t="shared" si="254"/>
      </c>
      <c r="O351" s="176">
        <f t="shared" si="284"/>
      </c>
      <c r="P351" s="176">
        <f t="shared" si="164"/>
      </c>
      <c r="Q351" s="176">
        <f t="shared" si="194"/>
      </c>
      <c r="R351" s="175">
        <f t="shared" si="104"/>
      </c>
      <c r="S351" s="177">
        <f t="shared" si="134"/>
      </c>
      <c r="T351" s="176">
        <f t="shared" si="44"/>
      </c>
      <c r="U351" s="176">
        <f t="shared" si="74"/>
      </c>
      <c r="V351" s="176">
        <f t="shared" si="494"/>
      </c>
      <c r="W351" s="176">
        <f t="shared" si="14"/>
      </c>
      <c r="X351" s="169" t="s">
        <v>107</v>
      </c>
      <c r="Y351" s="163" t="s">
        <v>108</v>
      </c>
      <c r="Z351" s="166">
        <v>97655</v>
      </c>
      <c r="AA351" s="166">
        <v>12274</v>
      </c>
      <c r="AB351" s="166">
        <v>66944</v>
      </c>
      <c r="AC351" s="166">
        <v>368</v>
      </c>
      <c r="AD351" s="166">
        <v>11</v>
      </c>
      <c r="AE351" s="166">
        <v>5070</v>
      </c>
      <c r="AF351" s="166">
        <v>143</v>
      </c>
      <c r="AG351" s="166">
        <v>37</v>
      </c>
      <c r="AH351" s="165">
        <v>15</v>
      </c>
      <c r="AI351" s="167">
        <v>5</v>
      </c>
    </row>
    <row r="352">
      <c r="A352" s="149"/>
      <c r="B352" s="178" t="s">
        <v>112</v>
      </c>
      <c r="C352" s="178"/>
      <c r="D352" s="179">
        <f>SUM(D347:D351)</f>
      </c>
      <c r="E352" s="179">
        <f>SUM(E347:E351)</f>
      </c>
      <c r="F352" s="181">
        <f t="shared" si="434"/>
      </c>
      <c r="G352" s="182">
        <f>SUM(G347:G351)</f>
      </c>
      <c r="H352" s="183">
        <f t="shared" si="464"/>
      </c>
      <c r="I352" s="184">
        <f t="shared" si="374"/>
      </c>
      <c r="J352" s="185">
        <f t="shared" si="404"/>
      </c>
      <c r="K352" s="181">
        <f t="shared" si="314"/>
      </c>
      <c r="L352" s="186">
        <f t="shared" si="344"/>
      </c>
      <c r="M352" s="185">
        <f t="shared" si="224"/>
      </c>
      <c r="N352" s="187">
        <f t="shared" si="254"/>
      </c>
      <c r="O352" s="187">
        <f t="shared" si="284"/>
      </c>
      <c r="P352" s="187">
        <f t="shared" si="164"/>
      </c>
      <c r="Q352" s="187">
        <f t="shared" si="194"/>
      </c>
      <c r="R352" s="185">
        <f t="shared" si="104"/>
      </c>
      <c r="S352" s="181">
        <f t="shared" si="134"/>
      </c>
      <c r="T352" s="187">
        <f t="shared" si="44"/>
      </c>
      <c r="U352" s="187">
        <f t="shared" si="74"/>
      </c>
      <c r="V352" s="187">
        <f t="shared" si="494"/>
      </c>
      <c r="W352" s="187">
        <f t="shared" si="14"/>
      </c>
      <c r="X352" s="187"/>
      <c r="Y352" s="188"/>
      <c r="Z352" s="179">
        <f>SUM(Z347:Z351)</f>
      </c>
      <c r="AA352" s="179">
        <f>SUM(AA347:AA351)</f>
      </c>
      <c r="AB352" s="179">
        <f>SUM(AB347:AB351)</f>
      </c>
      <c r="AC352" s="179">
        <f>SUM(AC347:AC351)</f>
      </c>
      <c r="AD352" s="179">
        <f>SUM(AD347:AD351)</f>
      </c>
      <c r="AE352" s="179">
        <f>SUM(AE347:AE351)</f>
      </c>
      <c r="AF352" s="179">
        <f>SUM(AF347:AF351)</f>
      </c>
      <c r="AG352" s="179">
        <f>SUM(AG347:AG351)</f>
      </c>
      <c r="AH352" s="179">
        <f>SUM(AH347:AH351)</f>
      </c>
      <c r="AI352" s="179">
        <f>SUM(AI347:AI351)</f>
      </c>
    </row>
    <row r="353">
      <c r="A353" s="149"/>
      <c r="B353" s="202" t="s">
        <v>129</v>
      </c>
      <c r="C353" s="202"/>
      <c r="D353" s="203">
        <f>SUM(D352+D335+D340+D346)</f>
      </c>
      <c r="E353" s="204">
        <f>SUM(E352+E335+E340+E346)</f>
      </c>
      <c r="F353" s="205">
        <f t="shared" si="434"/>
      </c>
      <c r="G353" s="206">
        <f>SUM(G352+G335+G340+G346)</f>
      </c>
      <c r="H353" s="207">
        <f t="shared" si="464"/>
      </c>
      <c r="I353" s="208">
        <f t="shared" si="374"/>
      </c>
      <c r="J353" s="209">
        <f t="shared" si="404"/>
      </c>
      <c r="K353" s="205">
        <f t="shared" si="314"/>
      </c>
      <c r="L353" s="210">
        <f t="shared" si="344"/>
      </c>
      <c r="M353" s="210">
        <f t="shared" si="224"/>
      </c>
      <c r="N353" s="211">
        <f t="shared" si="254"/>
      </c>
      <c r="O353" s="211">
        <f t="shared" si="284"/>
      </c>
      <c r="P353" s="211">
        <f t="shared" si="164"/>
      </c>
      <c r="Q353" s="211">
        <f t="shared" si="194"/>
      </c>
      <c r="R353" s="212">
        <f t="shared" si="104"/>
      </c>
      <c r="S353" s="213">
        <f t="shared" si="134"/>
      </c>
      <c r="T353" s="214">
        <f t="shared" si="44"/>
      </c>
      <c r="U353" s="214">
        <f t="shared" si="74"/>
      </c>
      <c r="V353" s="214">
        <f t="shared" si="494"/>
      </c>
      <c r="W353" s="214">
        <f t="shared" si="14"/>
      </c>
      <c r="X353" s="214"/>
      <c r="Y353" s="215"/>
      <c r="Z353" s="216">
        <f>SUM(Z335+Z352+Z340+Z346)</f>
      </c>
      <c r="AA353" s="216">
        <f>SUM(AA335+AA352+AA340+AA346)</f>
      </c>
      <c r="AB353" s="216">
        <f>SUM(AB335+AB352+AB340+AB346)</f>
      </c>
      <c r="AC353" s="216">
        <f>SUM(AC335+AC352+AC340+AC346)</f>
      </c>
      <c r="AD353" s="216">
        <f>SUM(AD335+AD352+AD340+AD346)</f>
      </c>
      <c r="AE353" s="216">
        <f>SUM(AE335+AE352+AE340+AE346)</f>
      </c>
      <c r="AF353" s="216">
        <f>SUM(AF335+AF352+AF340+AF346)</f>
      </c>
      <c r="AG353" s="216">
        <f>SUM(AG335+AG352+AG340+AG346)</f>
      </c>
      <c r="AH353" s="216">
        <f>SUM(AH335+AH352+AH340+AH346)</f>
      </c>
      <c r="AI353" s="216">
        <f>SUM(AI335+AI352+AI340+AI346)</f>
      </c>
    </row>
    <row r="354">
      <c r="A354" s="133" t="s">
        <v>70</v>
      </c>
      <c r="B354" s="134" t="s">
        <v>71</v>
      </c>
      <c r="C354" s="135" t="s">
        <v>72</v>
      </c>
      <c r="D354" s="136" t="s">
        <v>73</v>
      </c>
      <c r="E354" s="137" t="s">
        <v>74</v>
      </c>
      <c r="F354" s="138" t="s">
        <v>75</v>
      </c>
      <c r="G354" s="139" t="s">
        <v>76</v>
      </c>
      <c r="H354" s="138" t="s">
        <v>77</v>
      </c>
      <c r="I354" s="139" t="s">
        <v>78</v>
      </c>
      <c r="J354" s="140" t="s">
        <v>79</v>
      </c>
      <c r="K354" s="140" t="s">
        <v>80</v>
      </c>
      <c r="L354" s="141" t="s">
        <v>81</v>
      </c>
      <c r="M354" s="141" t="s">
        <v>82</v>
      </c>
      <c r="N354" s="141" t="s">
        <v>83</v>
      </c>
      <c r="O354" s="141" t="s">
        <v>84</v>
      </c>
      <c r="P354" s="141" t="s">
        <v>85</v>
      </c>
      <c r="Q354" s="141" t="s">
        <v>86</v>
      </c>
      <c r="R354" s="141" t="s">
        <v>87</v>
      </c>
      <c r="S354" s="141" t="s">
        <v>88</v>
      </c>
      <c r="T354" s="142" t="s">
        <v>89</v>
      </c>
      <c r="U354" s="142" t="s">
        <v>90</v>
      </c>
      <c r="V354" s="142" t="s">
        <v>91</v>
      </c>
      <c r="W354" s="142" t="s">
        <v>92</v>
      </c>
      <c r="X354" s="143" t="s">
        <v>93</v>
      </c>
      <c r="Y354" s="143" t="s">
        <v>94</v>
      </c>
      <c r="Z354" s="144" t="s">
        <v>95</v>
      </c>
      <c r="AA354" s="144" t="s">
        <v>96</v>
      </c>
      <c r="AB354" s="144" t="s">
        <v>97</v>
      </c>
      <c r="AC354" s="145" t="s">
        <v>98</v>
      </c>
      <c r="AD354" s="145" t="s">
        <v>99</v>
      </c>
      <c r="AE354" s="146" t="s">
        <v>100</v>
      </c>
      <c r="AF354" s="145" t="s">
        <v>101</v>
      </c>
      <c r="AG354" s="145" t="s">
        <v>102</v>
      </c>
      <c r="AH354" s="147" t="s">
        <v>103</v>
      </c>
      <c r="AI354" s="148" t="s">
        <v>104</v>
      </c>
    </row>
    <row r="355">
      <c r="A355" s="149">
        <v>46281</v>
      </c>
      <c r="B355" s="150" t="s">
        <v>105</v>
      </c>
      <c r="C355" s="151" t="s">
        <v>135</v>
      </c>
      <c r="D355" s="152">
        <v>1903.319</v>
      </c>
      <c r="E355" s="153">
        <v>4</v>
      </c>
      <c r="F355" s="154">
        <f t="shared" ref="F355:F377" si="435">D355/E355</f>
      </c>
      <c r="G355" s="155">
        <v>1512</v>
      </c>
      <c r="H355" s="156">
        <f t="shared" ref="H355:H377" si="465">AD355</f>
      </c>
      <c r="I355" s="157">
        <f t="shared" ref="I355:I377" si="375">D355/AD355</f>
      </c>
      <c r="J355" s="158">
        <f t="shared" ref="J355:J377" si="405">G355/E355</f>
      </c>
      <c r="K355" s="159">
        <f t="shared" ref="K355:K377" si="315">G355/D355</f>
      </c>
      <c r="L355" s="160">
        <f t="shared" ref="L355:L377" si="345">D355/AB355</f>
      </c>
      <c r="M355" s="158">
        <f t="shared" ref="M355:M377" si="225">D355/AC355</f>
      </c>
      <c r="N355" s="161">
        <f t="shared" ref="N355:N377" si="255">AC355/AB355</f>
      </c>
      <c r="O355" s="161">
        <f t="shared" ref="O355:O377" si="285">AD355/AC355</f>
      </c>
      <c r="P355" s="161">
        <f t="shared" ref="P355:P377" si="165">AA355/Z355</f>
      </c>
      <c r="Q355" s="161">
        <f t="shared" ref="Q355:Q377" si="195">AD355/AA355</f>
      </c>
      <c r="R355" s="158">
        <f t="shared" ref="R355:R377" si="105">D355/Z355*1000</f>
      </c>
      <c r="S355" s="159">
        <f t="shared" ref="S355:S377" si="135">D355/AA355</f>
      </c>
      <c r="T355" s="161">
        <f t="shared" ref="T355:T377" si="45">AE355/AB355</f>
      </c>
      <c r="U355" s="161">
        <f t="shared" ref="U355:U377" si="75">AF355/AB355</f>
      </c>
      <c r="V355" s="161">
        <f t="shared" ref="V355:V377" si="495">AG355/AB355</f>
      </c>
      <c r="W355" s="161">
        <f t="shared" ref="W355:W377" si="15">AH355/AB355</f>
      </c>
      <c r="X355" s="162" t="s">
        <v>107</v>
      </c>
      <c r="Y355" s="163" t="s">
        <v>132</v>
      </c>
      <c r="Z355" s="164">
        <v>93650</v>
      </c>
      <c r="AA355" s="164">
        <v>47633</v>
      </c>
      <c r="AB355" s="164">
        <v>139069</v>
      </c>
      <c r="AC355" s="164">
        <v>1057</v>
      </c>
      <c r="AD355" s="165">
        <v>3</v>
      </c>
      <c r="AE355" s="164">
        <v>24210</v>
      </c>
      <c r="AF355" s="166">
        <v>354</v>
      </c>
      <c r="AG355" s="166">
        <v>130</v>
      </c>
      <c r="AH355" s="166">
        <v>9</v>
      </c>
      <c r="AI355" s="167">
        <v>0</v>
      </c>
    </row>
    <row r="356">
      <c r="A356" s="149"/>
      <c r="B356" s="150" t="s">
        <v>105</v>
      </c>
      <c r="C356" s="168" t="s">
        <v>136</v>
      </c>
      <c r="D356" s="152">
        <v>1676.5280000000002</v>
      </c>
      <c r="E356" s="153">
        <v>15</v>
      </c>
      <c r="F356" s="154">
        <f t="shared" si="435"/>
      </c>
      <c r="G356" s="155">
        <v>3715.34</v>
      </c>
      <c r="H356" s="156">
        <f t="shared" si="465"/>
      </c>
      <c r="I356" s="157">
        <f t="shared" si="375"/>
      </c>
      <c r="J356" s="158">
        <f t="shared" si="405"/>
      </c>
      <c r="K356" s="159">
        <f t="shared" si="315"/>
      </c>
      <c r="L356" s="160">
        <f t="shared" si="345"/>
      </c>
      <c r="M356" s="158">
        <f t="shared" si="225"/>
      </c>
      <c r="N356" s="161">
        <f t="shared" si="255"/>
      </c>
      <c r="O356" s="161">
        <f t="shared" si="285"/>
      </c>
      <c r="P356" s="161">
        <f t="shared" si="165"/>
      </c>
      <c r="Q356" s="161">
        <f t="shared" si="195"/>
      </c>
      <c r="R356" s="158">
        <f t="shared" si="105"/>
      </c>
      <c r="S356" s="159">
        <f t="shared" si="135"/>
      </c>
      <c r="T356" s="161">
        <f t="shared" si="45"/>
      </c>
      <c r="U356" s="161">
        <f t="shared" si="75"/>
      </c>
      <c r="V356" s="161">
        <f t="shared" si="495"/>
      </c>
      <c r="W356" s="161">
        <f t="shared" si="15"/>
      </c>
      <c r="X356" s="169" t="s">
        <v>107</v>
      </c>
      <c r="Y356" s="163" t="s">
        <v>132</v>
      </c>
      <c r="Z356" s="166">
        <v>83867</v>
      </c>
      <c r="AA356" s="164">
        <v>42421</v>
      </c>
      <c r="AB356" s="164">
        <v>119289</v>
      </c>
      <c r="AC356" s="164">
        <v>1014</v>
      </c>
      <c r="AD356" s="166">
        <v>12</v>
      </c>
      <c r="AE356" s="164">
        <v>21974</v>
      </c>
      <c r="AF356" s="166">
        <v>364</v>
      </c>
      <c r="AG356" s="166">
        <v>104</v>
      </c>
      <c r="AH356" s="165">
        <v>18</v>
      </c>
      <c r="AI356" s="167">
        <v>3</v>
      </c>
    </row>
    <row r="357">
      <c r="A357" s="149"/>
      <c r="B357" s="150" t="s">
        <v>105</v>
      </c>
      <c r="C357" s="170" t="s">
        <v>106</v>
      </c>
      <c r="D357" s="171">
        <v>1328.511</v>
      </c>
      <c r="E357" s="172">
        <v>10</v>
      </c>
      <c r="F357" s="154">
        <f t="shared" si="435"/>
      </c>
      <c r="G357" s="172">
        <v>3458.3999999999996</v>
      </c>
      <c r="H357" s="156">
        <f t="shared" si="465"/>
      </c>
      <c r="I357" s="157">
        <f t="shared" si="375"/>
      </c>
      <c r="J357" s="158">
        <f t="shared" si="405"/>
      </c>
      <c r="K357" s="159">
        <f t="shared" si="315"/>
      </c>
      <c r="L357" s="160">
        <f t="shared" si="345"/>
      </c>
      <c r="M357" s="158">
        <f t="shared" si="225"/>
      </c>
      <c r="N357" s="161">
        <f t="shared" si="255"/>
      </c>
      <c r="O357" s="161">
        <f t="shared" si="285"/>
      </c>
      <c r="P357" s="161">
        <f t="shared" si="165"/>
      </c>
      <c r="Q357" s="161">
        <f t="shared" si="195"/>
      </c>
      <c r="R357" s="158">
        <f t="shared" si="105"/>
      </c>
      <c r="S357" s="159">
        <f t="shared" si="135"/>
      </c>
      <c r="T357" s="161">
        <f t="shared" si="45"/>
      </c>
      <c r="U357" s="161">
        <f t="shared" si="75"/>
      </c>
      <c r="V357" s="161">
        <f t="shared" si="495"/>
      </c>
      <c r="W357" s="161">
        <f t="shared" si="15"/>
      </c>
      <c r="X357" s="169" t="s">
        <v>107</v>
      </c>
      <c r="Y357" s="163" t="s">
        <v>132</v>
      </c>
      <c r="Z357" s="166">
        <v>68686</v>
      </c>
      <c r="AA357" s="166">
        <v>30704</v>
      </c>
      <c r="AB357" s="166">
        <v>102851</v>
      </c>
      <c r="AC357" s="166">
        <v>926</v>
      </c>
      <c r="AD357" s="166">
        <v>7</v>
      </c>
      <c r="AE357" s="166">
        <v>15981</v>
      </c>
      <c r="AF357" s="166">
        <v>273</v>
      </c>
      <c r="AG357" s="166">
        <v>61</v>
      </c>
      <c r="AH357" s="166">
        <v>11</v>
      </c>
      <c r="AI357" s="167">
        <v>1</v>
      </c>
    </row>
    <row r="358">
      <c r="A358" s="149"/>
      <c r="B358" s="150" t="s">
        <v>105</v>
      </c>
      <c r="C358" s="173" t="s">
        <v>109</v>
      </c>
      <c r="D358" s="171">
        <v>2178.917</v>
      </c>
      <c r="E358" s="172">
        <v>7</v>
      </c>
      <c r="F358" s="154">
        <f t="shared" si="435"/>
      </c>
      <c r="G358" s="172">
        <v>2163.6000000000004</v>
      </c>
      <c r="H358" s="156">
        <f t="shared" si="465"/>
      </c>
      <c r="I358" s="157">
        <f t="shared" si="375"/>
      </c>
      <c r="J358" s="158">
        <f t="shared" si="405"/>
      </c>
      <c r="K358" s="159">
        <f t="shared" si="315"/>
      </c>
      <c r="L358" s="174">
        <f t="shared" si="345"/>
      </c>
      <c r="M358" s="175">
        <f t="shared" si="225"/>
      </c>
      <c r="N358" s="176">
        <f t="shared" si="255"/>
      </c>
      <c r="O358" s="176">
        <f t="shared" si="285"/>
      </c>
      <c r="P358" s="176">
        <f t="shared" si="165"/>
      </c>
      <c r="Q358" s="176">
        <f t="shared" si="195"/>
      </c>
      <c r="R358" s="175">
        <f t="shared" si="105"/>
      </c>
      <c r="S358" s="177">
        <f t="shared" si="135"/>
      </c>
      <c r="T358" s="176">
        <f t="shared" si="45"/>
      </c>
      <c r="U358" s="176">
        <f t="shared" si="75"/>
      </c>
      <c r="V358" s="176">
        <f t="shared" si="495"/>
      </c>
      <c r="W358" s="176">
        <f t="shared" si="15"/>
      </c>
      <c r="X358" s="169" t="s">
        <v>107</v>
      </c>
      <c r="Y358" s="163" t="s">
        <v>132</v>
      </c>
      <c r="Z358" s="166">
        <v>90533</v>
      </c>
      <c r="AA358" s="166">
        <v>29919</v>
      </c>
      <c r="AB358" s="166">
        <v>153952</v>
      </c>
      <c r="AC358" s="166">
        <v>1046</v>
      </c>
      <c r="AD358" s="166">
        <v>7</v>
      </c>
      <c r="AE358" s="166">
        <v>17427</v>
      </c>
      <c r="AF358" s="166">
        <v>282</v>
      </c>
      <c r="AG358" s="166">
        <v>55</v>
      </c>
      <c r="AH358" s="165">
        <v>14</v>
      </c>
      <c r="AI358" s="167">
        <v>2</v>
      </c>
    </row>
    <row customHeight="true" ht="16.071428571428573" r="359">
      <c r="A359" s="149"/>
      <c r="B359" s="150" t="s">
        <v>105</v>
      </c>
      <c r="C359" s="173" t="s">
        <v>110</v>
      </c>
      <c r="D359" s="195">
        <v>4766.150000000001</v>
      </c>
      <c r="E359" s="172">
        <v>10</v>
      </c>
      <c r="F359" s="154">
        <f t="shared" si="435"/>
      </c>
      <c r="G359" s="172">
        <v>3974.2999999999993</v>
      </c>
      <c r="H359" s="156">
        <f t="shared" si="465"/>
      </c>
      <c r="I359" s="157">
        <f t="shared" si="375"/>
      </c>
      <c r="J359" s="158">
        <f t="shared" si="405"/>
      </c>
      <c r="K359" s="159">
        <f t="shared" si="315"/>
      </c>
      <c r="L359" s="174">
        <f t="shared" si="345"/>
      </c>
      <c r="M359" s="175">
        <f t="shared" si="225"/>
      </c>
      <c r="N359" s="176">
        <f t="shared" si="255"/>
      </c>
      <c r="O359" s="176">
        <f t="shared" si="285"/>
      </c>
      <c r="P359" s="176">
        <f t="shared" si="165"/>
      </c>
      <c r="Q359" s="176">
        <f t="shared" si="195"/>
      </c>
      <c r="R359" s="175">
        <f t="shared" si="105"/>
      </c>
      <c r="S359" s="177">
        <f t="shared" si="135"/>
      </c>
      <c r="T359" s="176">
        <f t="shared" si="45"/>
      </c>
      <c r="U359" s="176">
        <f t="shared" si="75"/>
      </c>
      <c r="V359" s="176">
        <f t="shared" si="495"/>
      </c>
      <c r="W359" s="176">
        <f t="shared" si="15"/>
      </c>
      <c r="X359" s="169" t="s">
        <v>107</v>
      </c>
      <c r="Y359" s="163" t="s">
        <v>108</v>
      </c>
      <c r="Z359" s="166">
        <v>217927</v>
      </c>
      <c r="AA359" s="166">
        <v>38893</v>
      </c>
      <c r="AB359" s="166">
        <v>415433</v>
      </c>
      <c r="AC359" s="166">
        <v>1525</v>
      </c>
      <c r="AD359" s="166">
        <v>7</v>
      </c>
      <c r="AE359" s="166">
        <v>35876</v>
      </c>
      <c r="AF359" s="166">
        <v>406</v>
      </c>
      <c r="AG359" s="166">
        <v>107</v>
      </c>
      <c r="AH359" s="165">
        <v>29</v>
      </c>
      <c r="AI359" s="167">
        <v>1</v>
      </c>
    </row>
    <row r="360">
      <c r="A360" s="149"/>
      <c r="B360" s="178" t="s">
        <v>112</v>
      </c>
      <c r="C360" s="178"/>
      <c r="D360" s="179">
        <f>SUM(D355:D359)</f>
      </c>
      <c r="E360" s="179">
        <f>SUM(E355:E359)</f>
      </c>
      <c r="F360" s="181">
        <f t="shared" si="435"/>
      </c>
      <c r="G360" s="182">
        <f>SUM(G355:G359)</f>
      </c>
      <c r="H360" s="183">
        <f t="shared" si="465"/>
      </c>
      <c r="I360" s="184">
        <f t="shared" si="375"/>
      </c>
      <c r="J360" s="185">
        <f t="shared" si="405"/>
      </c>
      <c r="K360" s="181">
        <f t="shared" si="315"/>
      </c>
      <c r="L360" s="186">
        <f t="shared" si="345"/>
      </c>
      <c r="M360" s="185">
        <f t="shared" si="225"/>
      </c>
      <c r="N360" s="187">
        <f t="shared" si="255"/>
      </c>
      <c r="O360" s="187">
        <f t="shared" si="285"/>
      </c>
      <c r="P360" s="187">
        <f t="shared" si="165"/>
      </c>
      <c r="Q360" s="187">
        <f t="shared" si="195"/>
      </c>
      <c r="R360" s="185">
        <f t="shared" si="105"/>
      </c>
      <c r="S360" s="181">
        <f t="shared" si="135"/>
      </c>
      <c r="T360" s="187">
        <f t="shared" si="45"/>
      </c>
      <c r="U360" s="187">
        <f t="shared" si="75"/>
      </c>
      <c r="V360" s="187">
        <f t="shared" si="495"/>
      </c>
      <c r="W360" s="187">
        <f t="shared" si="15"/>
      </c>
      <c r="X360" s="187"/>
      <c r="Y360" s="188"/>
      <c r="Z360" s="179">
        <f>SUM(Z355:Z359)</f>
      </c>
      <c r="AA360" s="179">
        <f>SUM(AA355:AA359)</f>
      </c>
      <c r="AB360" s="179">
        <f>SUM(AB355:AB359)</f>
      </c>
      <c r="AC360" s="179">
        <f>SUM(AC355:AC359)</f>
      </c>
      <c r="AD360" s="179">
        <f>SUM(AD355:AD359)</f>
      </c>
      <c r="AE360" s="179">
        <f>SUM(AE355:AE359)</f>
      </c>
      <c r="AF360" s="179">
        <f>SUM(AF355:AF359)</f>
      </c>
      <c r="AG360" s="179">
        <f>SUM(AG355:AG359)</f>
      </c>
      <c r="AH360" s="179">
        <f>SUM(AH355:AH359)</f>
      </c>
      <c r="AI360" s="179">
        <f>SUM(AI355:AI359)</f>
      </c>
    </row>
    <row r="361">
      <c r="A361" s="149"/>
      <c r="B361" s="150" t="s">
        <v>130</v>
      </c>
      <c r="C361" s="192" t="s">
        <v>111</v>
      </c>
      <c r="D361" s="190">
        <v>3138.2290000000003</v>
      </c>
      <c r="E361" s="191">
        <v>8</v>
      </c>
      <c r="F361" s="154">
        <f t="shared" si="435"/>
      </c>
      <c r="G361" s="172">
        <v>2992</v>
      </c>
      <c r="H361" s="156">
        <f t="shared" si="465"/>
      </c>
      <c r="I361" s="157">
        <f t="shared" si="375"/>
      </c>
      <c r="J361" s="158">
        <f t="shared" si="405"/>
      </c>
      <c r="K361" s="159">
        <f t="shared" si="315"/>
      </c>
      <c r="L361" s="160">
        <f t="shared" si="345"/>
      </c>
      <c r="M361" s="158">
        <f t="shared" si="225"/>
      </c>
      <c r="N361" s="161">
        <f t="shared" si="255"/>
      </c>
      <c r="O361" s="161">
        <f t="shared" si="285"/>
      </c>
      <c r="P361" s="161">
        <f t="shared" si="165"/>
      </c>
      <c r="Q361" s="161">
        <f t="shared" si="195"/>
      </c>
      <c r="R361" s="158">
        <f t="shared" si="105"/>
      </c>
      <c r="S361" s="159">
        <f t="shared" si="135"/>
      </c>
      <c r="T361" s="161">
        <f t="shared" si="45"/>
      </c>
      <c r="U361" s="161">
        <f t="shared" si="75"/>
      </c>
      <c r="V361" s="161">
        <f t="shared" si="495"/>
      </c>
      <c r="W361" s="161">
        <f t="shared" si="15"/>
      </c>
      <c r="X361" s="169" t="s">
        <v>107</v>
      </c>
      <c r="Y361" s="163" t="s">
        <v>132</v>
      </c>
      <c r="Z361" s="166">
        <v>122910</v>
      </c>
      <c r="AA361" s="166">
        <v>27281</v>
      </c>
      <c r="AB361" s="166">
        <v>224824</v>
      </c>
      <c r="AC361" s="166">
        <v>1050</v>
      </c>
      <c r="AD361" s="166">
        <v>10</v>
      </c>
      <c r="AE361" s="166">
        <v>22800</v>
      </c>
      <c r="AF361" s="166">
        <v>258</v>
      </c>
      <c r="AG361" s="166">
        <v>60</v>
      </c>
      <c r="AH361" s="166">
        <v>12</v>
      </c>
      <c r="AI361" s="167">
        <v>0</v>
      </c>
    </row>
    <row r="362">
      <c r="A362" s="149"/>
      <c r="B362" s="150" t="s">
        <v>130</v>
      </c>
      <c r="C362" s="193" t="s">
        <v>114</v>
      </c>
      <c r="D362" s="171">
        <v>3366.916</v>
      </c>
      <c r="E362" s="172">
        <v>9</v>
      </c>
      <c r="F362" s="154">
        <f t="shared" si="435"/>
      </c>
      <c r="G362" s="172">
        <v>3066.7999999999993</v>
      </c>
      <c r="H362" s="156">
        <f t="shared" si="465"/>
      </c>
      <c r="I362" s="157">
        <f t="shared" si="375"/>
      </c>
      <c r="J362" s="158">
        <f t="shared" si="405"/>
      </c>
      <c r="K362" s="159">
        <f t="shared" si="315"/>
      </c>
      <c r="L362" s="160">
        <f t="shared" si="345"/>
      </c>
      <c r="M362" s="158">
        <f t="shared" si="225"/>
      </c>
      <c r="N362" s="161">
        <f t="shared" si="255"/>
      </c>
      <c r="O362" s="161">
        <f t="shared" si="285"/>
      </c>
      <c r="P362" s="161">
        <f t="shared" si="165"/>
      </c>
      <c r="Q362" s="161">
        <f t="shared" si="195"/>
      </c>
      <c r="R362" s="158">
        <f t="shared" si="105"/>
      </c>
      <c r="S362" s="159">
        <f t="shared" si="135"/>
      </c>
      <c r="T362" s="161">
        <f t="shared" si="45"/>
      </c>
      <c r="U362" s="161">
        <f t="shared" si="75"/>
      </c>
      <c r="V362" s="161">
        <f t="shared" si="495"/>
      </c>
      <c r="W362" s="161">
        <f t="shared" si="15"/>
      </c>
      <c r="X362" s="169" t="s">
        <v>107</v>
      </c>
      <c r="Y362" s="163" t="s">
        <v>132</v>
      </c>
      <c r="Z362" s="166">
        <v>140207</v>
      </c>
      <c r="AA362" s="166">
        <v>27312</v>
      </c>
      <c r="AB362" s="166">
        <v>247051</v>
      </c>
      <c r="AC362" s="166">
        <v>895</v>
      </c>
      <c r="AD362" s="166">
        <v>8</v>
      </c>
      <c r="AE362" s="166">
        <v>19952</v>
      </c>
      <c r="AF362" s="166">
        <v>336</v>
      </c>
      <c r="AG362" s="166">
        <v>66</v>
      </c>
      <c r="AH362" s="166">
        <v>19</v>
      </c>
      <c r="AI362" s="167">
        <v>2</v>
      </c>
    </row>
    <row r="363">
      <c r="A363" s="149"/>
      <c r="B363" s="150" t="s">
        <v>130</v>
      </c>
      <c r="C363" s="194" t="s">
        <v>115</v>
      </c>
      <c r="D363" s="171">
        <v>3384.9900000000002</v>
      </c>
      <c r="E363" s="172">
        <v>3</v>
      </c>
      <c r="F363" s="154">
        <f t="shared" si="435"/>
      </c>
      <c r="G363" s="172">
        <v>652</v>
      </c>
      <c r="H363" s="156">
        <f t="shared" si="465"/>
      </c>
      <c r="I363" s="157">
        <f t="shared" si="375"/>
      </c>
      <c r="J363" s="158">
        <f t="shared" si="405"/>
      </c>
      <c r="K363" s="159">
        <f t="shared" si="315"/>
      </c>
      <c r="L363" s="174">
        <f t="shared" si="345"/>
      </c>
      <c r="M363" s="175">
        <f t="shared" si="225"/>
      </c>
      <c r="N363" s="176">
        <f t="shared" si="255"/>
      </c>
      <c r="O363" s="176">
        <f t="shared" si="285"/>
      </c>
      <c r="P363" s="176">
        <f t="shared" si="165"/>
      </c>
      <c r="Q363" s="176">
        <f t="shared" si="195"/>
      </c>
      <c r="R363" s="175">
        <f t="shared" si="105"/>
      </c>
      <c r="S363" s="177">
        <f t="shared" si="135"/>
      </c>
      <c r="T363" s="176">
        <f t="shared" si="45"/>
      </c>
      <c r="U363" s="176">
        <f t="shared" si="75"/>
      </c>
      <c r="V363" s="176">
        <f t="shared" si="495"/>
      </c>
      <c r="W363" s="176">
        <f t="shared" si="15"/>
      </c>
      <c r="X363" s="169" t="s">
        <v>107</v>
      </c>
      <c r="Y363" s="163" t="s">
        <v>132</v>
      </c>
      <c r="Z363" s="166">
        <v>122018</v>
      </c>
      <c r="AA363" s="166">
        <v>24821</v>
      </c>
      <c r="AB363" s="166">
        <v>232628</v>
      </c>
      <c r="AC363" s="166">
        <v>765</v>
      </c>
      <c r="AD363" s="166">
        <v>2</v>
      </c>
      <c r="AE363" s="166">
        <v>17605</v>
      </c>
      <c r="AF363" s="166">
        <v>290</v>
      </c>
      <c r="AG363" s="166">
        <v>44</v>
      </c>
      <c r="AH363" s="165">
        <v>23</v>
      </c>
      <c r="AI363" s="167">
        <v>0</v>
      </c>
    </row>
    <row r="364">
      <c r="A364" s="149"/>
      <c r="B364" s="150" t="s">
        <v>130</v>
      </c>
      <c r="C364" s="196" t="s">
        <v>116</v>
      </c>
      <c r="D364" s="195">
        <v>2366.4390000000003</v>
      </c>
      <c r="E364" s="172">
        <v>2</v>
      </c>
      <c r="F364" s="154">
        <f t="shared" si="435"/>
      </c>
      <c r="G364" s="172">
        <v>1024</v>
      </c>
      <c r="H364" s="156">
        <f t="shared" si="465"/>
      </c>
      <c r="I364" s="157">
        <f t="shared" si="375"/>
      </c>
      <c r="J364" s="158">
        <f t="shared" si="405"/>
      </c>
      <c r="K364" s="159">
        <f t="shared" si="315"/>
      </c>
      <c r="L364" s="174">
        <f t="shared" si="345"/>
      </c>
      <c r="M364" s="175">
        <f t="shared" si="225"/>
      </c>
      <c r="N364" s="176">
        <f t="shared" si="255"/>
      </c>
      <c r="O364" s="176">
        <f t="shared" si="285"/>
      </c>
      <c r="P364" s="176">
        <f t="shared" si="165"/>
      </c>
      <c r="Q364" s="176">
        <f t="shared" si="195"/>
      </c>
      <c r="R364" s="175">
        <f t="shared" si="105"/>
      </c>
      <c r="S364" s="177">
        <f t="shared" si="135"/>
      </c>
      <c r="T364" s="176">
        <f t="shared" si="45"/>
      </c>
      <c r="U364" s="176">
        <f t="shared" si="75"/>
      </c>
      <c r="V364" s="176">
        <f t="shared" si="495"/>
      </c>
      <c r="W364" s="176">
        <f t="shared" si="15"/>
      </c>
      <c r="X364" s="169" t="s">
        <v>107</v>
      </c>
      <c r="Y364" s="163" t="s">
        <v>132</v>
      </c>
      <c r="Z364" s="166">
        <v>80349</v>
      </c>
      <c r="AA364" s="166">
        <v>16269</v>
      </c>
      <c r="AB364" s="166">
        <v>130432</v>
      </c>
      <c r="AC364" s="166">
        <v>411</v>
      </c>
      <c r="AD364" s="166">
        <v>3</v>
      </c>
      <c r="AE364" s="166">
        <v>10291</v>
      </c>
      <c r="AF364" s="166">
        <v>205</v>
      </c>
      <c r="AG364" s="166">
        <v>32</v>
      </c>
      <c r="AH364" s="165">
        <v>17</v>
      </c>
      <c r="AI364" s="167">
        <v>0</v>
      </c>
    </row>
    <row r="365">
      <c r="A365" s="149"/>
      <c r="B365" s="178" t="s">
        <v>112</v>
      </c>
      <c r="C365" s="178"/>
      <c r="D365" s="179">
        <f>SUM(D361:D364)</f>
      </c>
      <c r="E365" s="180">
        <f>SUM(E361:E364)</f>
      </c>
      <c r="F365" s="181">
        <f t="shared" si="435"/>
      </c>
      <c r="G365" s="182">
        <f>SUM(G361:G364)</f>
      </c>
      <c r="H365" s="183">
        <f t="shared" si="465"/>
      </c>
      <c r="I365" s="184">
        <f t="shared" si="375"/>
      </c>
      <c r="J365" s="185">
        <f t="shared" si="405"/>
      </c>
      <c r="K365" s="181">
        <f t="shared" si="315"/>
      </c>
      <c r="L365" s="186">
        <f t="shared" si="345"/>
      </c>
      <c r="M365" s="185">
        <f t="shared" si="225"/>
      </c>
      <c r="N365" s="187">
        <f t="shared" si="255"/>
      </c>
      <c r="O365" s="187">
        <f t="shared" si="285"/>
      </c>
      <c r="P365" s="187">
        <f t="shared" si="165"/>
      </c>
      <c r="Q365" s="187">
        <f t="shared" si="195"/>
      </c>
      <c r="R365" s="185">
        <f t="shared" si="105"/>
      </c>
      <c r="S365" s="181">
        <f t="shared" si="135"/>
      </c>
      <c r="T365" s="187">
        <f t="shared" si="45"/>
      </c>
      <c r="U365" s="187">
        <f t="shared" si="75"/>
      </c>
      <c r="V365" s="187">
        <f t="shared" si="495"/>
      </c>
      <c r="W365" s="187">
        <f t="shared" si="15"/>
      </c>
      <c r="X365" s="187"/>
      <c r="Y365" s="188"/>
      <c r="Z365" s="179">
        <f>SUM(Z361:Z364)</f>
      </c>
      <c r="AA365" s="179">
        <f>SUM(AA361:AA364)</f>
      </c>
      <c r="AB365" s="179">
        <f>SUM(AB361:AB364)</f>
      </c>
      <c r="AC365" s="179">
        <f>SUM(AC361:AC364)</f>
      </c>
      <c r="AD365" s="179">
        <f>SUM(AD361:AD364)</f>
      </c>
      <c r="AE365" s="179">
        <f>SUM(AE361:AE364)</f>
      </c>
      <c r="AF365" s="179">
        <f>SUM(AF361:AF364)</f>
      </c>
      <c r="AG365" s="179">
        <f>SUM(AG361:AG364)</f>
      </c>
      <c r="AH365" s="179">
        <f>SUM(AH361:AH364)</f>
      </c>
      <c r="AI365" s="179">
        <f>SUM(AI361:AI364)</f>
      </c>
    </row>
    <row r="366">
      <c r="A366" s="149"/>
      <c r="B366" s="150" t="s">
        <v>118</v>
      </c>
      <c r="C366" s="197" t="s">
        <v>117</v>
      </c>
      <c r="D366" s="171">
        <v>1278.46</v>
      </c>
      <c r="E366" s="172">
        <v>4</v>
      </c>
      <c r="F366" s="154">
        <f t="shared" si="435"/>
      </c>
      <c r="G366" s="172">
        <v>1438.3</v>
      </c>
      <c r="H366" s="156">
        <f t="shared" si="465"/>
      </c>
      <c r="I366" s="157">
        <f t="shared" si="375"/>
      </c>
      <c r="J366" s="158">
        <f t="shared" si="405"/>
      </c>
      <c r="K366" s="159">
        <f t="shared" si="315"/>
      </c>
      <c r="L366" s="160">
        <f t="shared" si="345"/>
      </c>
      <c r="M366" s="158">
        <f t="shared" si="225"/>
      </c>
      <c r="N366" s="161">
        <f t="shared" si="255"/>
      </c>
      <c r="O366" s="161">
        <f t="shared" si="285"/>
      </c>
      <c r="P366" s="161">
        <f t="shared" si="165"/>
      </c>
      <c r="Q366" s="161">
        <f t="shared" si="195"/>
      </c>
      <c r="R366" s="158">
        <f t="shared" si="105"/>
      </c>
      <c r="S366" s="159">
        <f t="shared" si="135"/>
      </c>
      <c r="T366" s="161">
        <f t="shared" si="45"/>
      </c>
      <c r="U366" s="161">
        <f t="shared" si="75"/>
      </c>
      <c r="V366" s="161">
        <f t="shared" si="495"/>
      </c>
      <c r="W366" s="161">
        <f t="shared" si="15"/>
      </c>
      <c r="X366" s="169" t="s">
        <v>107</v>
      </c>
      <c r="Y366" s="163" t="s">
        <v>132</v>
      </c>
      <c r="Z366" s="166">
        <v>47220</v>
      </c>
      <c r="AA366" s="166">
        <v>10467</v>
      </c>
      <c r="AB366" s="166">
        <v>56008</v>
      </c>
      <c r="AC366" s="166">
        <v>176</v>
      </c>
      <c r="AD366" s="166">
        <v>4</v>
      </c>
      <c r="AE366" s="166">
        <v>5544</v>
      </c>
      <c r="AF366" s="166">
        <v>89</v>
      </c>
      <c r="AG366" s="166">
        <v>12</v>
      </c>
      <c r="AH366" s="165">
        <v>7</v>
      </c>
      <c r="AI366" s="167">
        <v>1</v>
      </c>
    </row>
    <row r="367">
      <c r="A367" s="149"/>
      <c r="B367" s="150" t="s">
        <v>118</v>
      </c>
      <c r="C367" s="194" t="s">
        <v>119</v>
      </c>
      <c r="D367" s="171">
        <v>3048.227</v>
      </c>
      <c r="E367" s="172">
        <v>5</v>
      </c>
      <c r="F367" s="154">
        <f t="shared" si="435"/>
      </c>
      <c r="G367" s="172">
        <v>2308</v>
      </c>
      <c r="H367" s="156">
        <f t="shared" si="465"/>
      </c>
      <c r="I367" s="157">
        <f t="shared" si="375"/>
      </c>
      <c r="J367" s="158">
        <f t="shared" si="405"/>
      </c>
      <c r="K367" s="159">
        <f t="shared" si="315"/>
      </c>
      <c r="L367" s="174">
        <f t="shared" si="345"/>
      </c>
      <c r="M367" s="175">
        <f t="shared" si="225"/>
      </c>
      <c r="N367" s="176">
        <f t="shared" si="255"/>
      </c>
      <c r="O367" s="176">
        <f t="shared" si="285"/>
      </c>
      <c r="P367" s="176">
        <f t="shared" si="165"/>
      </c>
      <c r="Q367" s="176">
        <f t="shared" si="195"/>
      </c>
      <c r="R367" s="175">
        <f t="shared" si="105"/>
      </c>
      <c r="S367" s="177">
        <f t="shared" si="135"/>
      </c>
      <c r="T367" s="176">
        <f t="shared" si="45"/>
      </c>
      <c r="U367" s="176">
        <f t="shared" si="75"/>
      </c>
      <c r="V367" s="176">
        <f t="shared" si="495"/>
      </c>
      <c r="W367" s="176">
        <f t="shared" si="15"/>
      </c>
      <c r="X367" s="169" t="s">
        <v>107</v>
      </c>
      <c r="Y367" s="163" t="s">
        <v>108</v>
      </c>
      <c r="Z367" s="166">
        <v>115574</v>
      </c>
      <c r="AA367" s="166">
        <v>24083</v>
      </c>
      <c r="AB367" s="166">
        <v>215444</v>
      </c>
      <c r="AC367" s="166">
        <v>808</v>
      </c>
      <c r="AD367" s="166">
        <v>5</v>
      </c>
      <c r="AE367" s="166">
        <v>17127</v>
      </c>
      <c r="AF367" s="166">
        <v>211</v>
      </c>
      <c r="AG367" s="166">
        <v>62</v>
      </c>
      <c r="AH367" s="165">
        <v>12</v>
      </c>
      <c r="AI367" s="167">
        <v>0</v>
      </c>
    </row>
    <row r="368">
      <c r="A368" s="149"/>
      <c r="B368" s="150" t="s">
        <v>118</v>
      </c>
      <c r="C368" s="194" t="s">
        <v>121</v>
      </c>
      <c r="D368" s="195">
        <v>4364.627</v>
      </c>
      <c r="E368" s="172">
        <v>6</v>
      </c>
      <c r="F368" s="154">
        <f t="shared" si="435"/>
      </c>
      <c r="G368" s="172">
        <v>2436.2</v>
      </c>
      <c r="H368" s="156">
        <f t="shared" si="465"/>
      </c>
      <c r="I368" s="157">
        <f t="shared" si="375"/>
      </c>
      <c r="J368" s="158">
        <f t="shared" si="405"/>
      </c>
      <c r="K368" s="159">
        <f t="shared" si="315"/>
      </c>
      <c r="L368" s="174">
        <f t="shared" si="345"/>
      </c>
      <c r="M368" s="175">
        <f t="shared" si="225"/>
      </c>
      <c r="N368" s="176">
        <f t="shared" si="255"/>
      </c>
      <c r="O368" s="176">
        <f t="shared" si="285"/>
      </c>
      <c r="P368" s="176">
        <f t="shared" si="165"/>
      </c>
      <c r="Q368" s="176">
        <f t="shared" si="195"/>
      </c>
      <c r="R368" s="175">
        <f t="shared" si="105"/>
      </c>
      <c r="S368" s="177">
        <f t="shared" si="135"/>
      </c>
      <c r="T368" s="176">
        <f t="shared" si="45"/>
      </c>
      <c r="U368" s="176">
        <f t="shared" si="75"/>
      </c>
      <c r="V368" s="176">
        <f t="shared" si="495"/>
      </c>
      <c r="W368" s="176">
        <f t="shared" si="15"/>
      </c>
      <c r="X368" s="169" t="s">
        <v>107</v>
      </c>
      <c r="Y368" s="163" t="s">
        <v>108</v>
      </c>
      <c r="Z368" s="166">
        <v>188095</v>
      </c>
      <c r="AA368" s="166">
        <v>43675</v>
      </c>
      <c r="AB368" s="166">
        <v>382591</v>
      </c>
      <c r="AC368" s="166">
        <v>1210</v>
      </c>
      <c r="AD368" s="166">
        <v>5</v>
      </c>
      <c r="AE368" s="166">
        <v>33487</v>
      </c>
      <c r="AF368" s="166">
        <v>342</v>
      </c>
      <c r="AG368" s="166">
        <v>102</v>
      </c>
      <c r="AH368" s="165">
        <v>16</v>
      </c>
      <c r="AI368" s="167">
        <v>1</v>
      </c>
    </row>
    <row r="369">
      <c r="A369" s="149"/>
      <c r="B369" s="150" t="s">
        <v>118</v>
      </c>
      <c r="C369" s="196" t="s">
        <v>122</v>
      </c>
      <c r="D369" s="195">
        <v>2025.067</v>
      </c>
      <c r="E369" s="172">
        <v>12</v>
      </c>
      <c r="F369" s="154">
        <f t="shared" si="435"/>
      </c>
      <c r="G369" s="172">
        <v>4391.1</v>
      </c>
      <c r="H369" s="156">
        <f t="shared" si="465"/>
      </c>
      <c r="I369" s="157">
        <f t="shared" si="375"/>
      </c>
      <c r="J369" s="158">
        <f t="shared" si="405"/>
      </c>
      <c r="K369" s="159">
        <f t="shared" si="315"/>
      </c>
      <c r="L369" s="174">
        <f t="shared" si="345"/>
      </c>
      <c r="M369" s="175">
        <f t="shared" si="225"/>
      </c>
      <c r="N369" s="176">
        <f t="shared" si="255"/>
      </c>
      <c r="O369" s="176">
        <f t="shared" si="285"/>
      </c>
      <c r="P369" s="176">
        <f t="shared" si="165"/>
      </c>
      <c r="Q369" s="176">
        <f t="shared" si="195"/>
      </c>
      <c r="R369" s="175">
        <f t="shared" si="105"/>
      </c>
      <c r="S369" s="177">
        <f t="shared" si="135"/>
      </c>
      <c r="T369" s="176">
        <f t="shared" si="45"/>
      </c>
      <c r="U369" s="176">
        <f t="shared" si="75"/>
      </c>
      <c r="V369" s="176">
        <f t="shared" si="495"/>
      </c>
      <c r="W369" s="176">
        <f t="shared" si="15"/>
      </c>
      <c r="X369" s="169" t="s">
        <v>107</v>
      </c>
      <c r="Y369" s="163" t="s">
        <v>108</v>
      </c>
      <c r="Z369" s="166">
        <v>90420</v>
      </c>
      <c r="AA369" s="166">
        <v>20590</v>
      </c>
      <c r="AB369" s="166">
        <v>157578</v>
      </c>
      <c r="AC369" s="166">
        <v>629</v>
      </c>
      <c r="AD369" s="166">
        <v>12</v>
      </c>
      <c r="AE369" s="166">
        <v>14018</v>
      </c>
      <c r="AF369" s="166">
        <v>191</v>
      </c>
      <c r="AG369" s="166">
        <v>56</v>
      </c>
      <c r="AH369" s="165">
        <v>10</v>
      </c>
      <c r="AI369" s="167">
        <v>1</v>
      </c>
    </row>
    <row r="370">
      <c r="A370" s="149"/>
      <c r="B370" s="178" t="s">
        <v>112</v>
      </c>
      <c r="C370" s="178"/>
      <c r="D370" s="179">
        <f>SUM(D366:D369)</f>
      </c>
      <c r="E370" s="179">
        <f>SUM(E366:E369)</f>
      </c>
      <c r="F370" s="181">
        <f t="shared" si="435"/>
      </c>
      <c r="G370" s="182">
        <f>SUM(G366:G369)</f>
      </c>
      <c r="H370" s="183">
        <f t="shared" si="465"/>
      </c>
      <c r="I370" s="184">
        <f t="shared" si="375"/>
      </c>
      <c r="J370" s="185">
        <f t="shared" si="405"/>
      </c>
      <c r="K370" s="181">
        <f t="shared" si="315"/>
      </c>
      <c r="L370" s="186">
        <f t="shared" si="345"/>
      </c>
      <c r="M370" s="185">
        <f t="shared" si="225"/>
      </c>
      <c r="N370" s="187">
        <f t="shared" si="255"/>
      </c>
      <c r="O370" s="187">
        <f t="shared" si="285"/>
      </c>
      <c r="P370" s="187">
        <f t="shared" si="165"/>
      </c>
      <c r="Q370" s="187">
        <f t="shared" si="195"/>
      </c>
      <c r="R370" s="185">
        <f t="shared" si="105"/>
      </c>
      <c r="S370" s="181">
        <f t="shared" si="135"/>
      </c>
      <c r="T370" s="187">
        <f t="shared" si="45"/>
      </c>
      <c r="U370" s="187">
        <f t="shared" si="75"/>
      </c>
      <c r="V370" s="187">
        <f t="shared" si="495"/>
      </c>
      <c r="W370" s="187">
        <f t="shared" si="15"/>
      </c>
      <c r="X370" s="187"/>
      <c r="Y370" s="188"/>
      <c r="Z370" s="179">
        <f>SUM(Z366:Z369)</f>
      </c>
      <c r="AA370" s="179">
        <f>SUM(AA366:AA369)</f>
      </c>
      <c r="AB370" s="179">
        <f>SUM(AB366:AB369)</f>
      </c>
      <c r="AC370" s="179">
        <f>SUM(AC366:AC369)</f>
      </c>
      <c r="AD370" s="179">
        <f>SUM(AD366:AD369)</f>
      </c>
      <c r="AE370" s="179">
        <f>SUM(AE366:AE369)</f>
      </c>
      <c r="AF370" s="179">
        <f>SUM(AF366:AF369)</f>
      </c>
      <c r="AG370" s="179">
        <f>SUM(AG366:AG369)</f>
      </c>
      <c r="AH370" s="179">
        <f>SUM(AH366:AH369)</f>
      </c>
      <c r="AI370" s="179">
        <f>SUM(AI366:AI369)</f>
      </c>
    </row>
    <row r="371">
      <c r="A371" s="149"/>
      <c r="B371" s="150" t="s">
        <v>113</v>
      </c>
      <c r="C371" s="197" t="s">
        <v>123</v>
      </c>
      <c r="D371" s="198">
        <v>1029.012</v>
      </c>
      <c r="E371" s="153">
        <v>8</v>
      </c>
      <c r="F371" s="154">
        <f t="shared" si="435"/>
      </c>
      <c r="G371" s="155">
        <v>2565</v>
      </c>
      <c r="H371" s="156">
        <f t="shared" si="465"/>
      </c>
      <c r="I371" s="157">
        <f t="shared" si="375"/>
      </c>
      <c r="J371" s="158">
        <f t="shared" si="405"/>
      </c>
      <c r="K371" s="159">
        <f t="shared" si="315"/>
      </c>
      <c r="L371" s="174">
        <f t="shared" si="345"/>
      </c>
      <c r="M371" s="175">
        <f t="shared" si="225"/>
      </c>
      <c r="N371" s="176">
        <f t="shared" si="255"/>
      </c>
      <c r="O371" s="176">
        <f t="shared" si="285"/>
      </c>
      <c r="P371" s="176">
        <f t="shared" si="165"/>
      </c>
      <c r="Q371" s="176">
        <f t="shared" si="195"/>
      </c>
      <c r="R371" s="175">
        <f t="shared" si="105"/>
      </c>
      <c r="S371" s="177">
        <f t="shared" si="135"/>
      </c>
      <c r="T371" s="176">
        <f t="shared" si="45"/>
      </c>
      <c r="U371" s="176">
        <f t="shared" si="75"/>
      </c>
      <c r="V371" s="176">
        <f t="shared" si="495"/>
      </c>
      <c r="W371" s="176">
        <f t="shared" si="15"/>
      </c>
      <c r="X371" s="169" t="s">
        <v>107</v>
      </c>
      <c r="Y371" s="163" t="s">
        <v>108</v>
      </c>
      <c r="Z371" s="166">
        <v>48286</v>
      </c>
      <c r="AA371" s="166">
        <v>14022</v>
      </c>
      <c r="AB371" s="166">
        <v>61416</v>
      </c>
      <c r="AC371" s="199">
        <v>564</v>
      </c>
      <c r="AD371" s="199">
        <v>5</v>
      </c>
      <c r="AE371" s="199">
        <v>6019</v>
      </c>
      <c r="AF371" s="199">
        <v>118</v>
      </c>
      <c r="AG371" s="199">
        <v>19</v>
      </c>
      <c r="AH371" s="199">
        <v>12</v>
      </c>
      <c r="AI371" s="167">
        <v>2</v>
      </c>
    </row>
    <row r="372">
      <c r="A372" s="149"/>
      <c r="B372" s="150" t="s">
        <v>113</v>
      </c>
      <c r="C372" s="194" t="s">
        <v>125</v>
      </c>
      <c r="D372" s="198">
        <v>2695.618</v>
      </c>
      <c r="E372" s="153">
        <v>7</v>
      </c>
      <c r="F372" s="154">
        <f t="shared" si="435"/>
      </c>
      <c r="G372" s="155">
        <v>3210.8</v>
      </c>
      <c r="H372" s="156">
        <f t="shared" si="465"/>
      </c>
      <c r="I372" s="157">
        <f t="shared" si="375"/>
      </c>
      <c r="J372" s="158">
        <f t="shared" si="405"/>
      </c>
      <c r="K372" s="159">
        <f t="shared" si="315"/>
      </c>
      <c r="L372" s="174">
        <f t="shared" si="345"/>
      </c>
      <c r="M372" s="175">
        <f t="shared" si="225"/>
      </c>
      <c r="N372" s="176">
        <f t="shared" si="255"/>
      </c>
      <c r="O372" s="176">
        <f t="shared" si="285"/>
      </c>
      <c r="P372" s="176">
        <f t="shared" si="165"/>
      </c>
      <c r="Q372" s="176">
        <f t="shared" si="195"/>
      </c>
      <c r="R372" s="175">
        <f t="shared" si="105"/>
      </c>
      <c r="S372" s="177">
        <f t="shared" si="135"/>
      </c>
      <c r="T372" s="176">
        <f t="shared" si="45"/>
      </c>
      <c r="U372" s="176">
        <f t="shared" si="75"/>
      </c>
      <c r="V372" s="176">
        <f t="shared" si="495"/>
      </c>
      <c r="W372" s="176">
        <f t="shared" si="15"/>
      </c>
      <c r="X372" s="169" t="s">
        <v>107</v>
      </c>
      <c r="Y372" s="163" t="s">
        <v>108</v>
      </c>
      <c r="Z372" s="166">
        <v>126933</v>
      </c>
      <c r="AA372" s="166">
        <v>29997</v>
      </c>
      <c r="AB372" s="166">
        <v>238398</v>
      </c>
      <c r="AC372" s="199">
        <v>1008</v>
      </c>
      <c r="AD372" s="199">
        <v>7</v>
      </c>
      <c r="AE372" s="199">
        <v>17179</v>
      </c>
      <c r="AF372" s="199">
        <v>288</v>
      </c>
      <c r="AG372" s="199">
        <v>83</v>
      </c>
      <c r="AH372" s="199">
        <v>12</v>
      </c>
      <c r="AI372" s="167">
        <v>1</v>
      </c>
    </row>
    <row r="373">
      <c r="A373" s="149"/>
      <c r="B373" s="150" t="s">
        <v>113</v>
      </c>
      <c r="C373" s="194" t="s">
        <v>126</v>
      </c>
      <c r="D373" s="171">
        <v>1342.739</v>
      </c>
      <c r="E373" s="172">
        <v>13</v>
      </c>
      <c r="F373" s="154">
        <f t="shared" si="435"/>
      </c>
      <c r="G373" s="172">
        <v>3353.1</v>
      </c>
      <c r="H373" s="156">
        <f t="shared" si="465"/>
      </c>
      <c r="I373" s="157">
        <f t="shared" si="375"/>
      </c>
      <c r="J373" s="158">
        <f t="shared" si="405"/>
      </c>
      <c r="K373" s="159">
        <f t="shared" si="315"/>
      </c>
      <c r="L373" s="174">
        <f t="shared" si="345"/>
      </c>
      <c r="M373" s="175">
        <f t="shared" si="225"/>
      </c>
      <c r="N373" s="176">
        <f t="shared" si="255"/>
      </c>
      <c r="O373" s="176">
        <f t="shared" si="285"/>
      </c>
      <c r="P373" s="176">
        <f t="shared" si="165"/>
      </c>
      <c r="Q373" s="176">
        <f t="shared" si="195"/>
      </c>
      <c r="R373" s="175">
        <f t="shared" si="105"/>
      </c>
      <c r="S373" s="177">
        <f t="shared" si="135"/>
      </c>
      <c r="T373" s="176">
        <f t="shared" si="45"/>
      </c>
      <c r="U373" s="176">
        <f t="shared" si="75"/>
      </c>
      <c r="V373" s="176">
        <f t="shared" si="495"/>
      </c>
      <c r="W373" s="176">
        <f t="shared" si="15"/>
      </c>
      <c r="X373" s="169" t="s">
        <v>107</v>
      </c>
      <c r="Y373" s="163" t="s">
        <v>108</v>
      </c>
      <c r="Z373" s="166">
        <v>67985</v>
      </c>
      <c r="AA373" s="166">
        <v>19363</v>
      </c>
      <c r="AB373" s="166">
        <v>91844</v>
      </c>
      <c r="AC373" s="166">
        <v>620</v>
      </c>
      <c r="AD373" s="166">
        <v>9</v>
      </c>
      <c r="AE373" s="166">
        <v>8196</v>
      </c>
      <c r="AF373" s="166">
        <v>262</v>
      </c>
      <c r="AG373" s="166">
        <v>45</v>
      </c>
      <c r="AH373" s="165">
        <v>22</v>
      </c>
      <c r="AI373" s="167">
        <v>2</v>
      </c>
    </row>
    <row r="374">
      <c r="A374" s="149"/>
      <c r="B374" s="150" t="s">
        <v>113</v>
      </c>
      <c r="C374" s="196" t="s">
        <v>127</v>
      </c>
      <c r="D374" s="195">
        <v>6510.959</v>
      </c>
      <c r="E374" s="172">
        <v>20</v>
      </c>
      <c r="F374" s="154">
        <f t="shared" si="435"/>
      </c>
      <c r="G374" s="172">
        <v>6799.6</v>
      </c>
      <c r="H374" s="156">
        <f t="shared" si="465"/>
      </c>
      <c r="I374" s="157">
        <f t="shared" si="375"/>
      </c>
      <c r="J374" s="158">
        <f t="shared" si="405"/>
      </c>
      <c r="K374" s="159">
        <f t="shared" si="315"/>
      </c>
      <c r="L374" s="174">
        <f t="shared" si="345"/>
      </c>
      <c r="M374" s="175">
        <f t="shared" si="225"/>
      </c>
      <c r="N374" s="176">
        <f t="shared" si="255"/>
      </c>
      <c r="O374" s="176">
        <f t="shared" si="285"/>
      </c>
      <c r="P374" s="176">
        <f t="shared" si="165"/>
      </c>
      <c r="Q374" s="176">
        <f t="shared" si="195"/>
      </c>
      <c r="R374" s="175">
        <f t="shared" si="105"/>
      </c>
      <c r="S374" s="177">
        <f t="shared" si="135"/>
      </c>
      <c r="T374" s="176">
        <f t="shared" si="45"/>
      </c>
      <c r="U374" s="176">
        <f t="shared" si="75"/>
      </c>
      <c r="V374" s="176">
        <f t="shared" si="495"/>
      </c>
      <c r="W374" s="176">
        <f t="shared" si="15"/>
      </c>
      <c r="X374" s="169" t="s">
        <v>107</v>
      </c>
      <c r="Y374" s="163" t="s">
        <v>108</v>
      </c>
      <c r="Z374" s="166">
        <v>326065</v>
      </c>
      <c r="AA374" s="166">
        <v>47628</v>
      </c>
      <c r="AB374" s="166">
        <v>666781</v>
      </c>
      <c r="AC374" s="166">
        <v>1659</v>
      </c>
      <c r="AD374" s="166">
        <v>17</v>
      </c>
      <c r="AE374" s="166">
        <v>37034</v>
      </c>
      <c r="AF374" s="166">
        <v>410</v>
      </c>
      <c r="AG374" s="166">
        <v>168</v>
      </c>
      <c r="AH374" s="165">
        <v>26</v>
      </c>
      <c r="AI374" s="167">
        <v>3</v>
      </c>
    </row>
    <row r="375">
      <c r="A375" s="149"/>
      <c r="B375" s="150" t="s">
        <v>113</v>
      </c>
      <c r="C375" s="194" t="s">
        <v>128</v>
      </c>
      <c r="D375" s="195">
        <v>1638.893</v>
      </c>
      <c r="E375" s="172">
        <v>14</v>
      </c>
      <c r="F375" s="154">
        <f t="shared" si="435"/>
      </c>
      <c r="G375" s="172">
        <v>4323</v>
      </c>
      <c r="H375" s="156">
        <f t="shared" si="465"/>
      </c>
      <c r="I375" s="157">
        <f t="shared" si="375"/>
      </c>
      <c r="J375" s="158">
        <f t="shared" si="405"/>
      </c>
      <c r="K375" s="159">
        <f t="shared" si="315"/>
      </c>
      <c r="L375" s="174">
        <f t="shared" si="345"/>
      </c>
      <c r="M375" s="175">
        <f t="shared" si="225"/>
      </c>
      <c r="N375" s="176">
        <f t="shared" si="255"/>
      </c>
      <c r="O375" s="176">
        <f t="shared" si="285"/>
      </c>
      <c r="P375" s="176">
        <f t="shared" si="165"/>
      </c>
      <c r="Q375" s="176">
        <f t="shared" si="195"/>
      </c>
      <c r="R375" s="175">
        <f t="shared" si="105"/>
      </c>
      <c r="S375" s="177">
        <f t="shared" si="135"/>
      </c>
      <c r="T375" s="176">
        <f t="shared" si="45"/>
      </c>
      <c r="U375" s="176">
        <f t="shared" si="75"/>
      </c>
      <c r="V375" s="176">
        <f t="shared" si="495"/>
      </c>
      <c r="W375" s="176">
        <f t="shared" si="15"/>
      </c>
      <c r="X375" s="169" t="s">
        <v>107</v>
      </c>
      <c r="Y375" s="163" t="s">
        <v>108</v>
      </c>
      <c r="Z375" s="166">
        <v>68502</v>
      </c>
      <c r="AA375" s="166">
        <v>14025</v>
      </c>
      <c r="AB375" s="166">
        <v>107188</v>
      </c>
      <c r="AC375" s="166">
        <v>574</v>
      </c>
      <c r="AD375" s="166">
        <v>11</v>
      </c>
      <c r="AE375" s="166">
        <v>8184</v>
      </c>
      <c r="AF375" s="166">
        <v>162</v>
      </c>
      <c r="AG375" s="166">
        <v>58</v>
      </c>
      <c r="AH375" s="165">
        <v>14</v>
      </c>
      <c r="AI375" s="167">
        <v>0</v>
      </c>
    </row>
    <row r="376">
      <c r="A376" s="149"/>
      <c r="B376" s="178" t="s">
        <v>112</v>
      </c>
      <c r="C376" s="178"/>
      <c r="D376" s="179">
        <f>SUM(D371:D375)</f>
      </c>
      <c r="E376" s="179">
        <f>SUM(E371:E375)</f>
      </c>
      <c r="F376" s="181">
        <f t="shared" si="435"/>
      </c>
      <c r="G376" s="182">
        <f>SUM(G371:G375)</f>
      </c>
      <c r="H376" s="183">
        <f t="shared" si="465"/>
      </c>
      <c r="I376" s="184">
        <f t="shared" si="375"/>
      </c>
      <c r="J376" s="185">
        <f t="shared" si="405"/>
      </c>
      <c r="K376" s="181">
        <f t="shared" si="315"/>
      </c>
      <c r="L376" s="186">
        <f t="shared" si="345"/>
      </c>
      <c r="M376" s="185">
        <f t="shared" si="225"/>
      </c>
      <c r="N376" s="187">
        <f t="shared" si="255"/>
      </c>
      <c r="O376" s="187">
        <f t="shared" si="285"/>
      </c>
      <c r="P376" s="187">
        <f t="shared" si="165"/>
      </c>
      <c r="Q376" s="187">
        <f t="shared" si="195"/>
      </c>
      <c r="R376" s="185">
        <f t="shared" si="105"/>
      </c>
      <c r="S376" s="181">
        <f t="shared" si="135"/>
      </c>
      <c r="T376" s="187">
        <f t="shared" si="45"/>
      </c>
      <c r="U376" s="187">
        <f t="shared" si="75"/>
      </c>
      <c r="V376" s="187">
        <f t="shared" si="495"/>
      </c>
      <c r="W376" s="187">
        <f t="shared" si="15"/>
      </c>
      <c r="X376" s="187"/>
      <c r="Y376" s="188"/>
      <c r="Z376" s="179">
        <f>SUM(Z371:Z375)</f>
      </c>
      <c r="AA376" s="179">
        <f>SUM(AA371:AA375)</f>
      </c>
      <c r="AB376" s="179">
        <f>SUM(AB371:AB375)</f>
      </c>
      <c r="AC376" s="179">
        <f>SUM(AC371:AC375)</f>
      </c>
      <c r="AD376" s="179">
        <f>SUM(AD371:AD375)</f>
      </c>
      <c r="AE376" s="179">
        <f>SUM(AE371:AE375)</f>
      </c>
      <c r="AF376" s="179">
        <f>SUM(AF371:AF375)</f>
      </c>
      <c r="AG376" s="179">
        <f>SUM(AG371:AG375)</f>
      </c>
      <c r="AH376" s="179">
        <f>SUM(AH371:AH375)</f>
      </c>
      <c r="AI376" s="179">
        <f>SUM(AI371:AI375)</f>
      </c>
    </row>
    <row r="377">
      <c r="A377" s="149"/>
      <c r="B377" s="202" t="s">
        <v>129</v>
      </c>
      <c r="C377" s="202"/>
      <c r="D377" s="203">
        <f>SUM(D376+D360+D365+D370)</f>
      </c>
      <c r="E377" s="204">
        <f>SUM(E376+E360+E365+E370)</f>
      </c>
      <c r="F377" s="205">
        <f t="shared" si="435"/>
      </c>
      <c r="G377" s="206">
        <f>SUM(G376+G360+G365+G370)</f>
      </c>
      <c r="H377" s="207">
        <f t="shared" si="465"/>
      </c>
      <c r="I377" s="208">
        <f t="shared" si="375"/>
      </c>
      <c r="J377" s="209">
        <f t="shared" si="405"/>
      </c>
      <c r="K377" s="205">
        <f t="shared" si="315"/>
      </c>
      <c r="L377" s="210">
        <f t="shared" si="345"/>
      </c>
      <c r="M377" s="210">
        <f t="shared" si="225"/>
      </c>
      <c r="N377" s="211">
        <f t="shared" si="255"/>
      </c>
      <c r="O377" s="211">
        <f t="shared" si="285"/>
      </c>
      <c r="P377" s="211">
        <f t="shared" si="165"/>
      </c>
      <c r="Q377" s="211">
        <f t="shared" si="195"/>
      </c>
      <c r="R377" s="212">
        <f t="shared" si="105"/>
      </c>
      <c r="S377" s="213">
        <f t="shared" si="135"/>
      </c>
      <c r="T377" s="214">
        <f t="shared" si="45"/>
      </c>
      <c r="U377" s="214">
        <f t="shared" si="75"/>
      </c>
      <c r="V377" s="214">
        <f t="shared" si="495"/>
      </c>
      <c r="W377" s="214">
        <f t="shared" si="15"/>
      </c>
      <c r="X377" s="214"/>
      <c r="Y377" s="215"/>
      <c r="Z377" s="216">
        <f>SUM(Z360+Z376+Z365+Z370)</f>
      </c>
      <c r="AA377" s="216">
        <f>SUM(AA360+AA376+AA365+AA370)</f>
      </c>
      <c r="AB377" s="216">
        <f>SUM(AB360+AB376+AB365+AB370)</f>
      </c>
      <c r="AC377" s="216">
        <f>SUM(AC360+AC376+AC365+AC370)</f>
      </c>
      <c r="AD377" s="216">
        <f>SUM(AD360+AD376+AD365+AD370)</f>
      </c>
      <c r="AE377" s="216">
        <f>SUM(AE360+AE376+AE365+AE370)</f>
      </c>
      <c r="AF377" s="216">
        <f>SUM(AF360+AF376+AF365+AF370)</f>
      </c>
      <c r="AG377" s="216">
        <f>SUM(AG360+AG376+AG365+AG370)</f>
      </c>
      <c r="AH377" s="216">
        <f>SUM(AH360+AH376+AH365+AH370)</f>
      </c>
      <c r="AI377" s="216">
        <f>SUM(AI360+AI376+AI365+AI370)</f>
      </c>
    </row>
    <row r="378">
      <c r="A378" s="133" t="s">
        <v>70</v>
      </c>
      <c r="B378" s="134" t="s">
        <v>71</v>
      </c>
      <c r="C378" s="135" t="s">
        <v>72</v>
      </c>
      <c r="D378" s="136" t="s">
        <v>73</v>
      </c>
      <c r="E378" s="137" t="s">
        <v>74</v>
      </c>
      <c r="F378" s="138" t="s">
        <v>75</v>
      </c>
      <c r="G378" s="139" t="s">
        <v>76</v>
      </c>
      <c r="H378" s="138" t="s">
        <v>77</v>
      </c>
      <c r="I378" s="139" t="s">
        <v>78</v>
      </c>
      <c r="J378" s="140" t="s">
        <v>79</v>
      </c>
      <c r="K378" s="140" t="s">
        <v>80</v>
      </c>
      <c r="L378" s="141" t="s">
        <v>81</v>
      </c>
      <c r="M378" s="141" t="s">
        <v>82</v>
      </c>
      <c r="N378" s="141" t="s">
        <v>83</v>
      </c>
      <c r="O378" s="141" t="s">
        <v>84</v>
      </c>
      <c r="P378" s="141" t="s">
        <v>85</v>
      </c>
      <c r="Q378" s="141" t="s">
        <v>86</v>
      </c>
      <c r="R378" s="141" t="s">
        <v>87</v>
      </c>
      <c r="S378" s="141" t="s">
        <v>88</v>
      </c>
      <c r="T378" s="142" t="s">
        <v>89</v>
      </c>
      <c r="U378" s="142" t="s">
        <v>90</v>
      </c>
      <c r="V378" s="142" t="s">
        <v>91</v>
      </c>
      <c r="W378" s="142" t="s">
        <v>92</v>
      </c>
      <c r="X378" s="143" t="s">
        <v>93</v>
      </c>
      <c r="Y378" s="143" t="s">
        <v>94</v>
      </c>
      <c r="Z378" s="144" t="s">
        <v>95</v>
      </c>
      <c r="AA378" s="144" t="s">
        <v>96</v>
      </c>
      <c r="AB378" s="144" t="s">
        <v>97</v>
      </c>
      <c r="AC378" s="145" t="s">
        <v>98</v>
      </c>
      <c r="AD378" s="145" t="s">
        <v>99</v>
      </c>
      <c r="AE378" s="146" t="s">
        <v>100</v>
      </c>
      <c r="AF378" s="145" t="s">
        <v>101</v>
      </c>
      <c r="AG378" s="145" t="s">
        <v>102</v>
      </c>
      <c r="AH378" s="147" t="s">
        <v>103</v>
      </c>
      <c r="AI378" s="148" t="s">
        <v>104</v>
      </c>
    </row>
    <row r="379">
      <c r="A379" s="149">
        <v>46282</v>
      </c>
      <c r="B379" s="150" t="s">
        <v>105</v>
      </c>
      <c r="C379" s="151" t="s">
        <v>135</v>
      </c>
      <c r="D379" s="152">
        <v>1556.3519999999999</v>
      </c>
      <c r="E379" s="153">
        <v>2</v>
      </c>
      <c r="F379" s="154">
        <f t="shared" ref="F379:F401" si="436">D379/E379</f>
      </c>
      <c r="G379" s="155">
        <v>456</v>
      </c>
      <c r="H379" s="156">
        <f t="shared" ref="H379:H401" si="466">AD379</f>
      </c>
      <c r="I379" s="157">
        <f t="shared" ref="I379:I401" si="376">D379/AD379</f>
      </c>
      <c r="J379" s="158">
        <f t="shared" ref="J379:J401" si="406">G379/E379</f>
      </c>
      <c r="K379" s="159">
        <f t="shared" ref="K379:K401" si="316">G379/D379</f>
      </c>
      <c r="L379" s="160">
        <f t="shared" ref="L379:L401" si="346">D379/AB379</f>
      </c>
      <c r="M379" s="158">
        <f t="shared" ref="M379:M401" si="226">D379/AC379</f>
      </c>
      <c r="N379" s="161">
        <f t="shared" ref="N379:N401" si="256">AC379/AB379</f>
      </c>
      <c r="O379" s="161">
        <f t="shared" ref="O379:O401" si="286">AD379/AC379</f>
      </c>
      <c r="P379" s="161">
        <f t="shared" ref="P379:P401" si="166">AA379/Z379</f>
      </c>
      <c r="Q379" s="161">
        <f t="shared" ref="Q379:Q401" si="196">AD379/AA379</f>
      </c>
      <c r="R379" s="158">
        <f t="shared" ref="R379:R401" si="106">D379/Z379*1000</f>
      </c>
      <c r="S379" s="159">
        <f t="shared" ref="S379:S401" si="136">D379/AA379</f>
      </c>
      <c r="T379" s="161">
        <f t="shared" ref="T379:T401" si="46">AE379/AB379</f>
      </c>
      <c r="U379" s="161">
        <f t="shared" ref="U379:U401" si="76">AF379/AB379</f>
      </c>
      <c r="V379" s="161">
        <f t="shared" ref="V379:V401" si="496">AG379/AB379</f>
      </c>
      <c r="W379" s="161">
        <f t="shared" ref="W379:W401" si="16">AH379/AB379</f>
      </c>
      <c r="X379" s="162" t="s">
        <v>107</v>
      </c>
      <c r="Y379" s="163" t="s">
        <v>132</v>
      </c>
      <c r="Z379" s="164">
        <v>74043</v>
      </c>
      <c r="AA379" s="164">
        <v>38556</v>
      </c>
      <c r="AB379" s="164">
        <v>102167</v>
      </c>
      <c r="AC379" s="164">
        <v>866</v>
      </c>
      <c r="AD379" s="165">
        <v>2</v>
      </c>
      <c r="AE379" s="164">
        <v>19215</v>
      </c>
      <c r="AF379" s="166">
        <v>223</v>
      </c>
      <c r="AG379" s="166">
        <v>100</v>
      </c>
      <c r="AH379" s="166">
        <v>12</v>
      </c>
      <c r="AI379" s="167">
        <v>0</v>
      </c>
    </row>
    <row r="380">
      <c r="A380" s="149"/>
      <c r="B380" s="150" t="s">
        <v>105</v>
      </c>
      <c r="C380" s="168" t="s">
        <v>136</v>
      </c>
      <c r="D380" s="152">
        <v>2789.097</v>
      </c>
      <c r="E380" s="153">
        <v>7</v>
      </c>
      <c r="F380" s="154">
        <f t="shared" si="436"/>
      </c>
      <c r="G380" s="155">
        <v>2796</v>
      </c>
      <c r="H380" s="156">
        <f t="shared" si="466"/>
      </c>
      <c r="I380" s="157">
        <f t="shared" si="376"/>
      </c>
      <c r="J380" s="158">
        <f t="shared" si="406"/>
      </c>
      <c r="K380" s="159">
        <f t="shared" si="316"/>
      </c>
      <c r="L380" s="160">
        <f t="shared" si="346"/>
      </c>
      <c r="M380" s="158">
        <f t="shared" si="226"/>
      </c>
      <c r="N380" s="161">
        <f t="shared" si="256"/>
      </c>
      <c r="O380" s="161">
        <f t="shared" si="286"/>
      </c>
      <c r="P380" s="161">
        <f t="shared" si="166"/>
      </c>
      <c r="Q380" s="161">
        <f t="shared" si="196"/>
      </c>
      <c r="R380" s="158">
        <f t="shared" si="106"/>
      </c>
      <c r="S380" s="159">
        <f t="shared" si="136"/>
      </c>
      <c r="T380" s="161">
        <f t="shared" si="46"/>
      </c>
      <c r="U380" s="161">
        <f t="shared" si="76"/>
      </c>
      <c r="V380" s="161">
        <f t="shared" si="496"/>
      </c>
      <c r="W380" s="161">
        <f t="shared" si="16"/>
      </c>
      <c r="X380" s="169" t="s">
        <v>107</v>
      </c>
      <c r="Y380" s="163" t="s">
        <v>132</v>
      </c>
      <c r="Z380" s="166">
        <v>128655</v>
      </c>
      <c r="AA380" s="164">
        <v>51671</v>
      </c>
      <c r="AB380" s="164">
        <v>194716</v>
      </c>
      <c r="AC380" s="164">
        <v>1448</v>
      </c>
      <c r="AD380" s="166">
        <v>6</v>
      </c>
      <c r="AE380" s="164">
        <v>29954</v>
      </c>
      <c r="AF380" s="166">
        <v>488</v>
      </c>
      <c r="AG380" s="166">
        <v>133</v>
      </c>
      <c r="AH380" s="165">
        <v>30</v>
      </c>
      <c r="AI380" s="167">
        <v>0</v>
      </c>
    </row>
    <row r="381">
      <c r="A381" s="149"/>
      <c r="B381" s="150" t="s">
        <v>105</v>
      </c>
      <c r="C381" s="170" t="s">
        <v>106</v>
      </c>
      <c r="D381" s="171">
        <v>2893.564</v>
      </c>
      <c r="E381" s="172">
        <v>8</v>
      </c>
      <c r="F381" s="154">
        <f t="shared" si="436"/>
      </c>
      <c r="G381" s="172">
        <v>1696</v>
      </c>
      <c r="H381" s="156">
        <f t="shared" si="466"/>
      </c>
      <c r="I381" s="157">
        <f t="shared" si="376"/>
      </c>
      <c r="J381" s="158">
        <f t="shared" si="406"/>
      </c>
      <c r="K381" s="159">
        <f t="shared" si="316"/>
      </c>
      <c r="L381" s="160">
        <f t="shared" si="346"/>
      </c>
      <c r="M381" s="158">
        <f t="shared" si="226"/>
      </c>
      <c r="N381" s="161">
        <f t="shared" si="256"/>
      </c>
      <c r="O381" s="161">
        <f t="shared" si="286"/>
      </c>
      <c r="P381" s="161">
        <f t="shared" si="166"/>
      </c>
      <c r="Q381" s="161">
        <f t="shared" si="196"/>
      </c>
      <c r="R381" s="158">
        <f t="shared" si="106"/>
      </c>
      <c r="S381" s="159">
        <f t="shared" si="136"/>
      </c>
      <c r="T381" s="161">
        <f t="shared" si="46"/>
      </c>
      <c r="U381" s="161">
        <f t="shared" si="76"/>
      </c>
      <c r="V381" s="161">
        <f t="shared" si="496"/>
      </c>
      <c r="W381" s="161">
        <f t="shared" si="16"/>
      </c>
      <c r="X381" s="169" t="s">
        <v>107</v>
      </c>
      <c r="Y381" s="163" t="s">
        <v>132</v>
      </c>
      <c r="Z381" s="166">
        <v>137594</v>
      </c>
      <c r="AA381" s="166">
        <v>47378</v>
      </c>
      <c r="AB381" s="166">
        <v>203373</v>
      </c>
      <c r="AC381" s="166">
        <v>1473</v>
      </c>
      <c r="AD381" s="166">
        <v>9</v>
      </c>
      <c r="AE381" s="166">
        <v>27482</v>
      </c>
      <c r="AF381" s="166">
        <v>500</v>
      </c>
      <c r="AG381" s="166">
        <v>113</v>
      </c>
      <c r="AH381" s="166">
        <v>11</v>
      </c>
      <c r="AI381" s="167">
        <v>0</v>
      </c>
    </row>
    <row r="382">
      <c r="A382" s="149"/>
      <c r="B382" s="150" t="s">
        <v>105</v>
      </c>
      <c r="C382" s="173" t="s">
        <v>109</v>
      </c>
      <c r="D382" s="171">
        <v>2393.1359999999995</v>
      </c>
      <c r="E382" s="172">
        <v>11</v>
      </c>
      <c r="F382" s="154">
        <f t="shared" si="436"/>
      </c>
      <c r="G382" s="172">
        <v>4203.1</v>
      </c>
      <c r="H382" s="156">
        <f t="shared" si="466"/>
      </c>
      <c r="I382" s="157">
        <f t="shared" si="376"/>
      </c>
      <c r="J382" s="158">
        <f t="shared" si="406"/>
      </c>
      <c r="K382" s="159">
        <f t="shared" si="316"/>
      </c>
      <c r="L382" s="174">
        <f t="shared" si="346"/>
      </c>
      <c r="M382" s="175">
        <f t="shared" si="226"/>
      </c>
      <c r="N382" s="176">
        <f t="shared" si="256"/>
      </c>
      <c r="O382" s="176">
        <f t="shared" si="286"/>
      </c>
      <c r="P382" s="176">
        <f t="shared" si="166"/>
      </c>
      <c r="Q382" s="176">
        <f t="shared" si="196"/>
      </c>
      <c r="R382" s="175">
        <f t="shared" si="106"/>
      </c>
      <c r="S382" s="177">
        <f t="shared" si="136"/>
      </c>
      <c r="T382" s="176">
        <f t="shared" si="46"/>
      </c>
      <c r="U382" s="176">
        <f t="shared" si="76"/>
      </c>
      <c r="V382" s="176">
        <f t="shared" si="496"/>
      </c>
      <c r="W382" s="176">
        <f t="shared" si="16"/>
      </c>
      <c r="X382" s="169" t="s">
        <v>107</v>
      </c>
      <c r="Y382" s="163" t="s">
        <v>132</v>
      </c>
      <c r="Z382" s="166">
        <v>113724</v>
      </c>
      <c r="AA382" s="166">
        <v>28981</v>
      </c>
      <c r="AB382" s="166">
        <v>180106</v>
      </c>
      <c r="AC382" s="166">
        <v>1188</v>
      </c>
      <c r="AD382" s="166">
        <v>8</v>
      </c>
      <c r="AE382" s="166">
        <v>19367</v>
      </c>
      <c r="AF382" s="166">
        <v>377</v>
      </c>
      <c r="AG382" s="166">
        <v>67</v>
      </c>
      <c r="AH382" s="165">
        <v>13</v>
      </c>
      <c r="AI382" s="167">
        <v>3</v>
      </c>
    </row>
    <row r="383">
      <c r="A383" s="149"/>
      <c r="B383" s="150" t="s">
        <v>105</v>
      </c>
      <c r="C383" s="173" t="s">
        <v>110</v>
      </c>
      <c r="D383" s="195">
        <v>1960.701</v>
      </c>
      <c r="E383" s="172">
        <v>5</v>
      </c>
      <c r="F383" s="154">
        <f t="shared" si="436"/>
      </c>
      <c r="G383" s="172">
        <v>2684.7999999999993</v>
      </c>
      <c r="H383" s="156">
        <f t="shared" si="466"/>
      </c>
      <c r="I383" s="157">
        <f t="shared" si="376"/>
      </c>
      <c r="J383" s="158">
        <f t="shared" si="406"/>
      </c>
      <c r="K383" s="159">
        <f t="shared" si="316"/>
      </c>
      <c r="L383" s="174">
        <f t="shared" si="346"/>
      </c>
      <c r="M383" s="175">
        <f t="shared" si="226"/>
      </c>
      <c r="N383" s="176">
        <f t="shared" si="256"/>
      </c>
      <c r="O383" s="176">
        <f t="shared" si="286"/>
      </c>
      <c r="P383" s="176">
        <f t="shared" si="166"/>
      </c>
      <c r="Q383" s="176">
        <f t="shared" si="196"/>
      </c>
      <c r="R383" s="175">
        <f t="shared" si="106"/>
      </c>
      <c r="S383" s="177">
        <f t="shared" si="136"/>
      </c>
      <c r="T383" s="176">
        <f t="shared" si="46"/>
      </c>
      <c r="U383" s="176">
        <f t="shared" si="76"/>
      </c>
      <c r="V383" s="176">
        <f t="shared" si="496"/>
      </c>
      <c r="W383" s="176">
        <f t="shared" si="16"/>
      </c>
      <c r="X383" s="169" t="s">
        <v>107</v>
      </c>
      <c r="Y383" s="163" t="s">
        <v>132</v>
      </c>
      <c r="Z383" s="166">
        <v>106810</v>
      </c>
      <c r="AA383" s="166">
        <v>13773</v>
      </c>
      <c r="AB383" s="166">
        <v>171535</v>
      </c>
      <c r="AC383" s="166">
        <v>827</v>
      </c>
      <c r="AD383" s="166">
        <v>4</v>
      </c>
      <c r="AE383" s="166">
        <v>13937</v>
      </c>
      <c r="AF383" s="166">
        <v>187</v>
      </c>
      <c r="AG383" s="166">
        <v>39</v>
      </c>
      <c r="AH383" s="165">
        <v>10</v>
      </c>
      <c r="AI383" s="167">
        <v>3</v>
      </c>
    </row>
    <row r="384">
      <c r="A384" s="149"/>
      <c r="B384" s="178" t="s">
        <v>112</v>
      </c>
      <c r="C384" s="178"/>
      <c r="D384" s="179">
        <f>SUM(D379:D383)</f>
      </c>
      <c r="E384" s="179">
        <f>SUM(E379:E383)</f>
      </c>
      <c r="F384" s="181">
        <f t="shared" si="436"/>
      </c>
      <c r="G384" s="182">
        <f>SUM(G379:G383)</f>
      </c>
      <c r="H384" s="183">
        <f t="shared" si="466"/>
      </c>
      <c r="I384" s="184">
        <f t="shared" si="376"/>
      </c>
      <c r="J384" s="185">
        <f t="shared" si="406"/>
      </c>
      <c r="K384" s="181">
        <f t="shared" si="316"/>
      </c>
      <c r="L384" s="186">
        <f t="shared" si="346"/>
      </c>
      <c r="M384" s="185">
        <f t="shared" si="226"/>
      </c>
      <c r="N384" s="187">
        <f t="shared" si="256"/>
      </c>
      <c r="O384" s="187">
        <f t="shared" si="286"/>
      </c>
      <c r="P384" s="187">
        <f t="shared" si="166"/>
      </c>
      <c r="Q384" s="187">
        <f t="shared" si="196"/>
      </c>
      <c r="R384" s="185">
        <f t="shared" si="106"/>
      </c>
      <c r="S384" s="181">
        <f t="shared" si="136"/>
      </c>
      <c r="T384" s="187">
        <f t="shared" si="46"/>
      </c>
      <c r="U384" s="187">
        <f t="shared" si="76"/>
      </c>
      <c r="V384" s="187">
        <f t="shared" si="496"/>
      </c>
      <c r="W384" s="187">
        <f t="shared" si="16"/>
      </c>
      <c r="X384" s="187"/>
      <c r="Y384" s="188"/>
      <c r="Z384" s="179">
        <f>SUM(Z379:Z383)</f>
      </c>
      <c r="AA384" s="179">
        <f>SUM(AA379:AA383)</f>
      </c>
      <c r="AB384" s="179">
        <f>SUM(AB379:AB383)</f>
      </c>
      <c r="AC384" s="179">
        <f>SUM(AC379:AC383)</f>
      </c>
      <c r="AD384" s="179">
        <f>SUM(AD379:AD383)</f>
      </c>
      <c r="AE384" s="179">
        <f>SUM(AE379:AE383)</f>
      </c>
      <c r="AF384" s="179">
        <f>SUM(AF379:AF383)</f>
      </c>
      <c r="AG384" s="179">
        <f>SUM(AG379:AG383)</f>
      </c>
      <c r="AH384" s="179">
        <f>SUM(AH379:AH383)</f>
      </c>
      <c r="AI384" s="179">
        <f>SUM(AI379:AI383)</f>
      </c>
    </row>
    <row r="385">
      <c r="A385" s="149"/>
      <c r="B385" s="150" t="s">
        <v>130</v>
      </c>
      <c r="C385" s="192" t="s">
        <v>111</v>
      </c>
      <c r="D385" s="190">
        <v>1922.9580000000003</v>
      </c>
      <c r="E385" s="191">
        <v>1</v>
      </c>
      <c r="F385" s="154">
        <f t="shared" si="436"/>
      </c>
      <c r="G385" s="172">
        <v>228</v>
      </c>
      <c r="H385" s="156">
        <f t="shared" si="466"/>
      </c>
      <c r="I385" s="157">
        <f t="shared" si="376"/>
      </c>
      <c r="J385" s="158">
        <f t="shared" si="406"/>
      </c>
      <c r="K385" s="159">
        <f t="shared" si="316"/>
      </c>
      <c r="L385" s="160">
        <f t="shared" si="346"/>
      </c>
      <c r="M385" s="158">
        <f t="shared" si="226"/>
      </c>
      <c r="N385" s="161">
        <f t="shared" si="256"/>
      </c>
      <c r="O385" s="161">
        <f t="shared" si="286"/>
      </c>
      <c r="P385" s="161">
        <f t="shared" si="166"/>
      </c>
      <c r="Q385" s="161">
        <f t="shared" si="196"/>
      </c>
      <c r="R385" s="158">
        <f t="shared" si="106"/>
      </c>
      <c r="S385" s="159">
        <f t="shared" si="136"/>
      </c>
      <c r="T385" s="161">
        <f t="shared" si="46"/>
      </c>
      <c r="U385" s="161">
        <f t="shared" si="76"/>
      </c>
      <c r="V385" s="161">
        <f t="shared" si="496"/>
      </c>
      <c r="W385" s="161">
        <f t="shared" si="16"/>
      </c>
      <c r="X385" s="169" t="s">
        <v>107</v>
      </c>
      <c r="Y385" s="163" t="s">
        <v>132</v>
      </c>
      <c r="Z385" s="166">
        <v>105680</v>
      </c>
      <c r="AA385" s="166">
        <v>11466</v>
      </c>
      <c r="AB385" s="166">
        <v>180686</v>
      </c>
      <c r="AC385" s="166">
        <v>760</v>
      </c>
      <c r="AD385" s="166">
        <v>1</v>
      </c>
      <c r="AE385" s="166">
        <v>14840</v>
      </c>
      <c r="AF385" s="166">
        <v>162</v>
      </c>
      <c r="AG385" s="166">
        <v>30</v>
      </c>
      <c r="AH385" s="166">
        <v>10</v>
      </c>
      <c r="AI385" s="167">
        <v>0</v>
      </c>
    </row>
    <row r="386">
      <c r="A386" s="149"/>
      <c r="B386" s="150" t="s">
        <v>130</v>
      </c>
      <c r="C386" s="193" t="s">
        <v>114</v>
      </c>
      <c r="D386" s="171">
        <v>2024.6039999999998</v>
      </c>
      <c r="E386" s="172">
        <v>8</v>
      </c>
      <c r="F386" s="154">
        <f t="shared" si="436"/>
      </c>
      <c r="G386" s="172">
        <v>3488.2000000000007</v>
      </c>
      <c r="H386" s="156">
        <f t="shared" si="466"/>
      </c>
      <c r="I386" s="157">
        <f t="shared" si="376"/>
      </c>
      <c r="J386" s="158">
        <f t="shared" si="406"/>
      </c>
      <c r="K386" s="159">
        <f t="shared" si="316"/>
      </c>
      <c r="L386" s="160">
        <f t="shared" si="346"/>
      </c>
      <c r="M386" s="158">
        <f t="shared" si="226"/>
      </c>
      <c r="N386" s="161">
        <f t="shared" si="256"/>
      </c>
      <c r="O386" s="161">
        <f t="shared" si="286"/>
      </c>
      <c r="P386" s="161">
        <f t="shared" si="166"/>
      </c>
      <c r="Q386" s="161">
        <f t="shared" si="196"/>
      </c>
      <c r="R386" s="158">
        <f t="shared" si="106"/>
      </c>
      <c r="S386" s="159">
        <f t="shared" si="136"/>
      </c>
      <c r="T386" s="161">
        <f t="shared" si="46"/>
      </c>
      <c r="U386" s="161">
        <f t="shared" si="76"/>
      </c>
      <c r="V386" s="161">
        <f t="shared" si="496"/>
      </c>
      <c r="W386" s="161">
        <f t="shared" si="16"/>
      </c>
      <c r="X386" s="169" t="s">
        <v>107</v>
      </c>
      <c r="Y386" s="163" t="s">
        <v>132</v>
      </c>
      <c r="Z386" s="166">
        <v>107630</v>
      </c>
      <c r="AA386" s="166">
        <v>12093</v>
      </c>
      <c r="AB386" s="166">
        <v>215777</v>
      </c>
      <c r="AC386" s="166">
        <v>665</v>
      </c>
      <c r="AD386" s="166">
        <v>7</v>
      </c>
      <c r="AE386" s="166">
        <v>13890</v>
      </c>
      <c r="AF386" s="166">
        <v>137</v>
      </c>
      <c r="AG386" s="166">
        <v>28</v>
      </c>
      <c r="AH386" s="166">
        <v>9</v>
      </c>
      <c r="AI386" s="167">
        <v>1</v>
      </c>
    </row>
    <row r="387">
      <c r="A387" s="149"/>
      <c r="B387" s="150" t="s">
        <v>130</v>
      </c>
      <c r="C387" s="194" t="s">
        <v>115</v>
      </c>
      <c r="D387" s="171">
        <v>1818.9799999999998</v>
      </c>
      <c r="E387" s="172">
        <v>9</v>
      </c>
      <c r="F387" s="154">
        <f t="shared" si="436"/>
      </c>
      <c r="G387" s="172">
        <v>4331.999999999998</v>
      </c>
      <c r="H387" s="156">
        <f t="shared" si="466"/>
      </c>
      <c r="I387" s="157">
        <f t="shared" si="376"/>
      </c>
      <c r="J387" s="158">
        <f t="shared" si="406"/>
      </c>
      <c r="K387" s="159">
        <f t="shared" si="316"/>
      </c>
      <c r="L387" s="174">
        <f t="shared" si="346"/>
      </c>
      <c r="M387" s="175">
        <f t="shared" si="226"/>
      </c>
      <c r="N387" s="176">
        <f t="shared" si="256"/>
      </c>
      <c r="O387" s="176">
        <f t="shared" si="286"/>
      </c>
      <c r="P387" s="176">
        <f t="shared" si="166"/>
      </c>
      <c r="Q387" s="176">
        <f t="shared" si="196"/>
      </c>
      <c r="R387" s="175">
        <f t="shared" si="106"/>
      </c>
      <c r="S387" s="177">
        <f t="shared" si="136"/>
      </c>
      <c r="T387" s="176">
        <f t="shared" si="46"/>
      </c>
      <c r="U387" s="176">
        <f t="shared" si="76"/>
      </c>
      <c r="V387" s="176">
        <f t="shared" si="496"/>
      </c>
      <c r="W387" s="176">
        <f t="shared" si="16"/>
      </c>
      <c r="X387" s="169" t="s">
        <v>107</v>
      </c>
      <c r="Y387" s="163" t="s">
        <v>132</v>
      </c>
      <c r="Z387" s="166">
        <v>95380</v>
      </c>
      <c r="AA387" s="166">
        <v>11297</v>
      </c>
      <c r="AB387" s="166">
        <v>177886</v>
      </c>
      <c r="AC387" s="166">
        <v>575</v>
      </c>
      <c r="AD387" s="166">
        <v>7</v>
      </c>
      <c r="AE387" s="166">
        <v>10934</v>
      </c>
      <c r="AF387" s="166">
        <v>123</v>
      </c>
      <c r="AG387" s="166">
        <v>26</v>
      </c>
      <c r="AH387" s="165">
        <v>15</v>
      </c>
      <c r="AI387" s="167">
        <v>5</v>
      </c>
    </row>
    <row r="388">
      <c r="A388" s="149"/>
      <c r="B388" s="150" t="s">
        <v>130</v>
      </c>
      <c r="C388" s="196" t="s">
        <v>116</v>
      </c>
      <c r="D388" s="195">
        <v>1653.8909999999998</v>
      </c>
      <c r="E388" s="172">
        <v>5</v>
      </c>
      <c r="F388" s="154">
        <f t="shared" si="436"/>
      </c>
      <c r="G388" s="172">
        <v>1740</v>
      </c>
      <c r="H388" s="156">
        <f t="shared" si="466"/>
      </c>
      <c r="I388" s="157">
        <f t="shared" si="376"/>
      </c>
      <c r="J388" s="158">
        <f t="shared" si="406"/>
      </c>
      <c r="K388" s="159">
        <f t="shared" si="316"/>
      </c>
      <c r="L388" s="174">
        <f t="shared" si="346"/>
      </c>
      <c r="M388" s="175">
        <f t="shared" si="226"/>
      </c>
      <c r="N388" s="176">
        <f t="shared" si="256"/>
      </c>
      <c r="O388" s="176">
        <f t="shared" si="286"/>
      </c>
      <c r="P388" s="176">
        <f t="shared" si="166"/>
      </c>
      <c r="Q388" s="176">
        <f t="shared" si="196"/>
      </c>
      <c r="R388" s="175">
        <f t="shared" si="106"/>
      </c>
      <c r="S388" s="177">
        <f t="shared" si="136"/>
      </c>
      <c r="T388" s="176">
        <f t="shared" si="46"/>
      </c>
      <c r="U388" s="176">
        <f t="shared" si="76"/>
      </c>
      <c r="V388" s="176">
        <f t="shared" si="496"/>
      </c>
      <c r="W388" s="176">
        <f t="shared" si="16"/>
      </c>
      <c r="X388" s="169" t="s">
        <v>107</v>
      </c>
      <c r="Y388" s="163" t="s">
        <v>132</v>
      </c>
      <c r="Z388" s="166">
        <v>92400</v>
      </c>
      <c r="AA388" s="166">
        <v>11719</v>
      </c>
      <c r="AB388" s="166">
        <v>165876</v>
      </c>
      <c r="AC388" s="166">
        <v>623</v>
      </c>
      <c r="AD388" s="166">
        <v>4</v>
      </c>
      <c r="AE388" s="166">
        <v>10526</v>
      </c>
      <c r="AF388" s="166">
        <v>136</v>
      </c>
      <c r="AG388" s="166">
        <v>26</v>
      </c>
      <c r="AH388" s="165">
        <v>18</v>
      </c>
      <c r="AI388" s="167">
        <v>0</v>
      </c>
    </row>
    <row r="389">
      <c r="A389" s="149"/>
      <c r="B389" s="178" t="s">
        <v>112</v>
      </c>
      <c r="C389" s="178"/>
      <c r="D389" s="179">
        <f>SUM(D385:D388)</f>
      </c>
      <c r="E389" s="180">
        <f>SUM(E385:E388)</f>
      </c>
      <c r="F389" s="181">
        <f t="shared" si="436"/>
      </c>
      <c r="G389" s="182">
        <f>SUM(G385:G388)</f>
      </c>
      <c r="H389" s="183">
        <f t="shared" si="466"/>
      </c>
      <c r="I389" s="184">
        <f t="shared" si="376"/>
      </c>
      <c r="J389" s="185">
        <f t="shared" si="406"/>
      </c>
      <c r="K389" s="181">
        <f t="shared" si="316"/>
      </c>
      <c r="L389" s="186">
        <f t="shared" si="346"/>
      </c>
      <c r="M389" s="185">
        <f t="shared" si="226"/>
      </c>
      <c r="N389" s="187">
        <f t="shared" si="256"/>
      </c>
      <c r="O389" s="187">
        <f t="shared" si="286"/>
      </c>
      <c r="P389" s="187">
        <f t="shared" si="166"/>
      </c>
      <c r="Q389" s="187">
        <f t="shared" si="196"/>
      </c>
      <c r="R389" s="185">
        <f t="shared" si="106"/>
      </c>
      <c r="S389" s="181">
        <f t="shared" si="136"/>
      </c>
      <c r="T389" s="187">
        <f t="shared" si="46"/>
      </c>
      <c r="U389" s="187">
        <f t="shared" si="76"/>
      </c>
      <c r="V389" s="187">
        <f t="shared" si="496"/>
      </c>
      <c r="W389" s="187">
        <f t="shared" si="16"/>
      </c>
      <c r="X389" s="187"/>
      <c r="Y389" s="188"/>
      <c r="Z389" s="179">
        <f>SUM(Z385:Z388)</f>
      </c>
      <c r="AA389" s="179">
        <f>SUM(AA385:AA388)</f>
      </c>
      <c r="AB389" s="179">
        <f>SUM(AB385:AB388)</f>
      </c>
      <c r="AC389" s="179">
        <f>SUM(AC385:AC388)</f>
      </c>
      <c r="AD389" s="179">
        <f>SUM(AD385:AD388)</f>
      </c>
      <c r="AE389" s="179">
        <f>SUM(AE385:AE388)</f>
      </c>
      <c r="AF389" s="179">
        <f>SUM(AF385:AF388)</f>
      </c>
      <c r="AG389" s="179">
        <f>SUM(AG385:AG388)</f>
      </c>
      <c r="AH389" s="179">
        <f>SUM(AH385:AH388)</f>
      </c>
      <c r="AI389" s="179">
        <f>SUM(AI385:AI388)</f>
      </c>
    </row>
    <row r="390">
      <c r="A390" s="149"/>
      <c r="B390" s="150" t="s">
        <v>118</v>
      </c>
      <c r="C390" s="197" t="s">
        <v>117</v>
      </c>
      <c r="D390" s="171">
        <v>2120.043</v>
      </c>
      <c r="E390" s="172">
        <v>8</v>
      </c>
      <c r="F390" s="154">
        <f t="shared" si="436"/>
      </c>
      <c r="G390" s="172">
        <v>3427.9000000000015</v>
      </c>
      <c r="H390" s="156">
        <f t="shared" si="466"/>
      </c>
      <c r="I390" s="157">
        <f t="shared" si="376"/>
      </c>
      <c r="J390" s="158">
        <f t="shared" si="406"/>
      </c>
      <c r="K390" s="159">
        <f t="shared" si="316"/>
      </c>
      <c r="L390" s="160">
        <f t="shared" si="346"/>
      </c>
      <c r="M390" s="158">
        <f t="shared" si="226"/>
      </c>
      <c r="N390" s="161">
        <f t="shared" si="256"/>
      </c>
      <c r="O390" s="161">
        <f t="shared" si="286"/>
      </c>
      <c r="P390" s="161">
        <f t="shared" si="166"/>
      </c>
      <c r="Q390" s="161">
        <f t="shared" si="196"/>
      </c>
      <c r="R390" s="158">
        <f t="shared" si="106"/>
      </c>
      <c r="S390" s="159">
        <f t="shared" si="136"/>
      </c>
      <c r="T390" s="161">
        <f t="shared" si="46"/>
      </c>
      <c r="U390" s="161">
        <f t="shared" si="76"/>
      </c>
      <c r="V390" s="161">
        <f t="shared" si="496"/>
      </c>
      <c r="W390" s="161">
        <f t="shared" si="16"/>
      </c>
      <c r="X390" s="169" t="s">
        <v>107</v>
      </c>
      <c r="Y390" s="163" t="s">
        <v>132</v>
      </c>
      <c r="Z390" s="166">
        <v>103542</v>
      </c>
      <c r="AA390" s="166">
        <v>15217</v>
      </c>
      <c r="AB390" s="166">
        <v>182960</v>
      </c>
      <c r="AC390" s="166">
        <v>785</v>
      </c>
      <c r="AD390" s="166">
        <v>7</v>
      </c>
      <c r="AE390" s="166">
        <v>12396</v>
      </c>
      <c r="AF390" s="166">
        <v>222</v>
      </c>
      <c r="AG390" s="166">
        <v>35</v>
      </c>
      <c r="AH390" s="165">
        <v>18</v>
      </c>
      <c r="AI390" s="167">
        <v>2</v>
      </c>
    </row>
    <row r="391">
      <c r="A391" s="149"/>
      <c r="B391" s="150" t="s">
        <v>118</v>
      </c>
      <c r="C391" s="194" t="s">
        <v>119</v>
      </c>
      <c r="D391" s="171">
        <v>4785.641</v>
      </c>
      <c r="E391" s="172">
        <v>12</v>
      </c>
      <c r="F391" s="154">
        <f t="shared" si="436"/>
      </c>
      <c r="G391" s="172">
        <v>3830.300000000003</v>
      </c>
      <c r="H391" s="156">
        <f t="shared" si="466"/>
      </c>
      <c r="I391" s="157">
        <f t="shared" si="376"/>
      </c>
      <c r="J391" s="158">
        <f t="shared" si="406"/>
      </c>
      <c r="K391" s="159">
        <f t="shared" si="316"/>
      </c>
      <c r="L391" s="174">
        <f t="shared" si="346"/>
      </c>
      <c r="M391" s="175">
        <f t="shared" si="226"/>
      </c>
      <c r="N391" s="176">
        <f t="shared" si="256"/>
      </c>
      <c r="O391" s="176">
        <f t="shared" si="286"/>
      </c>
      <c r="P391" s="176">
        <f t="shared" si="166"/>
      </c>
      <c r="Q391" s="176">
        <f t="shared" si="196"/>
      </c>
      <c r="R391" s="175">
        <f t="shared" si="106"/>
      </c>
      <c r="S391" s="177">
        <f t="shared" si="136"/>
      </c>
      <c r="T391" s="176">
        <f t="shared" si="46"/>
      </c>
      <c r="U391" s="176">
        <f t="shared" si="76"/>
      </c>
      <c r="V391" s="176">
        <f t="shared" si="496"/>
      </c>
      <c r="W391" s="176">
        <f t="shared" si="16"/>
      </c>
      <c r="X391" s="169" t="s">
        <v>107</v>
      </c>
      <c r="Y391" s="163" t="s">
        <v>120</v>
      </c>
      <c r="Z391" s="166">
        <v>195718</v>
      </c>
      <c r="AA391" s="166">
        <v>40990</v>
      </c>
      <c r="AB391" s="166">
        <v>383894</v>
      </c>
      <c r="AC391" s="166">
        <v>1593</v>
      </c>
      <c r="AD391" s="166">
        <v>10</v>
      </c>
      <c r="AE391" s="166">
        <v>30856</v>
      </c>
      <c r="AF391" s="166">
        <v>409</v>
      </c>
      <c r="AG391" s="166">
        <v>117</v>
      </c>
      <c r="AH391" s="165">
        <v>24</v>
      </c>
      <c r="AI391" s="167">
        <v>1</v>
      </c>
    </row>
    <row r="392">
      <c r="A392" s="149"/>
      <c r="B392" s="150" t="s">
        <v>118</v>
      </c>
      <c r="C392" s="194" t="s">
        <v>121</v>
      </c>
      <c r="D392" s="195">
        <v>2695.198</v>
      </c>
      <c r="E392" s="172">
        <v>19</v>
      </c>
      <c r="F392" s="154">
        <f t="shared" si="436"/>
      </c>
      <c r="G392" s="172">
        <v>7398</v>
      </c>
      <c r="H392" s="156">
        <f t="shared" si="466"/>
      </c>
      <c r="I392" s="157">
        <f t="shared" si="376"/>
      </c>
      <c r="J392" s="158">
        <f t="shared" si="406"/>
      </c>
      <c r="K392" s="159">
        <f t="shared" si="316"/>
      </c>
      <c r="L392" s="174">
        <f t="shared" si="346"/>
      </c>
      <c r="M392" s="175">
        <f t="shared" si="226"/>
      </c>
      <c r="N392" s="176">
        <f t="shared" si="256"/>
      </c>
      <c r="O392" s="176">
        <f t="shared" si="286"/>
      </c>
      <c r="P392" s="176">
        <f t="shared" si="166"/>
      </c>
      <c r="Q392" s="176">
        <f t="shared" si="196"/>
      </c>
      <c r="R392" s="175">
        <f t="shared" si="106"/>
      </c>
      <c r="S392" s="177">
        <f t="shared" si="136"/>
      </c>
      <c r="T392" s="176">
        <f t="shared" si="46"/>
      </c>
      <c r="U392" s="176">
        <f t="shared" si="76"/>
      </c>
      <c r="V392" s="176">
        <f t="shared" si="496"/>
      </c>
      <c r="W392" s="176">
        <f t="shared" si="16"/>
      </c>
      <c r="X392" s="169" t="s">
        <v>107</v>
      </c>
      <c r="Y392" s="163" t="s">
        <v>120</v>
      </c>
      <c r="Z392" s="166">
        <v>120194</v>
      </c>
      <c r="AA392" s="166">
        <v>23791</v>
      </c>
      <c r="AB392" s="166">
        <v>229340</v>
      </c>
      <c r="AC392" s="166">
        <v>989</v>
      </c>
      <c r="AD392" s="166">
        <v>15</v>
      </c>
      <c r="AE392" s="166">
        <v>21106</v>
      </c>
      <c r="AF392" s="166">
        <v>211</v>
      </c>
      <c r="AG392" s="166">
        <v>56</v>
      </c>
      <c r="AH392" s="165">
        <v>11</v>
      </c>
      <c r="AI392" s="167">
        <v>3</v>
      </c>
    </row>
    <row r="393">
      <c r="A393" s="149"/>
      <c r="B393" s="150" t="s">
        <v>118</v>
      </c>
      <c r="C393" s="196" t="s">
        <v>122</v>
      </c>
      <c r="D393" s="195">
        <v>2378.234</v>
      </c>
      <c r="E393" s="172">
        <v>6</v>
      </c>
      <c r="F393" s="154">
        <f t="shared" si="436"/>
      </c>
      <c r="G393" s="172">
        <v>1904</v>
      </c>
      <c r="H393" s="156">
        <f t="shared" si="466"/>
      </c>
      <c r="I393" s="157">
        <f t="shared" si="376"/>
      </c>
      <c r="J393" s="158">
        <f t="shared" si="406"/>
      </c>
      <c r="K393" s="159">
        <f t="shared" si="316"/>
      </c>
      <c r="L393" s="174">
        <f t="shared" si="346"/>
      </c>
      <c r="M393" s="175">
        <f t="shared" si="226"/>
      </c>
      <c r="N393" s="176">
        <f t="shared" si="256"/>
      </c>
      <c r="O393" s="176">
        <f t="shared" si="286"/>
      </c>
      <c r="P393" s="176">
        <f t="shared" si="166"/>
      </c>
      <c r="Q393" s="176">
        <f t="shared" si="196"/>
      </c>
      <c r="R393" s="175">
        <f t="shared" si="106"/>
      </c>
      <c r="S393" s="177">
        <f t="shared" si="136"/>
      </c>
      <c r="T393" s="176">
        <f t="shared" si="46"/>
      </c>
      <c r="U393" s="176">
        <f t="shared" si="76"/>
      </c>
      <c r="V393" s="176">
        <f t="shared" si="496"/>
      </c>
      <c r="W393" s="176">
        <f t="shared" si="16"/>
      </c>
      <c r="X393" s="169" t="s">
        <v>107</v>
      </c>
      <c r="Y393" s="163" t="s">
        <v>120</v>
      </c>
      <c r="Z393" s="166">
        <v>105476</v>
      </c>
      <c r="AA393" s="166">
        <v>15944</v>
      </c>
      <c r="AB393" s="166">
        <v>195559</v>
      </c>
      <c r="AC393" s="166">
        <v>880</v>
      </c>
      <c r="AD393" s="166">
        <v>5</v>
      </c>
      <c r="AE393" s="166">
        <v>14961</v>
      </c>
      <c r="AF393" s="166">
        <v>184</v>
      </c>
      <c r="AG393" s="166">
        <v>46</v>
      </c>
      <c r="AH393" s="165">
        <v>14</v>
      </c>
      <c r="AI393" s="167">
        <v>0</v>
      </c>
    </row>
    <row r="394">
      <c r="A394" s="149"/>
      <c r="B394" s="178" t="s">
        <v>112</v>
      </c>
      <c r="C394" s="178"/>
      <c r="D394" s="179">
        <f>SUM(D390:D393)</f>
      </c>
      <c r="E394" s="179">
        <f>SUM(E390:E393)</f>
      </c>
      <c r="F394" s="181">
        <f t="shared" si="436"/>
      </c>
      <c r="G394" s="182">
        <f>SUM(G390:G393)</f>
      </c>
      <c r="H394" s="183">
        <f t="shared" si="466"/>
      </c>
      <c r="I394" s="184">
        <f t="shared" si="376"/>
      </c>
      <c r="J394" s="185">
        <f t="shared" si="406"/>
      </c>
      <c r="K394" s="181">
        <f t="shared" si="316"/>
      </c>
      <c r="L394" s="186">
        <f t="shared" si="346"/>
      </c>
      <c r="M394" s="185">
        <f t="shared" si="226"/>
      </c>
      <c r="N394" s="187">
        <f t="shared" si="256"/>
      </c>
      <c r="O394" s="187">
        <f t="shared" si="286"/>
      </c>
      <c r="P394" s="187">
        <f t="shared" si="166"/>
      </c>
      <c r="Q394" s="187">
        <f t="shared" si="196"/>
      </c>
      <c r="R394" s="185">
        <f t="shared" si="106"/>
      </c>
      <c r="S394" s="181">
        <f t="shared" si="136"/>
      </c>
      <c r="T394" s="187">
        <f t="shared" si="46"/>
      </c>
      <c r="U394" s="187">
        <f t="shared" si="76"/>
      </c>
      <c r="V394" s="187">
        <f t="shared" si="496"/>
      </c>
      <c r="W394" s="187">
        <f t="shared" si="16"/>
      </c>
      <c r="X394" s="187"/>
      <c r="Y394" s="188"/>
      <c r="Z394" s="179">
        <f>SUM(Z390:Z393)</f>
      </c>
      <c r="AA394" s="179">
        <f>SUM(AA390:AA393)</f>
      </c>
      <c r="AB394" s="179">
        <f>SUM(AB390:AB393)</f>
      </c>
      <c r="AC394" s="179">
        <f>SUM(AC390:AC393)</f>
      </c>
      <c r="AD394" s="179">
        <f>SUM(AD390:AD393)</f>
      </c>
      <c r="AE394" s="179">
        <f>SUM(AE390:AE393)</f>
      </c>
      <c r="AF394" s="179">
        <f>SUM(AF390:AF393)</f>
      </c>
      <c r="AG394" s="179">
        <f>SUM(AG390:AG393)</f>
      </c>
      <c r="AH394" s="179">
        <f>SUM(AH390:AH393)</f>
      </c>
      <c r="AI394" s="179">
        <f>SUM(AI390:AI393)</f>
      </c>
    </row>
    <row r="395">
      <c r="A395" s="149"/>
      <c r="B395" s="150" t="s">
        <v>124</v>
      </c>
      <c r="C395" s="197" t="s">
        <v>123</v>
      </c>
      <c r="D395" s="198">
        <v>5204.546</v>
      </c>
      <c r="E395" s="153">
        <v>7</v>
      </c>
      <c r="F395" s="154">
        <f t="shared" si="436"/>
      </c>
      <c r="G395" s="155">
        <v>1480.5999999999985</v>
      </c>
      <c r="H395" s="156">
        <f t="shared" si="466"/>
      </c>
      <c r="I395" s="157">
        <f t="shared" si="376"/>
      </c>
      <c r="J395" s="158">
        <f t="shared" si="406"/>
      </c>
      <c r="K395" s="159">
        <f t="shared" si="316"/>
      </c>
      <c r="L395" s="174">
        <f t="shared" si="346"/>
      </c>
      <c r="M395" s="175">
        <f t="shared" si="226"/>
      </c>
      <c r="N395" s="176">
        <f t="shared" si="256"/>
      </c>
      <c r="O395" s="176">
        <f t="shared" si="286"/>
      </c>
      <c r="P395" s="176">
        <f t="shared" si="166"/>
      </c>
      <c r="Q395" s="176">
        <f t="shared" si="196"/>
      </c>
      <c r="R395" s="175">
        <f t="shared" si="106"/>
      </c>
      <c r="S395" s="177">
        <f t="shared" si="136"/>
      </c>
      <c r="T395" s="176">
        <f t="shared" si="46"/>
      </c>
      <c r="U395" s="176">
        <f t="shared" si="76"/>
      </c>
      <c r="V395" s="176">
        <f t="shared" si="496"/>
      </c>
      <c r="W395" s="176">
        <f t="shared" si="16"/>
      </c>
      <c r="X395" s="169" t="s">
        <v>107</v>
      </c>
      <c r="Y395" s="163" t="s">
        <v>120</v>
      </c>
      <c r="Z395" s="166">
        <v>203314</v>
      </c>
      <c r="AA395" s="166">
        <v>41323</v>
      </c>
      <c r="AB395" s="166">
        <v>430077</v>
      </c>
      <c r="AC395" s="199">
        <v>1772</v>
      </c>
      <c r="AD395" s="199">
        <v>6</v>
      </c>
      <c r="AE395" s="199">
        <v>29039</v>
      </c>
      <c r="AF395" s="199">
        <v>523</v>
      </c>
      <c r="AG395" s="199">
        <v>112</v>
      </c>
      <c r="AH395" s="199">
        <v>27</v>
      </c>
      <c r="AI395" s="167">
        <v>1</v>
      </c>
    </row>
    <row r="396">
      <c r="A396" s="149"/>
      <c r="B396" s="150" t="s">
        <v>124</v>
      </c>
      <c r="C396" s="194" t="s">
        <v>125</v>
      </c>
      <c r="D396" s="198">
        <v>6483.914</v>
      </c>
      <c r="E396" s="153">
        <v>23</v>
      </c>
      <c r="F396" s="154">
        <f t="shared" si="436"/>
      </c>
      <c r="G396" s="155">
        <v>7466.800000000003</v>
      </c>
      <c r="H396" s="156">
        <f t="shared" si="466"/>
      </c>
      <c r="I396" s="157">
        <f t="shared" si="376"/>
      </c>
      <c r="J396" s="158">
        <f t="shared" si="406"/>
      </c>
      <c r="K396" s="159">
        <f t="shared" si="316"/>
      </c>
      <c r="L396" s="174">
        <f t="shared" si="346"/>
      </c>
      <c r="M396" s="175">
        <f t="shared" si="226"/>
      </c>
      <c r="N396" s="176">
        <f t="shared" si="256"/>
      </c>
      <c r="O396" s="176">
        <f t="shared" si="286"/>
      </c>
      <c r="P396" s="176">
        <f t="shared" si="166"/>
      </c>
      <c r="Q396" s="176">
        <f t="shared" si="196"/>
      </c>
      <c r="R396" s="175">
        <f t="shared" si="106"/>
      </c>
      <c r="S396" s="177">
        <f t="shared" si="136"/>
      </c>
      <c r="T396" s="176">
        <f t="shared" si="46"/>
      </c>
      <c r="U396" s="176">
        <f t="shared" si="76"/>
      </c>
      <c r="V396" s="176">
        <f t="shared" si="496"/>
      </c>
      <c r="W396" s="176">
        <f t="shared" si="16"/>
      </c>
      <c r="X396" s="169" t="s">
        <v>107</v>
      </c>
      <c r="Y396" s="163" t="s">
        <v>120</v>
      </c>
      <c r="Z396" s="166">
        <v>259876</v>
      </c>
      <c r="AA396" s="166">
        <v>51452</v>
      </c>
      <c r="AB396" s="166">
        <v>586655</v>
      </c>
      <c r="AC396" s="199">
        <v>2414</v>
      </c>
      <c r="AD396" s="199">
        <v>23</v>
      </c>
      <c r="AE396" s="199">
        <v>41964</v>
      </c>
      <c r="AF396" s="199">
        <v>615</v>
      </c>
      <c r="AG396" s="199">
        <v>176</v>
      </c>
      <c r="AH396" s="199">
        <v>38</v>
      </c>
      <c r="AI396" s="167">
        <v>1</v>
      </c>
    </row>
    <row r="397">
      <c r="A397" s="149"/>
      <c r="B397" s="150" t="s">
        <v>124</v>
      </c>
      <c r="C397" s="194" t="s">
        <v>126</v>
      </c>
      <c r="D397" s="171">
        <v>3070.9410000000003</v>
      </c>
      <c r="E397" s="172">
        <v>12</v>
      </c>
      <c r="F397" s="154">
        <f t="shared" si="436"/>
      </c>
      <c r="G397" s="172">
        <v>3833.600000000006</v>
      </c>
      <c r="H397" s="156">
        <f t="shared" si="466"/>
      </c>
      <c r="I397" s="157">
        <f t="shared" si="376"/>
      </c>
      <c r="J397" s="158">
        <f t="shared" si="406"/>
      </c>
      <c r="K397" s="159">
        <f t="shared" si="316"/>
      </c>
      <c r="L397" s="174">
        <f t="shared" si="346"/>
      </c>
      <c r="M397" s="175">
        <f t="shared" si="226"/>
      </c>
      <c r="N397" s="176">
        <f t="shared" si="256"/>
      </c>
      <c r="O397" s="176">
        <f t="shared" si="286"/>
      </c>
      <c r="P397" s="176">
        <f t="shared" si="166"/>
      </c>
      <c r="Q397" s="176">
        <f t="shared" si="196"/>
      </c>
      <c r="R397" s="175">
        <f t="shared" si="106"/>
      </c>
      <c r="S397" s="177">
        <f t="shared" si="136"/>
      </c>
      <c r="T397" s="176">
        <f t="shared" si="46"/>
      </c>
      <c r="U397" s="176">
        <f t="shared" si="76"/>
      </c>
      <c r="V397" s="176">
        <f t="shared" si="496"/>
      </c>
      <c r="W397" s="176">
        <f t="shared" si="16"/>
      </c>
      <c r="X397" s="169" t="s">
        <v>107</v>
      </c>
      <c r="Y397" s="163" t="s">
        <v>120</v>
      </c>
      <c r="Z397" s="166">
        <v>121161</v>
      </c>
      <c r="AA397" s="166">
        <v>30636</v>
      </c>
      <c r="AB397" s="166">
        <v>229587</v>
      </c>
      <c r="AC397" s="166">
        <v>1085</v>
      </c>
      <c r="AD397" s="166">
        <v>12</v>
      </c>
      <c r="AE397" s="166">
        <v>18122</v>
      </c>
      <c r="AF397" s="166">
        <v>298</v>
      </c>
      <c r="AG397" s="166">
        <v>68</v>
      </c>
      <c r="AH397" s="165">
        <v>16</v>
      </c>
      <c r="AI397" s="167">
        <v>1</v>
      </c>
    </row>
    <row r="398">
      <c r="A398" s="149"/>
      <c r="B398" s="150" t="s">
        <v>124</v>
      </c>
      <c r="C398" s="196" t="s">
        <v>127</v>
      </c>
      <c r="D398" s="195">
        <v>5997.572</v>
      </c>
      <c r="E398" s="172">
        <v>23</v>
      </c>
      <c r="F398" s="154">
        <f t="shared" si="436"/>
      </c>
      <c r="G398" s="172">
        <v>6200.299999999988</v>
      </c>
      <c r="H398" s="156">
        <f t="shared" si="466"/>
      </c>
      <c r="I398" s="157">
        <f t="shared" si="376"/>
      </c>
      <c r="J398" s="158">
        <f t="shared" si="406"/>
      </c>
      <c r="K398" s="159">
        <f t="shared" si="316"/>
      </c>
      <c r="L398" s="174">
        <f t="shared" si="346"/>
      </c>
      <c r="M398" s="175">
        <f t="shared" si="226"/>
      </c>
      <c r="N398" s="176">
        <f t="shared" si="256"/>
      </c>
      <c r="O398" s="176">
        <f t="shared" si="286"/>
      </c>
      <c r="P398" s="176">
        <f t="shared" si="166"/>
      </c>
      <c r="Q398" s="176">
        <f t="shared" si="196"/>
      </c>
      <c r="R398" s="175">
        <f t="shared" si="106"/>
      </c>
      <c r="S398" s="177">
        <f t="shared" si="136"/>
      </c>
      <c r="T398" s="176">
        <f t="shared" si="46"/>
      </c>
      <c r="U398" s="176">
        <f t="shared" si="76"/>
      </c>
      <c r="V398" s="176">
        <f t="shared" si="496"/>
      </c>
      <c r="W398" s="176">
        <f t="shared" si="16"/>
      </c>
      <c r="X398" s="169" t="s">
        <v>107</v>
      </c>
      <c r="Y398" s="163" t="s">
        <v>120</v>
      </c>
      <c r="Z398" s="166">
        <v>253810</v>
      </c>
      <c r="AA398" s="166">
        <v>39426</v>
      </c>
      <c r="AB398" s="166">
        <v>566424</v>
      </c>
      <c r="AC398" s="166">
        <v>1801</v>
      </c>
      <c r="AD398" s="166">
        <v>20</v>
      </c>
      <c r="AE398" s="166">
        <v>33391</v>
      </c>
      <c r="AF398" s="166">
        <v>352</v>
      </c>
      <c r="AG398" s="166">
        <v>150</v>
      </c>
      <c r="AH398" s="165">
        <v>28</v>
      </c>
      <c r="AI398" s="167">
        <v>2</v>
      </c>
    </row>
    <row r="399">
      <c r="A399" s="149"/>
      <c r="B399" s="150" t="s">
        <v>124</v>
      </c>
      <c r="C399" s="194" t="s">
        <v>128</v>
      </c>
      <c r="D399" s="195">
        <f>1232.153+21.3415+0.2835</f>
      </c>
      <c r="E399" s="172">
        <v>5</v>
      </c>
      <c r="F399" s="154">
        <f t="shared" si="436"/>
      </c>
      <c r="G399" s="172">
        <v>1034.300000000003</v>
      </c>
      <c r="H399" s="156">
        <f t="shared" si="466"/>
      </c>
      <c r="I399" s="157">
        <f t="shared" si="376"/>
      </c>
      <c r="J399" s="158">
        <f t="shared" si="406"/>
      </c>
      <c r="K399" s="159">
        <f t="shared" si="316"/>
      </c>
      <c r="L399" s="174">
        <f t="shared" si="346"/>
      </c>
      <c r="M399" s="175">
        <f t="shared" si="226"/>
      </c>
      <c r="N399" s="176">
        <f t="shared" si="256"/>
      </c>
      <c r="O399" s="176">
        <f t="shared" si="286"/>
      </c>
      <c r="P399" s="176">
        <f t="shared" si="166"/>
      </c>
      <c r="Q399" s="176">
        <f t="shared" si="196"/>
      </c>
      <c r="R399" s="175">
        <f t="shared" si="106"/>
      </c>
      <c r="S399" s="177">
        <f t="shared" si="136"/>
      </c>
      <c r="T399" s="176">
        <f t="shared" si="46"/>
      </c>
      <c r="U399" s="176">
        <f t="shared" si="76"/>
      </c>
      <c r="V399" s="176">
        <f t="shared" si="496"/>
      </c>
      <c r="W399" s="176">
        <f t="shared" si="16"/>
      </c>
      <c r="X399" s="169" t="s">
        <v>107</v>
      </c>
      <c r="Y399" s="163" t="s">
        <v>120</v>
      </c>
      <c r="Z399" s="166">
        <v>56552</v>
      </c>
      <c r="AA399" s="166">
        <v>11794</v>
      </c>
      <c r="AB399" s="166">
        <v>87602</v>
      </c>
      <c r="AC399" s="166">
        <v>506</v>
      </c>
      <c r="AD399" s="166">
        <v>4</v>
      </c>
      <c r="AE399" s="166">
        <v>6785</v>
      </c>
      <c r="AF399" s="166">
        <v>166</v>
      </c>
      <c r="AG399" s="166">
        <v>34</v>
      </c>
      <c r="AH399" s="165">
        <v>12</v>
      </c>
      <c r="AI399" s="167">
        <v>0</v>
      </c>
    </row>
    <row r="400">
      <c r="A400" s="149"/>
      <c r="B400" s="178" t="s">
        <v>112</v>
      </c>
      <c r="C400" s="178"/>
      <c r="D400" s="179">
        <f>SUM(D395:D399)</f>
      </c>
      <c r="E400" s="179">
        <f>SUM(E395:E399)</f>
      </c>
      <c r="F400" s="181">
        <f t="shared" si="436"/>
      </c>
      <c r="G400" s="182">
        <f>SUM(G395:G399)</f>
      </c>
      <c r="H400" s="183">
        <f t="shared" si="466"/>
      </c>
      <c r="I400" s="184">
        <f t="shared" si="376"/>
      </c>
      <c r="J400" s="185">
        <f t="shared" si="406"/>
      </c>
      <c r="K400" s="181">
        <f t="shared" si="316"/>
      </c>
      <c r="L400" s="186">
        <f t="shared" si="346"/>
      </c>
      <c r="M400" s="185">
        <f t="shared" si="226"/>
      </c>
      <c r="N400" s="187">
        <f t="shared" si="256"/>
      </c>
      <c r="O400" s="187">
        <f t="shared" si="286"/>
      </c>
      <c r="P400" s="187">
        <f t="shared" si="166"/>
      </c>
      <c r="Q400" s="187">
        <f t="shared" si="196"/>
      </c>
      <c r="R400" s="185">
        <f t="shared" si="106"/>
      </c>
      <c r="S400" s="181">
        <f t="shared" si="136"/>
      </c>
      <c r="T400" s="187">
        <f t="shared" si="46"/>
      </c>
      <c r="U400" s="187">
        <f t="shared" si="76"/>
      </c>
      <c r="V400" s="187">
        <f t="shared" si="496"/>
      </c>
      <c r="W400" s="187">
        <f t="shared" si="16"/>
      </c>
      <c r="X400" s="187"/>
      <c r="Y400" s="188"/>
      <c r="Z400" s="179">
        <f>SUM(Z395:Z399)</f>
      </c>
      <c r="AA400" s="179">
        <f>SUM(AA395:AA399)</f>
      </c>
      <c r="AB400" s="179">
        <f>SUM(AB395:AB399)</f>
      </c>
      <c r="AC400" s="179">
        <f>SUM(AC395:AC399)</f>
      </c>
      <c r="AD400" s="179">
        <f>SUM(AD395:AD399)</f>
      </c>
      <c r="AE400" s="179">
        <f>SUM(AE395:AE399)</f>
      </c>
      <c r="AF400" s="179">
        <f>SUM(AF395:AF399)</f>
      </c>
      <c r="AG400" s="179">
        <f>SUM(AG395:AG399)</f>
      </c>
      <c r="AH400" s="179">
        <f>SUM(AH395:AH399)</f>
      </c>
      <c r="AI400" s="179">
        <f>SUM(AI395:AI399)</f>
      </c>
    </row>
    <row r="401">
      <c r="A401" s="149"/>
      <c r="B401" s="202" t="s">
        <v>129</v>
      </c>
      <c r="C401" s="202"/>
      <c r="D401" s="203">
        <f>SUM(D400+D384+D389+D394)</f>
      </c>
      <c r="E401" s="204">
        <f>SUM(E400+E384+E389+E394)</f>
      </c>
      <c r="F401" s="205">
        <f t="shared" si="436"/>
      </c>
      <c r="G401" s="206">
        <f>SUM(G400+G384+G389+G394)</f>
      </c>
      <c r="H401" s="207">
        <f t="shared" si="466"/>
      </c>
      <c r="I401" s="208">
        <f t="shared" si="376"/>
      </c>
      <c r="J401" s="209">
        <f t="shared" si="406"/>
      </c>
      <c r="K401" s="205">
        <f t="shared" si="316"/>
      </c>
      <c r="L401" s="210">
        <f t="shared" si="346"/>
      </c>
      <c r="M401" s="210">
        <f t="shared" si="226"/>
      </c>
      <c r="N401" s="211">
        <f t="shared" si="256"/>
      </c>
      <c r="O401" s="211">
        <f t="shared" si="286"/>
      </c>
      <c r="P401" s="211">
        <f t="shared" si="166"/>
      </c>
      <c r="Q401" s="211">
        <f t="shared" si="196"/>
      </c>
      <c r="R401" s="212">
        <f t="shared" si="106"/>
      </c>
      <c r="S401" s="213">
        <f t="shared" si="136"/>
      </c>
      <c r="T401" s="214">
        <f t="shared" si="46"/>
      </c>
      <c r="U401" s="214">
        <f t="shared" si="76"/>
      </c>
      <c r="V401" s="214">
        <f t="shared" si="496"/>
      </c>
      <c r="W401" s="214">
        <f t="shared" si="16"/>
      </c>
      <c r="X401" s="214"/>
      <c r="Y401" s="215"/>
      <c r="Z401" s="216">
        <f>SUM(Z384+Z400+Z389+Z394)</f>
      </c>
      <c r="AA401" s="216">
        <f>SUM(AA384+AA400+AA389+AA394)</f>
      </c>
      <c r="AB401" s="216">
        <f>SUM(AB384+AB400+AB389+AB394)</f>
      </c>
      <c r="AC401" s="216">
        <f>SUM(AC384+AC400+AC389+AC394)</f>
      </c>
      <c r="AD401" s="216">
        <f>SUM(AD384+AD400+AD389+AD394)</f>
      </c>
      <c r="AE401" s="216">
        <f>SUM(AE384+AE400+AE389+AE394)</f>
      </c>
      <c r="AF401" s="216">
        <f>SUM(AF384+AF400+AF389+AF394)</f>
      </c>
      <c r="AG401" s="216">
        <f>SUM(AG384+AG400+AG389+AG394)</f>
      </c>
      <c r="AH401" s="216">
        <f>SUM(AH384+AH400+AH389+AH394)</f>
      </c>
      <c r="AI401" s="216">
        <f>SUM(AI384+AI400+AI389+AI394)</f>
      </c>
    </row>
    <row r="402">
      <c r="A402" s="133" t="s">
        <v>70</v>
      </c>
      <c r="B402" s="134" t="s">
        <v>71</v>
      </c>
      <c r="C402" s="135" t="s">
        <v>72</v>
      </c>
      <c r="D402" s="136" t="s">
        <v>73</v>
      </c>
      <c r="E402" s="137" t="s">
        <v>74</v>
      </c>
      <c r="F402" s="138" t="s">
        <v>75</v>
      </c>
      <c r="G402" s="139" t="s">
        <v>76</v>
      </c>
      <c r="H402" s="138" t="s">
        <v>77</v>
      </c>
      <c r="I402" s="139" t="s">
        <v>78</v>
      </c>
      <c r="J402" s="140" t="s">
        <v>79</v>
      </c>
      <c r="K402" s="140" t="s">
        <v>80</v>
      </c>
      <c r="L402" s="141" t="s">
        <v>81</v>
      </c>
      <c r="M402" s="141" t="s">
        <v>82</v>
      </c>
      <c r="N402" s="141" t="s">
        <v>83</v>
      </c>
      <c r="O402" s="141" t="s">
        <v>84</v>
      </c>
      <c r="P402" s="141" t="s">
        <v>85</v>
      </c>
      <c r="Q402" s="141" t="s">
        <v>86</v>
      </c>
      <c r="R402" s="141" t="s">
        <v>87</v>
      </c>
      <c r="S402" s="141" t="s">
        <v>88</v>
      </c>
      <c r="T402" s="142" t="s">
        <v>89</v>
      </c>
      <c r="U402" s="142" t="s">
        <v>90</v>
      </c>
      <c r="V402" s="142" t="s">
        <v>91</v>
      </c>
      <c r="W402" s="142" t="s">
        <v>92</v>
      </c>
      <c r="X402" s="143" t="s">
        <v>93</v>
      </c>
      <c r="Y402" s="143" t="s">
        <v>94</v>
      </c>
      <c r="Z402" s="144" t="s">
        <v>95</v>
      </c>
      <c r="AA402" s="144" t="s">
        <v>96</v>
      </c>
      <c r="AB402" s="144" t="s">
        <v>97</v>
      </c>
      <c r="AC402" s="145" t="s">
        <v>98</v>
      </c>
      <c r="AD402" s="145" t="s">
        <v>99</v>
      </c>
      <c r="AE402" s="146" t="s">
        <v>100</v>
      </c>
      <c r="AF402" s="145" t="s">
        <v>101</v>
      </c>
      <c r="AG402" s="145" t="s">
        <v>102</v>
      </c>
      <c r="AH402" s="147" t="s">
        <v>103</v>
      </c>
      <c r="AI402" s="148" t="s">
        <v>104</v>
      </c>
    </row>
    <row r="403">
      <c r="A403" s="149">
        <v>46283</v>
      </c>
      <c r="B403" s="150" t="s">
        <v>105</v>
      </c>
      <c r="C403" s="151" t="s">
        <v>135</v>
      </c>
      <c r="D403" s="152">
        <v>2412.112</v>
      </c>
      <c r="E403" s="153">
        <v>7</v>
      </c>
      <c r="F403" s="154">
        <f t="shared" ref="F403:F425" si="437">D403/E403</f>
      </c>
      <c r="G403" s="155">
        <v>2722.3</v>
      </c>
      <c r="H403" s="156">
        <f t="shared" ref="H403:H425" si="467">AD403</f>
      </c>
      <c r="I403" s="157">
        <f t="shared" ref="I403:I425" si="377">D403/AD403</f>
      </c>
      <c r="J403" s="158">
        <f t="shared" ref="J403:J425" si="407">G403/E403</f>
      </c>
      <c r="K403" s="159">
        <f t="shared" ref="K403:K425" si="317">G403/D403</f>
      </c>
      <c r="L403" s="160">
        <f t="shared" ref="L403:L425" si="347">D403/AB403</f>
      </c>
      <c r="M403" s="158">
        <f t="shared" ref="M403:M425" si="227">D403/AC403</f>
      </c>
      <c r="N403" s="161">
        <f t="shared" ref="N403:N425" si="257">AC403/AB403</f>
      </c>
      <c r="O403" s="161">
        <f t="shared" ref="O403:O425" si="287">AD403/AC403</f>
      </c>
      <c r="P403" s="161">
        <f t="shared" ref="P403:P425" si="167">AA403/Z403</f>
      </c>
      <c r="Q403" s="161">
        <f t="shared" ref="Q403:Q425" si="197">AD403/AA403</f>
      </c>
      <c r="R403" s="158">
        <f t="shared" ref="R403:R425" si="107">D403/Z403*1000</f>
      </c>
      <c r="S403" s="159">
        <f t="shared" ref="S403:S425" si="137">D403/AA403</f>
      </c>
      <c r="T403" s="161">
        <f t="shared" ref="T403:T425" si="47">AE403/AB403</f>
      </c>
      <c r="U403" s="161">
        <f t="shared" ref="U403:U425" si="77">AF403/AB403</f>
      </c>
      <c r="V403" s="161">
        <f t="shared" ref="V403:V425" si="497">AG403/AB403</f>
      </c>
      <c r="W403" s="161">
        <f t="shared" ref="W403:W425" si="17">AH403/AB403</f>
      </c>
      <c r="X403" s="162" t="s">
        <v>107</v>
      </c>
      <c r="Y403" s="163" t="s">
        <v>132</v>
      </c>
      <c r="Z403" s="164">
        <v>94468</v>
      </c>
      <c r="AA403" s="164">
        <v>39004</v>
      </c>
      <c r="AB403" s="164">
        <v>167735</v>
      </c>
      <c r="AC403" s="164">
        <v>1072</v>
      </c>
      <c r="AD403" s="165">
        <v>7</v>
      </c>
      <c r="AE403" s="164">
        <v>24813</v>
      </c>
      <c r="AF403" s="166">
        <v>244</v>
      </c>
      <c r="AG403" s="166">
        <v>132</v>
      </c>
      <c r="AH403" s="166">
        <v>14</v>
      </c>
      <c r="AI403" s="167">
        <v>1</v>
      </c>
    </row>
    <row r="404">
      <c r="A404" s="149"/>
      <c r="B404" s="150" t="s">
        <v>105</v>
      </c>
      <c r="C404" s="168" t="s">
        <v>136</v>
      </c>
      <c r="D404" s="152">
        <v>3596.848</v>
      </c>
      <c r="E404" s="153">
        <v>17</v>
      </c>
      <c r="F404" s="154">
        <f t="shared" si="437"/>
      </c>
      <c r="G404" s="155">
        <v>7309.2</v>
      </c>
      <c r="H404" s="156">
        <f t="shared" si="467"/>
      </c>
      <c r="I404" s="157">
        <f t="shared" si="377"/>
      </c>
      <c r="J404" s="158">
        <f t="shared" si="407"/>
      </c>
      <c r="K404" s="159">
        <f t="shared" si="317"/>
      </c>
      <c r="L404" s="160">
        <f t="shared" si="347"/>
      </c>
      <c r="M404" s="158">
        <f t="shared" si="227"/>
      </c>
      <c r="N404" s="161">
        <f t="shared" si="257"/>
      </c>
      <c r="O404" s="161">
        <f t="shared" si="287"/>
      </c>
      <c r="P404" s="161">
        <f t="shared" si="167"/>
      </c>
      <c r="Q404" s="161">
        <f t="shared" si="197"/>
      </c>
      <c r="R404" s="158">
        <f t="shared" si="107"/>
      </c>
      <c r="S404" s="159">
        <f t="shared" si="137"/>
      </c>
      <c r="T404" s="161">
        <f t="shared" si="47"/>
      </c>
      <c r="U404" s="161">
        <f t="shared" si="77"/>
      </c>
      <c r="V404" s="161">
        <f t="shared" si="497"/>
      </c>
      <c r="W404" s="161">
        <f t="shared" si="17"/>
      </c>
      <c r="X404" s="169" t="s">
        <v>107</v>
      </c>
      <c r="Y404" s="163" t="s">
        <v>132</v>
      </c>
      <c r="Z404" s="166">
        <v>121718</v>
      </c>
      <c r="AA404" s="164">
        <v>41382</v>
      </c>
      <c r="AB404" s="164">
        <v>226029</v>
      </c>
      <c r="AC404" s="164">
        <v>1262</v>
      </c>
      <c r="AD404" s="166">
        <v>16</v>
      </c>
      <c r="AE404" s="164">
        <v>29544</v>
      </c>
      <c r="AF404" s="166">
        <v>364</v>
      </c>
      <c r="AG404" s="166">
        <v>131</v>
      </c>
      <c r="AH404" s="165">
        <v>30</v>
      </c>
      <c r="AI404" s="167">
        <v>3</v>
      </c>
    </row>
    <row r="405">
      <c r="A405" s="149"/>
      <c r="B405" s="150" t="s">
        <v>105</v>
      </c>
      <c r="C405" s="170" t="s">
        <v>106</v>
      </c>
      <c r="D405" s="171">
        <v>3633.074</v>
      </c>
      <c r="E405" s="172">
        <v>13</v>
      </c>
      <c r="F405" s="154">
        <f t="shared" si="437"/>
      </c>
      <c r="G405" s="172">
        <v>2779.1000000000004</v>
      </c>
      <c r="H405" s="156">
        <f t="shared" si="467"/>
      </c>
      <c r="I405" s="157">
        <f t="shared" si="377"/>
      </c>
      <c r="J405" s="158">
        <f t="shared" si="407"/>
      </c>
      <c r="K405" s="159">
        <f t="shared" si="317"/>
      </c>
      <c r="L405" s="160">
        <f t="shared" si="347"/>
      </c>
      <c r="M405" s="158">
        <f t="shared" si="227"/>
      </c>
      <c r="N405" s="161">
        <f t="shared" si="257"/>
      </c>
      <c r="O405" s="161">
        <f t="shared" si="287"/>
      </c>
      <c r="P405" s="161">
        <f t="shared" si="167"/>
      </c>
      <c r="Q405" s="161">
        <f t="shared" si="197"/>
      </c>
      <c r="R405" s="158">
        <f t="shared" si="107"/>
      </c>
      <c r="S405" s="159">
        <f t="shared" si="137"/>
      </c>
      <c r="T405" s="161">
        <f t="shared" si="47"/>
      </c>
      <c r="U405" s="161">
        <f t="shared" si="77"/>
      </c>
      <c r="V405" s="161">
        <f t="shared" si="497"/>
      </c>
      <c r="W405" s="161">
        <f t="shared" si="17"/>
      </c>
      <c r="X405" s="169" t="s">
        <v>107</v>
      </c>
      <c r="Y405" s="163" t="s">
        <v>132</v>
      </c>
      <c r="Z405" s="166">
        <v>121106</v>
      </c>
      <c r="AA405" s="166">
        <v>37082</v>
      </c>
      <c r="AB405" s="166">
        <v>200167</v>
      </c>
      <c r="AC405" s="166">
        <v>1272</v>
      </c>
      <c r="AD405" s="166">
        <v>11</v>
      </c>
      <c r="AE405" s="166">
        <v>26018</v>
      </c>
      <c r="AF405" s="166">
        <v>381</v>
      </c>
      <c r="AG405" s="166">
        <v>83</v>
      </c>
      <c r="AH405" s="166">
        <v>20</v>
      </c>
      <c r="AI405" s="167">
        <v>4</v>
      </c>
    </row>
    <row r="406">
      <c r="A406" s="149"/>
      <c r="B406" s="150" t="s">
        <v>105</v>
      </c>
      <c r="C406" s="173" t="s">
        <v>109</v>
      </c>
      <c r="D406" s="171">
        <v>3181.7619999999997</v>
      </c>
      <c r="E406" s="172">
        <v>11</v>
      </c>
      <c r="F406" s="154">
        <f t="shared" si="437"/>
      </c>
      <c r="G406" s="172">
        <v>2349.6000000000004</v>
      </c>
      <c r="H406" s="156">
        <f t="shared" si="467"/>
      </c>
      <c r="I406" s="157">
        <f t="shared" si="377"/>
      </c>
      <c r="J406" s="158">
        <f t="shared" si="407"/>
      </c>
      <c r="K406" s="159">
        <f t="shared" si="317"/>
      </c>
      <c r="L406" s="174">
        <f t="shared" si="347"/>
      </c>
      <c r="M406" s="175">
        <f t="shared" si="227"/>
      </c>
      <c r="N406" s="176">
        <f t="shared" si="257"/>
      </c>
      <c r="O406" s="176">
        <f t="shared" si="287"/>
      </c>
      <c r="P406" s="176">
        <f t="shared" si="167"/>
      </c>
      <c r="Q406" s="176">
        <f t="shared" si="197"/>
      </c>
      <c r="R406" s="175">
        <f t="shared" si="107"/>
      </c>
      <c r="S406" s="177">
        <f t="shared" si="137"/>
      </c>
      <c r="T406" s="176">
        <f t="shared" si="47"/>
      </c>
      <c r="U406" s="176">
        <f t="shared" si="77"/>
      </c>
      <c r="V406" s="176">
        <f t="shared" si="497"/>
      </c>
      <c r="W406" s="176">
        <f t="shared" si="17"/>
      </c>
      <c r="X406" s="169" t="s">
        <v>107</v>
      </c>
      <c r="Y406" s="163" t="s">
        <v>132</v>
      </c>
      <c r="Z406" s="166">
        <v>91370</v>
      </c>
      <c r="AA406" s="166">
        <v>26184</v>
      </c>
      <c r="AB406" s="166">
        <v>159031</v>
      </c>
      <c r="AC406" s="166">
        <v>980</v>
      </c>
      <c r="AD406" s="166">
        <v>10</v>
      </c>
      <c r="AE406" s="166">
        <v>18675</v>
      </c>
      <c r="AF406" s="166">
        <v>317</v>
      </c>
      <c r="AG406" s="166">
        <v>51</v>
      </c>
      <c r="AH406" s="165">
        <v>18</v>
      </c>
      <c r="AI406" s="167">
        <v>2</v>
      </c>
    </row>
    <row r="407">
      <c r="A407" s="149"/>
      <c r="B407" s="150" t="s">
        <v>105</v>
      </c>
      <c r="C407" s="173" t="s">
        <v>110</v>
      </c>
      <c r="D407" s="195">
        <v>3278.014</v>
      </c>
      <c r="E407" s="172">
        <v>7</v>
      </c>
      <c r="F407" s="154">
        <f t="shared" si="437"/>
      </c>
      <c r="G407" s="172">
        <v>1596</v>
      </c>
      <c r="H407" s="156">
        <f t="shared" si="467"/>
      </c>
      <c r="I407" s="157">
        <f t="shared" si="377"/>
      </c>
      <c r="J407" s="158">
        <f t="shared" si="407"/>
      </c>
      <c r="K407" s="159">
        <f t="shared" si="317"/>
      </c>
      <c r="L407" s="174">
        <f t="shared" si="347"/>
      </c>
      <c r="M407" s="175">
        <f t="shared" si="227"/>
      </c>
      <c r="N407" s="176">
        <f t="shared" si="257"/>
      </c>
      <c r="O407" s="176">
        <f t="shared" si="287"/>
      </c>
      <c r="P407" s="176">
        <f t="shared" si="167"/>
      </c>
      <c r="Q407" s="176">
        <f t="shared" si="197"/>
      </c>
      <c r="R407" s="175">
        <f t="shared" si="107"/>
      </c>
      <c r="S407" s="177">
        <f t="shared" si="137"/>
      </c>
      <c r="T407" s="176">
        <f t="shared" si="47"/>
      </c>
      <c r="U407" s="176">
        <f t="shared" si="77"/>
      </c>
      <c r="V407" s="176">
        <f t="shared" si="497"/>
      </c>
      <c r="W407" s="176">
        <f t="shared" si="17"/>
      </c>
      <c r="X407" s="169" t="s">
        <v>107</v>
      </c>
      <c r="Y407" s="163" t="s">
        <v>132</v>
      </c>
      <c r="Z407" s="166">
        <v>115173</v>
      </c>
      <c r="AA407" s="166">
        <v>30253</v>
      </c>
      <c r="AB407" s="166">
        <v>200617</v>
      </c>
      <c r="AC407" s="166">
        <v>1099</v>
      </c>
      <c r="AD407" s="166">
        <v>8</v>
      </c>
      <c r="AE407" s="166">
        <v>23518</v>
      </c>
      <c r="AF407" s="166">
        <v>342</v>
      </c>
      <c r="AG407" s="166">
        <v>77</v>
      </c>
      <c r="AH407" s="165">
        <v>20</v>
      </c>
      <c r="AI407" s="167">
        <v>2</v>
      </c>
    </row>
    <row r="408">
      <c r="A408" s="149"/>
      <c r="B408" s="178" t="s">
        <v>112</v>
      </c>
      <c r="C408" s="178"/>
      <c r="D408" s="179">
        <f>SUM(D403:D407)</f>
      </c>
      <c r="E408" s="179">
        <f>SUM(E403:E407)</f>
      </c>
      <c r="F408" s="181">
        <f t="shared" si="437"/>
      </c>
      <c r="G408" s="182">
        <f>SUM(G403:G407)</f>
      </c>
      <c r="H408" s="183">
        <f t="shared" si="467"/>
      </c>
      <c r="I408" s="184">
        <f t="shared" si="377"/>
      </c>
      <c r="J408" s="185">
        <f t="shared" si="407"/>
      </c>
      <c r="K408" s="181">
        <f t="shared" si="317"/>
      </c>
      <c r="L408" s="186">
        <f t="shared" si="347"/>
      </c>
      <c r="M408" s="185">
        <f t="shared" si="227"/>
      </c>
      <c r="N408" s="187">
        <f t="shared" si="257"/>
      </c>
      <c r="O408" s="187">
        <f t="shared" si="287"/>
      </c>
      <c r="P408" s="187">
        <f t="shared" si="167"/>
      </c>
      <c r="Q408" s="187">
        <f t="shared" si="197"/>
      </c>
      <c r="R408" s="185">
        <f t="shared" si="107"/>
      </c>
      <c r="S408" s="181">
        <f t="shared" si="137"/>
      </c>
      <c r="T408" s="187">
        <f t="shared" si="47"/>
      </c>
      <c r="U408" s="187">
        <f t="shared" si="77"/>
      </c>
      <c r="V408" s="187">
        <f t="shared" si="497"/>
      </c>
      <c r="W408" s="187">
        <f t="shared" si="17"/>
      </c>
      <c r="X408" s="187"/>
      <c r="Y408" s="188"/>
      <c r="Z408" s="179">
        <f>SUM(Z403:Z407)</f>
      </c>
      <c r="AA408" s="179">
        <f>SUM(AA403:AA407)</f>
      </c>
      <c r="AB408" s="179">
        <f>SUM(AB403:AB407)</f>
      </c>
      <c r="AC408" s="179">
        <f>SUM(AC403:AC407)</f>
      </c>
      <c r="AD408" s="179">
        <f>SUM(AD403:AD407)</f>
      </c>
      <c r="AE408" s="179">
        <f>SUM(AE403:AE407)</f>
      </c>
      <c r="AF408" s="179">
        <f>SUM(AF403:AF407)</f>
      </c>
      <c r="AG408" s="179">
        <f>SUM(AG403:AG407)</f>
      </c>
      <c r="AH408" s="179">
        <f>SUM(AH403:AH407)</f>
      </c>
      <c r="AI408" s="179">
        <f>SUM(AI403:AI407)</f>
      </c>
    </row>
    <row r="409">
      <c r="A409" s="149"/>
      <c r="B409" s="150" t="s">
        <v>118</v>
      </c>
      <c r="C409" s="192" t="s">
        <v>111</v>
      </c>
      <c r="D409" s="190">
        <v>4940.531</v>
      </c>
      <c r="E409" s="191">
        <v>16</v>
      </c>
      <c r="F409" s="154">
        <f t="shared" si="437"/>
      </c>
      <c r="G409" s="172">
        <v>6006.399999999998</v>
      </c>
      <c r="H409" s="156">
        <f t="shared" si="467"/>
      </c>
      <c r="I409" s="157">
        <f t="shared" si="377"/>
      </c>
      <c r="J409" s="158">
        <f t="shared" si="407"/>
      </c>
      <c r="K409" s="159">
        <f t="shared" si="317"/>
      </c>
      <c r="L409" s="160">
        <f t="shared" si="347"/>
      </c>
      <c r="M409" s="158">
        <f t="shared" si="227"/>
      </c>
      <c r="N409" s="161">
        <f t="shared" si="257"/>
      </c>
      <c r="O409" s="161">
        <f t="shared" si="287"/>
      </c>
      <c r="P409" s="161">
        <f t="shared" si="167"/>
      </c>
      <c r="Q409" s="161">
        <f t="shared" si="197"/>
      </c>
      <c r="R409" s="158">
        <f t="shared" si="107"/>
      </c>
      <c r="S409" s="159">
        <f t="shared" si="137"/>
      </c>
      <c r="T409" s="161">
        <f t="shared" si="47"/>
      </c>
      <c r="U409" s="161">
        <f t="shared" si="77"/>
      </c>
      <c r="V409" s="161">
        <f t="shared" si="497"/>
      </c>
      <c r="W409" s="161">
        <f t="shared" si="17"/>
      </c>
      <c r="X409" s="169" t="s">
        <v>107</v>
      </c>
      <c r="Y409" s="163" t="s">
        <v>132</v>
      </c>
      <c r="Z409" s="166">
        <v>148645</v>
      </c>
      <c r="AA409" s="166">
        <v>30282</v>
      </c>
      <c r="AB409" s="166">
        <v>302763</v>
      </c>
      <c r="AC409" s="166">
        <v>1085</v>
      </c>
      <c r="AD409" s="166">
        <v>14</v>
      </c>
      <c r="AE409" s="166">
        <v>29041</v>
      </c>
      <c r="AF409" s="166">
        <v>286</v>
      </c>
      <c r="AG409" s="166">
        <v>85</v>
      </c>
      <c r="AH409" s="166">
        <v>20</v>
      </c>
      <c r="AI409" s="167">
        <v>0</v>
      </c>
    </row>
    <row r="410">
      <c r="A410" s="149"/>
      <c r="B410" s="150" t="s">
        <v>118</v>
      </c>
      <c r="C410" s="193" t="s">
        <v>114</v>
      </c>
      <c r="D410" s="171">
        <v>6951.944</v>
      </c>
      <c r="E410" s="172">
        <v>20</v>
      </c>
      <c r="F410" s="154">
        <f t="shared" si="437"/>
      </c>
      <c r="G410" s="172">
        <v>7271</v>
      </c>
      <c r="H410" s="156">
        <f t="shared" si="467"/>
      </c>
      <c r="I410" s="157">
        <f t="shared" si="377"/>
      </c>
      <c r="J410" s="158">
        <f t="shared" si="407"/>
      </c>
      <c r="K410" s="159">
        <f t="shared" si="317"/>
      </c>
      <c r="L410" s="160">
        <f t="shared" si="347"/>
      </c>
      <c r="M410" s="158">
        <f t="shared" si="227"/>
      </c>
      <c r="N410" s="161">
        <f t="shared" si="257"/>
      </c>
      <c r="O410" s="161">
        <f t="shared" si="287"/>
      </c>
      <c r="P410" s="161">
        <f t="shared" si="167"/>
      </c>
      <c r="Q410" s="161">
        <f t="shared" si="197"/>
      </c>
      <c r="R410" s="158">
        <f t="shared" si="107"/>
      </c>
      <c r="S410" s="159">
        <f t="shared" si="137"/>
      </c>
      <c r="T410" s="161">
        <f t="shared" si="47"/>
      </c>
      <c r="U410" s="161">
        <f t="shared" si="77"/>
      </c>
      <c r="V410" s="161">
        <f t="shared" si="497"/>
      </c>
      <c r="W410" s="161">
        <f t="shared" si="17"/>
      </c>
      <c r="X410" s="169" t="s">
        <v>107</v>
      </c>
      <c r="Y410" s="163" t="s">
        <v>132</v>
      </c>
      <c r="Z410" s="166">
        <v>176212</v>
      </c>
      <c r="AA410" s="166">
        <v>27535</v>
      </c>
      <c r="AB410" s="166">
        <v>395381</v>
      </c>
      <c r="AC410" s="166">
        <v>960</v>
      </c>
      <c r="AD410" s="166">
        <v>19</v>
      </c>
      <c r="AE410" s="166">
        <v>31502</v>
      </c>
      <c r="AF410" s="166">
        <v>261</v>
      </c>
      <c r="AG410" s="166">
        <v>72</v>
      </c>
      <c r="AH410" s="166">
        <v>39</v>
      </c>
      <c r="AI410" s="167">
        <v>4</v>
      </c>
    </row>
    <row r="411">
      <c r="A411" s="149"/>
      <c r="B411" s="150" t="s">
        <v>118</v>
      </c>
      <c r="C411" s="194" t="s">
        <v>115</v>
      </c>
      <c r="D411" s="171">
        <v>4253.224</v>
      </c>
      <c r="E411" s="172">
        <v>10</v>
      </c>
      <c r="F411" s="154">
        <f t="shared" si="437"/>
      </c>
      <c r="G411" s="172">
        <v>3416</v>
      </c>
      <c r="H411" s="156">
        <f t="shared" si="467"/>
      </c>
      <c r="I411" s="157">
        <f t="shared" si="377"/>
      </c>
      <c r="J411" s="158">
        <f t="shared" si="407"/>
      </c>
      <c r="K411" s="159">
        <f t="shared" si="317"/>
      </c>
      <c r="L411" s="174">
        <f t="shared" si="347"/>
      </c>
      <c r="M411" s="175">
        <f t="shared" si="227"/>
      </c>
      <c r="N411" s="176">
        <f t="shared" si="257"/>
      </c>
      <c r="O411" s="176">
        <f t="shared" si="287"/>
      </c>
      <c r="P411" s="176">
        <f t="shared" si="167"/>
      </c>
      <c r="Q411" s="176">
        <f t="shared" si="197"/>
      </c>
      <c r="R411" s="175">
        <f t="shared" si="107"/>
      </c>
      <c r="S411" s="177">
        <f t="shared" si="137"/>
      </c>
      <c r="T411" s="176">
        <f t="shared" si="47"/>
      </c>
      <c r="U411" s="176">
        <f t="shared" si="77"/>
      </c>
      <c r="V411" s="176">
        <f t="shared" si="497"/>
      </c>
      <c r="W411" s="176">
        <f t="shared" si="17"/>
      </c>
      <c r="X411" s="169" t="s">
        <v>107</v>
      </c>
      <c r="Y411" s="163" t="s">
        <v>132</v>
      </c>
      <c r="Z411" s="166">
        <v>133909</v>
      </c>
      <c r="AA411" s="166">
        <v>22029</v>
      </c>
      <c r="AB411" s="166">
        <v>223490</v>
      </c>
      <c r="AC411" s="166">
        <v>827</v>
      </c>
      <c r="AD411" s="166">
        <v>9</v>
      </c>
      <c r="AE411" s="166">
        <v>19015</v>
      </c>
      <c r="AF411" s="166">
        <v>273</v>
      </c>
      <c r="AG411" s="166">
        <v>66</v>
      </c>
      <c r="AH411" s="165">
        <v>28</v>
      </c>
      <c r="AI411" s="167">
        <v>0</v>
      </c>
    </row>
    <row r="412">
      <c r="A412" s="149"/>
      <c r="B412" s="150" t="s">
        <v>118</v>
      </c>
      <c r="C412" s="196" t="s">
        <v>116</v>
      </c>
      <c r="D412" s="195">
        <v>3334.195</v>
      </c>
      <c r="E412" s="172">
        <v>9</v>
      </c>
      <c r="F412" s="154">
        <f t="shared" si="437"/>
      </c>
      <c r="G412" s="172">
        <v>3614.4000000000015</v>
      </c>
      <c r="H412" s="156">
        <f t="shared" si="467"/>
      </c>
      <c r="I412" s="157">
        <f t="shared" si="377"/>
      </c>
      <c r="J412" s="158">
        <f t="shared" si="407"/>
      </c>
      <c r="K412" s="159">
        <f t="shared" si="317"/>
      </c>
      <c r="L412" s="174">
        <f t="shared" si="347"/>
      </c>
      <c r="M412" s="175">
        <f t="shared" si="227"/>
      </c>
      <c r="N412" s="176">
        <f t="shared" si="257"/>
      </c>
      <c r="O412" s="176">
        <f t="shared" si="287"/>
      </c>
      <c r="P412" s="176">
        <f t="shared" si="167"/>
      </c>
      <c r="Q412" s="176">
        <f t="shared" si="197"/>
      </c>
      <c r="R412" s="175">
        <f t="shared" si="107"/>
      </c>
      <c r="S412" s="177">
        <f t="shared" si="137"/>
      </c>
      <c r="T412" s="176">
        <f t="shared" si="47"/>
      </c>
      <c r="U412" s="176">
        <f t="shared" si="77"/>
      </c>
      <c r="V412" s="176">
        <f t="shared" si="497"/>
      </c>
      <c r="W412" s="176">
        <f t="shared" si="17"/>
      </c>
      <c r="X412" s="169" t="s">
        <v>107</v>
      </c>
      <c r="Y412" s="163" t="s">
        <v>132</v>
      </c>
      <c r="Z412" s="166">
        <v>108691</v>
      </c>
      <c r="AA412" s="166">
        <v>20352</v>
      </c>
      <c r="AB412" s="166">
        <v>167897</v>
      </c>
      <c r="AC412" s="166">
        <v>741</v>
      </c>
      <c r="AD412" s="166">
        <v>9</v>
      </c>
      <c r="AE412" s="166">
        <v>14147</v>
      </c>
      <c r="AF412" s="166">
        <v>212</v>
      </c>
      <c r="AG412" s="166">
        <v>51</v>
      </c>
      <c r="AH412" s="165">
        <v>12</v>
      </c>
      <c r="AI412" s="167">
        <v>1</v>
      </c>
    </row>
    <row r="413">
      <c r="A413" s="149"/>
      <c r="B413" s="178" t="s">
        <v>112</v>
      </c>
      <c r="C413" s="178"/>
      <c r="D413" s="179">
        <f>SUM(D409:D412)</f>
      </c>
      <c r="E413" s="180">
        <f>SUM(E409:E412)</f>
      </c>
      <c r="F413" s="181">
        <f t="shared" si="437"/>
      </c>
      <c r="G413" s="182">
        <f>SUM(G409:G412)</f>
      </c>
      <c r="H413" s="183">
        <f t="shared" si="467"/>
      </c>
      <c r="I413" s="184">
        <f t="shared" si="377"/>
      </c>
      <c r="J413" s="185">
        <f t="shared" si="407"/>
      </c>
      <c r="K413" s="181">
        <f t="shared" si="317"/>
      </c>
      <c r="L413" s="186">
        <f t="shared" si="347"/>
      </c>
      <c r="M413" s="185">
        <f t="shared" si="227"/>
      </c>
      <c r="N413" s="187">
        <f t="shared" si="257"/>
      </c>
      <c r="O413" s="187">
        <f t="shared" si="287"/>
      </c>
      <c r="P413" s="187">
        <f t="shared" si="167"/>
      </c>
      <c r="Q413" s="187">
        <f t="shared" si="197"/>
      </c>
      <c r="R413" s="185">
        <f t="shared" si="107"/>
      </c>
      <c r="S413" s="181">
        <f t="shared" si="137"/>
      </c>
      <c r="T413" s="187">
        <f t="shared" si="47"/>
      </c>
      <c r="U413" s="187">
        <f t="shared" si="77"/>
      </c>
      <c r="V413" s="187">
        <f t="shared" si="497"/>
      </c>
      <c r="W413" s="187">
        <f t="shared" si="17"/>
      </c>
      <c r="X413" s="187"/>
      <c r="Y413" s="188"/>
      <c r="Z413" s="179">
        <f>SUM(Z409:Z412)</f>
      </c>
      <c r="AA413" s="179">
        <f>SUM(AA409:AA412)</f>
      </c>
      <c r="AB413" s="179">
        <f>SUM(AB409:AB412)</f>
      </c>
      <c r="AC413" s="179">
        <f>SUM(AC409:AC412)</f>
      </c>
      <c r="AD413" s="179">
        <f>SUM(AD409:AD412)</f>
      </c>
      <c r="AE413" s="179">
        <f>SUM(AE409:AE412)</f>
      </c>
      <c r="AF413" s="179">
        <f>SUM(AF409:AF412)</f>
      </c>
      <c r="AG413" s="179">
        <f>SUM(AG409:AG412)</f>
      </c>
      <c r="AH413" s="179">
        <f>SUM(AH409:AH412)</f>
      </c>
      <c r="AI413" s="179">
        <f>SUM(AI409:AI412)</f>
      </c>
    </row>
    <row r="414">
      <c r="A414" s="149"/>
      <c r="B414" s="150" t="s">
        <v>124</v>
      </c>
      <c r="C414" s="197" t="s">
        <v>117</v>
      </c>
      <c r="D414" s="171">
        <v>3339.699</v>
      </c>
      <c r="E414" s="172">
        <v>16</v>
      </c>
      <c r="F414" s="154">
        <f t="shared" si="437"/>
      </c>
      <c r="G414" s="172">
        <v>5282.3</v>
      </c>
      <c r="H414" s="156">
        <f t="shared" si="467"/>
      </c>
      <c r="I414" s="157">
        <f t="shared" si="377"/>
      </c>
      <c r="J414" s="158">
        <f t="shared" si="407"/>
      </c>
      <c r="K414" s="159">
        <f t="shared" si="317"/>
      </c>
      <c r="L414" s="160">
        <f t="shared" si="347"/>
      </c>
      <c r="M414" s="158">
        <f t="shared" si="227"/>
      </c>
      <c r="N414" s="161">
        <f t="shared" si="257"/>
      </c>
      <c r="O414" s="161">
        <f t="shared" si="287"/>
      </c>
      <c r="P414" s="161">
        <f t="shared" si="167"/>
      </c>
      <c r="Q414" s="161">
        <f t="shared" si="197"/>
      </c>
      <c r="R414" s="158">
        <f t="shared" si="107"/>
      </c>
      <c r="S414" s="159">
        <f t="shared" si="137"/>
      </c>
      <c r="T414" s="161">
        <f t="shared" si="47"/>
      </c>
      <c r="U414" s="161">
        <f t="shared" si="77"/>
      </c>
      <c r="V414" s="161">
        <f t="shared" si="497"/>
      </c>
      <c r="W414" s="161">
        <f t="shared" si="17"/>
      </c>
      <c r="X414" s="197" t="s">
        <v>142</v>
      </c>
      <c r="Y414" s="163" t="s">
        <v>132</v>
      </c>
      <c r="Z414" s="166">
        <v>110892</v>
      </c>
      <c r="AA414" s="166">
        <v>22215</v>
      </c>
      <c r="AB414" s="166">
        <v>163591</v>
      </c>
      <c r="AC414" s="166">
        <v>766</v>
      </c>
      <c r="AD414" s="166">
        <v>14</v>
      </c>
      <c r="AE414" s="166">
        <v>14472</v>
      </c>
      <c r="AF414" s="166">
        <v>273</v>
      </c>
      <c r="AG414" s="166">
        <v>54</v>
      </c>
      <c r="AH414" s="165">
        <v>19</v>
      </c>
      <c r="AI414" s="167">
        <v>1</v>
      </c>
    </row>
    <row r="415">
      <c r="A415" s="149"/>
      <c r="B415" s="150" t="s">
        <v>124</v>
      </c>
      <c r="C415" s="194" t="s">
        <v>119</v>
      </c>
      <c r="D415" s="171">
        <v>4890.394</v>
      </c>
      <c r="E415" s="172">
        <v>10</v>
      </c>
      <c r="F415" s="154">
        <f t="shared" si="437"/>
      </c>
      <c r="G415" s="172">
        <v>2184.7</v>
      </c>
      <c r="H415" s="156">
        <f t="shared" si="467"/>
      </c>
      <c r="I415" s="157">
        <f t="shared" si="377"/>
      </c>
      <c r="J415" s="158">
        <f t="shared" si="407"/>
      </c>
      <c r="K415" s="159">
        <f t="shared" si="317"/>
      </c>
      <c r="L415" s="174">
        <f t="shared" si="347"/>
      </c>
      <c r="M415" s="175">
        <f t="shared" si="227"/>
      </c>
      <c r="N415" s="176">
        <f t="shared" si="257"/>
      </c>
      <c r="O415" s="176">
        <f t="shared" si="287"/>
      </c>
      <c r="P415" s="176">
        <f t="shared" si="167"/>
      </c>
      <c r="Q415" s="176">
        <f t="shared" si="197"/>
      </c>
      <c r="R415" s="175">
        <f t="shared" si="107"/>
      </c>
      <c r="S415" s="177">
        <f t="shared" si="137"/>
      </c>
      <c r="T415" s="176">
        <f t="shared" si="47"/>
      </c>
      <c r="U415" s="176">
        <f t="shared" si="77"/>
      </c>
      <c r="V415" s="176">
        <f t="shared" si="497"/>
      </c>
      <c r="W415" s="176">
        <f t="shared" si="17"/>
      </c>
      <c r="X415" s="197" t="s">
        <v>142</v>
      </c>
      <c r="Y415" s="163" t="s">
        <v>108</v>
      </c>
      <c r="Z415" s="166">
        <v>131721</v>
      </c>
      <c r="AA415" s="166">
        <v>23795</v>
      </c>
      <c r="AB415" s="166">
        <v>225738</v>
      </c>
      <c r="AC415" s="166">
        <v>711</v>
      </c>
      <c r="AD415" s="166">
        <v>9</v>
      </c>
      <c r="AE415" s="166">
        <v>17591</v>
      </c>
      <c r="AF415" s="166">
        <v>380</v>
      </c>
      <c r="AG415" s="166">
        <v>63</v>
      </c>
      <c r="AH415" s="165">
        <v>20</v>
      </c>
      <c r="AI415" s="167">
        <v>1</v>
      </c>
    </row>
    <row r="416">
      <c r="A416" s="149"/>
      <c r="B416" s="150" t="s">
        <v>124</v>
      </c>
      <c r="C416" s="194" t="s">
        <v>121</v>
      </c>
      <c r="D416" s="195">
        <v>2877.711</v>
      </c>
      <c r="E416" s="172">
        <v>9</v>
      </c>
      <c r="F416" s="154">
        <f t="shared" si="437"/>
      </c>
      <c r="G416" s="172">
        <v>3136</v>
      </c>
      <c r="H416" s="156">
        <f t="shared" si="467"/>
      </c>
      <c r="I416" s="157">
        <f t="shared" si="377"/>
      </c>
      <c r="J416" s="158">
        <f t="shared" si="407"/>
      </c>
      <c r="K416" s="159">
        <f t="shared" si="317"/>
      </c>
      <c r="L416" s="174">
        <f t="shared" si="347"/>
      </c>
      <c r="M416" s="175">
        <f t="shared" si="227"/>
      </c>
      <c r="N416" s="176">
        <f t="shared" si="257"/>
      </c>
      <c r="O416" s="176">
        <f t="shared" si="287"/>
      </c>
      <c r="P416" s="176">
        <f t="shared" si="167"/>
      </c>
      <c r="Q416" s="176">
        <f t="shared" si="197"/>
      </c>
      <c r="R416" s="175">
        <f t="shared" si="107"/>
      </c>
      <c r="S416" s="177">
        <f t="shared" si="137"/>
      </c>
      <c r="T416" s="176">
        <f t="shared" si="47"/>
      </c>
      <c r="U416" s="176">
        <f t="shared" si="77"/>
      </c>
      <c r="V416" s="176">
        <f t="shared" si="497"/>
      </c>
      <c r="W416" s="176">
        <f t="shared" si="17"/>
      </c>
      <c r="X416" s="197" t="s">
        <v>142</v>
      </c>
      <c r="Y416" s="163" t="s">
        <v>108</v>
      </c>
      <c r="Z416" s="166">
        <v>95842</v>
      </c>
      <c r="AA416" s="166">
        <v>17723</v>
      </c>
      <c r="AB416" s="166">
        <v>117817</v>
      </c>
      <c r="AC416" s="166">
        <v>339</v>
      </c>
      <c r="AD416" s="166">
        <v>5</v>
      </c>
      <c r="AE416" s="166">
        <v>11211</v>
      </c>
      <c r="AF416" s="166">
        <v>217</v>
      </c>
      <c r="AG416" s="166">
        <v>51</v>
      </c>
      <c r="AH416" s="165">
        <v>9</v>
      </c>
      <c r="AI416" s="167">
        <v>0</v>
      </c>
    </row>
    <row r="417">
      <c r="A417" s="149"/>
      <c r="B417" s="150" t="s">
        <v>124</v>
      </c>
      <c r="C417" s="196" t="s">
        <v>122</v>
      </c>
      <c r="D417" s="195">
        <v>4815.95</v>
      </c>
      <c r="E417" s="172">
        <v>5</v>
      </c>
      <c r="F417" s="154">
        <f t="shared" si="437"/>
      </c>
      <c r="G417" s="172">
        <v>1813.2</v>
      </c>
      <c r="H417" s="156">
        <f t="shared" si="467"/>
      </c>
      <c r="I417" s="157">
        <f t="shared" si="377"/>
      </c>
      <c r="J417" s="158">
        <f t="shared" si="407"/>
      </c>
      <c r="K417" s="159">
        <f t="shared" si="317"/>
      </c>
      <c r="L417" s="174">
        <f t="shared" si="347"/>
      </c>
      <c r="M417" s="175">
        <f t="shared" si="227"/>
      </c>
      <c r="N417" s="176">
        <f t="shared" si="257"/>
      </c>
      <c r="O417" s="176">
        <f t="shared" si="287"/>
      </c>
      <c r="P417" s="176">
        <f t="shared" si="167"/>
      </c>
      <c r="Q417" s="176">
        <f t="shared" si="197"/>
      </c>
      <c r="R417" s="175">
        <f t="shared" si="107"/>
      </c>
      <c r="S417" s="177">
        <f t="shared" si="137"/>
      </c>
      <c r="T417" s="176">
        <f t="shared" si="47"/>
      </c>
      <c r="U417" s="176">
        <f t="shared" si="77"/>
      </c>
      <c r="V417" s="176">
        <f t="shared" si="497"/>
      </c>
      <c r="W417" s="176">
        <f t="shared" si="17"/>
      </c>
      <c r="X417" s="197" t="s">
        <v>142</v>
      </c>
      <c r="Y417" s="163" t="s">
        <v>108</v>
      </c>
      <c r="Z417" s="166">
        <v>177517</v>
      </c>
      <c r="AA417" s="166">
        <v>29096</v>
      </c>
      <c r="AB417" s="166">
        <v>254241</v>
      </c>
      <c r="AC417" s="166">
        <v>705</v>
      </c>
      <c r="AD417" s="166">
        <v>8</v>
      </c>
      <c r="AE417" s="166">
        <v>21743</v>
      </c>
      <c r="AF417" s="166">
        <v>270</v>
      </c>
      <c r="AG417" s="166">
        <v>76</v>
      </c>
      <c r="AH417" s="165">
        <v>15</v>
      </c>
      <c r="AI417" s="167">
        <v>1</v>
      </c>
    </row>
    <row r="418">
      <c r="A418" s="149"/>
      <c r="B418" s="178" t="s">
        <v>112</v>
      </c>
      <c r="C418" s="178"/>
      <c r="D418" s="179">
        <f>SUM(D414:D417)</f>
      </c>
      <c r="E418" s="179">
        <f>SUM(E414:E417)</f>
      </c>
      <c r="F418" s="181">
        <f t="shared" si="437"/>
      </c>
      <c r="G418" s="182">
        <f>SUM(G414:G417)</f>
      </c>
      <c r="H418" s="183">
        <f t="shared" si="467"/>
      </c>
      <c r="I418" s="184">
        <f t="shared" si="377"/>
      </c>
      <c r="J418" s="185">
        <f t="shared" si="407"/>
      </c>
      <c r="K418" s="181">
        <f t="shared" si="317"/>
      </c>
      <c r="L418" s="186">
        <f t="shared" si="347"/>
      </c>
      <c r="M418" s="185">
        <f t="shared" si="227"/>
      </c>
      <c r="N418" s="187">
        <f t="shared" si="257"/>
      </c>
      <c r="O418" s="187">
        <f t="shared" si="287"/>
      </c>
      <c r="P418" s="187">
        <f t="shared" si="167"/>
      </c>
      <c r="Q418" s="187">
        <f t="shared" si="197"/>
      </c>
      <c r="R418" s="185">
        <f t="shared" si="107"/>
      </c>
      <c r="S418" s="181">
        <f t="shared" si="137"/>
      </c>
      <c r="T418" s="187">
        <f t="shared" si="47"/>
      </c>
      <c r="U418" s="187">
        <f t="shared" si="77"/>
      </c>
      <c r="V418" s="187">
        <f t="shared" si="497"/>
      </c>
      <c r="W418" s="187">
        <f t="shared" si="17"/>
      </c>
      <c r="X418" s="187"/>
      <c r="Y418" s="188"/>
      <c r="Z418" s="179">
        <f>SUM(Z414:Z417)</f>
      </c>
      <c r="AA418" s="179">
        <f>SUM(AA414:AA417)</f>
      </c>
      <c r="AB418" s="179">
        <f>SUM(AB414:AB417)</f>
      </c>
      <c r="AC418" s="179">
        <f>SUM(AC414:AC417)</f>
      </c>
      <c r="AD418" s="179">
        <f>SUM(AD414:AD417)</f>
      </c>
      <c r="AE418" s="179">
        <f>SUM(AE414:AE417)</f>
      </c>
      <c r="AF418" s="179">
        <f>SUM(AF414:AF417)</f>
      </c>
      <c r="AG418" s="179">
        <f>SUM(AG414:AG417)</f>
      </c>
      <c r="AH418" s="179">
        <f>SUM(AH414:AH417)</f>
      </c>
      <c r="AI418" s="179">
        <f>SUM(AI414:AI417)</f>
      </c>
    </row>
    <row r="419">
      <c r="A419" s="149"/>
      <c r="B419" s="150" t="s">
        <v>131</v>
      </c>
      <c r="C419" s="197" t="s">
        <v>123</v>
      </c>
      <c r="D419" s="198">
        <v>2356.092</v>
      </c>
      <c r="E419" s="153">
        <v>6</v>
      </c>
      <c r="F419" s="154">
        <f t="shared" si="437"/>
      </c>
      <c r="G419" s="155">
        <v>1272</v>
      </c>
      <c r="H419" s="156">
        <f t="shared" si="467"/>
      </c>
      <c r="I419" s="157">
        <f t="shared" si="377"/>
      </c>
      <c r="J419" s="158">
        <f t="shared" si="407"/>
      </c>
      <c r="K419" s="159">
        <f t="shared" si="317"/>
      </c>
      <c r="L419" s="174">
        <f t="shared" si="347"/>
      </c>
      <c r="M419" s="175">
        <f t="shared" si="227"/>
      </c>
      <c r="N419" s="176">
        <f t="shared" si="257"/>
      </c>
      <c r="O419" s="176">
        <f t="shared" si="287"/>
      </c>
      <c r="P419" s="176">
        <f t="shared" si="167"/>
      </c>
      <c r="Q419" s="176">
        <f t="shared" si="197"/>
      </c>
      <c r="R419" s="175">
        <f t="shared" si="107"/>
      </c>
      <c r="S419" s="177">
        <f t="shared" si="137"/>
      </c>
      <c r="T419" s="176">
        <f t="shared" si="47"/>
      </c>
      <c r="U419" s="176">
        <f t="shared" si="77"/>
      </c>
      <c r="V419" s="176">
        <f t="shared" si="497"/>
      </c>
      <c r="W419" s="176">
        <f t="shared" si="17"/>
      </c>
      <c r="X419" s="169" t="s">
        <v>142</v>
      </c>
      <c r="Y419" s="163" t="s">
        <v>108</v>
      </c>
      <c r="Z419" s="166">
        <v>98678</v>
      </c>
      <c r="AA419" s="166">
        <v>16517</v>
      </c>
      <c r="AB419" s="166">
        <v>108821</v>
      </c>
      <c r="AC419" s="199">
        <v>392</v>
      </c>
      <c r="AD419" s="199">
        <v>6</v>
      </c>
      <c r="AE419" s="199">
        <v>8439</v>
      </c>
      <c r="AF419" s="199">
        <v>229</v>
      </c>
      <c r="AG419" s="199">
        <v>44</v>
      </c>
      <c r="AH419" s="199">
        <v>11</v>
      </c>
      <c r="AI419" s="167">
        <v>0</v>
      </c>
    </row>
    <row r="420">
      <c r="A420" s="149"/>
      <c r="B420" s="150" t="s">
        <v>131</v>
      </c>
      <c r="C420" s="194" t="s">
        <v>125</v>
      </c>
      <c r="D420" s="198">
        <v>2621.003</v>
      </c>
      <c r="E420" s="153">
        <v>8</v>
      </c>
      <c r="F420" s="154">
        <f t="shared" si="437"/>
      </c>
      <c r="G420" s="155">
        <v>3937.9</v>
      </c>
      <c r="H420" s="156">
        <f t="shared" si="467"/>
      </c>
      <c r="I420" s="157">
        <f t="shared" si="377"/>
      </c>
      <c r="J420" s="158">
        <f t="shared" si="407"/>
      </c>
      <c r="K420" s="159">
        <f t="shared" si="317"/>
      </c>
      <c r="L420" s="174">
        <f t="shared" si="347"/>
      </c>
      <c r="M420" s="175">
        <f t="shared" si="227"/>
      </c>
      <c r="N420" s="176">
        <f t="shared" si="257"/>
      </c>
      <c r="O420" s="176">
        <f t="shared" si="287"/>
      </c>
      <c r="P420" s="176">
        <f t="shared" si="167"/>
      </c>
      <c r="Q420" s="176">
        <f t="shared" si="197"/>
      </c>
      <c r="R420" s="175">
        <f t="shared" si="107"/>
      </c>
      <c r="S420" s="177">
        <f t="shared" si="137"/>
      </c>
      <c r="T420" s="176">
        <f t="shared" si="47"/>
      </c>
      <c r="U420" s="176">
        <f t="shared" si="77"/>
      </c>
      <c r="V420" s="176">
        <f t="shared" si="497"/>
      </c>
      <c r="W420" s="176">
        <f t="shared" si="17"/>
      </c>
      <c r="X420" s="169" t="s">
        <v>142</v>
      </c>
      <c r="Y420" s="163" t="s">
        <v>108</v>
      </c>
      <c r="Z420" s="166">
        <v>110638</v>
      </c>
      <c r="AA420" s="166">
        <v>19616</v>
      </c>
      <c r="AB420" s="166">
        <v>142262</v>
      </c>
      <c r="AC420" s="199">
        <v>464</v>
      </c>
      <c r="AD420" s="199">
        <v>7</v>
      </c>
      <c r="AE420" s="199">
        <v>10088</v>
      </c>
      <c r="AF420" s="199">
        <v>288</v>
      </c>
      <c r="AG420" s="199">
        <v>41</v>
      </c>
      <c r="AH420" s="199">
        <v>8</v>
      </c>
      <c r="AI420" s="167">
        <v>2</v>
      </c>
    </row>
    <row r="421">
      <c r="A421" s="149"/>
      <c r="B421" s="150" t="s">
        <v>131</v>
      </c>
      <c r="C421" s="194" t="s">
        <v>126</v>
      </c>
      <c r="D421" s="171">
        <v>2969.521</v>
      </c>
      <c r="E421" s="172">
        <v>7</v>
      </c>
      <c r="F421" s="154">
        <f t="shared" si="437"/>
      </c>
      <c r="G421" s="172">
        <v>1996.2</v>
      </c>
      <c r="H421" s="156">
        <f t="shared" si="467"/>
      </c>
      <c r="I421" s="157">
        <f t="shared" si="377"/>
      </c>
      <c r="J421" s="158">
        <f t="shared" si="407"/>
      </c>
      <c r="K421" s="159">
        <f t="shared" si="317"/>
      </c>
      <c r="L421" s="174">
        <f t="shared" si="347"/>
      </c>
      <c r="M421" s="175">
        <f t="shared" si="227"/>
      </c>
      <c r="N421" s="176">
        <f t="shared" si="257"/>
      </c>
      <c r="O421" s="176">
        <f t="shared" si="287"/>
      </c>
      <c r="P421" s="176">
        <f t="shared" si="167"/>
      </c>
      <c r="Q421" s="176">
        <f t="shared" si="197"/>
      </c>
      <c r="R421" s="175">
        <f t="shared" si="107"/>
      </c>
      <c r="S421" s="177">
        <f t="shared" si="137"/>
      </c>
      <c r="T421" s="176">
        <f t="shared" si="47"/>
      </c>
      <c r="U421" s="176">
        <f t="shared" si="77"/>
      </c>
      <c r="V421" s="176">
        <f t="shared" si="497"/>
      </c>
      <c r="W421" s="176">
        <f t="shared" si="17"/>
      </c>
      <c r="X421" s="169" t="s">
        <v>142</v>
      </c>
      <c r="Y421" s="163" t="s">
        <v>108</v>
      </c>
      <c r="Z421" s="166">
        <v>143425</v>
      </c>
      <c r="AA421" s="166">
        <v>24101</v>
      </c>
      <c r="AB421" s="166">
        <v>180396</v>
      </c>
      <c r="AC421" s="166">
        <v>542</v>
      </c>
      <c r="AD421" s="166">
        <v>6</v>
      </c>
      <c r="AE421" s="166">
        <v>12935</v>
      </c>
      <c r="AF421" s="166">
        <v>275</v>
      </c>
      <c r="AG421" s="166">
        <v>59</v>
      </c>
      <c r="AH421" s="165">
        <v>18</v>
      </c>
      <c r="AI421" s="167">
        <v>1</v>
      </c>
    </row>
    <row r="422">
      <c r="A422" s="149"/>
      <c r="B422" s="150" t="s">
        <v>131</v>
      </c>
      <c r="C422" s="196" t="s">
        <v>127</v>
      </c>
      <c r="D422" s="195">
        <v>3020.639</v>
      </c>
      <c r="E422" s="172">
        <v>8</v>
      </c>
      <c r="F422" s="154">
        <f t="shared" si="437"/>
      </c>
      <c r="G422" s="172">
        <v>2985.6</v>
      </c>
      <c r="H422" s="156">
        <f t="shared" si="467"/>
      </c>
      <c r="I422" s="157">
        <f t="shared" si="377"/>
      </c>
      <c r="J422" s="158">
        <f t="shared" si="407"/>
      </c>
      <c r="K422" s="159">
        <f t="shared" si="317"/>
      </c>
      <c r="L422" s="174">
        <f t="shared" si="347"/>
      </c>
      <c r="M422" s="175">
        <f t="shared" si="227"/>
      </c>
      <c r="N422" s="176">
        <f t="shared" si="257"/>
      </c>
      <c r="O422" s="176">
        <f t="shared" si="287"/>
      </c>
      <c r="P422" s="176">
        <f t="shared" si="167"/>
      </c>
      <c r="Q422" s="176">
        <f t="shared" si="197"/>
      </c>
      <c r="R422" s="175">
        <f t="shared" si="107"/>
      </c>
      <c r="S422" s="177">
        <f t="shared" si="137"/>
      </c>
      <c r="T422" s="176">
        <f t="shared" si="47"/>
      </c>
      <c r="U422" s="176">
        <f t="shared" si="77"/>
      </c>
      <c r="V422" s="176">
        <f t="shared" si="497"/>
      </c>
      <c r="W422" s="176">
        <f t="shared" si="17"/>
      </c>
      <c r="X422" s="169" t="s">
        <v>142</v>
      </c>
      <c r="Y422" s="163" t="s">
        <v>108</v>
      </c>
      <c r="Z422" s="166">
        <v>136116</v>
      </c>
      <c r="AA422" s="166">
        <v>17494</v>
      </c>
      <c r="AB422" s="166">
        <v>179721</v>
      </c>
      <c r="AC422" s="166">
        <v>417</v>
      </c>
      <c r="AD422" s="166">
        <v>7</v>
      </c>
      <c r="AE422" s="166">
        <v>11327</v>
      </c>
      <c r="AF422" s="166">
        <v>217</v>
      </c>
      <c r="AG422" s="166">
        <v>43</v>
      </c>
      <c r="AH422" s="165">
        <v>12</v>
      </c>
      <c r="AI422" s="167">
        <v>1</v>
      </c>
    </row>
    <row r="423">
      <c r="A423" s="149"/>
      <c r="B423" s="150" t="s">
        <v>131</v>
      </c>
      <c r="C423" s="194" t="s">
        <v>128</v>
      </c>
      <c r="D423" s="195">
        <f>1484.341+7.819+162.317</f>
      </c>
      <c r="E423" s="172">
        <v>6</v>
      </c>
      <c r="F423" s="154">
        <f t="shared" si="437"/>
      </c>
      <c r="G423" s="172">
        <v>1836.3</v>
      </c>
      <c r="H423" s="156">
        <f t="shared" si="467"/>
      </c>
      <c r="I423" s="157">
        <f t="shared" si="377"/>
      </c>
      <c r="J423" s="158">
        <f t="shared" si="407"/>
      </c>
      <c r="K423" s="159">
        <f t="shared" si="317"/>
      </c>
      <c r="L423" s="174">
        <f t="shared" si="347"/>
      </c>
      <c r="M423" s="175">
        <f t="shared" si="227"/>
      </c>
      <c r="N423" s="176">
        <f t="shared" si="257"/>
      </c>
      <c r="O423" s="176">
        <f t="shared" si="287"/>
      </c>
      <c r="P423" s="176">
        <f t="shared" si="167"/>
      </c>
      <c r="Q423" s="176">
        <f t="shared" si="197"/>
      </c>
      <c r="R423" s="175">
        <f t="shared" si="107"/>
      </c>
      <c r="S423" s="177">
        <f t="shared" si="137"/>
      </c>
      <c r="T423" s="176">
        <f t="shared" si="47"/>
      </c>
      <c r="U423" s="176">
        <f t="shared" si="77"/>
      </c>
      <c r="V423" s="176">
        <f t="shared" si="497"/>
      </c>
      <c r="W423" s="176">
        <f t="shared" si="17"/>
      </c>
      <c r="X423" s="169" t="s">
        <v>142</v>
      </c>
      <c r="Y423" s="163" t="s">
        <v>108</v>
      </c>
      <c r="Z423" s="166">
        <v>83544</v>
      </c>
      <c r="AA423" s="166">
        <v>10152</v>
      </c>
      <c r="AB423" s="166">
        <v>82547</v>
      </c>
      <c r="AC423" s="166">
        <v>138</v>
      </c>
      <c r="AD423" s="166">
        <v>4</v>
      </c>
      <c r="AE423" s="166">
        <v>5592</v>
      </c>
      <c r="AF423" s="166">
        <v>109</v>
      </c>
      <c r="AG423" s="166">
        <v>28</v>
      </c>
      <c r="AH423" s="165">
        <v>7</v>
      </c>
      <c r="AI423" s="167">
        <v>2</v>
      </c>
    </row>
    <row r="424">
      <c r="A424" s="149"/>
      <c r="B424" s="178" t="s">
        <v>112</v>
      </c>
      <c r="C424" s="178"/>
      <c r="D424" s="179">
        <f>SUM(D419:D423)</f>
      </c>
      <c r="E424" s="179">
        <f>SUM(E419:E423)</f>
      </c>
      <c r="F424" s="181">
        <f t="shared" si="437"/>
      </c>
      <c r="G424" s="182">
        <f>SUM(G419:G423)</f>
      </c>
      <c r="H424" s="183">
        <f t="shared" si="467"/>
      </c>
      <c r="I424" s="184">
        <f t="shared" si="377"/>
      </c>
      <c r="J424" s="185">
        <f t="shared" si="407"/>
      </c>
      <c r="K424" s="181">
        <f t="shared" si="317"/>
      </c>
      <c r="L424" s="186">
        <f t="shared" si="347"/>
      </c>
      <c r="M424" s="185">
        <f t="shared" si="227"/>
      </c>
      <c r="N424" s="187">
        <f t="shared" si="257"/>
      </c>
      <c r="O424" s="187">
        <f t="shared" si="287"/>
      </c>
      <c r="P424" s="187">
        <f t="shared" si="167"/>
      </c>
      <c r="Q424" s="187">
        <f t="shared" si="197"/>
      </c>
      <c r="R424" s="185">
        <f t="shared" si="107"/>
      </c>
      <c r="S424" s="181">
        <f t="shared" si="137"/>
      </c>
      <c r="T424" s="187">
        <f t="shared" si="47"/>
      </c>
      <c r="U424" s="187">
        <f t="shared" si="77"/>
      </c>
      <c r="V424" s="187">
        <f t="shared" si="497"/>
      </c>
      <c r="W424" s="187">
        <f t="shared" si="17"/>
      </c>
      <c r="X424" s="187"/>
      <c r="Y424" s="188"/>
      <c r="Z424" s="179">
        <f>SUM(Z419:Z423)</f>
      </c>
      <c r="AA424" s="179">
        <f>SUM(AA419:AA423)</f>
      </c>
      <c r="AB424" s="179">
        <f>SUM(AB419:AB423)</f>
      </c>
      <c r="AC424" s="179">
        <f>SUM(AC419:AC423)</f>
      </c>
      <c r="AD424" s="179">
        <f>SUM(AD419:AD423)</f>
      </c>
      <c r="AE424" s="179">
        <f>SUM(AE419:AE423)</f>
      </c>
      <c r="AF424" s="179">
        <f>SUM(AF419:AF423)</f>
      </c>
      <c r="AG424" s="179">
        <f>SUM(AG419:AG423)</f>
      </c>
      <c r="AH424" s="179">
        <f>SUM(AH419:AH423)</f>
      </c>
      <c r="AI424" s="179">
        <f>SUM(AI419:AI423)</f>
      </c>
    </row>
    <row r="425">
      <c r="A425" s="149"/>
      <c r="B425" s="202" t="s">
        <v>129</v>
      </c>
      <c r="C425" s="202"/>
      <c r="D425" s="203">
        <f>SUM(D424+D408+D413+D418)</f>
      </c>
      <c r="E425" s="204">
        <f>SUM(E424+E408+E413+E418)</f>
      </c>
      <c r="F425" s="205">
        <f t="shared" si="437"/>
      </c>
      <c r="G425" s="206">
        <f>SUM(G424+G408+G413+G418)</f>
      </c>
      <c r="H425" s="207">
        <f t="shared" si="467"/>
      </c>
      <c r="I425" s="208">
        <f t="shared" si="377"/>
      </c>
      <c r="J425" s="209">
        <f t="shared" si="407"/>
      </c>
      <c r="K425" s="205">
        <f t="shared" si="317"/>
      </c>
      <c r="L425" s="210">
        <f t="shared" si="347"/>
      </c>
      <c r="M425" s="210">
        <f t="shared" si="227"/>
      </c>
      <c r="N425" s="211">
        <f t="shared" si="257"/>
      </c>
      <c r="O425" s="211">
        <f t="shared" si="287"/>
      </c>
      <c r="P425" s="211">
        <f t="shared" si="167"/>
      </c>
      <c r="Q425" s="211">
        <f t="shared" si="197"/>
      </c>
      <c r="R425" s="212">
        <f t="shared" si="107"/>
      </c>
      <c r="S425" s="213">
        <f t="shared" si="137"/>
      </c>
      <c r="T425" s="214">
        <f t="shared" si="47"/>
      </c>
      <c r="U425" s="214">
        <f t="shared" si="77"/>
      </c>
      <c r="V425" s="214">
        <f t="shared" si="497"/>
      </c>
      <c r="W425" s="214">
        <f t="shared" si="17"/>
      </c>
      <c r="X425" s="214"/>
      <c r="Y425" s="215"/>
      <c r="Z425" s="216">
        <f>SUM(Z408+Z424+Z413+Z418)</f>
      </c>
      <c r="AA425" s="216">
        <f>SUM(AA408+AA424+AA413+AA418)</f>
      </c>
      <c r="AB425" s="216">
        <f>SUM(AB408+AB424+AB413+AB418)</f>
      </c>
      <c r="AC425" s="216">
        <f>SUM(AC408+AC424+AC413+AC418)</f>
      </c>
      <c r="AD425" s="216">
        <f>SUM(AD408+AD424+AD413+AD418)</f>
      </c>
      <c r="AE425" s="216">
        <f>SUM(AE408+AE424+AE413+AE418)</f>
      </c>
      <c r="AF425" s="216">
        <f>SUM(AF408+AF424+AF413+AF418)</f>
      </c>
      <c r="AG425" s="216">
        <f>SUM(AG408+AG424+AG413+AG418)</f>
      </c>
      <c r="AH425" s="216">
        <f>SUM(AH408+AH424+AH413+AH418)</f>
      </c>
      <c r="AI425" s="216">
        <f>SUM(AI408+AI424+AI413+AI418)</f>
      </c>
    </row>
    <row r="426">
      <c r="A426" s="133" t="s">
        <v>70</v>
      </c>
      <c r="B426" s="134" t="s">
        <v>71</v>
      </c>
      <c r="C426" s="135" t="s">
        <v>72</v>
      </c>
      <c r="D426" s="136" t="s">
        <v>73</v>
      </c>
      <c r="E426" s="137" t="s">
        <v>74</v>
      </c>
      <c r="F426" s="138" t="s">
        <v>75</v>
      </c>
      <c r="G426" s="139" t="s">
        <v>76</v>
      </c>
      <c r="H426" s="138" t="s">
        <v>77</v>
      </c>
      <c r="I426" s="139" t="s">
        <v>78</v>
      </c>
      <c r="J426" s="140" t="s">
        <v>79</v>
      </c>
      <c r="K426" s="140" t="s">
        <v>80</v>
      </c>
      <c r="L426" s="141" t="s">
        <v>81</v>
      </c>
      <c r="M426" s="141" t="s">
        <v>82</v>
      </c>
      <c r="N426" s="141" t="s">
        <v>83</v>
      </c>
      <c r="O426" s="141" t="s">
        <v>84</v>
      </c>
      <c r="P426" s="141" t="s">
        <v>85</v>
      </c>
      <c r="Q426" s="141" t="s">
        <v>86</v>
      </c>
      <c r="R426" s="141" t="s">
        <v>87</v>
      </c>
      <c r="S426" s="141" t="s">
        <v>88</v>
      </c>
      <c r="T426" s="142" t="s">
        <v>89</v>
      </c>
      <c r="U426" s="142" t="s">
        <v>90</v>
      </c>
      <c r="V426" s="142" t="s">
        <v>91</v>
      </c>
      <c r="W426" s="142" t="s">
        <v>92</v>
      </c>
      <c r="X426" s="143" t="s">
        <v>93</v>
      </c>
      <c r="Y426" s="143" t="s">
        <v>94</v>
      </c>
      <c r="Z426" s="144" t="s">
        <v>95</v>
      </c>
      <c r="AA426" s="144" t="s">
        <v>96</v>
      </c>
      <c r="AB426" s="144" t="s">
        <v>97</v>
      </c>
      <c r="AC426" s="145" t="s">
        <v>98</v>
      </c>
      <c r="AD426" s="145" t="s">
        <v>99</v>
      </c>
      <c r="AE426" s="146" t="s">
        <v>100</v>
      </c>
      <c r="AF426" s="145" t="s">
        <v>101</v>
      </c>
      <c r="AG426" s="145" t="s">
        <v>102</v>
      </c>
      <c r="AH426" s="147" t="s">
        <v>103</v>
      </c>
      <c r="AI426" s="148" t="s">
        <v>104</v>
      </c>
    </row>
    <row r="427">
      <c r="A427" s="149">
        <v>46284</v>
      </c>
      <c r="B427" s="150" t="s">
        <v>105</v>
      </c>
      <c r="C427" s="151" t="s">
        <v>135</v>
      </c>
      <c r="D427" s="152">
        <v>1637.799</v>
      </c>
      <c r="E427" s="153">
        <v>6</v>
      </c>
      <c r="F427" s="154">
        <f t="shared" ref="F427:F449" si="438">D427/E427</f>
      </c>
      <c r="G427" s="155">
        <v>1968</v>
      </c>
      <c r="H427" s="156">
        <f t="shared" ref="H427:H449" si="468">AD427</f>
      </c>
      <c r="I427" s="157">
        <f t="shared" ref="I427:I449" si="378">D427/AD427</f>
      </c>
      <c r="J427" s="158">
        <f t="shared" ref="J427:J449" si="408">G427/E427</f>
      </c>
      <c r="K427" s="159">
        <f t="shared" ref="K427:K449" si="318">G427/D427</f>
      </c>
      <c r="L427" s="160">
        <f t="shared" ref="L427:L449" si="348">D427/AB427</f>
      </c>
      <c r="M427" s="158">
        <f t="shared" ref="M427:M449" si="228">D427/AC427</f>
      </c>
      <c r="N427" s="161">
        <f t="shared" ref="N427:N449" si="258">AC427/AB427</f>
      </c>
      <c r="O427" s="161">
        <f t="shared" ref="O427:O449" si="288">AD427/AC427</f>
      </c>
      <c r="P427" s="161">
        <f t="shared" ref="P427:P449" si="168">AA427/Z427</f>
      </c>
      <c r="Q427" s="161">
        <f t="shared" ref="Q427:Q449" si="198">AD427/AA427</f>
      </c>
      <c r="R427" s="158">
        <f t="shared" ref="R427:R449" si="108">D427/Z427*1000</f>
      </c>
      <c r="S427" s="159">
        <f t="shared" ref="S427:S449" si="138">D427/AA427</f>
      </c>
      <c r="T427" s="161">
        <f t="shared" ref="T427:T449" si="48">AE427/AB427</f>
      </c>
      <c r="U427" s="161">
        <f t="shared" ref="U427:U449" si="78">AF427/AB427</f>
      </c>
      <c r="V427" s="161">
        <f t="shared" ref="V427:V449" si="498">AG427/AB427</f>
      </c>
      <c r="W427" s="161">
        <f t="shared" ref="W427:W449" si="18">AH427/AB427</f>
      </c>
      <c r="X427" s="162" t="s">
        <v>107</v>
      </c>
      <c r="Y427" s="163" t="s">
        <v>132</v>
      </c>
      <c r="Z427" s="164">
        <v>63961</v>
      </c>
      <c r="AA427" s="164">
        <v>29276</v>
      </c>
      <c r="AB427" s="164">
        <v>77389</v>
      </c>
      <c r="AC427" s="164">
        <v>653</v>
      </c>
      <c r="AD427" s="165">
        <v>5</v>
      </c>
      <c r="AE427" s="164">
        <v>14036</v>
      </c>
      <c r="AF427" s="166">
        <v>192</v>
      </c>
      <c r="AG427" s="166">
        <v>64</v>
      </c>
      <c r="AH427" s="166">
        <v>15</v>
      </c>
      <c r="AI427" s="167">
        <v>0</v>
      </c>
    </row>
    <row r="428">
      <c r="A428" s="149"/>
      <c r="B428" s="150" t="s">
        <v>105</v>
      </c>
      <c r="C428" s="168" t="s">
        <v>136</v>
      </c>
      <c r="D428" s="152">
        <v>3711.802</v>
      </c>
      <c r="E428" s="153">
        <v>8</v>
      </c>
      <c r="F428" s="154">
        <f t="shared" si="438"/>
      </c>
      <c r="G428" s="155">
        <v>2413.2</v>
      </c>
      <c r="H428" s="156">
        <f t="shared" si="468"/>
      </c>
      <c r="I428" s="157">
        <f t="shared" si="378"/>
      </c>
      <c r="J428" s="158">
        <f t="shared" si="408"/>
      </c>
      <c r="K428" s="159">
        <f t="shared" si="318"/>
      </c>
      <c r="L428" s="160">
        <f t="shared" si="348"/>
      </c>
      <c r="M428" s="158">
        <f t="shared" si="228"/>
      </c>
      <c r="N428" s="161">
        <f t="shared" si="258"/>
      </c>
      <c r="O428" s="161">
        <f t="shared" si="288"/>
      </c>
      <c r="P428" s="161">
        <f t="shared" si="168"/>
      </c>
      <c r="Q428" s="161">
        <f t="shared" si="198"/>
      </c>
      <c r="R428" s="158">
        <f t="shared" si="108"/>
      </c>
      <c r="S428" s="159">
        <f t="shared" si="138"/>
      </c>
      <c r="T428" s="161">
        <f t="shared" si="48"/>
      </c>
      <c r="U428" s="161">
        <f t="shared" si="78"/>
      </c>
      <c r="V428" s="161">
        <f t="shared" si="498"/>
      </c>
      <c r="W428" s="161">
        <f t="shared" si="18"/>
      </c>
      <c r="X428" s="169" t="s">
        <v>107</v>
      </c>
      <c r="Y428" s="163" t="s">
        <v>132</v>
      </c>
      <c r="Z428" s="166">
        <v>147458</v>
      </c>
      <c r="AA428" s="164">
        <v>49812</v>
      </c>
      <c r="AB428" s="164">
        <v>150907</v>
      </c>
      <c r="AC428" s="164">
        <v>973</v>
      </c>
      <c r="AD428" s="166">
        <v>7</v>
      </c>
      <c r="AE428" s="164">
        <v>25414</v>
      </c>
      <c r="AF428" s="166">
        <v>359</v>
      </c>
      <c r="AG428" s="166">
        <v>104</v>
      </c>
      <c r="AH428" s="165">
        <v>19</v>
      </c>
      <c r="AI428" s="167">
        <v>1</v>
      </c>
    </row>
    <row r="429">
      <c r="A429" s="149"/>
      <c r="B429" s="150" t="s">
        <v>105</v>
      </c>
      <c r="C429" s="170" t="s">
        <v>106</v>
      </c>
      <c r="D429" s="171">
        <v>3619.251</v>
      </c>
      <c r="E429" s="172">
        <v>15</v>
      </c>
      <c r="F429" s="154">
        <f t="shared" si="438"/>
      </c>
      <c r="G429" s="172">
        <v>6438.900000000001</v>
      </c>
      <c r="H429" s="156">
        <f t="shared" si="468"/>
      </c>
      <c r="I429" s="157">
        <f t="shared" si="378"/>
      </c>
      <c r="J429" s="158">
        <f t="shared" si="408"/>
      </c>
      <c r="K429" s="159">
        <f t="shared" si="318"/>
      </c>
      <c r="L429" s="160">
        <f t="shared" si="348"/>
      </c>
      <c r="M429" s="158">
        <f t="shared" si="228"/>
      </c>
      <c r="N429" s="161">
        <f t="shared" si="258"/>
      </c>
      <c r="O429" s="161">
        <f t="shared" si="288"/>
      </c>
      <c r="P429" s="161">
        <f t="shared" si="168"/>
      </c>
      <c r="Q429" s="161">
        <f t="shared" si="198"/>
      </c>
      <c r="R429" s="158">
        <f t="shared" si="108"/>
      </c>
      <c r="S429" s="159">
        <f t="shared" si="138"/>
      </c>
      <c r="T429" s="161">
        <f t="shared" si="48"/>
      </c>
      <c r="U429" s="161">
        <f t="shared" si="78"/>
      </c>
      <c r="V429" s="161">
        <f t="shared" si="498"/>
      </c>
      <c r="W429" s="161">
        <f t="shared" si="18"/>
      </c>
      <c r="X429" s="169" t="s">
        <v>107</v>
      </c>
      <c r="Y429" s="163" t="s">
        <v>132</v>
      </c>
      <c r="Z429" s="166">
        <v>124540</v>
      </c>
      <c r="AA429" s="166">
        <v>45743</v>
      </c>
      <c r="AB429" s="166">
        <v>151712</v>
      </c>
      <c r="AC429" s="166">
        <v>991</v>
      </c>
      <c r="AD429" s="166">
        <v>9</v>
      </c>
      <c r="AE429" s="166">
        <v>24439</v>
      </c>
      <c r="AF429" s="166">
        <v>365</v>
      </c>
      <c r="AG429" s="166">
        <v>97</v>
      </c>
      <c r="AH429" s="166">
        <v>17</v>
      </c>
      <c r="AI429" s="167">
        <v>8</v>
      </c>
    </row>
    <row r="430">
      <c r="A430" s="149"/>
      <c r="B430" s="150" t="s">
        <v>105</v>
      </c>
      <c r="C430" s="173" t="s">
        <v>109</v>
      </c>
      <c r="D430" s="171">
        <v>3760.2870000000003</v>
      </c>
      <c r="E430" s="172">
        <v>15</v>
      </c>
      <c r="F430" s="154">
        <f t="shared" si="438"/>
      </c>
      <c r="G430" s="172">
        <v>4421.6</v>
      </c>
      <c r="H430" s="156">
        <f t="shared" si="468"/>
      </c>
      <c r="I430" s="157">
        <f t="shared" si="378"/>
      </c>
      <c r="J430" s="158">
        <f t="shared" si="408"/>
      </c>
      <c r="K430" s="159">
        <f t="shared" si="318"/>
      </c>
      <c r="L430" s="174">
        <f t="shared" si="348"/>
      </c>
      <c r="M430" s="175">
        <f t="shared" si="228"/>
      </c>
      <c r="N430" s="176">
        <f t="shared" si="258"/>
      </c>
      <c r="O430" s="176">
        <f t="shared" si="288"/>
      </c>
      <c r="P430" s="176">
        <f t="shared" si="168"/>
      </c>
      <c r="Q430" s="176">
        <f t="shared" si="198"/>
      </c>
      <c r="R430" s="175">
        <f t="shared" si="108"/>
      </c>
      <c r="S430" s="177">
        <f t="shared" si="138"/>
      </c>
      <c r="T430" s="176">
        <f t="shared" si="48"/>
      </c>
      <c r="U430" s="176">
        <f t="shared" si="78"/>
      </c>
      <c r="V430" s="176">
        <f t="shared" si="498"/>
      </c>
      <c r="W430" s="176">
        <f t="shared" si="18"/>
      </c>
      <c r="X430" s="169" t="s">
        <v>107</v>
      </c>
      <c r="Y430" s="163" t="s">
        <v>132</v>
      </c>
      <c r="Z430" s="166">
        <v>103459</v>
      </c>
      <c r="AA430" s="166">
        <v>39175</v>
      </c>
      <c r="AB430" s="166">
        <v>160408</v>
      </c>
      <c r="AC430" s="166">
        <v>888</v>
      </c>
      <c r="AD430" s="166">
        <v>14</v>
      </c>
      <c r="AE430" s="166">
        <v>21763</v>
      </c>
      <c r="AF430" s="166">
        <v>354</v>
      </c>
      <c r="AG430" s="166">
        <v>77</v>
      </c>
      <c r="AH430" s="165">
        <v>17</v>
      </c>
      <c r="AI430" s="167">
        <v>2</v>
      </c>
    </row>
    <row r="431">
      <c r="A431" s="149"/>
      <c r="B431" s="150" t="s">
        <v>105</v>
      </c>
      <c r="C431" s="173" t="s">
        <v>110</v>
      </c>
      <c r="D431" s="195">
        <v>5078.5160000000005</v>
      </c>
      <c r="E431" s="172">
        <v>10</v>
      </c>
      <c r="F431" s="154">
        <f t="shared" si="438"/>
      </c>
      <c r="G431" s="172">
        <v>4483.899999999998</v>
      </c>
      <c r="H431" s="156">
        <f t="shared" si="468"/>
      </c>
      <c r="I431" s="157">
        <f t="shared" si="378"/>
      </c>
      <c r="J431" s="158">
        <f t="shared" si="408"/>
      </c>
      <c r="K431" s="159">
        <f t="shared" si="318"/>
      </c>
      <c r="L431" s="174">
        <f t="shared" si="348"/>
      </c>
      <c r="M431" s="175">
        <f t="shared" si="228"/>
      </c>
      <c r="N431" s="176">
        <f t="shared" si="258"/>
      </c>
      <c r="O431" s="176">
        <f t="shared" si="288"/>
      </c>
      <c r="P431" s="176">
        <f t="shared" si="168"/>
      </c>
      <c r="Q431" s="176">
        <f t="shared" si="198"/>
      </c>
      <c r="R431" s="175">
        <f t="shared" si="108"/>
      </c>
      <c r="S431" s="177">
        <f t="shared" si="138"/>
      </c>
      <c r="T431" s="176">
        <f t="shared" si="48"/>
      </c>
      <c r="U431" s="176">
        <f t="shared" si="78"/>
      </c>
      <c r="V431" s="176">
        <f t="shared" si="498"/>
      </c>
      <c r="W431" s="176">
        <f t="shared" si="18"/>
      </c>
      <c r="X431" s="169" t="s">
        <v>107</v>
      </c>
      <c r="Y431" s="163" t="s">
        <v>132</v>
      </c>
      <c r="Z431" s="166">
        <v>134640</v>
      </c>
      <c r="AA431" s="166">
        <v>44882</v>
      </c>
      <c r="AB431" s="166">
        <v>241285</v>
      </c>
      <c r="AC431" s="166">
        <v>1094</v>
      </c>
      <c r="AD431" s="166">
        <v>6</v>
      </c>
      <c r="AE431" s="166">
        <v>27847</v>
      </c>
      <c r="AF431" s="166">
        <v>384</v>
      </c>
      <c r="AG431" s="166">
        <v>91</v>
      </c>
      <c r="AH431" s="165">
        <v>21</v>
      </c>
      <c r="AI431" s="167">
        <v>4</v>
      </c>
    </row>
    <row r="432">
      <c r="A432" s="149"/>
      <c r="B432" s="178" t="s">
        <v>112</v>
      </c>
      <c r="C432" s="178"/>
      <c r="D432" s="179">
        <f>SUM(D427:D431)</f>
      </c>
      <c r="E432" s="179">
        <f>SUM(E427:E431)</f>
      </c>
      <c r="F432" s="181">
        <f t="shared" si="438"/>
      </c>
      <c r="G432" s="182">
        <f>SUM(G427:G431)</f>
      </c>
      <c r="H432" s="183">
        <f t="shared" si="468"/>
      </c>
      <c r="I432" s="184">
        <f t="shared" si="378"/>
      </c>
      <c r="J432" s="185">
        <f t="shared" si="408"/>
      </c>
      <c r="K432" s="181">
        <f t="shared" si="318"/>
      </c>
      <c r="L432" s="186">
        <f t="shared" si="348"/>
      </c>
      <c r="M432" s="185">
        <f t="shared" si="228"/>
      </c>
      <c r="N432" s="187">
        <f t="shared" si="258"/>
      </c>
      <c r="O432" s="187">
        <f t="shared" si="288"/>
      </c>
      <c r="P432" s="187">
        <f t="shared" si="168"/>
      </c>
      <c r="Q432" s="187">
        <f t="shared" si="198"/>
      </c>
      <c r="R432" s="185">
        <f t="shared" si="108"/>
      </c>
      <c r="S432" s="181">
        <f t="shared" si="138"/>
      </c>
      <c r="T432" s="187">
        <f t="shared" si="48"/>
      </c>
      <c r="U432" s="187">
        <f t="shared" si="78"/>
      </c>
      <c r="V432" s="187">
        <f t="shared" si="498"/>
      </c>
      <c r="W432" s="187">
        <f t="shared" si="18"/>
      </c>
      <c r="X432" s="187"/>
      <c r="Y432" s="188"/>
      <c r="Z432" s="179">
        <f>SUM(Z427:Z431)</f>
      </c>
      <c r="AA432" s="179">
        <f>SUM(AA427:AA431)</f>
      </c>
      <c r="AB432" s="179">
        <f>SUM(AB427:AB431)</f>
      </c>
      <c r="AC432" s="179">
        <f>SUM(AC427:AC431)</f>
      </c>
      <c r="AD432" s="179">
        <f>SUM(AD427:AD431)</f>
      </c>
      <c r="AE432" s="179">
        <f>SUM(AE427:AE431)</f>
      </c>
      <c r="AF432" s="179">
        <f>SUM(AF427:AF431)</f>
      </c>
      <c r="AG432" s="179">
        <f>SUM(AG427:AG431)</f>
      </c>
      <c r="AH432" s="179">
        <f>SUM(AH427:AH431)</f>
      </c>
      <c r="AI432" s="179">
        <f>SUM(AI427:AI431)</f>
      </c>
    </row>
    <row r="433">
      <c r="A433" s="149"/>
      <c r="B433" s="150" t="s">
        <v>130</v>
      </c>
      <c r="C433" s="192" t="s">
        <v>111</v>
      </c>
      <c r="D433" s="190">
        <v>4575.508999999999</v>
      </c>
      <c r="E433" s="191">
        <v>14</v>
      </c>
      <c r="F433" s="154">
        <f t="shared" si="438"/>
      </c>
      <c r="G433" s="172">
        <v>3640</v>
      </c>
      <c r="H433" s="156">
        <f t="shared" si="468"/>
      </c>
      <c r="I433" s="157">
        <f t="shared" si="378"/>
      </c>
      <c r="J433" s="158">
        <f t="shared" si="408"/>
      </c>
      <c r="K433" s="159">
        <f t="shared" si="318"/>
      </c>
      <c r="L433" s="160">
        <f t="shared" si="348"/>
      </c>
      <c r="M433" s="158">
        <f t="shared" si="228"/>
      </c>
      <c r="N433" s="161">
        <f t="shared" si="258"/>
      </c>
      <c r="O433" s="161">
        <f t="shared" si="288"/>
      </c>
      <c r="P433" s="161">
        <f t="shared" si="168"/>
      </c>
      <c r="Q433" s="161">
        <f t="shared" si="198"/>
      </c>
      <c r="R433" s="158">
        <f t="shared" si="108"/>
      </c>
      <c r="S433" s="159">
        <f t="shared" si="138"/>
      </c>
      <c r="T433" s="161">
        <f t="shared" si="48"/>
      </c>
      <c r="U433" s="161">
        <f t="shared" si="78"/>
      </c>
      <c r="V433" s="161">
        <f t="shared" si="498"/>
      </c>
      <c r="W433" s="161">
        <f t="shared" si="18"/>
      </c>
      <c r="X433" s="169" t="s">
        <v>107</v>
      </c>
      <c r="Y433" s="163" t="s">
        <v>132</v>
      </c>
      <c r="Z433" s="166">
        <v>127686</v>
      </c>
      <c r="AA433" s="166">
        <v>45045</v>
      </c>
      <c r="AB433" s="166">
        <v>217793</v>
      </c>
      <c r="AC433" s="166">
        <v>963</v>
      </c>
      <c r="AD433" s="166">
        <v>13</v>
      </c>
      <c r="AE433" s="166">
        <v>28320</v>
      </c>
      <c r="AF433" s="166">
        <v>425</v>
      </c>
      <c r="AG433" s="166">
        <v>100</v>
      </c>
      <c r="AH433" s="166">
        <v>15</v>
      </c>
      <c r="AI433" s="167">
        <v>0</v>
      </c>
    </row>
    <row r="434">
      <c r="A434" s="149"/>
      <c r="B434" s="150" t="s">
        <v>130</v>
      </c>
      <c r="C434" s="193" t="s">
        <v>114</v>
      </c>
      <c r="D434" s="171">
        <v>4728.874</v>
      </c>
      <c r="E434" s="172">
        <v>9</v>
      </c>
      <c r="F434" s="154">
        <f t="shared" si="438"/>
      </c>
      <c r="G434" s="172">
        <v>3145.2000000000007</v>
      </c>
      <c r="H434" s="156">
        <f t="shared" si="468"/>
      </c>
      <c r="I434" s="157">
        <f t="shared" si="378"/>
      </c>
      <c r="J434" s="158">
        <f t="shared" si="408"/>
      </c>
      <c r="K434" s="159">
        <f t="shared" si="318"/>
      </c>
      <c r="L434" s="160">
        <f t="shared" si="348"/>
      </c>
      <c r="M434" s="158">
        <f t="shared" si="228"/>
      </c>
      <c r="N434" s="161">
        <f t="shared" si="258"/>
      </c>
      <c r="O434" s="161">
        <f t="shared" si="288"/>
      </c>
      <c r="P434" s="161">
        <f t="shared" si="168"/>
      </c>
      <c r="Q434" s="161">
        <f t="shared" si="198"/>
      </c>
      <c r="R434" s="158">
        <f t="shared" si="108"/>
      </c>
      <c r="S434" s="159">
        <f t="shared" si="138"/>
      </c>
      <c r="T434" s="161">
        <f t="shared" si="48"/>
      </c>
      <c r="U434" s="161">
        <f t="shared" si="78"/>
      </c>
      <c r="V434" s="161">
        <f t="shared" si="498"/>
      </c>
      <c r="W434" s="161">
        <f t="shared" si="18"/>
      </c>
      <c r="X434" s="169" t="s">
        <v>107</v>
      </c>
      <c r="Y434" s="163" t="s">
        <v>132</v>
      </c>
      <c r="Z434" s="166">
        <v>135947</v>
      </c>
      <c r="AA434" s="166">
        <v>33411</v>
      </c>
      <c r="AB434" s="166">
        <v>238864</v>
      </c>
      <c r="AC434" s="166">
        <v>940</v>
      </c>
      <c r="AD434" s="166">
        <v>8</v>
      </c>
      <c r="AE434" s="166">
        <v>23319</v>
      </c>
      <c r="AF434" s="166">
        <v>414</v>
      </c>
      <c r="AG434" s="166">
        <v>65</v>
      </c>
      <c r="AH434" s="166">
        <v>21</v>
      </c>
      <c r="AI434" s="167">
        <v>1</v>
      </c>
    </row>
    <row r="435">
      <c r="A435" s="149"/>
      <c r="B435" s="150" t="s">
        <v>130</v>
      </c>
      <c r="C435" s="194" t="s">
        <v>115</v>
      </c>
      <c r="D435" s="171">
        <v>3179.335</v>
      </c>
      <c r="E435" s="172">
        <v>12</v>
      </c>
      <c r="F435" s="154">
        <f t="shared" si="438"/>
      </c>
      <c r="G435" s="172">
        <v>4356.600000000002</v>
      </c>
      <c r="H435" s="156">
        <f t="shared" si="468"/>
      </c>
      <c r="I435" s="157">
        <f t="shared" si="378"/>
      </c>
      <c r="J435" s="158">
        <f t="shared" si="408"/>
      </c>
      <c r="K435" s="159">
        <f t="shared" si="318"/>
      </c>
      <c r="L435" s="174">
        <f t="shared" si="348"/>
      </c>
      <c r="M435" s="175">
        <f t="shared" si="228"/>
      </c>
      <c r="N435" s="176">
        <f t="shared" si="258"/>
      </c>
      <c r="O435" s="176">
        <f t="shared" si="288"/>
      </c>
      <c r="P435" s="176">
        <f t="shared" si="168"/>
      </c>
      <c r="Q435" s="176">
        <f t="shared" si="198"/>
      </c>
      <c r="R435" s="175">
        <f t="shared" si="108"/>
      </c>
      <c r="S435" s="177">
        <f t="shared" si="138"/>
      </c>
      <c r="T435" s="176">
        <f t="shared" si="48"/>
      </c>
      <c r="U435" s="176">
        <f t="shared" si="78"/>
      </c>
      <c r="V435" s="176">
        <f t="shared" si="498"/>
      </c>
      <c r="W435" s="176">
        <f t="shared" si="18"/>
      </c>
      <c r="X435" s="169" t="s">
        <v>107</v>
      </c>
      <c r="Y435" s="163" t="s">
        <v>132</v>
      </c>
      <c r="Z435" s="166">
        <v>110192</v>
      </c>
      <c r="AA435" s="166">
        <v>25019</v>
      </c>
      <c r="AB435" s="166">
        <v>159932</v>
      </c>
      <c r="AC435" s="166">
        <v>775</v>
      </c>
      <c r="AD435" s="166">
        <v>10</v>
      </c>
      <c r="AE435" s="166">
        <v>14844</v>
      </c>
      <c r="AF435" s="166">
        <v>258</v>
      </c>
      <c r="AG435" s="166">
        <v>49</v>
      </c>
      <c r="AH435" s="165">
        <v>19</v>
      </c>
      <c r="AI435" s="167">
        <v>2</v>
      </c>
    </row>
    <row r="436">
      <c r="A436" s="149"/>
      <c r="B436" s="150" t="s">
        <v>130</v>
      </c>
      <c r="C436" s="196" t="s">
        <v>116</v>
      </c>
      <c r="D436" s="195">
        <v>3098.294</v>
      </c>
      <c r="E436" s="172">
        <v>9</v>
      </c>
      <c r="F436" s="154">
        <f t="shared" si="438"/>
      </c>
      <c r="G436" s="172">
        <v>3230.4000000000015</v>
      </c>
      <c r="H436" s="156">
        <f t="shared" si="468"/>
      </c>
      <c r="I436" s="157">
        <f t="shared" si="378"/>
      </c>
      <c r="J436" s="158">
        <f t="shared" si="408"/>
      </c>
      <c r="K436" s="159">
        <f t="shared" si="318"/>
      </c>
      <c r="L436" s="174">
        <f t="shared" si="348"/>
      </c>
      <c r="M436" s="175">
        <f t="shared" si="228"/>
      </c>
      <c r="N436" s="176">
        <f t="shared" si="258"/>
      </c>
      <c r="O436" s="176">
        <f t="shared" si="288"/>
      </c>
      <c r="P436" s="176">
        <f t="shared" si="168"/>
      </c>
      <c r="Q436" s="176">
        <f t="shared" si="198"/>
      </c>
      <c r="R436" s="175">
        <f t="shared" si="108"/>
      </c>
      <c r="S436" s="177">
        <f t="shared" si="138"/>
      </c>
      <c r="T436" s="176">
        <f t="shared" si="48"/>
      </c>
      <c r="U436" s="176">
        <f t="shared" si="78"/>
      </c>
      <c r="V436" s="176">
        <f t="shared" si="498"/>
      </c>
      <c r="W436" s="176">
        <f t="shared" si="18"/>
      </c>
      <c r="X436" s="169" t="s">
        <v>107</v>
      </c>
      <c r="Y436" s="163" t="s">
        <v>132</v>
      </c>
      <c r="Z436" s="166">
        <v>111387</v>
      </c>
      <c r="AA436" s="166">
        <v>25852</v>
      </c>
      <c r="AB436" s="166">
        <v>162770</v>
      </c>
      <c r="AC436" s="166">
        <v>753</v>
      </c>
      <c r="AD436" s="166">
        <v>7</v>
      </c>
      <c r="AE436" s="166">
        <v>14231</v>
      </c>
      <c r="AF436" s="166">
        <v>222</v>
      </c>
      <c r="AG436" s="166">
        <v>48</v>
      </c>
      <c r="AH436" s="165">
        <v>12</v>
      </c>
      <c r="AI436" s="167">
        <v>2</v>
      </c>
    </row>
    <row r="437">
      <c r="A437" s="149"/>
      <c r="B437" s="178" t="s">
        <v>112</v>
      </c>
      <c r="C437" s="178"/>
      <c r="D437" s="179">
        <f>SUM(D433:D436)</f>
      </c>
      <c r="E437" s="180">
        <f>SUM(E433:E436)</f>
      </c>
      <c r="F437" s="181">
        <f t="shared" si="438"/>
      </c>
      <c r="G437" s="182">
        <f>SUM(G433:G436)</f>
      </c>
      <c r="H437" s="183">
        <f t="shared" si="468"/>
      </c>
      <c r="I437" s="184">
        <f t="shared" si="378"/>
      </c>
      <c r="J437" s="185">
        <f t="shared" si="408"/>
      </c>
      <c r="K437" s="181">
        <f t="shared" si="318"/>
      </c>
      <c r="L437" s="186">
        <f t="shared" si="348"/>
      </c>
      <c r="M437" s="185">
        <f t="shared" si="228"/>
      </c>
      <c r="N437" s="187">
        <f t="shared" si="258"/>
      </c>
      <c r="O437" s="187">
        <f t="shared" si="288"/>
      </c>
      <c r="P437" s="187">
        <f t="shared" si="168"/>
      </c>
      <c r="Q437" s="187">
        <f t="shared" si="198"/>
      </c>
      <c r="R437" s="185">
        <f t="shared" si="108"/>
      </c>
      <c r="S437" s="181">
        <f t="shared" si="138"/>
      </c>
      <c r="T437" s="187">
        <f t="shared" si="48"/>
      </c>
      <c r="U437" s="187">
        <f t="shared" si="78"/>
      </c>
      <c r="V437" s="187">
        <f t="shared" si="498"/>
      </c>
      <c r="W437" s="187">
        <f t="shared" si="18"/>
      </c>
      <c r="X437" s="187"/>
      <c r="Y437" s="188"/>
      <c r="Z437" s="179">
        <f>SUM(Z433:Z436)</f>
      </c>
      <c r="AA437" s="179">
        <f>SUM(AA433:AA436)</f>
      </c>
      <c r="AB437" s="179">
        <f>SUM(AB433:AB436)</f>
      </c>
      <c r="AC437" s="179">
        <f>SUM(AC433:AC436)</f>
      </c>
      <c r="AD437" s="179">
        <f>SUM(AD433:AD436)</f>
      </c>
      <c r="AE437" s="179">
        <f>SUM(AE433:AE436)</f>
      </c>
      <c r="AF437" s="179">
        <f>SUM(AF433:AF436)</f>
      </c>
      <c r="AG437" s="179">
        <f>SUM(AG433:AG436)</f>
      </c>
      <c r="AH437" s="179">
        <f>SUM(AH433:AH436)</f>
      </c>
      <c r="AI437" s="179">
        <f>SUM(AI433:AI436)</f>
      </c>
    </row>
    <row r="438">
      <c r="A438" s="149"/>
      <c r="B438" s="150" t="s">
        <v>124</v>
      </c>
      <c r="C438" s="197" t="s">
        <v>117</v>
      </c>
      <c r="D438" s="171">
        <v>2668.545</v>
      </c>
      <c r="E438" s="172">
        <v>12</v>
      </c>
      <c r="F438" s="154">
        <f t="shared" si="438"/>
      </c>
      <c r="G438" s="172">
        <v>4222.699999999997</v>
      </c>
      <c r="H438" s="156">
        <f t="shared" si="468"/>
      </c>
      <c r="I438" s="157">
        <f t="shared" si="378"/>
      </c>
      <c r="J438" s="158">
        <f t="shared" si="408"/>
      </c>
      <c r="K438" s="159">
        <f t="shared" si="318"/>
      </c>
      <c r="L438" s="160">
        <f t="shared" si="348"/>
      </c>
      <c r="M438" s="158">
        <f t="shared" si="228"/>
      </c>
      <c r="N438" s="161">
        <f t="shared" si="258"/>
      </c>
      <c r="O438" s="161">
        <f t="shared" si="288"/>
      </c>
      <c r="P438" s="161">
        <f t="shared" si="168"/>
      </c>
      <c r="Q438" s="161">
        <f t="shared" si="198"/>
      </c>
      <c r="R438" s="158">
        <f t="shared" si="108"/>
      </c>
      <c r="S438" s="159">
        <f t="shared" si="138"/>
      </c>
      <c r="T438" s="161">
        <f t="shared" si="48"/>
      </c>
      <c r="U438" s="161">
        <f t="shared" si="78"/>
      </c>
      <c r="V438" s="161">
        <f t="shared" si="498"/>
      </c>
      <c r="W438" s="161">
        <f t="shared" si="18"/>
      </c>
      <c r="X438" s="197" t="s">
        <v>142</v>
      </c>
      <c r="Y438" s="163" t="s">
        <v>132</v>
      </c>
      <c r="Z438" s="166">
        <v>108141</v>
      </c>
      <c r="AA438" s="166">
        <v>27935</v>
      </c>
      <c r="AB438" s="166">
        <v>146658</v>
      </c>
      <c r="AC438" s="166">
        <v>681</v>
      </c>
      <c r="AD438" s="166">
        <v>7</v>
      </c>
      <c r="AE438" s="166">
        <v>14640</v>
      </c>
      <c r="AF438" s="166">
        <v>208</v>
      </c>
      <c r="AG438" s="166">
        <v>68</v>
      </c>
      <c r="AH438" s="165">
        <v>19</v>
      </c>
      <c r="AI438" s="167">
        <v>3</v>
      </c>
    </row>
    <row r="439">
      <c r="A439" s="149"/>
      <c r="B439" s="150" t="s">
        <v>124</v>
      </c>
      <c r="C439" s="194" t="s">
        <v>119</v>
      </c>
      <c r="D439" s="171">
        <v>2741.218</v>
      </c>
      <c r="E439" s="172">
        <v>10</v>
      </c>
      <c r="F439" s="154">
        <f t="shared" si="438"/>
      </c>
      <c r="G439" s="172">
        <v>2826.399999999994</v>
      </c>
      <c r="H439" s="156">
        <f t="shared" si="468"/>
      </c>
      <c r="I439" s="157">
        <f t="shared" si="378"/>
      </c>
      <c r="J439" s="158">
        <f t="shared" si="408"/>
      </c>
      <c r="K439" s="159">
        <f t="shared" si="318"/>
      </c>
      <c r="L439" s="174">
        <f t="shared" si="348"/>
      </c>
      <c r="M439" s="175">
        <f t="shared" si="228"/>
      </c>
      <c r="N439" s="176">
        <f t="shared" si="258"/>
      </c>
      <c r="O439" s="176">
        <f t="shared" si="288"/>
      </c>
      <c r="P439" s="176">
        <f t="shared" si="168"/>
      </c>
      <c r="Q439" s="176">
        <f t="shared" si="198"/>
      </c>
      <c r="R439" s="175">
        <f t="shared" si="108"/>
      </c>
      <c r="S439" s="177">
        <f t="shared" si="138"/>
      </c>
      <c r="T439" s="176">
        <f t="shared" si="48"/>
      </c>
      <c r="U439" s="176">
        <f t="shared" si="78"/>
      </c>
      <c r="V439" s="176">
        <f t="shared" si="498"/>
      </c>
      <c r="W439" s="176">
        <f t="shared" si="18"/>
      </c>
      <c r="X439" s="197" t="s">
        <v>142</v>
      </c>
      <c r="Y439" s="163" t="s">
        <v>120</v>
      </c>
      <c r="Z439" s="166">
        <v>111037</v>
      </c>
      <c r="AA439" s="166">
        <v>28750</v>
      </c>
      <c r="AB439" s="166">
        <v>149513</v>
      </c>
      <c r="AC439" s="166">
        <v>833</v>
      </c>
      <c r="AD439" s="166">
        <v>9</v>
      </c>
      <c r="AE439" s="166">
        <v>15044</v>
      </c>
      <c r="AF439" s="166">
        <v>242</v>
      </c>
      <c r="AG439" s="166">
        <v>71</v>
      </c>
      <c r="AH439" s="165">
        <v>15</v>
      </c>
      <c r="AI439" s="167">
        <v>0</v>
      </c>
    </row>
    <row r="440">
      <c r="A440" s="149"/>
      <c r="B440" s="150" t="s">
        <v>124</v>
      </c>
      <c r="C440" s="194" t="s">
        <v>121</v>
      </c>
      <c r="D440" s="195">
        <v>3885.9599999999996</v>
      </c>
      <c r="E440" s="172">
        <v>11</v>
      </c>
      <c r="F440" s="154">
        <f t="shared" si="438"/>
      </c>
      <c r="G440" s="172">
        <v>3014.4000000000015</v>
      </c>
      <c r="H440" s="156">
        <f t="shared" si="468"/>
      </c>
      <c r="I440" s="157">
        <f t="shared" si="378"/>
      </c>
      <c r="J440" s="158">
        <f t="shared" si="408"/>
      </c>
      <c r="K440" s="159">
        <f t="shared" si="318"/>
      </c>
      <c r="L440" s="174">
        <f t="shared" si="348"/>
      </c>
      <c r="M440" s="175">
        <f t="shared" si="228"/>
      </c>
      <c r="N440" s="176">
        <f t="shared" si="258"/>
      </c>
      <c r="O440" s="176">
        <f t="shared" si="288"/>
      </c>
      <c r="P440" s="176">
        <f t="shared" si="168"/>
      </c>
      <c r="Q440" s="176">
        <f t="shared" si="198"/>
      </c>
      <c r="R440" s="175">
        <f t="shared" si="108"/>
      </c>
      <c r="S440" s="177">
        <f t="shared" si="138"/>
      </c>
      <c r="T440" s="176">
        <f t="shared" si="48"/>
      </c>
      <c r="U440" s="176">
        <f t="shared" si="78"/>
      </c>
      <c r="V440" s="176">
        <f t="shared" si="498"/>
      </c>
      <c r="W440" s="176">
        <f t="shared" si="18"/>
      </c>
      <c r="X440" s="197" t="s">
        <v>142</v>
      </c>
      <c r="Y440" s="163" t="s">
        <v>120</v>
      </c>
      <c r="Z440" s="166">
        <v>137418</v>
      </c>
      <c r="AA440" s="166">
        <v>31699</v>
      </c>
      <c r="AB440" s="166">
        <v>237172</v>
      </c>
      <c r="AC440" s="166">
        <v>829</v>
      </c>
      <c r="AD440" s="166">
        <v>11</v>
      </c>
      <c r="AE440" s="166">
        <v>21446</v>
      </c>
      <c r="AF440" s="166">
        <v>251</v>
      </c>
      <c r="AG440" s="166">
        <v>60</v>
      </c>
      <c r="AH440" s="165">
        <v>13</v>
      </c>
      <c r="AI440" s="167">
        <v>1</v>
      </c>
    </row>
    <row r="441">
      <c r="A441" s="149"/>
      <c r="B441" s="150" t="s">
        <v>124</v>
      </c>
      <c r="C441" s="196" t="s">
        <v>122</v>
      </c>
      <c r="D441" s="195">
        <v>1916.953</v>
      </c>
      <c r="E441" s="172">
        <v>10</v>
      </c>
      <c r="F441" s="154">
        <f t="shared" si="438"/>
      </c>
      <c r="G441" s="172">
        <v>4048</v>
      </c>
      <c r="H441" s="156">
        <f t="shared" si="468"/>
      </c>
      <c r="I441" s="157">
        <f t="shared" si="378"/>
      </c>
      <c r="J441" s="158">
        <f t="shared" si="408"/>
      </c>
      <c r="K441" s="159">
        <f t="shared" si="318"/>
      </c>
      <c r="L441" s="174">
        <f t="shared" si="348"/>
      </c>
      <c r="M441" s="175">
        <f t="shared" si="228"/>
      </c>
      <c r="N441" s="176">
        <f t="shared" si="258"/>
      </c>
      <c r="O441" s="176">
        <f t="shared" si="288"/>
      </c>
      <c r="P441" s="176">
        <f t="shared" si="168"/>
      </c>
      <c r="Q441" s="176">
        <f t="shared" si="198"/>
      </c>
      <c r="R441" s="175">
        <f t="shared" si="108"/>
      </c>
      <c r="S441" s="177">
        <f t="shared" si="138"/>
      </c>
      <c r="T441" s="176">
        <f t="shared" si="48"/>
      </c>
      <c r="U441" s="176">
        <f t="shared" si="78"/>
      </c>
      <c r="V441" s="176">
        <f t="shared" si="498"/>
      </c>
      <c r="W441" s="176">
        <f t="shared" si="18"/>
      </c>
      <c r="X441" s="197" t="s">
        <v>142</v>
      </c>
      <c r="Y441" s="163" t="s">
        <v>120</v>
      </c>
      <c r="Z441" s="166">
        <v>76971</v>
      </c>
      <c r="AA441" s="166">
        <v>16987</v>
      </c>
      <c r="AB441" s="166">
        <v>94402</v>
      </c>
      <c r="AC441" s="166">
        <v>327</v>
      </c>
      <c r="AD441" s="166">
        <v>9</v>
      </c>
      <c r="AE441" s="166">
        <v>9350</v>
      </c>
      <c r="AF441" s="166">
        <v>222</v>
      </c>
      <c r="AG441" s="166">
        <v>41</v>
      </c>
      <c r="AH441" s="165">
        <v>8</v>
      </c>
      <c r="AI441" s="167">
        <v>0</v>
      </c>
    </row>
    <row r="442">
      <c r="A442" s="149"/>
      <c r="B442" s="178" t="s">
        <v>112</v>
      </c>
      <c r="C442" s="178"/>
      <c r="D442" s="179">
        <f>SUM(D438:D441)</f>
      </c>
      <c r="E442" s="179">
        <f>SUM(E438:E441)</f>
      </c>
      <c r="F442" s="181">
        <f t="shared" si="438"/>
      </c>
      <c r="G442" s="182">
        <f>SUM(G438:G441)</f>
      </c>
      <c r="H442" s="183">
        <f t="shared" si="468"/>
      </c>
      <c r="I442" s="184">
        <f t="shared" si="378"/>
      </c>
      <c r="J442" s="185">
        <f t="shared" si="408"/>
      </c>
      <c r="K442" s="181">
        <f t="shared" si="318"/>
      </c>
      <c r="L442" s="186">
        <f t="shared" si="348"/>
      </c>
      <c r="M442" s="185">
        <f t="shared" si="228"/>
      </c>
      <c r="N442" s="187">
        <f t="shared" si="258"/>
      </c>
      <c r="O442" s="187">
        <f t="shared" si="288"/>
      </c>
      <c r="P442" s="187">
        <f t="shared" si="168"/>
      </c>
      <c r="Q442" s="187">
        <f t="shared" si="198"/>
      </c>
      <c r="R442" s="185">
        <f t="shared" si="108"/>
      </c>
      <c r="S442" s="181">
        <f t="shared" si="138"/>
      </c>
      <c r="T442" s="187">
        <f t="shared" si="48"/>
      </c>
      <c r="U442" s="187">
        <f t="shared" si="78"/>
      </c>
      <c r="V442" s="187">
        <f t="shared" si="498"/>
      </c>
      <c r="W442" s="187">
        <f t="shared" si="18"/>
      </c>
      <c r="X442" s="187"/>
      <c r="Y442" s="188"/>
      <c r="Z442" s="179">
        <f>SUM(Z438:Z441)</f>
      </c>
      <c r="AA442" s="179">
        <f>SUM(AA438:AA441)</f>
      </c>
      <c r="AB442" s="179">
        <f>SUM(AB438:AB441)</f>
      </c>
      <c r="AC442" s="179">
        <f>SUM(AC438:AC441)</f>
      </c>
      <c r="AD442" s="179">
        <f>SUM(AD438:AD441)</f>
      </c>
      <c r="AE442" s="179">
        <f>SUM(AE438:AE441)</f>
      </c>
      <c r="AF442" s="179">
        <f>SUM(AF438:AF441)</f>
      </c>
      <c r="AG442" s="179">
        <f>SUM(AG438:AG441)</f>
      </c>
      <c r="AH442" s="179">
        <f>SUM(AH438:AH441)</f>
      </c>
      <c r="AI442" s="179">
        <f>SUM(AI438:AI441)</f>
      </c>
    </row>
    <row r="443">
      <c r="A443" s="149"/>
      <c r="B443" s="150" t="s">
        <v>131</v>
      </c>
      <c r="C443" s="197" t="s">
        <v>123</v>
      </c>
      <c r="D443" s="198">
        <v>5056.793</v>
      </c>
      <c r="E443" s="153">
        <v>20</v>
      </c>
      <c r="F443" s="154">
        <f t="shared" si="438"/>
      </c>
      <c r="G443" s="155">
        <v>7298.5999999999985</v>
      </c>
      <c r="H443" s="156">
        <f t="shared" si="468"/>
      </c>
      <c r="I443" s="157">
        <f t="shared" si="378"/>
      </c>
      <c r="J443" s="158">
        <f t="shared" si="408"/>
      </c>
      <c r="K443" s="159">
        <f t="shared" si="318"/>
      </c>
      <c r="L443" s="174">
        <f t="shared" si="348"/>
      </c>
      <c r="M443" s="175">
        <f t="shared" si="228"/>
      </c>
      <c r="N443" s="176">
        <f t="shared" si="258"/>
      </c>
      <c r="O443" s="176">
        <f t="shared" si="288"/>
      </c>
      <c r="P443" s="176">
        <f t="shared" si="168"/>
      </c>
      <c r="Q443" s="176">
        <f t="shared" si="198"/>
      </c>
      <c r="R443" s="175">
        <f t="shared" si="108"/>
      </c>
      <c r="S443" s="177">
        <f t="shared" si="138"/>
      </c>
      <c r="T443" s="176">
        <f t="shared" si="48"/>
      </c>
      <c r="U443" s="176">
        <f t="shared" si="78"/>
      </c>
      <c r="V443" s="176">
        <f t="shared" si="498"/>
      </c>
      <c r="W443" s="176">
        <f t="shared" si="18"/>
      </c>
      <c r="X443" s="169" t="s">
        <v>142</v>
      </c>
      <c r="Y443" s="163" t="s">
        <v>120</v>
      </c>
      <c r="Z443" s="166">
        <v>192259</v>
      </c>
      <c r="AA443" s="166">
        <v>37392</v>
      </c>
      <c r="AB443" s="166">
        <v>374488</v>
      </c>
      <c r="AC443" s="199">
        <v>939</v>
      </c>
      <c r="AD443" s="199">
        <v>16</v>
      </c>
      <c r="AE443" s="199">
        <v>25164</v>
      </c>
      <c r="AF443" s="199">
        <v>325</v>
      </c>
      <c r="AG443" s="199">
        <v>104</v>
      </c>
      <c r="AH443" s="199">
        <v>23</v>
      </c>
      <c r="AI443" s="167">
        <v>1</v>
      </c>
    </row>
    <row r="444">
      <c r="A444" s="149"/>
      <c r="B444" s="150" t="s">
        <v>131</v>
      </c>
      <c r="C444" s="194" t="s">
        <v>125</v>
      </c>
      <c r="D444" s="198">
        <v>3513.114</v>
      </c>
      <c r="E444" s="153">
        <v>9</v>
      </c>
      <c r="F444" s="154">
        <f t="shared" si="438"/>
      </c>
      <c r="G444" s="155">
        <v>2009.2000000000044</v>
      </c>
      <c r="H444" s="156">
        <f t="shared" si="468"/>
      </c>
      <c r="I444" s="157">
        <f t="shared" si="378"/>
      </c>
      <c r="J444" s="158">
        <f t="shared" si="408"/>
      </c>
      <c r="K444" s="159">
        <f t="shared" si="318"/>
      </c>
      <c r="L444" s="174">
        <f t="shared" si="348"/>
      </c>
      <c r="M444" s="175">
        <f t="shared" si="228"/>
      </c>
      <c r="N444" s="176">
        <f t="shared" si="258"/>
      </c>
      <c r="O444" s="176">
        <f t="shared" si="288"/>
      </c>
      <c r="P444" s="176">
        <f t="shared" si="168"/>
      </c>
      <c r="Q444" s="176">
        <f t="shared" si="198"/>
      </c>
      <c r="R444" s="175">
        <f t="shared" si="108"/>
      </c>
      <c r="S444" s="177">
        <f t="shared" si="138"/>
      </c>
      <c r="T444" s="176">
        <f t="shared" si="48"/>
      </c>
      <c r="U444" s="176">
        <f t="shared" si="78"/>
      </c>
      <c r="V444" s="176">
        <f t="shared" si="498"/>
      </c>
      <c r="W444" s="176">
        <f t="shared" si="18"/>
      </c>
      <c r="X444" s="169" t="s">
        <v>142</v>
      </c>
      <c r="Y444" s="163" t="s">
        <v>120</v>
      </c>
      <c r="Z444" s="166">
        <v>157003</v>
      </c>
      <c r="AA444" s="166">
        <v>27409</v>
      </c>
      <c r="AB444" s="166">
        <v>285013</v>
      </c>
      <c r="AC444" s="199">
        <v>852</v>
      </c>
      <c r="AD444" s="199">
        <v>7</v>
      </c>
      <c r="AE444" s="199">
        <v>17653</v>
      </c>
      <c r="AF444" s="199">
        <v>294</v>
      </c>
      <c r="AG444" s="199">
        <v>75</v>
      </c>
      <c r="AH444" s="199">
        <v>15</v>
      </c>
      <c r="AI444" s="167">
        <v>0</v>
      </c>
    </row>
    <row r="445">
      <c r="A445" s="149"/>
      <c r="B445" s="150" t="s">
        <v>131</v>
      </c>
      <c r="C445" s="194" t="s">
        <v>126</v>
      </c>
      <c r="D445" s="171">
        <v>1762.978</v>
      </c>
      <c r="E445" s="172">
        <v>10</v>
      </c>
      <c r="F445" s="154">
        <f t="shared" si="438"/>
      </c>
      <c r="G445" s="172">
        <v>4465.5</v>
      </c>
      <c r="H445" s="156">
        <f t="shared" si="468"/>
      </c>
      <c r="I445" s="157">
        <f t="shared" si="378"/>
      </c>
      <c r="J445" s="158">
        <f t="shared" si="408"/>
      </c>
      <c r="K445" s="159">
        <f t="shared" si="318"/>
      </c>
      <c r="L445" s="174">
        <f t="shared" si="348"/>
      </c>
      <c r="M445" s="175">
        <f t="shared" si="228"/>
      </c>
      <c r="N445" s="176">
        <f t="shared" si="258"/>
      </c>
      <c r="O445" s="176">
        <f t="shared" si="288"/>
      </c>
      <c r="P445" s="176">
        <f t="shared" si="168"/>
      </c>
      <c r="Q445" s="176">
        <f t="shared" si="198"/>
      </c>
      <c r="R445" s="175">
        <f t="shared" si="108"/>
      </c>
      <c r="S445" s="177">
        <f t="shared" si="138"/>
      </c>
      <c r="T445" s="176">
        <f t="shared" si="48"/>
      </c>
      <c r="U445" s="176">
        <f t="shared" si="78"/>
      </c>
      <c r="V445" s="176">
        <f t="shared" si="498"/>
      </c>
      <c r="W445" s="176">
        <f t="shared" si="18"/>
      </c>
      <c r="X445" s="169" t="s">
        <v>142</v>
      </c>
      <c r="Y445" s="163" t="s">
        <v>120</v>
      </c>
      <c r="Z445" s="166">
        <v>97474</v>
      </c>
      <c r="AA445" s="166">
        <v>15858</v>
      </c>
      <c r="AB445" s="166">
        <v>90413</v>
      </c>
      <c r="AC445" s="166">
        <v>494</v>
      </c>
      <c r="AD445" s="166">
        <v>8</v>
      </c>
      <c r="AE445" s="166">
        <v>6635</v>
      </c>
      <c r="AF445" s="166">
        <v>159</v>
      </c>
      <c r="AG445" s="166">
        <v>31</v>
      </c>
      <c r="AH445" s="165">
        <v>10</v>
      </c>
      <c r="AI445" s="167">
        <v>2</v>
      </c>
    </row>
    <row r="446">
      <c r="A446" s="149"/>
      <c r="B446" s="150" t="s">
        <v>131</v>
      </c>
      <c r="C446" s="196" t="s">
        <v>127</v>
      </c>
      <c r="D446" s="195">
        <v>5735.464000000001</v>
      </c>
      <c r="E446" s="172">
        <v>8</v>
      </c>
      <c r="F446" s="154">
        <f t="shared" si="438"/>
      </c>
      <c r="G446" s="172">
        <v>2960</v>
      </c>
      <c r="H446" s="156">
        <f t="shared" si="468"/>
      </c>
      <c r="I446" s="157">
        <f t="shared" si="378"/>
      </c>
      <c r="J446" s="158">
        <f t="shared" si="408"/>
      </c>
      <c r="K446" s="159">
        <f t="shared" si="318"/>
      </c>
      <c r="L446" s="174">
        <f t="shared" si="348"/>
      </c>
      <c r="M446" s="175">
        <f t="shared" si="228"/>
      </c>
      <c r="N446" s="176">
        <f t="shared" si="258"/>
      </c>
      <c r="O446" s="176">
        <f t="shared" si="288"/>
      </c>
      <c r="P446" s="176">
        <f t="shared" si="168"/>
      </c>
      <c r="Q446" s="176">
        <f t="shared" si="198"/>
      </c>
      <c r="R446" s="175">
        <f t="shared" si="108"/>
      </c>
      <c r="S446" s="177">
        <f t="shared" si="138"/>
      </c>
      <c r="T446" s="176">
        <f t="shared" si="48"/>
      </c>
      <c r="U446" s="176">
        <f t="shared" si="78"/>
      </c>
      <c r="V446" s="176">
        <f t="shared" si="498"/>
      </c>
      <c r="W446" s="176">
        <f t="shared" si="18"/>
      </c>
      <c r="X446" s="169" t="s">
        <v>142</v>
      </c>
      <c r="Y446" s="163" t="s">
        <v>120</v>
      </c>
      <c r="Z446" s="166">
        <v>310075</v>
      </c>
      <c r="AA446" s="166">
        <v>34829</v>
      </c>
      <c r="AB446" s="166">
        <v>505010</v>
      </c>
      <c r="AC446" s="166">
        <v>1205</v>
      </c>
      <c r="AD446" s="166">
        <v>7</v>
      </c>
      <c r="AE446" s="166">
        <v>27336</v>
      </c>
      <c r="AF446" s="166">
        <v>276</v>
      </c>
      <c r="AG446" s="166">
        <v>123</v>
      </c>
      <c r="AH446" s="165">
        <v>20</v>
      </c>
      <c r="AI446" s="167">
        <v>0</v>
      </c>
    </row>
    <row r="447">
      <c r="A447" s="149"/>
      <c r="B447" s="150" t="s">
        <v>131</v>
      </c>
      <c r="C447" s="194" t="s">
        <v>128</v>
      </c>
      <c r="D447" s="195">
        <f>1312.545+1.66+0.603</f>
      </c>
      <c r="E447" s="172">
        <v>4</v>
      </c>
      <c r="F447" s="154">
        <f t="shared" si="438"/>
      </c>
      <c r="G447" s="172">
        <v>1512.0000000000073</v>
      </c>
      <c r="H447" s="156">
        <f t="shared" si="468"/>
      </c>
      <c r="I447" s="157">
        <f t="shared" si="378"/>
      </c>
      <c r="J447" s="158">
        <f t="shared" si="408"/>
      </c>
      <c r="K447" s="159">
        <f t="shared" si="318"/>
      </c>
      <c r="L447" s="174">
        <f t="shared" si="348"/>
      </c>
      <c r="M447" s="175">
        <f t="shared" si="228"/>
      </c>
      <c r="N447" s="176">
        <f t="shared" si="258"/>
      </c>
      <c r="O447" s="176">
        <f t="shared" si="288"/>
      </c>
      <c r="P447" s="176">
        <f t="shared" si="168"/>
      </c>
      <c r="Q447" s="176">
        <f t="shared" si="198"/>
      </c>
      <c r="R447" s="175">
        <f t="shared" si="108"/>
      </c>
      <c r="S447" s="177">
        <f t="shared" si="138"/>
      </c>
      <c r="T447" s="176">
        <f t="shared" si="48"/>
      </c>
      <c r="U447" s="176">
        <f t="shared" si="78"/>
      </c>
      <c r="V447" s="176">
        <f t="shared" si="498"/>
      </c>
      <c r="W447" s="176">
        <f t="shared" si="18"/>
      </c>
      <c r="X447" s="169" t="s">
        <v>142</v>
      </c>
      <c r="Y447" s="163" t="s">
        <v>120</v>
      </c>
      <c r="Z447" s="166">
        <v>122717</v>
      </c>
      <c r="AA447" s="166">
        <v>8119</v>
      </c>
      <c r="AB447" s="166">
        <v>41511</v>
      </c>
      <c r="AC447" s="166">
        <v>278</v>
      </c>
      <c r="AD447" s="166">
        <v>4</v>
      </c>
      <c r="AE447" s="166">
        <v>2754</v>
      </c>
      <c r="AF447" s="166">
        <v>81</v>
      </c>
      <c r="AG447" s="166">
        <v>31</v>
      </c>
      <c r="AH447" s="165">
        <v>7</v>
      </c>
      <c r="AI447" s="167">
        <v>0</v>
      </c>
    </row>
    <row r="448">
      <c r="A448" s="149"/>
      <c r="B448" s="178" t="s">
        <v>112</v>
      </c>
      <c r="C448" s="178"/>
      <c r="D448" s="179">
        <f>SUM(D443:D447)</f>
      </c>
      <c r="E448" s="179">
        <f>SUM(E443:E447)</f>
      </c>
      <c r="F448" s="181">
        <f t="shared" si="438"/>
      </c>
      <c r="G448" s="182">
        <f>SUM(G443:G447)</f>
      </c>
      <c r="H448" s="183">
        <f t="shared" si="468"/>
      </c>
      <c r="I448" s="184">
        <f t="shared" si="378"/>
      </c>
      <c r="J448" s="185">
        <f t="shared" si="408"/>
      </c>
      <c r="K448" s="181">
        <f t="shared" si="318"/>
      </c>
      <c r="L448" s="186">
        <f t="shared" si="348"/>
      </c>
      <c r="M448" s="185">
        <f t="shared" si="228"/>
      </c>
      <c r="N448" s="187">
        <f t="shared" si="258"/>
      </c>
      <c r="O448" s="187">
        <f t="shared" si="288"/>
      </c>
      <c r="P448" s="187">
        <f t="shared" si="168"/>
      </c>
      <c r="Q448" s="187">
        <f t="shared" si="198"/>
      </c>
      <c r="R448" s="185">
        <f t="shared" si="108"/>
      </c>
      <c r="S448" s="181">
        <f t="shared" si="138"/>
      </c>
      <c r="T448" s="187">
        <f t="shared" si="48"/>
      </c>
      <c r="U448" s="187">
        <f t="shared" si="78"/>
      </c>
      <c r="V448" s="187">
        <f t="shared" si="498"/>
      </c>
      <c r="W448" s="187">
        <f t="shared" si="18"/>
      </c>
      <c r="X448" s="187"/>
      <c r="Y448" s="188"/>
      <c r="Z448" s="179">
        <f>SUM(Z443:Z447)</f>
      </c>
      <c r="AA448" s="179">
        <f>SUM(AA443:AA447)</f>
      </c>
      <c r="AB448" s="179">
        <f>SUM(AB443:AB447)</f>
      </c>
      <c r="AC448" s="179">
        <f>SUM(AC443:AC447)</f>
      </c>
      <c r="AD448" s="179">
        <f>SUM(AD443:AD447)</f>
      </c>
      <c r="AE448" s="179">
        <f>SUM(AE443:AE447)</f>
      </c>
      <c r="AF448" s="179">
        <f>SUM(AF443:AF447)</f>
      </c>
      <c r="AG448" s="179">
        <f>SUM(AG443:AG447)</f>
      </c>
      <c r="AH448" s="179">
        <f>SUM(AH443:AH447)</f>
      </c>
      <c r="AI448" s="179">
        <f>SUM(AI443:AI447)</f>
      </c>
    </row>
    <row r="449">
      <c r="A449" s="149"/>
      <c r="B449" s="202" t="s">
        <v>129</v>
      </c>
      <c r="C449" s="202"/>
      <c r="D449" s="203">
        <f>SUM(D448+D432+D437+D442)</f>
      </c>
      <c r="E449" s="204">
        <f>SUM(E448+E432+E437+E442)</f>
      </c>
      <c r="F449" s="205">
        <f t="shared" si="438"/>
      </c>
      <c r="G449" s="206">
        <f>SUM(G448+G432+G437+G442)</f>
      </c>
      <c r="H449" s="207">
        <f t="shared" si="468"/>
      </c>
      <c r="I449" s="208">
        <f t="shared" si="378"/>
      </c>
      <c r="J449" s="209">
        <f t="shared" si="408"/>
      </c>
      <c r="K449" s="205">
        <f t="shared" si="318"/>
      </c>
      <c r="L449" s="210">
        <f t="shared" si="348"/>
      </c>
      <c r="M449" s="210">
        <f t="shared" si="228"/>
      </c>
      <c r="N449" s="211">
        <f t="shared" si="258"/>
      </c>
      <c r="O449" s="211">
        <f t="shared" si="288"/>
      </c>
      <c r="P449" s="211">
        <f t="shared" si="168"/>
      </c>
      <c r="Q449" s="211">
        <f t="shared" si="198"/>
      </c>
      <c r="R449" s="212">
        <f t="shared" si="108"/>
      </c>
      <c r="S449" s="213">
        <f t="shared" si="138"/>
      </c>
      <c r="T449" s="214">
        <f t="shared" si="48"/>
      </c>
      <c r="U449" s="214">
        <f t="shared" si="78"/>
      </c>
      <c r="V449" s="214">
        <f t="shared" si="498"/>
      </c>
      <c r="W449" s="214">
        <f t="shared" si="18"/>
      </c>
      <c r="X449" s="214"/>
      <c r="Y449" s="215"/>
      <c r="Z449" s="216">
        <f>SUM(Z432+Z448+Z437+Z442)</f>
      </c>
      <c r="AA449" s="216">
        <f>SUM(AA432+AA448+AA437+AA442)</f>
      </c>
      <c r="AB449" s="216">
        <f>SUM(AB432+AB448+AB437+AB442)</f>
      </c>
      <c r="AC449" s="216">
        <f>SUM(AC432+AC448+AC437+AC442)</f>
      </c>
      <c r="AD449" s="216">
        <f>SUM(AD432+AD448+AD437+AD442)</f>
      </c>
      <c r="AE449" s="216">
        <f>SUM(AE432+AE448+AE437+AE442)</f>
      </c>
      <c r="AF449" s="216">
        <f>SUM(AF432+AF448+AF437+AF442)</f>
      </c>
      <c r="AG449" s="216">
        <f>SUM(AG432+AG448+AG437+AG442)</f>
      </c>
      <c r="AH449" s="216">
        <f>SUM(AH432+AH448+AH437+AH442)</f>
      </c>
      <c r="AI449" s="216">
        <f>SUM(AI432+AI448+AI437+AI442)</f>
      </c>
    </row>
    <row r="450">
      <c r="A450" s="133" t="s">
        <v>70</v>
      </c>
      <c r="B450" s="134" t="s">
        <v>71</v>
      </c>
      <c r="C450" s="135" t="s">
        <v>72</v>
      </c>
      <c r="D450" s="136" t="s">
        <v>73</v>
      </c>
      <c r="E450" s="137" t="s">
        <v>74</v>
      </c>
      <c r="F450" s="138" t="s">
        <v>75</v>
      </c>
      <c r="G450" s="139" t="s">
        <v>76</v>
      </c>
      <c r="H450" s="138" t="s">
        <v>77</v>
      </c>
      <c r="I450" s="139" t="s">
        <v>78</v>
      </c>
      <c r="J450" s="140" t="s">
        <v>79</v>
      </c>
      <c r="K450" s="140" t="s">
        <v>80</v>
      </c>
      <c r="L450" s="141" t="s">
        <v>81</v>
      </c>
      <c r="M450" s="141" t="s">
        <v>82</v>
      </c>
      <c r="N450" s="141" t="s">
        <v>83</v>
      </c>
      <c r="O450" s="141" t="s">
        <v>84</v>
      </c>
      <c r="P450" s="141" t="s">
        <v>85</v>
      </c>
      <c r="Q450" s="141" t="s">
        <v>86</v>
      </c>
      <c r="R450" s="141" t="s">
        <v>87</v>
      </c>
      <c r="S450" s="141" t="s">
        <v>88</v>
      </c>
      <c r="T450" s="142" t="s">
        <v>89</v>
      </c>
      <c r="U450" s="142" t="s">
        <v>90</v>
      </c>
      <c r="V450" s="142" t="s">
        <v>91</v>
      </c>
      <c r="W450" s="142" t="s">
        <v>92</v>
      </c>
      <c r="X450" s="143" t="s">
        <v>93</v>
      </c>
      <c r="Y450" s="143" t="s">
        <v>94</v>
      </c>
      <c r="Z450" s="144" t="s">
        <v>95</v>
      </c>
      <c r="AA450" s="144" t="s">
        <v>96</v>
      </c>
      <c r="AB450" s="144" t="s">
        <v>97</v>
      </c>
      <c r="AC450" s="145" t="s">
        <v>98</v>
      </c>
      <c r="AD450" s="145" t="s">
        <v>99</v>
      </c>
      <c r="AE450" s="146" t="s">
        <v>100</v>
      </c>
      <c r="AF450" s="145" t="s">
        <v>101</v>
      </c>
      <c r="AG450" s="145" t="s">
        <v>102</v>
      </c>
      <c r="AH450" s="147" t="s">
        <v>103</v>
      </c>
      <c r="AI450" s="148" t="s">
        <v>104</v>
      </c>
    </row>
    <row r="451">
      <c r="A451" s="149">
        <v>46285</v>
      </c>
      <c r="B451" s="150" t="s">
        <v>105</v>
      </c>
      <c r="C451" s="151" t="s">
        <v>135</v>
      </c>
      <c r="D451" s="152">
        <v>1489.275</v>
      </c>
      <c r="E451" s="153">
        <v>5</v>
      </c>
      <c r="F451" s="154">
        <f t="shared" ref="F451:F473" si="439">D451/E451</f>
      </c>
      <c r="G451" s="155">
        <v>1697.1999999999998</v>
      </c>
      <c r="H451" s="156">
        <f t="shared" ref="H451:H473" si="469">AD451</f>
      </c>
      <c r="I451" s="157">
        <f t="shared" ref="I451:I473" si="379">D451/AD451</f>
      </c>
      <c r="J451" s="158">
        <f t="shared" ref="J451:J473" si="409">G451/E451</f>
      </c>
      <c r="K451" s="159">
        <f t="shared" ref="K451:K473" si="319">G451/D451</f>
      </c>
      <c r="L451" s="160">
        <f t="shared" ref="L451:L473" si="349">D451/AB451</f>
      </c>
      <c r="M451" s="158">
        <f t="shared" ref="M451:M473" si="229">D451/AC451</f>
      </c>
      <c r="N451" s="161">
        <f t="shared" ref="N451:N473" si="259">AC451/AB451</f>
      </c>
      <c r="O451" s="161">
        <f t="shared" ref="O451:O473" si="289">AD451/AC451</f>
      </c>
      <c r="P451" s="161">
        <f t="shared" ref="P451:P473" si="169">AA451/Z451</f>
      </c>
      <c r="Q451" s="161">
        <f t="shared" ref="Q451:Q473" si="199">AD451/AA451</f>
      </c>
      <c r="R451" s="158">
        <f t="shared" ref="R451:R473" si="109">D451/Z451*1000</f>
      </c>
      <c r="S451" s="159">
        <f t="shared" ref="S451:S473" si="139">D451/AA451</f>
      </c>
      <c r="T451" s="161">
        <f t="shared" ref="T451:T473" si="49">AE451/AB451</f>
      </c>
      <c r="U451" s="161">
        <f t="shared" ref="U451:U473" si="79">AF451/AB451</f>
      </c>
      <c r="V451" s="161">
        <f t="shared" ref="V451:V473" si="499">AG451/AB451</f>
      </c>
      <c r="W451" s="161">
        <f t="shared" ref="W451:W473" si="19">AH451/AB451</f>
      </c>
      <c r="X451" s="162" t="s">
        <v>107</v>
      </c>
      <c r="Y451" s="163" t="s">
        <v>132</v>
      </c>
      <c r="Z451" s="164">
        <v>68735</v>
      </c>
      <c r="AA451" s="164">
        <v>24072</v>
      </c>
      <c r="AB451" s="164">
        <v>79330</v>
      </c>
      <c r="AC451" s="164">
        <v>731</v>
      </c>
      <c r="AD451" s="165">
        <v>4</v>
      </c>
      <c r="AE451" s="164">
        <v>11798</v>
      </c>
      <c r="AF451" s="166">
        <v>162</v>
      </c>
      <c r="AG451" s="166">
        <v>53</v>
      </c>
      <c r="AH451" s="166">
        <v>10</v>
      </c>
      <c r="AI451" s="167">
        <v>1</v>
      </c>
    </row>
    <row r="452">
      <c r="A452" s="149"/>
      <c r="B452" s="150" t="s">
        <v>105</v>
      </c>
      <c r="C452" s="168" t="s">
        <v>136</v>
      </c>
      <c r="D452" s="152">
        <v>3572.7099999999996</v>
      </c>
      <c r="E452" s="153">
        <v>11</v>
      </c>
      <c r="F452" s="154">
        <f t="shared" si="439"/>
      </c>
      <c r="G452" s="155">
        <v>4728.2</v>
      </c>
      <c r="H452" s="156">
        <f t="shared" si="469"/>
      </c>
      <c r="I452" s="157">
        <f t="shared" si="379"/>
      </c>
      <c r="J452" s="158">
        <f t="shared" si="409"/>
      </c>
      <c r="K452" s="159">
        <f t="shared" si="319"/>
      </c>
      <c r="L452" s="160">
        <f t="shared" si="349"/>
      </c>
      <c r="M452" s="158">
        <f t="shared" si="229"/>
      </c>
      <c r="N452" s="161">
        <f t="shared" si="259"/>
      </c>
      <c r="O452" s="161">
        <f t="shared" si="289"/>
      </c>
      <c r="P452" s="161">
        <f t="shared" si="169"/>
      </c>
      <c r="Q452" s="161">
        <f t="shared" si="199"/>
      </c>
      <c r="R452" s="158">
        <f t="shared" si="109"/>
      </c>
      <c r="S452" s="159">
        <f t="shared" si="139"/>
      </c>
      <c r="T452" s="161">
        <f t="shared" si="49"/>
      </c>
      <c r="U452" s="161">
        <f t="shared" si="79"/>
      </c>
      <c r="V452" s="161">
        <f t="shared" si="499"/>
      </c>
      <c r="W452" s="161">
        <f t="shared" si="19"/>
      </c>
      <c r="X452" s="169" t="s">
        <v>107</v>
      </c>
      <c r="Y452" s="163" t="s">
        <v>132</v>
      </c>
      <c r="Z452" s="166">
        <v>133526</v>
      </c>
      <c r="AA452" s="164">
        <v>39635</v>
      </c>
      <c r="AB452" s="164">
        <v>166127</v>
      </c>
      <c r="AC452" s="164">
        <v>955</v>
      </c>
      <c r="AD452" s="166">
        <v>8</v>
      </c>
      <c r="AE452" s="164">
        <v>22407</v>
      </c>
      <c r="AF452" s="166">
        <v>272</v>
      </c>
      <c r="AG452" s="166">
        <v>95</v>
      </c>
      <c r="AH452" s="165">
        <v>15</v>
      </c>
      <c r="AI452" s="167">
        <v>1</v>
      </c>
    </row>
    <row r="453">
      <c r="A453" s="149"/>
      <c r="B453" s="150" t="s">
        <v>105</v>
      </c>
      <c r="C453" s="170" t="s">
        <v>106</v>
      </c>
      <c r="D453" s="171">
        <v>3371.8019999999997</v>
      </c>
      <c r="E453" s="172">
        <v>6</v>
      </c>
      <c r="F453" s="154">
        <f t="shared" si="439"/>
      </c>
      <c r="G453" s="172">
        <v>2525.2000000000007</v>
      </c>
      <c r="H453" s="156">
        <f t="shared" si="469"/>
      </c>
      <c r="I453" s="157">
        <f t="shared" si="379"/>
      </c>
      <c r="J453" s="158">
        <f t="shared" si="409"/>
      </c>
      <c r="K453" s="159">
        <f t="shared" si="319"/>
      </c>
      <c r="L453" s="160">
        <f t="shared" si="349"/>
      </c>
      <c r="M453" s="158">
        <f t="shared" si="229"/>
      </c>
      <c r="N453" s="161">
        <f t="shared" si="259"/>
      </c>
      <c r="O453" s="161">
        <f t="shared" si="289"/>
      </c>
      <c r="P453" s="161">
        <f t="shared" si="169"/>
      </c>
      <c r="Q453" s="161">
        <f t="shared" si="199"/>
      </c>
      <c r="R453" s="158">
        <f t="shared" si="109"/>
      </c>
      <c r="S453" s="159">
        <f t="shared" si="139"/>
      </c>
      <c r="T453" s="161">
        <f t="shared" si="49"/>
      </c>
      <c r="U453" s="161">
        <f t="shared" si="79"/>
      </c>
      <c r="V453" s="161">
        <f t="shared" si="499"/>
      </c>
      <c r="W453" s="161">
        <f t="shared" si="19"/>
      </c>
      <c r="X453" s="169" t="s">
        <v>107</v>
      </c>
      <c r="Y453" s="163" t="s">
        <v>132</v>
      </c>
      <c r="Z453" s="166">
        <v>122104</v>
      </c>
      <c r="AA453" s="166">
        <v>34063</v>
      </c>
      <c r="AB453" s="166">
        <v>149423</v>
      </c>
      <c r="AC453" s="166">
        <v>957</v>
      </c>
      <c r="AD453" s="166">
        <v>6</v>
      </c>
      <c r="AE453" s="166">
        <v>18751</v>
      </c>
      <c r="AF453" s="166">
        <v>235</v>
      </c>
      <c r="AG453" s="166">
        <v>61</v>
      </c>
      <c r="AH453" s="166">
        <v>13</v>
      </c>
      <c r="AI453" s="167">
        <v>1</v>
      </c>
    </row>
    <row r="454">
      <c r="A454" s="149"/>
      <c r="B454" s="150" t="s">
        <v>105</v>
      </c>
      <c r="C454" s="173" t="s">
        <v>109</v>
      </c>
      <c r="D454" s="171">
        <v>3798.6179999999995</v>
      </c>
      <c r="E454" s="172">
        <v>20</v>
      </c>
      <c r="F454" s="154">
        <f t="shared" si="439"/>
      </c>
      <c r="G454" s="172">
        <v>7909.1</v>
      </c>
      <c r="H454" s="156">
        <f t="shared" si="469"/>
      </c>
      <c r="I454" s="157">
        <f t="shared" si="379"/>
      </c>
      <c r="J454" s="158">
        <f t="shared" si="409"/>
      </c>
      <c r="K454" s="159">
        <f t="shared" si="319"/>
      </c>
      <c r="L454" s="174">
        <f t="shared" si="349"/>
      </c>
      <c r="M454" s="175">
        <f t="shared" si="229"/>
      </c>
      <c r="N454" s="176">
        <f t="shared" si="259"/>
      </c>
      <c r="O454" s="176">
        <f t="shared" si="289"/>
      </c>
      <c r="P454" s="176">
        <f t="shared" si="169"/>
      </c>
      <c r="Q454" s="176">
        <f t="shared" si="199"/>
      </c>
      <c r="R454" s="175">
        <f t="shared" si="109"/>
      </c>
      <c r="S454" s="177">
        <f t="shared" si="139"/>
      </c>
      <c r="T454" s="176">
        <f t="shared" si="49"/>
      </c>
      <c r="U454" s="176">
        <f t="shared" si="79"/>
      </c>
      <c r="V454" s="176">
        <f t="shared" si="499"/>
      </c>
      <c r="W454" s="176">
        <f t="shared" si="19"/>
      </c>
      <c r="X454" s="169" t="s">
        <v>107</v>
      </c>
      <c r="Y454" s="163" t="s">
        <v>132</v>
      </c>
      <c r="Z454" s="166">
        <v>132007</v>
      </c>
      <c r="AA454" s="166">
        <v>34404</v>
      </c>
      <c r="AB454" s="166">
        <v>143639</v>
      </c>
      <c r="AC454" s="166">
        <v>879</v>
      </c>
      <c r="AD454" s="166">
        <v>17</v>
      </c>
      <c r="AE454" s="166">
        <v>18042</v>
      </c>
      <c r="AF454" s="166">
        <v>301</v>
      </c>
      <c r="AG454" s="166">
        <v>68</v>
      </c>
      <c r="AH454" s="165">
        <v>19</v>
      </c>
      <c r="AI454" s="167">
        <v>3</v>
      </c>
    </row>
    <row r="455">
      <c r="A455" s="149"/>
      <c r="B455" s="150" t="s">
        <v>105</v>
      </c>
      <c r="C455" s="173" t="s">
        <v>110</v>
      </c>
      <c r="D455" s="195">
        <v>4466.063</v>
      </c>
      <c r="E455" s="172">
        <v>10</v>
      </c>
      <c r="F455" s="154">
        <f t="shared" si="439"/>
      </c>
      <c r="G455" s="172">
        <v>3395.5</v>
      </c>
      <c r="H455" s="156">
        <f t="shared" si="469"/>
      </c>
      <c r="I455" s="157">
        <f t="shared" si="379"/>
      </c>
      <c r="J455" s="158">
        <f t="shared" si="409"/>
      </c>
      <c r="K455" s="159">
        <f t="shared" si="319"/>
      </c>
      <c r="L455" s="174">
        <f t="shared" si="349"/>
      </c>
      <c r="M455" s="175">
        <f t="shared" si="229"/>
      </c>
      <c r="N455" s="176">
        <f t="shared" si="259"/>
      </c>
      <c r="O455" s="176">
        <f t="shared" si="289"/>
      </c>
      <c r="P455" s="176">
        <f t="shared" si="169"/>
      </c>
      <c r="Q455" s="176">
        <f t="shared" si="199"/>
      </c>
      <c r="R455" s="175">
        <f t="shared" si="109"/>
      </c>
      <c r="S455" s="177">
        <f t="shared" si="139"/>
      </c>
      <c r="T455" s="176">
        <f t="shared" si="49"/>
      </c>
      <c r="U455" s="176">
        <f t="shared" si="79"/>
      </c>
      <c r="V455" s="176">
        <f t="shared" si="499"/>
      </c>
      <c r="W455" s="176">
        <f t="shared" si="19"/>
      </c>
      <c r="X455" s="169" t="s">
        <v>107</v>
      </c>
      <c r="Y455" s="163" t="s">
        <v>132</v>
      </c>
      <c r="Z455" s="166">
        <v>141660</v>
      </c>
      <c r="AA455" s="166">
        <v>34983</v>
      </c>
      <c r="AB455" s="166">
        <v>190326</v>
      </c>
      <c r="AC455" s="166">
        <v>1011</v>
      </c>
      <c r="AD455" s="166">
        <v>11</v>
      </c>
      <c r="AE455" s="166">
        <v>20620</v>
      </c>
      <c r="AF455" s="166">
        <v>373</v>
      </c>
      <c r="AG455" s="166">
        <v>91</v>
      </c>
      <c r="AH455" s="165">
        <v>12</v>
      </c>
      <c r="AI455" s="167">
        <v>2</v>
      </c>
    </row>
    <row r="456">
      <c r="A456" s="149"/>
      <c r="B456" s="178" t="s">
        <v>112</v>
      </c>
      <c r="C456" s="178"/>
      <c r="D456" s="179">
        <f>SUM(D451:D455)</f>
      </c>
      <c r="E456" s="180">
        <f>SUM(E451:E455)</f>
      </c>
      <c r="F456" s="181">
        <f t="shared" si="439"/>
      </c>
      <c r="G456" s="182">
        <f>SUM(G451:G455)</f>
      </c>
      <c r="H456" s="183">
        <f t="shared" si="469"/>
      </c>
      <c r="I456" s="184">
        <f t="shared" si="379"/>
      </c>
      <c r="J456" s="185">
        <f t="shared" si="409"/>
      </c>
      <c r="K456" s="181">
        <f t="shared" si="319"/>
      </c>
      <c r="L456" s="186">
        <f t="shared" si="349"/>
      </c>
      <c r="M456" s="185">
        <f t="shared" si="229"/>
      </c>
      <c r="N456" s="187">
        <f t="shared" si="259"/>
      </c>
      <c r="O456" s="187">
        <f t="shared" si="289"/>
      </c>
      <c r="P456" s="187">
        <f t="shared" si="169"/>
      </c>
      <c r="Q456" s="187">
        <f t="shared" si="199"/>
      </c>
      <c r="R456" s="185">
        <f t="shared" si="109"/>
      </c>
      <c r="S456" s="181">
        <f t="shared" si="139"/>
      </c>
      <c r="T456" s="187">
        <f t="shared" si="49"/>
      </c>
      <c r="U456" s="187">
        <f t="shared" si="79"/>
      </c>
      <c r="V456" s="187">
        <f t="shared" si="499"/>
      </c>
      <c r="W456" s="187">
        <f t="shared" si="19"/>
      </c>
      <c r="X456" s="187"/>
      <c r="Y456" s="188"/>
      <c r="Z456" s="179">
        <f>SUM(Z451:Z455)</f>
      </c>
      <c r="AA456" s="179">
        <f>SUM(AA451:AA455)</f>
      </c>
      <c r="AB456" s="179">
        <f>SUM(AB451:AB455)</f>
      </c>
      <c r="AC456" s="179">
        <f>SUM(AC451:AC455)</f>
      </c>
      <c r="AD456" s="179">
        <f>SUM(AD451:AD455)</f>
      </c>
      <c r="AE456" s="179">
        <f>SUM(AE451:AE455)</f>
      </c>
      <c r="AF456" s="179">
        <f>SUM(AF451:AF455)</f>
      </c>
      <c r="AG456" s="179">
        <f>SUM(AG451:AG455)</f>
      </c>
      <c r="AH456" s="179">
        <f>SUM(AH451:AH455)</f>
      </c>
      <c r="AI456" s="179">
        <f>SUM(AI451:AI455)</f>
      </c>
    </row>
    <row r="457">
      <c r="A457" s="149"/>
      <c r="B457" s="150" t="s">
        <v>130</v>
      </c>
      <c r="C457" s="192" t="s">
        <v>111</v>
      </c>
      <c r="D457" s="190">
        <v>4108.674</v>
      </c>
      <c r="E457" s="191">
        <v>8</v>
      </c>
      <c r="F457" s="154">
        <f t="shared" si="439"/>
      </c>
      <c r="G457" s="172">
        <v>3553.600000000002</v>
      </c>
      <c r="H457" s="156">
        <f t="shared" si="469"/>
      </c>
      <c r="I457" s="157">
        <f t="shared" si="379"/>
      </c>
      <c r="J457" s="158">
        <f t="shared" si="409"/>
      </c>
      <c r="K457" s="159">
        <f t="shared" si="319"/>
      </c>
      <c r="L457" s="160">
        <f t="shared" si="349"/>
      </c>
      <c r="M457" s="158">
        <f t="shared" si="229"/>
      </c>
      <c r="N457" s="161">
        <f t="shared" si="259"/>
      </c>
      <c r="O457" s="161">
        <f t="shared" si="289"/>
      </c>
      <c r="P457" s="161">
        <f t="shared" si="169"/>
      </c>
      <c r="Q457" s="161">
        <f t="shared" si="199"/>
      </c>
      <c r="R457" s="158">
        <f t="shared" si="109"/>
      </c>
      <c r="S457" s="159">
        <f t="shared" si="139"/>
      </c>
      <c r="T457" s="161">
        <f t="shared" si="49"/>
      </c>
      <c r="U457" s="161">
        <f t="shared" si="79"/>
      </c>
      <c r="V457" s="161">
        <f t="shared" si="499"/>
      </c>
      <c r="W457" s="161">
        <f t="shared" si="19"/>
      </c>
      <c r="X457" s="169" t="s">
        <v>107</v>
      </c>
      <c r="Y457" s="163" t="s">
        <v>132</v>
      </c>
      <c r="Z457" s="166">
        <v>143215</v>
      </c>
      <c r="AA457" s="166">
        <v>36223</v>
      </c>
      <c r="AB457" s="166">
        <v>200597</v>
      </c>
      <c r="AC457" s="166">
        <v>917</v>
      </c>
      <c r="AD457" s="166">
        <v>7</v>
      </c>
      <c r="AE457" s="166">
        <v>22361</v>
      </c>
      <c r="AF457" s="166">
        <v>351</v>
      </c>
      <c r="AG457" s="166">
        <v>65</v>
      </c>
      <c r="AH457" s="166">
        <v>12</v>
      </c>
      <c r="AI457" s="167">
        <v>1</v>
      </c>
    </row>
    <row r="458">
      <c r="A458" s="149"/>
      <c r="B458" s="150" t="s">
        <v>130</v>
      </c>
      <c r="C458" s="193" t="s">
        <v>114</v>
      </c>
      <c r="D458" s="171">
        <v>3156.062</v>
      </c>
      <c r="E458" s="172">
        <v>13</v>
      </c>
      <c r="F458" s="154">
        <f t="shared" si="439"/>
      </c>
      <c r="G458" s="172">
        <v>5802.699999999997</v>
      </c>
      <c r="H458" s="156">
        <f t="shared" si="469"/>
      </c>
      <c r="I458" s="157">
        <f t="shared" si="379"/>
      </c>
      <c r="J458" s="158">
        <f t="shared" si="409"/>
      </c>
      <c r="K458" s="159">
        <f t="shared" si="319"/>
      </c>
      <c r="L458" s="160">
        <f t="shared" si="349"/>
      </c>
      <c r="M458" s="158">
        <f t="shared" si="229"/>
      </c>
      <c r="N458" s="161">
        <f t="shared" si="259"/>
      </c>
      <c r="O458" s="161">
        <f t="shared" si="289"/>
      </c>
      <c r="P458" s="161">
        <f t="shared" si="169"/>
      </c>
      <c r="Q458" s="161">
        <f t="shared" si="199"/>
      </c>
      <c r="R458" s="158">
        <f t="shared" si="109"/>
      </c>
      <c r="S458" s="159">
        <f t="shared" si="139"/>
      </c>
      <c r="T458" s="161">
        <f t="shared" si="49"/>
      </c>
      <c r="U458" s="161">
        <f t="shared" si="79"/>
      </c>
      <c r="V458" s="161">
        <f t="shared" si="499"/>
      </c>
      <c r="W458" s="161">
        <f t="shared" si="19"/>
      </c>
      <c r="X458" s="169" t="s">
        <v>107</v>
      </c>
      <c r="Y458" s="163" t="s">
        <v>132</v>
      </c>
      <c r="Z458" s="166">
        <v>132278</v>
      </c>
      <c r="AA458" s="166">
        <v>35359</v>
      </c>
      <c r="AB458" s="166">
        <v>179501</v>
      </c>
      <c r="AC458" s="166">
        <v>868</v>
      </c>
      <c r="AD458" s="166">
        <v>8</v>
      </c>
      <c r="AE458" s="166">
        <v>19174</v>
      </c>
      <c r="AF458" s="166">
        <v>262</v>
      </c>
      <c r="AG458" s="166">
        <v>57</v>
      </c>
      <c r="AH458" s="166">
        <v>18</v>
      </c>
      <c r="AI458" s="167">
        <v>4</v>
      </c>
    </row>
    <row r="459">
      <c r="A459" s="149"/>
      <c r="B459" s="150" t="s">
        <v>130</v>
      </c>
      <c r="C459" s="194" t="s">
        <v>115</v>
      </c>
      <c r="D459" s="171">
        <v>3009.611</v>
      </c>
      <c r="E459" s="172">
        <v>11</v>
      </c>
      <c r="F459" s="154">
        <f t="shared" si="439"/>
      </c>
      <c r="G459" s="172">
        <v>6566.800000000003</v>
      </c>
      <c r="H459" s="156">
        <f t="shared" si="469"/>
      </c>
      <c r="I459" s="157">
        <f t="shared" si="379"/>
      </c>
      <c r="J459" s="158">
        <f t="shared" si="409"/>
      </c>
      <c r="K459" s="159">
        <f t="shared" si="319"/>
      </c>
      <c r="L459" s="174">
        <f t="shared" si="349"/>
      </c>
      <c r="M459" s="175">
        <f t="shared" si="229"/>
      </c>
      <c r="N459" s="176">
        <f t="shared" si="259"/>
      </c>
      <c r="O459" s="176">
        <f t="shared" si="289"/>
      </c>
      <c r="P459" s="176">
        <f t="shared" si="169"/>
      </c>
      <c r="Q459" s="176">
        <f t="shared" si="199"/>
      </c>
      <c r="R459" s="175">
        <f t="shared" si="109"/>
      </c>
      <c r="S459" s="177">
        <f t="shared" si="139"/>
      </c>
      <c r="T459" s="176">
        <f t="shared" si="49"/>
      </c>
      <c r="U459" s="176">
        <f t="shared" si="79"/>
      </c>
      <c r="V459" s="176">
        <f t="shared" si="499"/>
      </c>
      <c r="W459" s="176">
        <f t="shared" si="19"/>
      </c>
      <c r="X459" s="169" t="s">
        <v>107</v>
      </c>
      <c r="Y459" s="163" t="s">
        <v>132</v>
      </c>
      <c r="Z459" s="166">
        <v>123882</v>
      </c>
      <c r="AA459" s="166">
        <v>26400</v>
      </c>
      <c r="AB459" s="166">
        <v>141273</v>
      </c>
      <c r="AC459" s="166">
        <v>862</v>
      </c>
      <c r="AD459" s="166">
        <v>8</v>
      </c>
      <c r="AE459" s="166">
        <v>13366</v>
      </c>
      <c r="AF459" s="166">
        <v>240</v>
      </c>
      <c r="AG459" s="166">
        <v>59</v>
      </c>
      <c r="AH459" s="165">
        <v>20</v>
      </c>
      <c r="AI459" s="167">
        <v>4</v>
      </c>
    </row>
    <row r="460">
      <c r="A460" s="149"/>
      <c r="B460" s="150" t="s">
        <v>130</v>
      </c>
      <c r="C460" s="196" t="s">
        <v>116</v>
      </c>
      <c r="D460" s="195">
        <v>2219.382</v>
      </c>
      <c r="E460" s="172">
        <v>11</v>
      </c>
      <c r="F460" s="154">
        <f t="shared" si="439"/>
      </c>
      <c r="G460" s="172">
        <v>2266.300000000003</v>
      </c>
      <c r="H460" s="156">
        <f t="shared" si="469"/>
      </c>
      <c r="I460" s="157">
        <f t="shared" si="379"/>
      </c>
      <c r="J460" s="158">
        <f t="shared" si="409"/>
      </c>
      <c r="K460" s="159">
        <f t="shared" si="319"/>
      </c>
      <c r="L460" s="174">
        <f t="shared" si="349"/>
      </c>
      <c r="M460" s="175">
        <f t="shared" si="229"/>
      </c>
      <c r="N460" s="176">
        <f t="shared" si="259"/>
      </c>
      <c r="O460" s="176">
        <f t="shared" si="289"/>
      </c>
      <c r="P460" s="176">
        <f t="shared" si="169"/>
      </c>
      <c r="Q460" s="176">
        <f t="shared" si="199"/>
      </c>
      <c r="R460" s="175">
        <f t="shared" si="109"/>
      </c>
      <c r="S460" s="177">
        <f t="shared" si="139"/>
      </c>
      <c r="T460" s="176">
        <f t="shared" si="49"/>
      </c>
      <c r="U460" s="176">
        <f t="shared" si="79"/>
      </c>
      <c r="V460" s="176">
        <f t="shared" si="499"/>
      </c>
      <c r="W460" s="176">
        <f t="shared" si="19"/>
      </c>
      <c r="X460" s="169" t="s">
        <v>107</v>
      </c>
      <c r="Y460" s="163" t="s">
        <v>132</v>
      </c>
      <c r="Z460" s="166">
        <v>103312</v>
      </c>
      <c r="AA460" s="166">
        <v>25023</v>
      </c>
      <c r="AB460" s="166">
        <v>111618</v>
      </c>
      <c r="AC460" s="166">
        <v>750</v>
      </c>
      <c r="AD460" s="166">
        <v>7</v>
      </c>
      <c r="AE460" s="166">
        <v>11286</v>
      </c>
      <c r="AF460" s="166">
        <v>208</v>
      </c>
      <c r="AG460" s="166">
        <v>51</v>
      </c>
      <c r="AH460" s="165">
        <v>10</v>
      </c>
      <c r="AI460" s="167">
        <v>4</v>
      </c>
    </row>
    <row r="461">
      <c r="A461" s="149"/>
      <c r="B461" s="178" t="s">
        <v>112</v>
      </c>
      <c r="C461" s="178"/>
      <c r="D461" s="179">
        <f>SUM(D457:D460)</f>
      </c>
      <c r="E461" s="180">
        <f>SUM(E457:E460)</f>
      </c>
      <c r="F461" s="181">
        <f t="shared" si="439"/>
      </c>
      <c r="G461" s="182">
        <f>SUM(G457:G460)</f>
      </c>
      <c r="H461" s="183">
        <f t="shared" si="469"/>
      </c>
      <c r="I461" s="184">
        <f t="shared" si="379"/>
      </c>
      <c r="J461" s="185">
        <f t="shared" si="409"/>
      </c>
      <c r="K461" s="181">
        <f t="shared" si="319"/>
      </c>
      <c r="L461" s="186">
        <f t="shared" si="349"/>
      </c>
      <c r="M461" s="185">
        <f t="shared" si="229"/>
      </c>
      <c r="N461" s="187">
        <f t="shared" si="259"/>
      </c>
      <c r="O461" s="187">
        <f t="shared" si="289"/>
      </c>
      <c r="P461" s="187">
        <f t="shared" si="169"/>
      </c>
      <c r="Q461" s="187">
        <f t="shared" si="199"/>
      </c>
      <c r="R461" s="185">
        <f t="shared" si="109"/>
      </c>
      <c r="S461" s="181">
        <f t="shared" si="139"/>
      </c>
      <c r="T461" s="187">
        <f t="shared" si="49"/>
      </c>
      <c r="U461" s="187">
        <f t="shared" si="79"/>
      </c>
      <c r="V461" s="187">
        <f t="shared" si="499"/>
      </c>
      <c r="W461" s="187">
        <f t="shared" si="19"/>
      </c>
      <c r="X461" s="187"/>
      <c r="Y461" s="188"/>
      <c r="Z461" s="179">
        <f>SUM(Z457:Z460)</f>
      </c>
      <c r="AA461" s="179">
        <f>SUM(AA457:AA460)</f>
      </c>
      <c r="AB461" s="179">
        <f>SUM(AB457:AB460)</f>
      </c>
      <c r="AC461" s="179">
        <f>SUM(AC457:AC460)</f>
      </c>
      <c r="AD461" s="179">
        <f>SUM(AD457:AD460)</f>
      </c>
      <c r="AE461" s="179">
        <f>SUM(AE457:AE460)</f>
      </c>
      <c r="AF461" s="179">
        <f>SUM(AF457:AF460)</f>
      </c>
      <c r="AG461" s="179">
        <f>SUM(AG457:AG460)</f>
      </c>
      <c r="AH461" s="179">
        <f>SUM(AH457:AH460)</f>
      </c>
      <c r="AI461" s="179">
        <f>SUM(AI457:AI460)</f>
      </c>
    </row>
    <row r="462">
      <c r="A462" s="149"/>
      <c r="B462" s="150" t="s">
        <v>118</v>
      </c>
      <c r="C462" s="197" t="s">
        <v>117</v>
      </c>
      <c r="D462" s="171">
        <v>2296.302</v>
      </c>
      <c r="E462" s="172">
        <v>8</v>
      </c>
      <c r="F462" s="154">
        <f t="shared" si="439"/>
      </c>
      <c r="G462" s="172">
        <v>2917.199999999997</v>
      </c>
      <c r="H462" s="156">
        <f t="shared" si="469"/>
      </c>
      <c r="I462" s="157">
        <f t="shared" si="379"/>
      </c>
      <c r="J462" s="158">
        <f t="shared" si="409"/>
      </c>
      <c r="K462" s="159">
        <f t="shared" si="319"/>
      </c>
      <c r="L462" s="160">
        <f t="shared" si="349"/>
      </c>
      <c r="M462" s="158">
        <f t="shared" si="229"/>
      </c>
      <c r="N462" s="161">
        <f t="shared" si="259"/>
      </c>
      <c r="O462" s="161">
        <f t="shared" si="289"/>
      </c>
      <c r="P462" s="161">
        <f t="shared" si="169"/>
      </c>
      <c r="Q462" s="161">
        <f t="shared" si="199"/>
      </c>
      <c r="R462" s="158">
        <f t="shared" si="109"/>
      </c>
      <c r="S462" s="159">
        <f t="shared" si="139"/>
      </c>
      <c r="T462" s="161">
        <f t="shared" si="49"/>
      </c>
      <c r="U462" s="161">
        <f t="shared" si="79"/>
      </c>
      <c r="V462" s="161">
        <f t="shared" si="499"/>
      </c>
      <c r="W462" s="161">
        <f t="shared" si="19"/>
      </c>
      <c r="X462" s="197" t="s">
        <v>142</v>
      </c>
      <c r="Y462" s="163" t="s">
        <v>132</v>
      </c>
      <c r="Z462" s="166">
        <v>105753</v>
      </c>
      <c r="AA462" s="166">
        <v>22521</v>
      </c>
      <c r="AB462" s="166">
        <v>128018</v>
      </c>
      <c r="AC462" s="166">
        <v>769</v>
      </c>
      <c r="AD462" s="166">
        <v>8</v>
      </c>
      <c r="AE462" s="166">
        <v>11414</v>
      </c>
      <c r="AF462" s="166">
        <v>185</v>
      </c>
      <c r="AG462" s="166">
        <v>35</v>
      </c>
      <c r="AH462" s="165">
        <v>10</v>
      </c>
      <c r="AI462" s="167">
        <v>0</v>
      </c>
    </row>
    <row r="463">
      <c r="A463" s="149"/>
      <c r="B463" s="150" t="s">
        <v>118</v>
      </c>
      <c r="C463" s="194" t="s">
        <v>119</v>
      </c>
      <c r="D463" s="171">
        <v>2868.168</v>
      </c>
      <c r="E463" s="172">
        <v>13</v>
      </c>
      <c r="F463" s="154">
        <f t="shared" si="439"/>
      </c>
      <c r="G463" s="172">
        <v>3407.100000000006</v>
      </c>
      <c r="H463" s="156">
        <f t="shared" si="469"/>
      </c>
      <c r="I463" s="157">
        <f t="shared" si="379"/>
      </c>
      <c r="J463" s="158">
        <f t="shared" si="409"/>
      </c>
      <c r="K463" s="159">
        <f t="shared" si="319"/>
      </c>
      <c r="L463" s="174">
        <f t="shared" si="349"/>
      </c>
      <c r="M463" s="175">
        <f t="shared" si="229"/>
      </c>
      <c r="N463" s="176">
        <f t="shared" si="259"/>
      </c>
      <c r="O463" s="176">
        <f t="shared" si="289"/>
      </c>
      <c r="P463" s="176">
        <f t="shared" si="169"/>
      </c>
      <c r="Q463" s="176">
        <f t="shared" si="199"/>
      </c>
      <c r="R463" s="175">
        <f t="shared" si="109"/>
      </c>
      <c r="S463" s="177">
        <f t="shared" si="139"/>
      </c>
      <c r="T463" s="176">
        <f t="shared" si="49"/>
      </c>
      <c r="U463" s="176">
        <f t="shared" si="79"/>
      </c>
      <c r="V463" s="176">
        <f t="shared" si="499"/>
      </c>
      <c r="W463" s="176">
        <f t="shared" si="19"/>
      </c>
      <c r="X463" s="197" t="s">
        <v>142</v>
      </c>
      <c r="Y463" s="163" t="s">
        <v>120</v>
      </c>
      <c r="Z463" s="166">
        <v>133091</v>
      </c>
      <c r="AA463" s="166">
        <v>22717</v>
      </c>
      <c r="AB463" s="166">
        <v>156336</v>
      </c>
      <c r="AC463" s="166">
        <v>805</v>
      </c>
      <c r="AD463" s="166">
        <v>7</v>
      </c>
      <c r="AE463" s="166">
        <v>13548</v>
      </c>
      <c r="AF463" s="166">
        <v>243</v>
      </c>
      <c r="AG463" s="166">
        <v>52</v>
      </c>
      <c r="AH463" s="165">
        <v>10</v>
      </c>
      <c r="AI463" s="167">
        <v>2</v>
      </c>
    </row>
    <row r="464">
      <c r="A464" s="149"/>
      <c r="B464" s="150" t="s">
        <v>118</v>
      </c>
      <c r="C464" s="194" t="s">
        <v>121</v>
      </c>
      <c r="D464" s="195">
        <v>2704.743</v>
      </c>
      <c r="E464" s="172">
        <v>4</v>
      </c>
      <c r="F464" s="154">
        <f t="shared" si="439"/>
      </c>
      <c r="G464" s="172">
        <v>819.9999999999927</v>
      </c>
      <c r="H464" s="156">
        <f t="shared" si="469"/>
      </c>
      <c r="I464" s="157">
        <f t="shared" si="379"/>
      </c>
      <c r="J464" s="158">
        <f t="shared" si="409"/>
      </c>
      <c r="K464" s="159">
        <f t="shared" si="319"/>
      </c>
      <c r="L464" s="174">
        <f t="shared" si="349"/>
      </c>
      <c r="M464" s="175">
        <f t="shared" si="229"/>
      </c>
      <c r="N464" s="176">
        <f t="shared" si="259"/>
      </c>
      <c r="O464" s="176">
        <f t="shared" si="289"/>
      </c>
      <c r="P464" s="176">
        <f t="shared" si="169"/>
      </c>
      <c r="Q464" s="176">
        <f t="shared" si="199"/>
      </c>
      <c r="R464" s="175">
        <f t="shared" si="109"/>
      </c>
      <c r="S464" s="177">
        <f t="shared" si="139"/>
      </c>
      <c r="T464" s="176">
        <f t="shared" si="49"/>
      </c>
      <c r="U464" s="176">
        <f t="shared" si="79"/>
      </c>
      <c r="V464" s="176">
        <f t="shared" si="499"/>
      </c>
      <c r="W464" s="176">
        <f t="shared" si="19"/>
      </c>
      <c r="X464" s="197" t="s">
        <v>142</v>
      </c>
      <c r="Y464" s="163" t="s">
        <v>120</v>
      </c>
      <c r="Z464" s="166">
        <v>94170</v>
      </c>
      <c r="AA464" s="166">
        <v>17597</v>
      </c>
      <c r="AB464" s="166">
        <v>154613</v>
      </c>
      <c r="AC464" s="166">
        <v>702</v>
      </c>
      <c r="AD464" s="166">
        <v>2</v>
      </c>
      <c r="AE464" s="166">
        <v>12700</v>
      </c>
      <c r="AF464" s="166">
        <v>164</v>
      </c>
      <c r="AG464" s="166">
        <v>37</v>
      </c>
      <c r="AH464" s="165">
        <v>8</v>
      </c>
      <c r="AI464" s="167">
        <v>1</v>
      </c>
    </row>
    <row r="465">
      <c r="A465" s="149"/>
      <c r="B465" s="150" t="s">
        <v>118</v>
      </c>
      <c r="C465" s="196" t="s">
        <v>122</v>
      </c>
      <c r="D465" s="195">
        <v>3261.938</v>
      </c>
      <c r="E465" s="172">
        <v>9</v>
      </c>
      <c r="F465" s="154">
        <f t="shared" si="439"/>
      </c>
      <c r="G465" s="172">
        <v>4328</v>
      </c>
      <c r="H465" s="156">
        <f t="shared" si="469"/>
      </c>
      <c r="I465" s="157">
        <f t="shared" si="379"/>
      </c>
      <c r="J465" s="158">
        <f t="shared" si="409"/>
      </c>
      <c r="K465" s="159">
        <f t="shared" si="319"/>
      </c>
      <c r="L465" s="174">
        <f t="shared" si="349"/>
      </c>
      <c r="M465" s="175">
        <f t="shared" si="229"/>
      </c>
      <c r="N465" s="176">
        <f t="shared" si="259"/>
      </c>
      <c r="O465" s="176">
        <f t="shared" si="289"/>
      </c>
      <c r="P465" s="176">
        <f t="shared" si="169"/>
      </c>
      <c r="Q465" s="176">
        <f t="shared" si="199"/>
      </c>
      <c r="R465" s="175">
        <f t="shared" si="109"/>
      </c>
      <c r="S465" s="177">
        <f t="shared" si="139"/>
      </c>
      <c r="T465" s="176">
        <f t="shared" si="49"/>
      </c>
      <c r="U465" s="176">
        <f t="shared" si="79"/>
      </c>
      <c r="V465" s="176">
        <f t="shared" si="499"/>
      </c>
      <c r="W465" s="176">
        <f t="shared" si="19"/>
      </c>
      <c r="X465" s="197" t="s">
        <v>142</v>
      </c>
      <c r="Y465" s="163" t="s">
        <v>120</v>
      </c>
      <c r="Z465" s="166">
        <v>153620</v>
      </c>
      <c r="AA465" s="166">
        <v>39402</v>
      </c>
      <c r="AB465" s="166">
        <v>296493</v>
      </c>
      <c r="AC465" s="166">
        <v>1067</v>
      </c>
      <c r="AD465" s="166">
        <v>9</v>
      </c>
      <c r="AE465" s="166">
        <v>26316</v>
      </c>
      <c r="AF465" s="166">
        <v>327</v>
      </c>
      <c r="AG465" s="166">
        <v>103</v>
      </c>
      <c r="AH465" s="165">
        <v>16</v>
      </c>
      <c r="AI465" s="167">
        <v>0</v>
      </c>
    </row>
    <row r="466">
      <c r="A466" s="149"/>
      <c r="B466" s="178" t="s">
        <v>112</v>
      </c>
      <c r="C466" s="178"/>
      <c r="D466" s="179">
        <f>SUM(D462:D465)</f>
      </c>
      <c r="E466" s="180">
        <f>SUM(E462:E465)</f>
      </c>
      <c r="F466" s="181">
        <f t="shared" si="439"/>
      </c>
      <c r="G466" s="182">
        <f>SUM(G462:G465)</f>
      </c>
      <c r="H466" s="183">
        <f t="shared" si="469"/>
      </c>
      <c r="I466" s="184">
        <f t="shared" si="379"/>
      </c>
      <c r="J466" s="185">
        <f t="shared" si="409"/>
      </c>
      <c r="K466" s="181">
        <f t="shared" si="319"/>
      </c>
      <c r="L466" s="186">
        <f t="shared" si="349"/>
      </c>
      <c r="M466" s="185">
        <f t="shared" si="229"/>
      </c>
      <c r="N466" s="187">
        <f t="shared" si="259"/>
      </c>
      <c r="O466" s="187">
        <f t="shared" si="289"/>
      </c>
      <c r="P466" s="187">
        <f t="shared" si="169"/>
      </c>
      <c r="Q466" s="187">
        <f t="shared" si="199"/>
      </c>
      <c r="R466" s="185">
        <f t="shared" si="109"/>
      </c>
      <c r="S466" s="181">
        <f t="shared" si="139"/>
      </c>
      <c r="T466" s="187">
        <f t="shared" si="49"/>
      </c>
      <c r="U466" s="187">
        <f t="shared" si="79"/>
      </c>
      <c r="V466" s="187">
        <f t="shared" si="499"/>
      </c>
      <c r="W466" s="187">
        <f t="shared" si="19"/>
      </c>
      <c r="X466" s="187"/>
      <c r="Y466" s="188"/>
      <c r="Z466" s="179">
        <f>SUM(Z462:Z465)</f>
      </c>
      <c r="AA466" s="179">
        <f>SUM(AA462:AA465)</f>
      </c>
      <c r="AB466" s="179">
        <f>SUM(AB462:AB465)</f>
      </c>
      <c r="AC466" s="179">
        <f>SUM(AC462:AC465)</f>
      </c>
      <c r="AD466" s="179">
        <f>SUM(AD462:AD465)</f>
      </c>
      <c r="AE466" s="179">
        <f>SUM(AE462:AE465)</f>
      </c>
      <c r="AF466" s="179">
        <f>SUM(AF462:AF465)</f>
      </c>
      <c r="AG466" s="179">
        <f>SUM(AG462:AG465)</f>
      </c>
      <c r="AH466" s="179">
        <f>SUM(AH462:AH465)</f>
      </c>
      <c r="AI466" s="179">
        <f>SUM(AI462:AI465)</f>
      </c>
    </row>
    <row r="467">
      <c r="A467" s="149"/>
      <c r="B467" s="150" t="s">
        <v>131</v>
      </c>
      <c r="C467" s="197" t="s">
        <v>123</v>
      </c>
      <c r="D467" s="198">
        <v>1066.741</v>
      </c>
      <c r="E467" s="153">
        <v>4</v>
      </c>
      <c r="F467" s="154">
        <f t="shared" si="439"/>
      </c>
      <c r="G467" s="155">
        <v>2062.7999999999956</v>
      </c>
      <c r="H467" s="156">
        <f t="shared" si="469"/>
      </c>
      <c r="I467" s="157">
        <f t="shared" si="379"/>
      </c>
      <c r="J467" s="158">
        <f t="shared" si="409"/>
      </c>
      <c r="K467" s="159">
        <f t="shared" si="319"/>
      </c>
      <c r="L467" s="174">
        <f t="shared" si="349"/>
      </c>
      <c r="M467" s="175">
        <f t="shared" si="229"/>
      </c>
      <c r="N467" s="176">
        <f t="shared" si="259"/>
      </c>
      <c r="O467" s="176">
        <f t="shared" si="289"/>
      </c>
      <c r="P467" s="176">
        <f t="shared" si="169"/>
      </c>
      <c r="Q467" s="176">
        <f t="shared" si="199"/>
      </c>
      <c r="R467" s="175">
        <f t="shared" si="109"/>
      </c>
      <c r="S467" s="177">
        <f t="shared" si="139"/>
      </c>
      <c r="T467" s="176">
        <f t="shared" si="49"/>
      </c>
      <c r="U467" s="176">
        <f t="shared" si="79"/>
      </c>
      <c r="V467" s="176">
        <f t="shared" si="499"/>
      </c>
      <c r="W467" s="176">
        <f t="shared" si="19"/>
      </c>
      <c r="X467" s="169" t="s">
        <v>142</v>
      </c>
      <c r="Y467" s="163" t="s">
        <v>120</v>
      </c>
      <c r="Z467" s="166">
        <v>58175</v>
      </c>
      <c r="AA467" s="166">
        <v>14018</v>
      </c>
      <c r="AB467" s="166">
        <v>56829</v>
      </c>
      <c r="AC467" s="199">
        <v>491</v>
      </c>
      <c r="AD467" s="199">
        <v>3</v>
      </c>
      <c r="AE467" s="199">
        <v>5519</v>
      </c>
      <c r="AF467" s="199">
        <v>121</v>
      </c>
      <c r="AG467" s="199">
        <v>23</v>
      </c>
      <c r="AH467" s="199">
        <v>3</v>
      </c>
      <c r="AI467" s="167">
        <v>0</v>
      </c>
    </row>
    <row r="468">
      <c r="A468" s="149"/>
      <c r="B468" s="150" t="s">
        <v>131</v>
      </c>
      <c r="C468" s="194" t="s">
        <v>125</v>
      </c>
      <c r="D468" s="198">
        <v>3680.798</v>
      </c>
      <c r="E468" s="153">
        <v>7</v>
      </c>
      <c r="F468" s="154">
        <f t="shared" si="439"/>
      </c>
      <c r="G468" s="155">
        <v>4129.600000000006</v>
      </c>
      <c r="H468" s="156">
        <f t="shared" si="469"/>
      </c>
      <c r="I468" s="157">
        <f t="shared" si="379"/>
      </c>
      <c r="J468" s="158">
        <f t="shared" si="409"/>
      </c>
      <c r="K468" s="159">
        <f t="shared" si="319"/>
      </c>
      <c r="L468" s="174">
        <f t="shared" si="349"/>
      </c>
      <c r="M468" s="175">
        <f t="shared" si="229"/>
      </c>
      <c r="N468" s="176">
        <f t="shared" si="259"/>
      </c>
      <c r="O468" s="176">
        <f t="shared" si="289"/>
      </c>
      <c r="P468" s="176">
        <f t="shared" si="169"/>
      </c>
      <c r="Q468" s="176">
        <f t="shared" si="199"/>
      </c>
      <c r="R468" s="175">
        <f t="shared" si="109"/>
      </c>
      <c r="S468" s="177">
        <f t="shared" si="139"/>
      </c>
      <c r="T468" s="176">
        <f t="shared" si="49"/>
      </c>
      <c r="U468" s="176">
        <f t="shared" si="79"/>
      </c>
      <c r="V468" s="176">
        <f t="shared" si="499"/>
      </c>
      <c r="W468" s="176">
        <f t="shared" si="19"/>
      </c>
      <c r="X468" s="169" t="s">
        <v>142</v>
      </c>
      <c r="Y468" s="163" t="s">
        <v>120</v>
      </c>
      <c r="Z468" s="166">
        <v>206346</v>
      </c>
      <c r="AA468" s="166">
        <v>35692</v>
      </c>
      <c r="AB468" s="166">
        <v>360299</v>
      </c>
      <c r="AC468" s="199">
        <v>1088</v>
      </c>
      <c r="AD468" s="199">
        <v>6</v>
      </c>
      <c r="AE468" s="199">
        <v>21444</v>
      </c>
      <c r="AF468" s="199">
        <v>300</v>
      </c>
      <c r="AG468" s="199">
        <v>87</v>
      </c>
      <c r="AH468" s="199">
        <v>29</v>
      </c>
      <c r="AI468" s="167">
        <v>1</v>
      </c>
    </row>
    <row r="469">
      <c r="A469" s="149"/>
      <c r="B469" s="150" t="s">
        <v>131</v>
      </c>
      <c r="C469" s="194" t="s">
        <v>126</v>
      </c>
      <c r="D469" s="171">
        <v>2879.6079999999997</v>
      </c>
      <c r="E469" s="172">
        <v>7</v>
      </c>
      <c r="F469" s="154">
        <f t="shared" si="439"/>
      </c>
      <c r="G469" s="172">
        <v>2725.5999999999913</v>
      </c>
      <c r="H469" s="156">
        <f t="shared" si="469"/>
      </c>
      <c r="I469" s="157">
        <f t="shared" si="379"/>
      </c>
      <c r="J469" s="158">
        <f t="shared" si="409"/>
      </c>
      <c r="K469" s="159">
        <f t="shared" si="319"/>
      </c>
      <c r="L469" s="174">
        <f t="shared" si="349"/>
      </c>
      <c r="M469" s="175">
        <f t="shared" si="229"/>
      </c>
      <c r="N469" s="176">
        <f t="shared" si="259"/>
      </c>
      <c r="O469" s="176">
        <f t="shared" si="289"/>
      </c>
      <c r="P469" s="176">
        <f t="shared" si="169"/>
      </c>
      <c r="Q469" s="176">
        <f t="shared" si="199"/>
      </c>
      <c r="R469" s="175">
        <f t="shared" si="109"/>
      </c>
      <c r="S469" s="177">
        <f t="shared" si="139"/>
      </c>
      <c r="T469" s="176">
        <f t="shared" si="49"/>
      </c>
      <c r="U469" s="176">
        <f t="shared" si="79"/>
      </c>
      <c r="V469" s="176">
        <f t="shared" si="499"/>
      </c>
      <c r="W469" s="176">
        <f t="shared" si="19"/>
      </c>
      <c r="X469" s="169" t="s">
        <v>142</v>
      </c>
      <c r="Y469" s="163" t="s">
        <v>120</v>
      </c>
      <c r="Z469" s="166">
        <v>106775</v>
      </c>
      <c r="AA469" s="166">
        <v>17538</v>
      </c>
      <c r="AB469" s="166">
        <v>194075</v>
      </c>
      <c r="AC469" s="166">
        <v>277</v>
      </c>
      <c r="AD469" s="166">
        <v>5</v>
      </c>
      <c r="AE469" s="166">
        <v>10995</v>
      </c>
      <c r="AF469" s="166">
        <v>215</v>
      </c>
      <c r="AG469" s="166">
        <v>49</v>
      </c>
      <c r="AH469" s="165">
        <v>11</v>
      </c>
      <c r="AI469" s="167">
        <v>1</v>
      </c>
    </row>
    <row r="470">
      <c r="A470" s="149"/>
      <c r="B470" s="150" t="s">
        <v>131</v>
      </c>
      <c r="C470" s="196" t="s">
        <v>127</v>
      </c>
      <c r="D470" s="195">
        <v>3428.459</v>
      </c>
      <c r="E470" s="172">
        <v>10</v>
      </c>
      <c r="F470" s="154">
        <f t="shared" si="439"/>
      </c>
      <c r="G470" s="172">
        <v>3294.4000000000087</v>
      </c>
      <c r="H470" s="156">
        <f t="shared" si="469"/>
      </c>
      <c r="I470" s="157">
        <f t="shared" si="379"/>
      </c>
      <c r="J470" s="158">
        <f t="shared" si="409"/>
      </c>
      <c r="K470" s="159">
        <f t="shared" si="319"/>
      </c>
      <c r="L470" s="174">
        <f t="shared" si="349"/>
      </c>
      <c r="M470" s="175">
        <f t="shared" si="229"/>
      </c>
      <c r="N470" s="176">
        <f t="shared" si="259"/>
      </c>
      <c r="O470" s="176">
        <f t="shared" si="289"/>
      </c>
      <c r="P470" s="176">
        <f t="shared" si="169"/>
      </c>
      <c r="Q470" s="176">
        <f t="shared" si="199"/>
      </c>
      <c r="R470" s="175">
        <f t="shared" si="109"/>
      </c>
      <c r="S470" s="177">
        <f t="shared" si="139"/>
      </c>
      <c r="T470" s="176">
        <f t="shared" si="49"/>
      </c>
      <c r="U470" s="176">
        <f t="shared" si="79"/>
      </c>
      <c r="V470" s="176">
        <f t="shared" si="499"/>
      </c>
      <c r="W470" s="176">
        <f t="shared" si="19"/>
      </c>
      <c r="X470" s="169" t="s">
        <v>142</v>
      </c>
      <c r="Y470" s="163" t="s">
        <v>120</v>
      </c>
      <c r="Z470" s="166">
        <v>109183</v>
      </c>
      <c r="AA470" s="166">
        <v>14017</v>
      </c>
      <c r="AB470" s="166">
        <v>238155</v>
      </c>
      <c r="AC470" s="166">
        <v>157</v>
      </c>
      <c r="AD470" s="166">
        <v>8</v>
      </c>
      <c r="AE470" s="166">
        <v>13185</v>
      </c>
      <c r="AF470" s="166">
        <v>187</v>
      </c>
      <c r="AG470" s="166">
        <v>43</v>
      </c>
      <c r="AH470" s="165">
        <v>13</v>
      </c>
      <c r="AI470" s="167">
        <v>2</v>
      </c>
    </row>
    <row r="471">
      <c r="A471" s="149"/>
      <c r="B471" s="150" t="s">
        <v>131</v>
      </c>
      <c r="C471" s="194" t="s">
        <v>128</v>
      </c>
      <c r="D471" s="195">
        <f>632.931+0.23+0.455</f>
      </c>
      <c r="E471" s="172">
        <v>13</v>
      </c>
      <c r="F471" s="154">
        <f t="shared" si="439"/>
      </c>
      <c r="G471" s="172">
        <v>3061.399999999994</v>
      </c>
      <c r="H471" s="156">
        <f t="shared" si="469"/>
      </c>
      <c r="I471" s="157">
        <f t="shared" si="379"/>
      </c>
      <c r="J471" s="158">
        <f t="shared" si="409"/>
      </c>
      <c r="K471" s="159">
        <f t="shared" si="319"/>
      </c>
      <c r="L471" s="174">
        <f t="shared" si="349"/>
      </c>
      <c r="M471" s="175">
        <f t="shared" si="229"/>
      </c>
      <c r="N471" s="176">
        <f t="shared" si="259"/>
      </c>
      <c r="O471" s="176">
        <f t="shared" si="289"/>
      </c>
      <c r="P471" s="176">
        <f t="shared" si="169"/>
      </c>
      <c r="Q471" s="176">
        <f t="shared" si="199"/>
      </c>
      <c r="R471" s="175">
        <f t="shared" si="109"/>
      </c>
      <c r="S471" s="177">
        <f t="shared" si="139"/>
      </c>
      <c r="T471" s="176">
        <f t="shared" si="49"/>
      </c>
      <c r="U471" s="176">
        <f t="shared" si="79"/>
      </c>
      <c r="V471" s="176">
        <f t="shared" si="499"/>
      </c>
      <c r="W471" s="176">
        <f t="shared" si="19"/>
      </c>
      <c r="X471" s="169" t="s">
        <v>142</v>
      </c>
      <c r="Y471" s="163" t="s">
        <v>120</v>
      </c>
      <c r="Z471" s="166">
        <v>33173</v>
      </c>
      <c r="AA471" s="166">
        <v>4758</v>
      </c>
      <c r="AB471" s="166">
        <v>43097</v>
      </c>
      <c r="AC471" s="166">
        <v>217</v>
      </c>
      <c r="AD471" s="166">
        <v>5</v>
      </c>
      <c r="AE471" s="166">
        <v>2547</v>
      </c>
      <c r="AF471" s="166">
        <v>69</v>
      </c>
      <c r="AG471" s="166">
        <v>19</v>
      </c>
      <c r="AH471" s="165">
        <v>5</v>
      </c>
      <c r="AI471" s="167">
        <v>3</v>
      </c>
    </row>
    <row r="472">
      <c r="A472" s="149"/>
      <c r="B472" s="178" t="s">
        <v>112</v>
      </c>
      <c r="C472" s="178"/>
      <c r="D472" s="179">
        <f>SUM(D467:D471)</f>
      </c>
      <c r="E472" s="180">
        <f>SUM(E467:E471)</f>
      </c>
      <c r="F472" s="181">
        <f t="shared" si="439"/>
      </c>
      <c r="G472" s="182">
        <f>SUM(G467:G471)</f>
      </c>
      <c r="H472" s="183">
        <f t="shared" si="469"/>
      </c>
      <c r="I472" s="184">
        <f t="shared" si="379"/>
      </c>
      <c r="J472" s="185">
        <f t="shared" si="409"/>
      </c>
      <c r="K472" s="181">
        <f t="shared" si="319"/>
      </c>
      <c r="L472" s="186">
        <f t="shared" si="349"/>
      </c>
      <c r="M472" s="185">
        <f t="shared" si="229"/>
      </c>
      <c r="N472" s="187">
        <f t="shared" si="259"/>
      </c>
      <c r="O472" s="187">
        <f t="shared" si="289"/>
      </c>
      <c r="P472" s="187">
        <f t="shared" si="169"/>
      </c>
      <c r="Q472" s="187">
        <f t="shared" si="199"/>
      </c>
      <c r="R472" s="185">
        <f t="shared" si="109"/>
      </c>
      <c r="S472" s="181">
        <f t="shared" si="139"/>
      </c>
      <c r="T472" s="187">
        <f t="shared" si="49"/>
      </c>
      <c r="U472" s="187">
        <f t="shared" si="79"/>
      </c>
      <c r="V472" s="187">
        <f t="shared" si="499"/>
      </c>
      <c r="W472" s="187">
        <f t="shared" si="19"/>
      </c>
      <c r="X472" s="187"/>
      <c r="Y472" s="188"/>
      <c r="Z472" s="179">
        <f>SUM(Z467:Z471)</f>
      </c>
      <c r="AA472" s="179">
        <f>SUM(AA467:AA471)</f>
      </c>
      <c r="AB472" s="179">
        <f>SUM(AB467:AB471)</f>
      </c>
      <c r="AC472" s="179">
        <f>SUM(AC467:AC471)</f>
      </c>
      <c r="AD472" s="179">
        <f>SUM(AD467:AD471)</f>
      </c>
      <c r="AE472" s="179">
        <f>SUM(AE467:AE471)</f>
      </c>
      <c r="AF472" s="179">
        <f>SUM(AF467:AF471)</f>
      </c>
      <c r="AG472" s="179">
        <f>SUM(AG467:AG471)</f>
      </c>
      <c r="AH472" s="179">
        <f>SUM(AH467:AH471)</f>
      </c>
      <c r="AI472" s="179">
        <f>SUM(AI467:AI471)</f>
      </c>
    </row>
    <row r="473">
      <c r="A473" s="149"/>
      <c r="B473" s="202" t="s">
        <v>129</v>
      </c>
      <c r="C473" s="202"/>
      <c r="D473" s="203">
        <f>SUM(D472+D456+D461+D466)</f>
      </c>
      <c r="E473" s="204">
        <f>SUM(E472+E456+E461+E466)</f>
      </c>
      <c r="F473" s="205">
        <f t="shared" si="439"/>
      </c>
      <c r="G473" s="206">
        <f>SUM(G472+G456+G461+G466)</f>
      </c>
      <c r="H473" s="207">
        <f t="shared" si="469"/>
      </c>
      <c r="I473" s="208">
        <f t="shared" si="379"/>
      </c>
      <c r="J473" s="209">
        <f t="shared" si="409"/>
      </c>
      <c r="K473" s="205">
        <f t="shared" si="319"/>
      </c>
      <c r="L473" s="210">
        <f t="shared" si="349"/>
      </c>
      <c r="M473" s="210">
        <f t="shared" si="229"/>
      </c>
      <c r="N473" s="211">
        <f t="shared" si="259"/>
      </c>
      <c r="O473" s="211">
        <f t="shared" si="289"/>
      </c>
      <c r="P473" s="211">
        <f t="shared" si="169"/>
      </c>
      <c r="Q473" s="211">
        <f t="shared" si="199"/>
      </c>
      <c r="R473" s="212">
        <f t="shared" si="109"/>
      </c>
      <c r="S473" s="213">
        <f t="shared" si="139"/>
      </c>
      <c r="T473" s="214">
        <f t="shared" si="49"/>
      </c>
      <c r="U473" s="214">
        <f t="shared" si="79"/>
      </c>
      <c r="V473" s="214">
        <f t="shared" si="499"/>
      </c>
      <c r="W473" s="214">
        <f t="shared" si="19"/>
      </c>
      <c r="X473" s="214"/>
      <c r="Y473" s="215"/>
      <c r="Z473" s="216">
        <f>SUM(Z456+Z472+Z461+Z466)</f>
      </c>
      <c r="AA473" s="216">
        <f>SUM(AA456+AA472+AA461+AA466)</f>
      </c>
      <c r="AB473" s="216">
        <f>SUM(AB456+AB472+AB461+AB466)</f>
      </c>
      <c r="AC473" s="216">
        <f>SUM(AC456+AC472+AC461+AC466)</f>
      </c>
      <c r="AD473" s="216">
        <f>SUM(AD456+AD472+AD461+AD466)</f>
      </c>
      <c r="AE473" s="216">
        <f>SUM(AE456+AE472+AE461+AE466)</f>
      </c>
      <c r="AF473" s="216">
        <f>SUM(AF456+AF472+AF461+AF466)</f>
      </c>
      <c r="AG473" s="216">
        <f>SUM(AG456+AG472+AG461+AG466)</f>
      </c>
      <c r="AH473" s="216">
        <f>SUM(AH456+AH472+AH461+AH466)</f>
      </c>
      <c r="AI473" s="216">
        <f>SUM(AI456+AI472+AI461+AI466)</f>
      </c>
    </row>
    <row r="474">
      <c r="A474" s="133" t="s">
        <v>70</v>
      </c>
      <c r="B474" s="134" t="s">
        <v>71</v>
      </c>
      <c r="C474" s="135" t="s">
        <v>72</v>
      </c>
      <c r="D474" s="136" t="s">
        <v>73</v>
      </c>
      <c r="E474" s="137" t="s">
        <v>74</v>
      </c>
      <c r="F474" s="138" t="s">
        <v>75</v>
      </c>
      <c r="G474" s="139" t="s">
        <v>76</v>
      </c>
      <c r="H474" s="138" t="s">
        <v>77</v>
      </c>
      <c r="I474" s="139" t="s">
        <v>78</v>
      </c>
      <c r="J474" s="140" t="s">
        <v>79</v>
      </c>
      <c r="K474" s="140" t="s">
        <v>80</v>
      </c>
      <c r="L474" s="141" t="s">
        <v>81</v>
      </c>
      <c r="M474" s="141" t="s">
        <v>82</v>
      </c>
      <c r="N474" s="141" t="s">
        <v>83</v>
      </c>
      <c r="O474" s="141" t="s">
        <v>84</v>
      </c>
      <c r="P474" s="141" t="s">
        <v>85</v>
      </c>
      <c r="Q474" s="141" t="s">
        <v>86</v>
      </c>
      <c r="R474" s="141" t="s">
        <v>87</v>
      </c>
      <c r="S474" s="141" t="s">
        <v>88</v>
      </c>
      <c r="T474" s="142" t="s">
        <v>89</v>
      </c>
      <c r="U474" s="142" t="s">
        <v>90</v>
      </c>
      <c r="V474" s="142" t="s">
        <v>91</v>
      </c>
      <c r="W474" s="142" t="s">
        <v>92</v>
      </c>
      <c r="X474" s="143" t="s">
        <v>93</v>
      </c>
      <c r="Y474" s="143" t="s">
        <v>94</v>
      </c>
      <c r="Z474" s="144" t="s">
        <v>95</v>
      </c>
      <c r="AA474" s="144" t="s">
        <v>96</v>
      </c>
      <c r="AB474" s="144" t="s">
        <v>97</v>
      </c>
      <c r="AC474" s="145" t="s">
        <v>98</v>
      </c>
      <c r="AD474" s="145" t="s">
        <v>99</v>
      </c>
      <c r="AE474" s="146" t="s">
        <v>100</v>
      </c>
      <c r="AF474" s="145" t="s">
        <v>101</v>
      </c>
      <c r="AG474" s="145" t="s">
        <v>102</v>
      </c>
      <c r="AH474" s="147" t="s">
        <v>103</v>
      </c>
      <c r="AI474" s="148" t="s">
        <v>104</v>
      </c>
    </row>
    <row r="475">
      <c r="A475" s="149">
        <v>46286</v>
      </c>
      <c r="B475" s="150" t="s">
        <v>105</v>
      </c>
      <c r="C475" s="151" t="s">
        <v>135</v>
      </c>
      <c r="D475" s="152">
        <v>1448.888</v>
      </c>
      <c r="E475" s="153">
        <v>10</v>
      </c>
      <c r="F475" s="154">
        <f t="shared" ref="F475:F497" si="440">D475/E475</f>
      </c>
      <c r="G475" s="155">
        <v>2702.2</v>
      </c>
      <c r="H475" s="156">
        <f t="shared" ref="H475:H497" si="470">AD475</f>
      </c>
      <c r="I475" s="157">
        <f t="shared" ref="I475:I497" si="380">D475/AD475</f>
      </c>
      <c r="J475" s="158">
        <f t="shared" ref="J475:J497" si="410">G475/E475</f>
      </c>
      <c r="K475" s="159">
        <f t="shared" ref="K475:K497" si="320">G475/D475</f>
      </c>
      <c r="L475" s="160">
        <f t="shared" ref="L475:L497" si="350">D475/AB475</f>
      </c>
      <c r="M475" s="158">
        <f t="shared" ref="M475:M497" si="230">D475/AC475</f>
      </c>
      <c r="N475" s="161">
        <f t="shared" ref="N475:N497" si="260">AC475/AB475</f>
      </c>
      <c r="O475" s="161">
        <f t="shared" ref="O475:O497" si="290">AD475/AC475</f>
      </c>
      <c r="P475" s="161">
        <f t="shared" ref="P475:P497" si="170">AA475/Z475</f>
      </c>
      <c r="Q475" s="161">
        <f t="shared" ref="Q475:Q497" si="200">AD475/AA475</f>
      </c>
      <c r="R475" s="158">
        <f t="shared" ref="R475:R497" si="110">D475/Z475*1000</f>
      </c>
      <c r="S475" s="159">
        <f t="shared" ref="S475:S497" si="140">D475/AA475</f>
      </c>
      <c r="T475" s="161">
        <f t="shared" ref="T475:T497" si="50">AE475/AB475</f>
      </c>
      <c r="U475" s="161">
        <f t="shared" ref="U475:U497" si="80">AF475/AB475</f>
      </c>
      <c r="V475" s="161">
        <f t="shared" ref="V475:V497" si="500">AG475/AB475</f>
      </c>
      <c r="W475" s="161">
        <f t="shared" ref="W475:W497" si="20">AH475/AB475</f>
      </c>
      <c r="X475" s="162" t="s">
        <v>107</v>
      </c>
      <c r="Y475" s="163" t="s">
        <v>132</v>
      </c>
      <c r="Z475" s="164">
        <v>57757</v>
      </c>
      <c r="AA475" s="164">
        <v>32749</v>
      </c>
      <c r="AB475" s="164">
        <v>83249</v>
      </c>
      <c r="AC475" s="164">
        <v>757</v>
      </c>
      <c r="AD475" s="165">
        <v>6</v>
      </c>
      <c r="AE475" s="164">
        <v>17195</v>
      </c>
      <c r="AF475" s="166">
        <v>195</v>
      </c>
      <c r="AG475" s="166">
        <v>66</v>
      </c>
      <c r="AH475" s="166">
        <v>9</v>
      </c>
      <c r="AI475" s="167">
        <v>4</v>
      </c>
    </row>
    <row r="476">
      <c r="A476" s="149"/>
      <c r="B476" s="150" t="s">
        <v>105</v>
      </c>
      <c r="C476" s="168" t="s">
        <v>136</v>
      </c>
      <c r="D476" s="152">
        <v>3132.6760000000004</v>
      </c>
      <c r="E476" s="153">
        <v>10</v>
      </c>
      <c r="F476" s="154">
        <f t="shared" si="440"/>
      </c>
      <c r="G476" s="155">
        <v>4544.200000000001</v>
      </c>
      <c r="H476" s="156">
        <f t="shared" si="470"/>
      </c>
      <c r="I476" s="157">
        <f t="shared" si="380"/>
      </c>
      <c r="J476" s="158">
        <f t="shared" si="410"/>
      </c>
      <c r="K476" s="159">
        <f t="shared" si="320"/>
      </c>
      <c r="L476" s="160">
        <f t="shared" si="350"/>
      </c>
      <c r="M476" s="158">
        <f t="shared" si="230"/>
      </c>
      <c r="N476" s="161">
        <f t="shared" si="260"/>
      </c>
      <c r="O476" s="161">
        <f t="shared" si="290"/>
      </c>
      <c r="P476" s="161">
        <f t="shared" si="170"/>
      </c>
      <c r="Q476" s="161">
        <f t="shared" si="200"/>
      </c>
      <c r="R476" s="158">
        <f t="shared" si="110"/>
      </c>
      <c r="S476" s="159">
        <f t="shared" si="140"/>
      </c>
      <c r="T476" s="161">
        <f t="shared" si="50"/>
      </c>
      <c r="U476" s="161">
        <f t="shared" si="80"/>
      </c>
      <c r="V476" s="161">
        <f t="shared" si="500"/>
      </c>
      <c r="W476" s="161">
        <f t="shared" si="20"/>
      </c>
      <c r="X476" s="169" t="s">
        <v>107</v>
      </c>
      <c r="Y476" s="163" t="s">
        <v>132</v>
      </c>
      <c r="Z476" s="166">
        <v>111026</v>
      </c>
      <c r="AA476" s="164">
        <v>41169</v>
      </c>
      <c r="AB476" s="164">
        <v>154693</v>
      </c>
      <c r="AC476" s="164">
        <v>982</v>
      </c>
      <c r="AD476" s="166">
        <v>9</v>
      </c>
      <c r="AE476" s="164">
        <v>25155</v>
      </c>
      <c r="AF476" s="166">
        <v>332</v>
      </c>
      <c r="AG476" s="166">
        <v>98</v>
      </c>
      <c r="AH476" s="165">
        <v>20</v>
      </c>
      <c r="AI476" s="167">
        <v>1</v>
      </c>
    </row>
    <row r="477">
      <c r="A477" s="149"/>
      <c r="B477" s="150" t="s">
        <v>105</v>
      </c>
      <c r="C477" s="170" t="s">
        <v>106</v>
      </c>
      <c r="D477" s="171">
        <v>3558.069</v>
      </c>
      <c r="E477" s="172">
        <v>23</v>
      </c>
      <c r="F477" s="154">
        <f t="shared" si="440"/>
      </c>
      <c r="G477" s="172">
        <v>8052.7</v>
      </c>
      <c r="H477" s="156">
        <f t="shared" si="470"/>
      </c>
      <c r="I477" s="157">
        <f t="shared" si="380"/>
      </c>
      <c r="J477" s="158">
        <f t="shared" si="410"/>
      </c>
      <c r="K477" s="159">
        <f t="shared" si="320"/>
      </c>
      <c r="L477" s="160">
        <f t="shared" si="350"/>
      </c>
      <c r="M477" s="158">
        <f t="shared" si="230"/>
      </c>
      <c r="N477" s="161">
        <f t="shared" si="260"/>
      </c>
      <c r="O477" s="161">
        <f t="shared" si="290"/>
      </c>
      <c r="P477" s="161">
        <f t="shared" si="170"/>
      </c>
      <c r="Q477" s="161">
        <f t="shared" si="200"/>
      </c>
      <c r="R477" s="158">
        <f t="shared" si="110"/>
      </c>
      <c r="S477" s="159">
        <f t="shared" si="140"/>
      </c>
      <c r="T477" s="161">
        <f t="shared" si="50"/>
      </c>
      <c r="U477" s="161">
        <f t="shared" si="80"/>
      </c>
      <c r="V477" s="161">
        <f t="shared" si="500"/>
      </c>
      <c r="W477" s="161">
        <f t="shared" si="20"/>
      </c>
      <c r="X477" s="169" t="s">
        <v>107</v>
      </c>
      <c r="Y477" s="163" t="s">
        <v>132</v>
      </c>
      <c r="Z477" s="166">
        <v>118034</v>
      </c>
      <c r="AA477" s="166">
        <v>42372</v>
      </c>
      <c r="AB477" s="166">
        <v>166758</v>
      </c>
      <c r="AC477" s="166">
        <v>938</v>
      </c>
      <c r="AD477" s="166">
        <v>20</v>
      </c>
      <c r="AE477" s="166">
        <v>24954</v>
      </c>
      <c r="AF477" s="166">
        <v>386</v>
      </c>
      <c r="AG477" s="166">
        <v>92</v>
      </c>
      <c r="AH477" s="166">
        <v>15</v>
      </c>
      <c r="AI477" s="167">
        <v>3</v>
      </c>
    </row>
    <row r="478">
      <c r="A478" s="149"/>
      <c r="B478" s="150" t="s">
        <v>105</v>
      </c>
      <c r="C478" s="173" t="s">
        <v>109</v>
      </c>
      <c r="D478" s="171">
        <v>3976.2830000000004</v>
      </c>
      <c r="E478" s="172">
        <v>12</v>
      </c>
      <c r="F478" s="154">
        <f t="shared" si="440"/>
      </c>
      <c r="G478" s="172">
        <v>3722.199999999999</v>
      </c>
      <c r="H478" s="156">
        <f t="shared" si="470"/>
      </c>
      <c r="I478" s="157">
        <f t="shared" si="380"/>
      </c>
      <c r="J478" s="158">
        <f t="shared" si="410"/>
      </c>
      <c r="K478" s="159">
        <f t="shared" si="320"/>
      </c>
      <c r="L478" s="174">
        <f t="shared" si="350"/>
      </c>
      <c r="M478" s="175">
        <f t="shared" si="230"/>
      </c>
      <c r="N478" s="176">
        <f t="shared" si="260"/>
      </c>
      <c r="O478" s="176">
        <f t="shared" si="290"/>
      </c>
      <c r="P478" s="176">
        <f t="shared" si="170"/>
      </c>
      <c r="Q478" s="176">
        <f t="shared" si="200"/>
      </c>
      <c r="R478" s="175">
        <f t="shared" si="110"/>
      </c>
      <c r="S478" s="177">
        <f t="shared" si="140"/>
      </c>
      <c r="T478" s="176">
        <f t="shared" si="50"/>
      </c>
      <c r="U478" s="176">
        <f t="shared" si="80"/>
      </c>
      <c r="V478" s="176">
        <f t="shared" si="500"/>
      </c>
      <c r="W478" s="176">
        <f t="shared" si="20"/>
      </c>
      <c r="X478" s="169" t="s">
        <v>107</v>
      </c>
      <c r="Y478" s="163" t="s">
        <v>132</v>
      </c>
      <c r="Z478" s="166">
        <v>109639</v>
      </c>
      <c r="AA478" s="166">
        <v>37433</v>
      </c>
      <c r="AB478" s="166">
        <v>185004</v>
      </c>
      <c r="AC478" s="166">
        <v>974</v>
      </c>
      <c r="AD478" s="166">
        <v>8</v>
      </c>
      <c r="AE478" s="166">
        <v>24066</v>
      </c>
      <c r="AF478" s="166">
        <v>339</v>
      </c>
      <c r="AG478" s="166">
        <v>72</v>
      </c>
      <c r="AH478" s="165">
        <v>13</v>
      </c>
      <c r="AI478" s="167">
        <v>5</v>
      </c>
    </row>
    <row r="479">
      <c r="A479" s="149"/>
      <c r="B479" s="178" t="s">
        <v>112</v>
      </c>
      <c r="C479" s="178"/>
      <c r="D479" s="179">
        <f>SUM(D475:D478)</f>
      </c>
      <c r="E479" s="180">
        <f>SUM(E475:E478)</f>
      </c>
      <c r="F479" s="181">
        <f t="shared" si="440"/>
      </c>
      <c r="G479" s="182">
        <f>SUM(G475:G478)</f>
      </c>
      <c r="H479" s="183">
        <f t="shared" si="470"/>
      </c>
      <c r="I479" s="184">
        <f t="shared" si="380"/>
      </c>
      <c r="J479" s="185">
        <f t="shared" si="410"/>
      </c>
      <c r="K479" s="181">
        <f t="shared" si="320"/>
      </c>
      <c r="L479" s="186">
        <f t="shared" si="350"/>
      </c>
      <c r="M479" s="185">
        <f t="shared" si="230"/>
      </c>
      <c r="N479" s="187">
        <f t="shared" si="260"/>
      </c>
      <c r="O479" s="187">
        <f t="shared" si="290"/>
      </c>
      <c r="P479" s="187">
        <f t="shared" si="170"/>
      </c>
      <c r="Q479" s="187">
        <f t="shared" si="200"/>
      </c>
      <c r="R479" s="185">
        <f t="shared" si="110"/>
      </c>
      <c r="S479" s="181">
        <f t="shared" si="140"/>
      </c>
      <c r="T479" s="187">
        <f t="shared" si="50"/>
      </c>
      <c r="U479" s="187">
        <f t="shared" si="80"/>
      </c>
      <c r="V479" s="187">
        <f t="shared" si="500"/>
      </c>
      <c r="W479" s="187">
        <f t="shared" si="20"/>
      </c>
      <c r="X479" s="187"/>
      <c r="Y479" s="188"/>
      <c r="Z479" s="179">
        <f>SUM(Z475:Z478)</f>
      </c>
      <c r="AA479" s="179">
        <f>SUM(AA475:AA478)</f>
      </c>
      <c r="AB479" s="179">
        <f>SUM(AB475:AB478)</f>
      </c>
      <c r="AC479" s="179">
        <f>SUM(AC475:AC478)</f>
      </c>
      <c r="AD479" s="179">
        <f>SUM(AD475:AD478)</f>
      </c>
      <c r="AE479" s="179">
        <f>SUM(AE475:AE478)</f>
      </c>
      <c r="AF479" s="179">
        <f>SUM(AF475:AF478)</f>
      </c>
      <c r="AG479" s="179">
        <f>SUM(AG475:AG478)</f>
      </c>
      <c r="AH479" s="179">
        <f>SUM(AH475:AH478)</f>
      </c>
      <c r="AI479" s="179">
        <f>SUM(AI475:AI478)</f>
      </c>
    </row>
    <row r="480">
      <c r="A480" s="149"/>
      <c r="B480" s="150" t="s">
        <v>130</v>
      </c>
      <c r="C480" s="173" t="s">
        <v>110</v>
      </c>
      <c r="D480" s="190">
        <v>3577.295</v>
      </c>
      <c r="E480" s="191">
        <v>8</v>
      </c>
      <c r="F480" s="154">
        <f t="shared" si="440"/>
      </c>
      <c r="G480" s="172">
        <v>4824</v>
      </c>
      <c r="H480" s="156">
        <f t="shared" si="470"/>
      </c>
      <c r="I480" s="157">
        <f t="shared" si="380"/>
      </c>
      <c r="J480" s="158">
        <f t="shared" si="410"/>
      </c>
      <c r="K480" s="159">
        <f t="shared" si="320"/>
      </c>
      <c r="L480" s="160">
        <f t="shared" si="350"/>
      </c>
      <c r="M480" s="158">
        <f t="shared" si="230"/>
      </c>
      <c r="N480" s="161">
        <f t="shared" si="260"/>
      </c>
      <c r="O480" s="161">
        <f t="shared" si="290"/>
      </c>
      <c r="P480" s="161">
        <f t="shared" si="170"/>
      </c>
      <c r="Q480" s="161">
        <f t="shared" si="200"/>
      </c>
      <c r="R480" s="158">
        <f t="shared" si="110"/>
      </c>
      <c r="S480" s="159">
        <f t="shared" si="140"/>
      </c>
      <c r="T480" s="161">
        <f t="shared" si="50"/>
      </c>
      <c r="U480" s="161">
        <f t="shared" si="80"/>
      </c>
      <c r="V480" s="161">
        <f t="shared" si="500"/>
      </c>
      <c r="W480" s="161">
        <f t="shared" si="20"/>
      </c>
      <c r="X480" s="169" t="s">
        <v>107</v>
      </c>
      <c r="Y480" s="163" t="s">
        <v>132</v>
      </c>
      <c r="Z480" s="166">
        <v>99953</v>
      </c>
      <c r="AA480" s="166">
        <v>36293</v>
      </c>
      <c r="AB480" s="166">
        <v>172533</v>
      </c>
      <c r="AC480" s="166">
        <v>886</v>
      </c>
      <c r="AD480" s="166">
        <v>8</v>
      </c>
      <c r="AE480" s="166">
        <v>21698</v>
      </c>
      <c r="AF480" s="166">
        <v>306</v>
      </c>
      <c r="AG480" s="166">
        <v>88</v>
      </c>
      <c r="AH480" s="166">
        <v>16</v>
      </c>
      <c r="AI480" s="167">
        <v>0</v>
      </c>
    </row>
    <row r="481">
      <c r="A481" s="149"/>
      <c r="B481" s="150" t="s">
        <v>130</v>
      </c>
      <c r="C481" s="192" t="s">
        <v>111</v>
      </c>
      <c r="D481" s="171">
        <v>3506.675</v>
      </c>
      <c r="E481" s="172">
        <v>13</v>
      </c>
      <c r="F481" s="154">
        <f t="shared" si="440"/>
      </c>
      <c r="G481" s="172">
        <v>6724.899999999998</v>
      </c>
      <c r="H481" s="156">
        <f t="shared" si="470"/>
      </c>
      <c r="I481" s="157">
        <f t="shared" si="380"/>
      </c>
      <c r="J481" s="158">
        <f t="shared" si="410"/>
      </c>
      <c r="K481" s="159">
        <f t="shared" si="320"/>
      </c>
      <c r="L481" s="160">
        <f t="shared" si="350"/>
      </c>
      <c r="M481" s="158">
        <f t="shared" si="230"/>
      </c>
      <c r="N481" s="161">
        <f t="shared" si="260"/>
      </c>
      <c r="O481" s="161">
        <f t="shared" si="290"/>
      </c>
      <c r="P481" s="161">
        <f t="shared" si="170"/>
      </c>
      <c r="Q481" s="161">
        <f t="shared" si="200"/>
      </c>
      <c r="R481" s="158">
        <f t="shared" si="110"/>
      </c>
      <c r="S481" s="159">
        <f t="shared" si="140"/>
      </c>
      <c r="T481" s="161">
        <f t="shared" si="50"/>
      </c>
      <c r="U481" s="161">
        <f t="shared" si="80"/>
      </c>
      <c r="V481" s="161">
        <f t="shared" si="500"/>
      </c>
      <c r="W481" s="161">
        <f t="shared" si="20"/>
      </c>
      <c r="X481" s="169" t="s">
        <v>107</v>
      </c>
      <c r="Y481" s="163" t="s">
        <v>132</v>
      </c>
      <c r="Z481" s="166">
        <v>103907</v>
      </c>
      <c r="AA481" s="166">
        <v>39563</v>
      </c>
      <c r="AB481" s="166">
        <v>185199</v>
      </c>
      <c r="AC481" s="166">
        <v>807</v>
      </c>
      <c r="AD481" s="166">
        <v>8</v>
      </c>
      <c r="AE481" s="166">
        <v>23207</v>
      </c>
      <c r="AF481" s="166">
        <v>299</v>
      </c>
      <c r="AG481" s="166">
        <v>81</v>
      </c>
      <c r="AH481" s="166">
        <v>18</v>
      </c>
      <c r="AI481" s="167">
        <v>5</v>
      </c>
    </row>
    <row r="482">
      <c r="A482" s="149"/>
      <c r="B482" s="150" t="s">
        <v>130</v>
      </c>
      <c r="C482" s="193" t="s">
        <v>114</v>
      </c>
      <c r="D482" s="171">
        <v>4208.057000000001</v>
      </c>
      <c r="E482" s="172">
        <v>6</v>
      </c>
      <c r="F482" s="154">
        <f t="shared" si="440"/>
      </c>
      <c r="G482" s="172">
        <v>2557.199999999997</v>
      </c>
      <c r="H482" s="156">
        <f t="shared" si="470"/>
      </c>
      <c r="I482" s="157">
        <f t="shared" si="380"/>
      </c>
      <c r="J482" s="158">
        <f t="shared" si="410"/>
      </c>
      <c r="K482" s="159">
        <f t="shared" si="320"/>
      </c>
      <c r="L482" s="174">
        <f t="shared" si="350"/>
      </c>
      <c r="M482" s="175">
        <f t="shared" si="230"/>
      </c>
      <c r="N482" s="176">
        <f t="shared" si="260"/>
      </c>
      <c r="O482" s="176">
        <f t="shared" si="290"/>
      </c>
      <c r="P482" s="176">
        <f t="shared" si="170"/>
      </c>
      <c r="Q482" s="176">
        <f t="shared" si="200"/>
      </c>
      <c r="R482" s="175">
        <f t="shared" si="110"/>
      </c>
      <c r="S482" s="177">
        <f t="shared" si="140"/>
      </c>
      <c r="T482" s="176">
        <f t="shared" si="50"/>
      </c>
      <c r="U482" s="176">
        <f t="shared" si="80"/>
      </c>
      <c r="V482" s="176">
        <f t="shared" si="500"/>
      </c>
      <c r="W482" s="176">
        <f t="shared" si="20"/>
      </c>
      <c r="X482" s="169" t="s">
        <v>107</v>
      </c>
      <c r="Y482" s="163" t="s">
        <v>132</v>
      </c>
      <c r="Z482" s="166">
        <v>119563</v>
      </c>
      <c r="AA482" s="166">
        <v>32832</v>
      </c>
      <c r="AB482" s="166">
        <v>257948</v>
      </c>
      <c r="AC482" s="166">
        <v>845</v>
      </c>
      <c r="AD482" s="166">
        <v>5</v>
      </c>
      <c r="AE482" s="166">
        <v>23611</v>
      </c>
      <c r="AF482" s="166">
        <v>247</v>
      </c>
      <c r="AG482" s="166">
        <v>76</v>
      </c>
      <c r="AH482" s="165">
        <v>15</v>
      </c>
      <c r="AI482" s="167">
        <v>1</v>
      </c>
    </row>
    <row r="483">
      <c r="A483" s="149"/>
      <c r="B483" s="150" t="s">
        <v>130</v>
      </c>
      <c r="C483" s="194" t="s">
        <v>115</v>
      </c>
      <c r="D483" s="195">
        <v>1713.178</v>
      </c>
      <c r="E483" s="172">
        <v>13</v>
      </c>
      <c r="F483" s="154">
        <f t="shared" si="440"/>
      </c>
      <c r="G483" s="172">
        <v>2710.2000000000044</v>
      </c>
      <c r="H483" s="156">
        <f t="shared" si="470"/>
      </c>
      <c r="I483" s="157">
        <f t="shared" si="380"/>
      </c>
      <c r="J483" s="158">
        <f t="shared" si="410"/>
      </c>
      <c r="K483" s="159">
        <f t="shared" si="320"/>
      </c>
      <c r="L483" s="174">
        <f t="shared" si="350"/>
      </c>
      <c r="M483" s="175">
        <f t="shared" si="230"/>
      </c>
      <c r="N483" s="176">
        <f t="shared" si="260"/>
      </c>
      <c r="O483" s="176">
        <f t="shared" si="290"/>
      </c>
      <c r="P483" s="176">
        <f t="shared" si="170"/>
      </c>
      <c r="Q483" s="176">
        <f t="shared" si="200"/>
      </c>
      <c r="R483" s="175">
        <f t="shared" si="110"/>
      </c>
      <c r="S483" s="177">
        <f t="shared" si="140"/>
      </c>
      <c r="T483" s="176">
        <f t="shared" si="50"/>
      </c>
      <c r="U483" s="176">
        <f t="shared" si="80"/>
      </c>
      <c r="V483" s="176">
        <f t="shared" si="500"/>
      </c>
      <c r="W483" s="176">
        <f t="shared" si="20"/>
      </c>
      <c r="X483" s="169" t="s">
        <v>107</v>
      </c>
      <c r="Y483" s="163" t="s">
        <v>132</v>
      </c>
      <c r="Z483" s="166">
        <v>50980</v>
      </c>
      <c r="AA483" s="166">
        <v>12759</v>
      </c>
      <c r="AB483" s="166">
        <v>86422</v>
      </c>
      <c r="AC483" s="166">
        <v>306</v>
      </c>
      <c r="AD483" s="166">
        <v>6</v>
      </c>
      <c r="AE483" s="166">
        <v>8002</v>
      </c>
      <c r="AF483" s="166">
        <v>137</v>
      </c>
      <c r="AG483" s="166">
        <v>25</v>
      </c>
      <c r="AH483" s="165">
        <v>7</v>
      </c>
      <c r="AI483" s="167">
        <v>6</v>
      </c>
    </row>
    <row r="484">
      <c r="A484" s="149"/>
      <c r="B484" s="178" t="s">
        <v>112</v>
      </c>
      <c r="C484" s="178"/>
      <c r="D484" s="179">
        <f>SUM(D480:D483)</f>
      </c>
      <c r="E484" s="180">
        <f>SUM(E480:E483)</f>
      </c>
      <c r="F484" s="181">
        <f t="shared" si="440"/>
      </c>
      <c r="G484" s="182">
        <f>SUM(G480:G483)</f>
      </c>
      <c r="H484" s="183">
        <f t="shared" si="470"/>
      </c>
      <c r="I484" s="184">
        <f t="shared" si="380"/>
      </c>
      <c r="J484" s="185">
        <f t="shared" si="410"/>
      </c>
      <c r="K484" s="181">
        <f t="shared" si="320"/>
      </c>
      <c r="L484" s="186">
        <f t="shared" si="350"/>
      </c>
      <c r="M484" s="185">
        <f t="shared" si="230"/>
      </c>
      <c r="N484" s="187">
        <f t="shared" si="260"/>
      </c>
      <c r="O484" s="187">
        <f t="shared" si="290"/>
      </c>
      <c r="P484" s="187">
        <f t="shared" si="170"/>
      </c>
      <c r="Q484" s="187">
        <f t="shared" si="200"/>
      </c>
      <c r="R484" s="185">
        <f t="shared" si="110"/>
      </c>
      <c r="S484" s="181">
        <f t="shared" si="140"/>
      </c>
      <c r="T484" s="187">
        <f t="shared" si="50"/>
      </c>
      <c r="U484" s="187">
        <f t="shared" si="80"/>
      </c>
      <c r="V484" s="187">
        <f t="shared" si="500"/>
      </c>
      <c r="W484" s="187">
        <f t="shared" si="20"/>
      </c>
      <c r="X484" s="187"/>
      <c r="Y484" s="188"/>
      <c r="Z484" s="179">
        <f>SUM(Z480:Z483)</f>
      </c>
      <c r="AA484" s="179">
        <f>SUM(AA480:AA483)</f>
      </c>
      <c r="AB484" s="179">
        <f>SUM(AB480:AB483)</f>
      </c>
      <c r="AC484" s="179">
        <f>SUM(AC480:AC483)</f>
      </c>
      <c r="AD484" s="179">
        <f>SUM(AD480:AD483)</f>
      </c>
      <c r="AE484" s="179">
        <f>SUM(AE480:AE483)</f>
      </c>
      <c r="AF484" s="179">
        <f>SUM(AF480:AF483)</f>
      </c>
      <c r="AG484" s="179">
        <f>SUM(AG480:AG483)</f>
      </c>
      <c r="AH484" s="179">
        <f>SUM(AH480:AH483)</f>
      </c>
      <c r="AI484" s="179">
        <f>SUM(AI480:AI483)</f>
      </c>
    </row>
    <row r="485">
      <c r="A485" s="149"/>
      <c r="B485" s="150" t="s">
        <v>118</v>
      </c>
      <c r="C485" s="196" t="s">
        <v>116</v>
      </c>
      <c r="D485" s="171">
        <v>2425.106</v>
      </c>
      <c r="E485" s="172">
        <v>5</v>
      </c>
      <c r="F485" s="154">
        <f t="shared" si="440"/>
      </c>
      <c r="G485" s="172">
        <v>1129.2000000000044</v>
      </c>
      <c r="H485" s="156">
        <f t="shared" si="470"/>
      </c>
      <c r="I485" s="157">
        <f t="shared" si="380"/>
      </c>
      <c r="J485" s="158">
        <f t="shared" si="410"/>
      </c>
      <c r="K485" s="159">
        <f t="shared" si="320"/>
      </c>
      <c r="L485" s="160">
        <f t="shared" si="350"/>
      </c>
      <c r="M485" s="158">
        <f t="shared" si="230"/>
      </c>
      <c r="N485" s="161">
        <f t="shared" si="260"/>
      </c>
      <c r="O485" s="161">
        <f t="shared" si="290"/>
      </c>
      <c r="P485" s="161">
        <f t="shared" si="170"/>
      </c>
      <c r="Q485" s="161">
        <f t="shared" si="200"/>
      </c>
      <c r="R485" s="158">
        <f t="shared" si="110"/>
      </c>
      <c r="S485" s="159">
        <f t="shared" si="140"/>
      </c>
      <c r="T485" s="161">
        <f t="shared" si="50"/>
      </c>
      <c r="U485" s="161">
        <f t="shared" si="80"/>
      </c>
      <c r="V485" s="161">
        <f t="shared" si="500"/>
      </c>
      <c r="W485" s="161">
        <f t="shared" si="20"/>
      </c>
      <c r="X485" s="169" t="s">
        <v>107</v>
      </c>
      <c r="Y485" s="163" t="s">
        <v>132</v>
      </c>
      <c r="Z485" s="166">
        <v>70983</v>
      </c>
      <c r="AA485" s="166">
        <v>17148</v>
      </c>
      <c r="AB485" s="166">
        <v>124145</v>
      </c>
      <c r="AC485" s="166">
        <v>472</v>
      </c>
      <c r="AD485" s="166">
        <v>5</v>
      </c>
      <c r="AE485" s="166">
        <v>10855</v>
      </c>
      <c r="AF485" s="166">
        <v>197</v>
      </c>
      <c r="AG485" s="166">
        <v>37</v>
      </c>
      <c r="AH485" s="165">
        <v>9</v>
      </c>
      <c r="AI485" s="167">
        <v>1</v>
      </c>
    </row>
    <row r="486">
      <c r="A486" s="149"/>
      <c r="B486" s="150" t="s">
        <v>118</v>
      </c>
      <c r="C486" s="197" t="s">
        <v>117</v>
      </c>
      <c r="D486" s="171">
        <v>3350.7720000000004</v>
      </c>
      <c r="E486" s="172">
        <v>2</v>
      </c>
      <c r="F486" s="154">
        <f t="shared" si="440"/>
      </c>
      <c r="G486" s="172">
        <v>456</v>
      </c>
      <c r="H486" s="156">
        <f t="shared" si="470"/>
      </c>
      <c r="I486" s="157">
        <f t="shared" si="380"/>
      </c>
      <c r="J486" s="158">
        <f t="shared" si="410"/>
      </c>
      <c r="K486" s="159">
        <f t="shared" si="320"/>
      </c>
      <c r="L486" s="174">
        <f t="shared" si="350"/>
      </c>
      <c r="M486" s="175">
        <f t="shared" si="230"/>
      </c>
      <c r="N486" s="176">
        <f t="shared" si="260"/>
      </c>
      <c r="O486" s="176">
        <f t="shared" si="290"/>
      </c>
      <c r="P486" s="176">
        <f t="shared" si="170"/>
      </c>
      <c r="Q486" s="176">
        <f t="shared" si="200"/>
      </c>
      <c r="R486" s="175">
        <f t="shared" si="110"/>
      </c>
      <c r="S486" s="177">
        <f t="shared" si="140"/>
      </c>
      <c r="T486" s="176">
        <f t="shared" si="50"/>
      </c>
      <c r="U486" s="176">
        <f t="shared" si="80"/>
      </c>
      <c r="V486" s="176">
        <f t="shared" si="500"/>
      </c>
      <c r="W486" s="176">
        <f t="shared" si="20"/>
      </c>
      <c r="X486" s="197" t="s">
        <v>142</v>
      </c>
      <c r="Y486" s="163" t="s">
        <v>132</v>
      </c>
      <c r="Z486" s="166">
        <v>104305</v>
      </c>
      <c r="AA486" s="166">
        <v>22214</v>
      </c>
      <c r="AB486" s="166">
        <v>209571</v>
      </c>
      <c r="AC486" s="166">
        <v>710</v>
      </c>
      <c r="AD486" s="166">
        <v>2</v>
      </c>
      <c r="AE486" s="166">
        <v>16611</v>
      </c>
      <c r="AF486" s="166">
        <v>246</v>
      </c>
      <c r="AG486" s="166">
        <v>65</v>
      </c>
      <c r="AH486" s="165">
        <v>11</v>
      </c>
      <c r="AI486" s="167">
        <v>0</v>
      </c>
    </row>
    <row r="487">
      <c r="A487" s="149"/>
      <c r="B487" s="150" t="s">
        <v>118</v>
      </c>
      <c r="C487" s="194" t="s">
        <v>119</v>
      </c>
      <c r="D487" s="195">
        <v>1354.478</v>
      </c>
      <c r="E487" s="172">
        <v>7</v>
      </c>
      <c r="F487" s="154">
        <f t="shared" si="440"/>
      </c>
      <c r="G487" s="172">
        <v>2601.199999999997</v>
      </c>
      <c r="H487" s="156">
        <f t="shared" si="470"/>
      </c>
      <c r="I487" s="157">
        <f t="shared" si="380"/>
      </c>
      <c r="J487" s="158">
        <f t="shared" si="410"/>
      </c>
      <c r="K487" s="159">
        <f t="shared" si="320"/>
      </c>
      <c r="L487" s="174">
        <f t="shared" si="350"/>
      </c>
      <c r="M487" s="175">
        <f t="shared" si="230"/>
      </c>
      <c r="N487" s="176">
        <f t="shared" si="260"/>
      </c>
      <c r="O487" s="176">
        <f t="shared" si="290"/>
      </c>
      <c r="P487" s="176">
        <f t="shared" si="170"/>
      </c>
      <c r="Q487" s="176">
        <f t="shared" si="200"/>
      </c>
      <c r="R487" s="175">
        <f t="shared" si="110"/>
      </c>
      <c r="S487" s="177">
        <f t="shared" si="140"/>
      </c>
      <c r="T487" s="176">
        <f t="shared" si="50"/>
      </c>
      <c r="U487" s="176">
        <f t="shared" si="80"/>
      </c>
      <c r="V487" s="176">
        <f t="shared" si="500"/>
      </c>
      <c r="W487" s="176">
        <f t="shared" si="20"/>
      </c>
      <c r="X487" s="197" t="s">
        <v>142</v>
      </c>
      <c r="Y487" s="163" t="s">
        <v>120</v>
      </c>
      <c r="Z487" s="166">
        <v>51508</v>
      </c>
      <c r="AA487" s="166">
        <v>12126</v>
      </c>
      <c r="AB487" s="166">
        <v>71166</v>
      </c>
      <c r="AC487" s="166">
        <v>216</v>
      </c>
      <c r="AD487" s="166">
        <v>5</v>
      </c>
      <c r="AE487" s="166">
        <v>6621</v>
      </c>
      <c r="AF487" s="166">
        <v>177</v>
      </c>
      <c r="AG487" s="166">
        <v>33</v>
      </c>
      <c r="AH487" s="165">
        <v>4</v>
      </c>
      <c r="AI487" s="167">
        <v>1</v>
      </c>
    </row>
    <row r="488">
      <c r="A488" s="149"/>
      <c r="B488" s="150" t="s">
        <v>118</v>
      </c>
      <c r="C488" s="194" t="s">
        <v>121</v>
      </c>
      <c r="D488" s="195">
        <v>3199.9680000000003</v>
      </c>
      <c r="E488" s="172">
        <v>6</v>
      </c>
      <c r="F488" s="154">
        <f t="shared" si="440"/>
      </c>
      <c r="G488" s="172">
        <v>2373.0999999999985</v>
      </c>
      <c r="H488" s="156">
        <f t="shared" si="470"/>
      </c>
      <c r="I488" s="157">
        <f t="shared" si="380"/>
      </c>
      <c r="J488" s="158">
        <f t="shared" si="410"/>
      </c>
      <c r="K488" s="159">
        <f t="shared" si="320"/>
      </c>
      <c r="L488" s="174">
        <f t="shared" si="350"/>
      </c>
      <c r="M488" s="175">
        <f t="shared" si="230"/>
      </c>
      <c r="N488" s="176">
        <f t="shared" si="260"/>
      </c>
      <c r="O488" s="176">
        <f t="shared" si="290"/>
      </c>
      <c r="P488" s="176">
        <f t="shared" si="170"/>
      </c>
      <c r="Q488" s="176">
        <f t="shared" si="200"/>
      </c>
      <c r="R488" s="175">
        <f t="shared" si="110"/>
      </c>
      <c r="S488" s="177">
        <f t="shared" si="140"/>
      </c>
      <c r="T488" s="176">
        <f t="shared" si="50"/>
      </c>
      <c r="U488" s="176">
        <f t="shared" si="80"/>
      </c>
      <c r="V488" s="176">
        <f t="shared" si="500"/>
      </c>
      <c r="W488" s="176">
        <f t="shared" si="20"/>
      </c>
      <c r="X488" s="197" t="s">
        <v>142</v>
      </c>
      <c r="Y488" s="163" t="s">
        <v>120</v>
      </c>
      <c r="Z488" s="166">
        <v>105135</v>
      </c>
      <c r="AA488" s="166">
        <v>20195</v>
      </c>
      <c r="AB488" s="166">
        <v>229594</v>
      </c>
      <c r="AC488" s="166">
        <v>514</v>
      </c>
      <c r="AD488" s="166">
        <v>3</v>
      </c>
      <c r="AE488" s="166">
        <v>17645</v>
      </c>
      <c r="AF488" s="166">
        <v>182</v>
      </c>
      <c r="AG488" s="166">
        <v>39</v>
      </c>
      <c r="AH488" s="165">
        <v>7</v>
      </c>
      <c r="AI488" s="167">
        <v>2</v>
      </c>
    </row>
    <row customHeight="true" ht="16.071428571428573" r="489">
      <c r="A489" s="149"/>
      <c r="B489" s="150" t="s">
        <v>118</v>
      </c>
      <c r="C489" s="196" t="s">
        <v>122</v>
      </c>
      <c r="D489" s="195">
        <v>1240.99</v>
      </c>
      <c r="E489" s="172">
        <v>3</v>
      </c>
      <c r="F489" s="154">
        <f t="shared" si="440"/>
      </c>
      <c r="G489" s="172">
        <v>652</v>
      </c>
      <c r="H489" s="156">
        <f t="shared" si="470"/>
      </c>
      <c r="I489" s="157">
        <f t="shared" si="380"/>
      </c>
      <c r="J489" s="158">
        <f t="shared" si="410"/>
      </c>
      <c r="K489" s="159">
        <f t="shared" si="320"/>
      </c>
      <c r="L489" s="174">
        <f t="shared" si="350"/>
      </c>
      <c r="M489" s="175">
        <f t="shared" si="230"/>
      </c>
      <c r="N489" s="176">
        <f t="shared" si="260"/>
      </c>
      <c r="O489" s="176">
        <f t="shared" si="290"/>
      </c>
      <c r="P489" s="176">
        <f t="shared" si="170"/>
      </c>
      <c r="Q489" s="176">
        <f t="shared" si="200"/>
      </c>
      <c r="R489" s="175">
        <f t="shared" si="110"/>
      </c>
      <c r="S489" s="177">
        <f t="shared" si="140"/>
      </c>
      <c r="T489" s="176">
        <f t="shared" si="50"/>
      </c>
      <c r="U489" s="176">
        <f t="shared" si="80"/>
      </c>
      <c r="V489" s="176">
        <f t="shared" si="500"/>
      </c>
      <c r="W489" s="176">
        <f t="shared" si="20"/>
      </c>
      <c r="X489" s="169" t="s">
        <v>142</v>
      </c>
      <c r="Y489" s="163" t="s">
        <v>120</v>
      </c>
      <c r="Z489" s="166">
        <v>41472</v>
      </c>
      <c r="AA489" s="166">
        <v>9713</v>
      </c>
      <c r="AB489" s="166">
        <v>65745</v>
      </c>
      <c r="AC489" s="166">
        <v>132</v>
      </c>
      <c r="AD489" s="166">
        <v>3</v>
      </c>
      <c r="AE489" s="166">
        <v>5924</v>
      </c>
      <c r="AF489" s="166">
        <v>113</v>
      </c>
      <c r="AG489" s="166">
        <v>15</v>
      </c>
      <c r="AH489" s="165">
        <v>5</v>
      </c>
      <c r="AI489" s="167">
        <v>0</v>
      </c>
    </row>
    <row r="490">
      <c r="A490" s="149"/>
      <c r="B490" s="178" t="s">
        <v>112</v>
      </c>
      <c r="C490" s="178"/>
      <c r="D490" s="179">
        <f>SUM(D485:D489)</f>
      </c>
      <c r="E490" s="180">
        <f>SUM(E485:E489)</f>
      </c>
      <c r="F490" s="181">
        <f t="shared" si="440"/>
      </c>
      <c r="G490" s="182">
        <f>SUM(G485:G489)</f>
      </c>
      <c r="H490" s="183">
        <f t="shared" si="470"/>
      </c>
      <c r="I490" s="184">
        <f t="shared" si="380"/>
      </c>
      <c r="J490" s="185">
        <f t="shared" si="410"/>
      </c>
      <c r="K490" s="181">
        <f t="shared" si="320"/>
      </c>
      <c r="L490" s="186">
        <f t="shared" si="350"/>
      </c>
      <c r="M490" s="185">
        <f t="shared" si="230"/>
      </c>
      <c r="N490" s="187">
        <f t="shared" si="260"/>
      </c>
      <c r="O490" s="187">
        <f t="shared" si="290"/>
      </c>
      <c r="P490" s="187">
        <f t="shared" si="170"/>
      </c>
      <c r="Q490" s="187">
        <f t="shared" si="200"/>
      </c>
      <c r="R490" s="185">
        <f t="shared" si="110"/>
      </c>
      <c r="S490" s="181">
        <f t="shared" si="140"/>
      </c>
      <c r="T490" s="187">
        <f t="shared" si="50"/>
      </c>
      <c r="U490" s="187">
        <f t="shared" si="80"/>
      </c>
      <c r="V490" s="187">
        <f t="shared" si="500"/>
      </c>
      <c r="W490" s="187">
        <f t="shared" si="20"/>
      </c>
      <c r="X490" s="187"/>
      <c r="Y490" s="188"/>
      <c r="Z490" s="179">
        <f>SUM(Z485:Z489)</f>
      </c>
      <c r="AA490" s="179">
        <f>SUM(AA485:AA489)</f>
      </c>
      <c r="AB490" s="179">
        <f>SUM(AB485:AB489)</f>
      </c>
      <c r="AC490" s="179">
        <f>SUM(AC485:AC489)</f>
      </c>
      <c r="AD490" s="179">
        <f>SUM(AD485:AD489)</f>
      </c>
      <c r="AE490" s="179">
        <f>SUM(AE485:AE489)</f>
      </c>
      <c r="AF490" s="179">
        <f>SUM(AF485:AF489)</f>
      </c>
      <c r="AG490" s="179">
        <f>SUM(AG485:AG489)</f>
      </c>
      <c r="AH490" s="179">
        <f>SUM(AH485:AH489)</f>
      </c>
      <c r="AI490" s="179">
        <f>SUM(AI485:AI489)</f>
      </c>
    </row>
    <row r="491">
      <c r="A491" s="149"/>
      <c r="B491" s="150" t="s">
        <v>124</v>
      </c>
      <c r="C491" s="197" t="s">
        <v>123</v>
      </c>
      <c r="D491" s="198">
        <v>2436.473</v>
      </c>
      <c r="E491" s="153">
        <v>4</v>
      </c>
      <c r="F491" s="154">
        <f t="shared" si="440"/>
      </c>
      <c r="G491" s="155">
        <v>2073.5999999999985</v>
      </c>
      <c r="H491" s="156">
        <f t="shared" si="470"/>
      </c>
      <c r="I491" s="157">
        <f t="shared" si="380"/>
      </c>
      <c r="J491" s="158">
        <f t="shared" si="410"/>
      </c>
      <c r="K491" s="159">
        <f t="shared" si="320"/>
      </c>
      <c r="L491" s="174">
        <f t="shared" si="350"/>
      </c>
      <c r="M491" s="175">
        <f t="shared" si="230"/>
      </c>
      <c r="N491" s="176">
        <f t="shared" si="260"/>
      </c>
      <c r="O491" s="176">
        <f t="shared" si="290"/>
      </c>
      <c r="P491" s="176">
        <f t="shared" si="170"/>
      </c>
      <c r="Q491" s="176">
        <f t="shared" si="200"/>
      </c>
      <c r="R491" s="175">
        <f t="shared" si="110"/>
      </c>
      <c r="S491" s="177">
        <f t="shared" si="140"/>
      </c>
      <c r="T491" s="176">
        <f t="shared" si="50"/>
      </c>
      <c r="U491" s="176">
        <f t="shared" si="80"/>
      </c>
      <c r="V491" s="176">
        <f t="shared" si="500"/>
      </c>
      <c r="W491" s="176">
        <f t="shared" si="20"/>
      </c>
      <c r="X491" s="169" t="s">
        <v>142</v>
      </c>
      <c r="Y491" s="163" t="s">
        <v>120</v>
      </c>
      <c r="Z491" s="166">
        <v>99004</v>
      </c>
      <c r="AA491" s="166">
        <v>20573</v>
      </c>
      <c r="AB491" s="166">
        <v>186383</v>
      </c>
      <c r="AC491" s="199">
        <v>690</v>
      </c>
      <c r="AD491" s="199">
        <v>3</v>
      </c>
      <c r="AE491" s="199">
        <v>12580</v>
      </c>
      <c r="AF491" s="199">
        <v>179</v>
      </c>
      <c r="AG491" s="199">
        <v>46</v>
      </c>
      <c r="AH491" s="199">
        <v>9</v>
      </c>
      <c r="AI491" s="167">
        <v>0</v>
      </c>
    </row>
    <row r="492">
      <c r="A492" s="149"/>
      <c r="B492" s="150" t="s">
        <v>124</v>
      </c>
      <c r="C492" s="194" t="s">
        <v>125</v>
      </c>
      <c r="D492" s="198">
        <v>3449.446</v>
      </c>
      <c r="E492" s="153">
        <v>9</v>
      </c>
      <c r="F492" s="154">
        <f t="shared" si="440"/>
      </c>
      <c r="G492" s="155">
        <v>2577.199999999997</v>
      </c>
      <c r="H492" s="156">
        <f t="shared" si="470"/>
      </c>
      <c r="I492" s="157">
        <f t="shared" si="380"/>
      </c>
      <c r="J492" s="158">
        <f t="shared" si="410"/>
      </c>
      <c r="K492" s="159">
        <f t="shared" si="320"/>
      </c>
      <c r="L492" s="174">
        <f t="shared" si="350"/>
      </c>
      <c r="M492" s="175">
        <f t="shared" si="230"/>
      </c>
      <c r="N492" s="176">
        <f t="shared" si="260"/>
      </c>
      <c r="O492" s="176">
        <f t="shared" si="290"/>
      </c>
      <c r="P492" s="176">
        <f t="shared" si="170"/>
      </c>
      <c r="Q492" s="176">
        <f t="shared" si="200"/>
      </c>
      <c r="R492" s="175">
        <f t="shared" si="110"/>
      </c>
      <c r="S492" s="177">
        <f t="shared" si="140"/>
      </c>
      <c r="T492" s="176">
        <f t="shared" si="50"/>
      </c>
      <c r="U492" s="176">
        <f t="shared" si="80"/>
      </c>
      <c r="V492" s="176">
        <f t="shared" si="500"/>
      </c>
      <c r="W492" s="176">
        <f t="shared" si="20"/>
      </c>
      <c r="X492" s="169" t="s">
        <v>142</v>
      </c>
      <c r="Y492" s="163" t="s">
        <v>120</v>
      </c>
      <c r="Z492" s="166">
        <v>184371</v>
      </c>
      <c r="AA492" s="166">
        <v>32424</v>
      </c>
      <c r="AB492" s="166">
        <v>334103</v>
      </c>
      <c r="AC492" s="199">
        <v>917</v>
      </c>
      <c r="AD492" s="199">
        <v>9</v>
      </c>
      <c r="AE492" s="199">
        <v>21122</v>
      </c>
      <c r="AF492" s="199">
        <v>336</v>
      </c>
      <c r="AG492" s="199">
        <v>120</v>
      </c>
      <c r="AH492" s="199">
        <v>17</v>
      </c>
      <c r="AI492" s="167">
        <v>0</v>
      </c>
    </row>
    <row r="493">
      <c r="A493" s="149"/>
      <c r="B493" s="150" t="s">
        <v>124</v>
      </c>
      <c r="C493" s="194" t="s">
        <v>126</v>
      </c>
      <c r="D493" s="171">
        <v>1714.3629999999998</v>
      </c>
      <c r="E493" s="172">
        <v>4</v>
      </c>
      <c r="F493" s="154">
        <f t="shared" si="440"/>
      </c>
      <c r="G493" s="172">
        <v>837.2000000000044</v>
      </c>
      <c r="H493" s="156">
        <f t="shared" si="470"/>
      </c>
      <c r="I493" s="157">
        <f t="shared" si="380"/>
      </c>
      <c r="J493" s="158">
        <f t="shared" si="410"/>
      </c>
      <c r="K493" s="159">
        <f t="shared" si="320"/>
      </c>
      <c r="L493" s="174">
        <f t="shared" si="350"/>
      </c>
      <c r="M493" s="175">
        <f t="shared" si="230"/>
      </c>
      <c r="N493" s="176">
        <f t="shared" si="260"/>
      </c>
      <c r="O493" s="176">
        <f t="shared" si="290"/>
      </c>
      <c r="P493" s="176">
        <f t="shared" si="170"/>
      </c>
      <c r="Q493" s="176">
        <f t="shared" si="200"/>
      </c>
      <c r="R493" s="175">
        <f t="shared" si="110"/>
      </c>
      <c r="S493" s="177">
        <f t="shared" si="140"/>
      </c>
      <c r="T493" s="176">
        <f t="shared" si="50"/>
      </c>
      <c r="U493" s="176">
        <f t="shared" si="80"/>
      </c>
      <c r="V493" s="176">
        <f t="shared" si="500"/>
      </c>
      <c r="W493" s="176">
        <f t="shared" si="20"/>
      </c>
      <c r="X493" s="169" t="s">
        <v>142</v>
      </c>
      <c r="Y493" s="163" t="s">
        <v>120</v>
      </c>
      <c r="Z493" s="166">
        <v>69815</v>
      </c>
      <c r="AA493" s="166">
        <v>13261</v>
      </c>
      <c r="AB493" s="166">
        <v>100008</v>
      </c>
      <c r="AC493" s="166">
        <v>155</v>
      </c>
      <c r="AD493" s="166">
        <v>3</v>
      </c>
      <c r="AE493" s="166">
        <v>7141</v>
      </c>
      <c r="AF493" s="166">
        <v>182</v>
      </c>
      <c r="AG493" s="166">
        <v>24</v>
      </c>
      <c r="AH493" s="165">
        <v>6</v>
      </c>
      <c r="AI493" s="167">
        <v>0</v>
      </c>
    </row>
    <row r="494">
      <c r="A494" s="149"/>
      <c r="B494" s="150" t="s">
        <v>124</v>
      </c>
      <c r="C494" s="196" t="s">
        <v>127</v>
      </c>
      <c r="D494" s="195">
        <v>1415.1359999999997</v>
      </c>
      <c r="E494" s="172">
        <v>6</v>
      </c>
      <c r="F494" s="154">
        <f t="shared" si="440"/>
      </c>
      <c r="G494" s="172">
        <v>3129.5999999999985</v>
      </c>
      <c r="H494" s="156">
        <f t="shared" si="470"/>
      </c>
      <c r="I494" s="157">
        <f t="shared" si="380"/>
      </c>
      <c r="J494" s="158">
        <f t="shared" si="410"/>
      </c>
      <c r="K494" s="159">
        <f t="shared" si="320"/>
      </c>
      <c r="L494" s="174">
        <f t="shared" si="350"/>
      </c>
      <c r="M494" s="175">
        <f t="shared" si="230"/>
      </c>
      <c r="N494" s="176">
        <f t="shared" si="260"/>
      </c>
      <c r="O494" s="176">
        <f t="shared" si="290"/>
      </c>
      <c r="P494" s="176">
        <f t="shared" si="170"/>
      </c>
      <c r="Q494" s="176">
        <f t="shared" si="200"/>
      </c>
      <c r="R494" s="175">
        <f t="shared" si="110"/>
      </c>
      <c r="S494" s="177">
        <f t="shared" si="140"/>
      </c>
      <c r="T494" s="176">
        <f t="shared" si="50"/>
      </c>
      <c r="U494" s="176">
        <f t="shared" si="80"/>
      </c>
      <c r="V494" s="176">
        <f t="shared" si="500"/>
      </c>
      <c r="W494" s="176">
        <f t="shared" si="20"/>
      </c>
      <c r="X494" s="169" t="s">
        <v>142</v>
      </c>
      <c r="Y494" s="163" t="s">
        <v>120</v>
      </c>
      <c r="Z494" s="166">
        <v>57887</v>
      </c>
      <c r="AA494" s="166">
        <v>9490</v>
      </c>
      <c r="AB494" s="166">
        <v>90291</v>
      </c>
      <c r="AC494" s="166">
        <v>207</v>
      </c>
      <c r="AD494" s="166">
        <v>5</v>
      </c>
      <c r="AE494" s="166">
        <v>5765</v>
      </c>
      <c r="AF494" s="166">
        <v>123</v>
      </c>
      <c r="AG494" s="166">
        <v>24</v>
      </c>
      <c r="AH494" s="165">
        <v>6</v>
      </c>
      <c r="AI494" s="167">
        <v>2</v>
      </c>
    </row>
    <row r="495">
      <c r="A495" s="149"/>
      <c r="B495" s="150" t="s">
        <v>124</v>
      </c>
      <c r="C495" s="194" t="s">
        <v>128</v>
      </c>
      <c r="D495" s="195">
        <f>2077.411+0.725+0.371</f>
      </c>
      <c r="E495" s="172">
        <v>8</v>
      </c>
      <c r="F495" s="154">
        <f t="shared" si="440"/>
      </c>
      <c r="G495" s="172">
        <v>3387.600000000006</v>
      </c>
      <c r="H495" s="156">
        <f t="shared" si="470"/>
      </c>
      <c r="I495" s="157">
        <f t="shared" si="380"/>
      </c>
      <c r="J495" s="158">
        <f t="shared" si="410"/>
      </c>
      <c r="K495" s="159">
        <f t="shared" si="320"/>
      </c>
      <c r="L495" s="174">
        <f t="shared" si="350"/>
      </c>
      <c r="M495" s="175">
        <f t="shared" si="230"/>
      </c>
      <c r="N495" s="176">
        <f t="shared" si="260"/>
      </c>
      <c r="O495" s="176">
        <f t="shared" si="290"/>
      </c>
      <c r="P495" s="176">
        <f t="shared" si="170"/>
      </c>
      <c r="Q495" s="176">
        <f t="shared" si="200"/>
      </c>
      <c r="R495" s="175">
        <f t="shared" si="110"/>
      </c>
      <c r="S495" s="177">
        <f t="shared" si="140"/>
      </c>
      <c r="T495" s="176">
        <f t="shared" si="50"/>
      </c>
      <c r="U495" s="176">
        <f t="shared" si="80"/>
      </c>
      <c r="V495" s="176">
        <f t="shared" si="500"/>
      </c>
      <c r="W495" s="176">
        <f t="shared" si="20"/>
      </c>
      <c r="X495" s="169" t="s">
        <v>142</v>
      </c>
      <c r="Y495" s="163" t="s">
        <v>120</v>
      </c>
      <c r="Z495" s="166">
        <v>97950</v>
      </c>
      <c r="AA495" s="166">
        <v>12198</v>
      </c>
      <c r="AB495" s="166">
        <v>177450</v>
      </c>
      <c r="AC495" s="166">
        <v>588</v>
      </c>
      <c r="AD495" s="166">
        <v>3</v>
      </c>
      <c r="AE495" s="166">
        <v>9497</v>
      </c>
      <c r="AF495" s="166">
        <v>119</v>
      </c>
      <c r="AG495" s="166">
        <v>31</v>
      </c>
      <c r="AH495" s="165">
        <v>12</v>
      </c>
      <c r="AI495" s="167">
        <v>2</v>
      </c>
    </row>
    <row r="496">
      <c r="A496" s="149"/>
      <c r="B496" s="178" t="s">
        <v>112</v>
      </c>
      <c r="C496" s="178"/>
      <c r="D496" s="179">
        <f>SUM(D491:D495)</f>
      </c>
      <c r="E496" s="180">
        <f>SUM(E491:E495)</f>
      </c>
      <c r="F496" s="181">
        <f t="shared" si="440"/>
      </c>
      <c r="G496" s="182">
        <f>SUM(G491:G495)</f>
      </c>
      <c r="H496" s="183">
        <f t="shared" si="470"/>
      </c>
      <c r="I496" s="184">
        <f t="shared" si="380"/>
      </c>
      <c r="J496" s="185">
        <f t="shared" si="410"/>
      </c>
      <c r="K496" s="181">
        <f t="shared" si="320"/>
      </c>
      <c r="L496" s="186">
        <f t="shared" si="350"/>
      </c>
      <c r="M496" s="185">
        <f t="shared" si="230"/>
      </c>
      <c r="N496" s="187">
        <f t="shared" si="260"/>
      </c>
      <c r="O496" s="187">
        <f t="shared" si="290"/>
      </c>
      <c r="P496" s="187">
        <f t="shared" si="170"/>
      </c>
      <c r="Q496" s="187">
        <f t="shared" si="200"/>
      </c>
      <c r="R496" s="185">
        <f t="shared" si="110"/>
      </c>
      <c r="S496" s="181">
        <f t="shared" si="140"/>
      </c>
      <c r="T496" s="187">
        <f t="shared" si="50"/>
      </c>
      <c r="U496" s="187">
        <f t="shared" si="80"/>
      </c>
      <c r="V496" s="187">
        <f t="shared" si="500"/>
      </c>
      <c r="W496" s="187">
        <f t="shared" si="20"/>
      </c>
      <c r="X496" s="187"/>
      <c r="Y496" s="188"/>
      <c r="Z496" s="179">
        <f>SUM(Z491:Z495)</f>
      </c>
      <c r="AA496" s="179">
        <f>SUM(AA491:AA495)</f>
      </c>
      <c r="AB496" s="179">
        <f>SUM(AB491:AB495)</f>
      </c>
      <c r="AC496" s="179">
        <f>SUM(AC491:AC495)</f>
      </c>
      <c r="AD496" s="179">
        <f>SUM(AD491:AD495)</f>
      </c>
      <c r="AE496" s="179">
        <f>SUM(AE491:AE495)</f>
      </c>
      <c r="AF496" s="179">
        <f>SUM(AF491:AF495)</f>
      </c>
      <c r="AG496" s="179">
        <f>SUM(AG491:AG495)</f>
      </c>
      <c r="AH496" s="179">
        <f>SUM(AH491:AH495)</f>
      </c>
      <c r="AI496" s="179">
        <f>SUM(AI491:AI495)</f>
      </c>
    </row>
    <row r="497">
      <c r="A497" s="149"/>
      <c r="B497" s="202" t="s">
        <v>129</v>
      </c>
      <c r="C497" s="202"/>
      <c r="D497" s="203">
        <f>SUM(D496+D479+D484+D490)</f>
      </c>
      <c r="E497" s="204">
        <f>SUM(E496+E479+E484+E490)</f>
      </c>
      <c r="F497" s="205">
        <f t="shared" si="440"/>
      </c>
      <c r="G497" s="206">
        <f>SUM(G496+G479+G484+G490)</f>
      </c>
      <c r="H497" s="207">
        <f t="shared" si="470"/>
      </c>
      <c r="I497" s="208">
        <f t="shared" si="380"/>
      </c>
      <c r="J497" s="209">
        <f t="shared" si="410"/>
      </c>
      <c r="K497" s="205">
        <f t="shared" si="320"/>
      </c>
      <c r="L497" s="210">
        <f t="shared" si="350"/>
      </c>
      <c r="M497" s="210">
        <f t="shared" si="230"/>
      </c>
      <c r="N497" s="211">
        <f t="shared" si="260"/>
      </c>
      <c r="O497" s="211">
        <f t="shared" si="290"/>
      </c>
      <c r="P497" s="211">
        <f t="shared" si="170"/>
      </c>
      <c r="Q497" s="211">
        <f t="shared" si="200"/>
      </c>
      <c r="R497" s="212">
        <f t="shared" si="110"/>
      </c>
      <c r="S497" s="213">
        <f t="shared" si="140"/>
      </c>
      <c r="T497" s="214">
        <f t="shared" si="50"/>
      </c>
      <c r="U497" s="214">
        <f t="shared" si="80"/>
      </c>
      <c r="V497" s="214">
        <f t="shared" si="500"/>
      </c>
      <c r="W497" s="214">
        <f t="shared" si="20"/>
      </c>
      <c r="X497" s="214"/>
      <c r="Y497" s="215"/>
      <c r="Z497" s="216">
        <f>SUM(Z479+Z496+Z484+Z490)</f>
      </c>
      <c r="AA497" s="216">
        <f>SUM(AA479+AA496+AA484+AA490)</f>
      </c>
      <c r="AB497" s="216">
        <f>SUM(AB479+AB496+AB484+AB490)</f>
      </c>
      <c r="AC497" s="216">
        <f>SUM(AC479+AC496+AC484+AC490)</f>
      </c>
      <c r="AD497" s="216">
        <f>SUM(AD479+AD496+AD484+AD490)</f>
      </c>
      <c r="AE497" s="216">
        <f>SUM(AE479+AE496+AE484+AE490)</f>
      </c>
      <c r="AF497" s="216">
        <f>SUM(AF479+AF496+AF484+AF490)</f>
      </c>
      <c r="AG497" s="216">
        <f>SUM(AG479+AG496+AG484+AG490)</f>
      </c>
      <c r="AH497" s="216">
        <f>SUM(AH479+AH496+AH484+AH490)</f>
      </c>
      <c r="AI497" s="216">
        <f>SUM(AI479+AI496+AI484+AI490)</f>
      </c>
    </row>
    <row r="498">
      <c r="A498" s="133" t="s">
        <v>70</v>
      </c>
      <c r="B498" s="134" t="s">
        <v>71</v>
      </c>
      <c r="C498" s="135" t="s">
        <v>72</v>
      </c>
      <c r="D498" s="136" t="s">
        <v>73</v>
      </c>
      <c r="E498" s="137" t="s">
        <v>74</v>
      </c>
      <c r="F498" s="138" t="s">
        <v>75</v>
      </c>
      <c r="G498" s="139" t="s">
        <v>76</v>
      </c>
      <c r="H498" s="138" t="s">
        <v>77</v>
      </c>
      <c r="I498" s="139" t="s">
        <v>78</v>
      </c>
      <c r="J498" s="140" t="s">
        <v>79</v>
      </c>
      <c r="K498" s="140" t="s">
        <v>80</v>
      </c>
      <c r="L498" s="141" t="s">
        <v>81</v>
      </c>
      <c r="M498" s="141" t="s">
        <v>82</v>
      </c>
      <c r="N498" s="141" t="s">
        <v>83</v>
      </c>
      <c r="O498" s="141" t="s">
        <v>84</v>
      </c>
      <c r="P498" s="141" t="s">
        <v>85</v>
      </c>
      <c r="Q498" s="141" t="s">
        <v>86</v>
      </c>
      <c r="R498" s="141" t="s">
        <v>87</v>
      </c>
      <c r="S498" s="141" t="s">
        <v>88</v>
      </c>
      <c r="T498" s="142" t="s">
        <v>89</v>
      </c>
      <c r="U498" s="142" t="s">
        <v>90</v>
      </c>
      <c r="V498" s="142" t="s">
        <v>91</v>
      </c>
      <c r="W498" s="142" t="s">
        <v>92</v>
      </c>
      <c r="X498" s="143" t="s">
        <v>93</v>
      </c>
      <c r="Y498" s="143" t="s">
        <v>94</v>
      </c>
      <c r="Z498" s="144" t="s">
        <v>95</v>
      </c>
      <c r="AA498" s="144" t="s">
        <v>96</v>
      </c>
      <c r="AB498" s="144" t="s">
        <v>97</v>
      </c>
      <c r="AC498" s="145" t="s">
        <v>98</v>
      </c>
      <c r="AD498" s="145" t="s">
        <v>99</v>
      </c>
      <c r="AE498" s="146" t="s">
        <v>100</v>
      </c>
      <c r="AF498" s="145" t="s">
        <v>101</v>
      </c>
      <c r="AG498" s="145" t="s">
        <v>102</v>
      </c>
      <c r="AH498" s="147" t="s">
        <v>103</v>
      </c>
      <c r="AI498" s="148" t="s">
        <v>104</v>
      </c>
    </row>
    <row r="499">
      <c r="A499" s="149">
        <v>46287</v>
      </c>
      <c r="B499" s="150" t="s">
        <v>105</v>
      </c>
      <c r="C499" s="151" t="s">
        <v>135</v>
      </c>
      <c r="D499" s="152">
        <v>1216.012</v>
      </c>
      <c r="E499" s="153">
        <v>4</v>
      </c>
      <c r="F499" s="154">
        <f t="shared" ref="F499:F521" si="441">D499/E499</f>
      </c>
      <c r="G499" s="155">
        <v>912</v>
      </c>
      <c r="H499" s="156">
        <f t="shared" ref="H499:H521" si="471">AD499</f>
      </c>
      <c r="I499" s="157">
        <f t="shared" ref="I499:I521" si="381">D499/AD499</f>
      </c>
      <c r="J499" s="158">
        <f t="shared" ref="J499:J521" si="411">G499/E499</f>
      </c>
      <c r="K499" s="159">
        <f t="shared" ref="K499:K521" si="321">G499/D499</f>
      </c>
      <c r="L499" s="160">
        <f t="shared" ref="L499:L521" si="351">D499/AB499</f>
      </c>
      <c r="M499" s="158">
        <f t="shared" ref="M499:M521" si="231">D499/AC499</f>
      </c>
      <c r="N499" s="161">
        <f t="shared" ref="N499:N521" si="261">AC499/AB499</f>
      </c>
      <c r="O499" s="161">
        <f t="shared" ref="O499:O521" si="291">AD499/AC499</f>
      </c>
      <c r="P499" s="161">
        <f t="shared" ref="P499:P521" si="171">AA499/Z499</f>
      </c>
      <c r="Q499" s="161">
        <f t="shared" ref="Q499:Q521" si="201">AD499/AA499</f>
      </c>
      <c r="R499" s="158">
        <f t="shared" ref="R499:R521" si="111">D499/Z499*1000</f>
      </c>
      <c r="S499" s="159">
        <f t="shared" ref="S499:S521" si="141">D499/AA499</f>
      </c>
      <c r="T499" s="161">
        <f t="shared" ref="T499:T521" si="51">AE499/AB499</f>
      </c>
      <c r="U499" s="161">
        <f t="shared" ref="U499:U521" si="81">AF499/AB499</f>
      </c>
      <c r="V499" s="161">
        <f t="shared" ref="V499:V521" si="501">AG499/AB499</f>
      </c>
      <c r="W499" s="161">
        <f t="shared" ref="W499:W521" si="21">AH499/AB499</f>
      </c>
      <c r="X499" s="162" t="s">
        <v>107</v>
      </c>
      <c r="Y499" s="163" t="s">
        <v>132</v>
      </c>
      <c r="Z499" s="164">
        <v>44774</v>
      </c>
      <c r="AA499" s="164">
        <v>23187</v>
      </c>
      <c r="AB499" s="164">
        <v>59746</v>
      </c>
      <c r="AC499" s="164">
        <v>665</v>
      </c>
      <c r="AD499" s="165">
        <v>4</v>
      </c>
      <c r="AE499" s="164">
        <v>11788</v>
      </c>
      <c r="AF499" s="166">
        <v>192</v>
      </c>
      <c r="AG499" s="166">
        <v>47</v>
      </c>
      <c r="AH499" s="166">
        <v>8</v>
      </c>
      <c r="AI499" s="167">
        <v>0</v>
      </c>
    </row>
    <row r="500">
      <c r="A500" s="149"/>
      <c r="B500" s="150" t="s">
        <v>105</v>
      </c>
      <c r="C500" s="168" t="s">
        <v>136</v>
      </c>
      <c r="D500" s="152">
        <v>2915.948</v>
      </c>
      <c r="E500" s="153">
        <v>9</v>
      </c>
      <c r="F500" s="154">
        <f t="shared" si="441"/>
      </c>
      <c r="G500" s="155">
        <v>3749.6000000000004</v>
      </c>
      <c r="H500" s="156">
        <f t="shared" si="471"/>
      </c>
      <c r="I500" s="157">
        <f t="shared" si="381"/>
      </c>
      <c r="J500" s="158">
        <f t="shared" si="411"/>
      </c>
      <c r="K500" s="159">
        <f t="shared" si="321"/>
      </c>
      <c r="L500" s="160">
        <f t="shared" si="351"/>
      </c>
      <c r="M500" s="158">
        <f t="shared" si="231"/>
      </c>
      <c r="N500" s="161">
        <f t="shared" si="261"/>
      </c>
      <c r="O500" s="161">
        <f t="shared" si="291"/>
      </c>
      <c r="P500" s="161">
        <f t="shared" si="171"/>
      </c>
      <c r="Q500" s="161">
        <f t="shared" si="201"/>
      </c>
      <c r="R500" s="158">
        <f t="shared" si="111"/>
      </c>
      <c r="S500" s="159">
        <f t="shared" si="141"/>
      </c>
      <c r="T500" s="161">
        <f t="shared" si="51"/>
      </c>
      <c r="U500" s="161">
        <f t="shared" si="81"/>
      </c>
      <c r="V500" s="161">
        <f t="shared" si="501"/>
      </c>
      <c r="W500" s="161">
        <f t="shared" si="21"/>
      </c>
      <c r="X500" s="169" t="s">
        <v>107</v>
      </c>
      <c r="Y500" s="163" t="s">
        <v>132</v>
      </c>
      <c r="Z500" s="166">
        <v>91324</v>
      </c>
      <c r="AA500" s="164">
        <v>36785</v>
      </c>
      <c r="AB500" s="164">
        <v>139568</v>
      </c>
      <c r="AC500" s="164">
        <v>1055</v>
      </c>
      <c r="AD500" s="166">
        <v>7</v>
      </c>
      <c r="AE500" s="164">
        <v>23049</v>
      </c>
      <c r="AF500" s="166">
        <v>423</v>
      </c>
      <c r="AG500" s="166">
        <v>85</v>
      </c>
      <c r="AH500" s="165">
        <v>20</v>
      </c>
      <c r="AI500" s="167">
        <v>1</v>
      </c>
    </row>
    <row r="501">
      <c r="A501" s="149"/>
      <c r="B501" s="150" t="s">
        <v>105</v>
      </c>
      <c r="C501" s="170" t="s">
        <v>106</v>
      </c>
      <c r="D501" s="171">
        <v>2909.959</v>
      </c>
      <c r="E501" s="172">
        <v>8</v>
      </c>
      <c r="F501" s="154">
        <f t="shared" si="441"/>
      </c>
      <c r="G501" s="172">
        <v>5491.999999999998</v>
      </c>
      <c r="H501" s="156">
        <f t="shared" si="471"/>
      </c>
      <c r="I501" s="157">
        <f t="shared" si="381"/>
      </c>
      <c r="J501" s="158">
        <f t="shared" si="411"/>
      </c>
      <c r="K501" s="159">
        <f t="shared" si="321"/>
      </c>
      <c r="L501" s="160">
        <f t="shared" si="351"/>
      </c>
      <c r="M501" s="158">
        <f t="shared" si="231"/>
      </c>
      <c r="N501" s="161">
        <f t="shared" si="261"/>
      </c>
      <c r="O501" s="161">
        <f t="shared" si="291"/>
      </c>
      <c r="P501" s="161">
        <f t="shared" si="171"/>
      </c>
      <c r="Q501" s="161">
        <f t="shared" si="201"/>
      </c>
      <c r="R501" s="158">
        <f t="shared" si="111"/>
      </c>
      <c r="S501" s="159">
        <f t="shared" si="141"/>
      </c>
      <c r="T501" s="161">
        <f t="shared" si="51"/>
      </c>
      <c r="U501" s="161">
        <f t="shared" si="81"/>
      </c>
      <c r="V501" s="161">
        <f t="shared" si="501"/>
      </c>
      <c r="W501" s="161">
        <f t="shared" si="21"/>
      </c>
      <c r="X501" s="169" t="s">
        <v>107</v>
      </c>
      <c r="Y501" s="163" t="s">
        <v>132</v>
      </c>
      <c r="Z501" s="166">
        <v>95447</v>
      </c>
      <c r="AA501" s="166">
        <v>40296</v>
      </c>
      <c r="AB501" s="166">
        <v>139582</v>
      </c>
      <c r="AC501" s="166">
        <v>988</v>
      </c>
      <c r="AD501" s="166">
        <v>8</v>
      </c>
      <c r="AE501" s="166">
        <v>22850</v>
      </c>
      <c r="AF501" s="166">
        <v>508</v>
      </c>
      <c r="AG501" s="166">
        <v>75</v>
      </c>
      <c r="AH501" s="166">
        <v>23</v>
      </c>
      <c r="AI501" s="167">
        <v>0</v>
      </c>
    </row>
    <row r="502">
      <c r="A502" s="149"/>
      <c r="B502" s="150" t="s">
        <v>105</v>
      </c>
      <c r="C502" s="173" t="s">
        <v>109</v>
      </c>
      <c r="D502" s="171">
        <v>3267.253</v>
      </c>
      <c r="E502" s="172">
        <v>16</v>
      </c>
      <c r="F502" s="154">
        <f t="shared" si="441"/>
      </c>
      <c r="G502" s="172">
        <v>6447.9000000000015</v>
      </c>
      <c r="H502" s="156">
        <f t="shared" si="471"/>
      </c>
      <c r="I502" s="157">
        <f t="shared" si="381"/>
      </c>
      <c r="J502" s="158">
        <f t="shared" si="411"/>
      </c>
      <c r="K502" s="159">
        <f t="shared" si="321"/>
      </c>
      <c r="L502" s="174">
        <f t="shared" si="351"/>
      </c>
      <c r="M502" s="175">
        <f t="shared" si="231"/>
      </c>
      <c r="N502" s="176">
        <f t="shared" si="261"/>
      </c>
      <c r="O502" s="176">
        <f t="shared" si="291"/>
      </c>
      <c r="P502" s="176">
        <f t="shared" si="171"/>
      </c>
      <c r="Q502" s="176">
        <f t="shared" si="201"/>
      </c>
      <c r="R502" s="175">
        <f t="shared" si="111"/>
      </c>
      <c r="S502" s="177">
        <f t="shared" si="141"/>
      </c>
      <c r="T502" s="176">
        <f t="shared" si="51"/>
      </c>
      <c r="U502" s="176">
        <f t="shared" si="81"/>
      </c>
      <c r="V502" s="176">
        <f t="shared" si="501"/>
      </c>
      <c r="W502" s="176">
        <f t="shared" si="21"/>
      </c>
      <c r="X502" s="169" t="s">
        <v>107</v>
      </c>
      <c r="Y502" s="163" t="s">
        <v>132</v>
      </c>
      <c r="Z502" s="166">
        <v>99532</v>
      </c>
      <c r="AA502" s="166">
        <v>40513</v>
      </c>
      <c r="AB502" s="166">
        <v>157884</v>
      </c>
      <c r="AC502" s="166">
        <v>1090</v>
      </c>
      <c r="AD502" s="166">
        <v>13</v>
      </c>
      <c r="AE502" s="166">
        <v>22973</v>
      </c>
      <c r="AF502" s="166">
        <v>407</v>
      </c>
      <c r="AG502" s="166">
        <v>68</v>
      </c>
      <c r="AH502" s="165">
        <v>19</v>
      </c>
      <c r="AI502" s="167">
        <v>3</v>
      </c>
    </row>
    <row customHeight="true" ht="16.071428571428573" r="503">
      <c r="A503" s="149"/>
      <c r="B503" s="150" t="s">
        <v>105</v>
      </c>
      <c r="C503" s="173" t="s">
        <v>110</v>
      </c>
      <c r="D503" s="195">
        <v>3731.827</v>
      </c>
      <c r="E503" s="172">
        <v>11</v>
      </c>
      <c r="F503" s="154">
        <f t="shared" si="441"/>
      </c>
      <c r="G503" s="172">
        <v>3058.7999999999993</v>
      </c>
      <c r="H503" s="156">
        <f t="shared" si="471"/>
      </c>
      <c r="I503" s="157">
        <f t="shared" si="381"/>
      </c>
      <c r="J503" s="158">
        <f t="shared" si="411"/>
      </c>
      <c r="K503" s="159">
        <f t="shared" si="321"/>
      </c>
      <c r="L503" s="174">
        <f t="shared" si="351"/>
      </c>
      <c r="M503" s="175">
        <f t="shared" si="231"/>
      </c>
      <c r="N503" s="176">
        <f t="shared" si="261"/>
      </c>
      <c r="O503" s="176">
        <f t="shared" si="291"/>
      </c>
      <c r="P503" s="176">
        <f t="shared" si="171"/>
      </c>
      <c r="Q503" s="176">
        <f t="shared" si="201"/>
      </c>
      <c r="R503" s="175">
        <f t="shared" si="111"/>
      </c>
      <c r="S503" s="177">
        <f t="shared" si="141"/>
      </c>
      <c r="T503" s="176">
        <f t="shared" si="51"/>
      </c>
      <c r="U503" s="176">
        <f t="shared" si="81"/>
      </c>
      <c r="V503" s="176">
        <f t="shared" si="501"/>
      </c>
      <c r="W503" s="176">
        <f t="shared" si="21"/>
      </c>
      <c r="X503" s="169" t="s">
        <v>107</v>
      </c>
      <c r="Y503" s="163" t="s">
        <v>132</v>
      </c>
      <c r="Z503" s="166">
        <v>106232</v>
      </c>
      <c r="AA503" s="166">
        <v>38006</v>
      </c>
      <c r="AB503" s="166">
        <v>187907</v>
      </c>
      <c r="AC503" s="166">
        <v>962</v>
      </c>
      <c r="AD503" s="166">
        <v>10</v>
      </c>
      <c r="AE503" s="166">
        <v>23847</v>
      </c>
      <c r="AF503" s="166">
        <v>359</v>
      </c>
      <c r="AG503" s="166">
        <v>73</v>
      </c>
      <c r="AH503" s="165">
        <v>17</v>
      </c>
      <c r="AI503" s="167">
        <v>2</v>
      </c>
    </row>
    <row r="504">
      <c r="A504" s="149"/>
      <c r="B504" s="178" t="s">
        <v>112</v>
      </c>
      <c r="C504" s="178"/>
      <c r="D504" s="179">
        <f>SUM(D499:D503)</f>
      </c>
      <c r="E504" s="180">
        <f>SUM(E499:E503)</f>
      </c>
      <c r="F504" s="181">
        <f t="shared" si="441"/>
      </c>
      <c r="G504" s="182">
        <f>SUM(G499:G503)</f>
      </c>
      <c r="H504" s="183">
        <f t="shared" si="471"/>
      </c>
      <c r="I504" s="184">
        <f t="shared" si="381"/>
      </c>
      <c r="J504" s="185">
        <f t="shared" si="411"/>
      </c>
      <c r="K504" s="181">
        <f t="shared" si="321"/>
      </c>
      <c r="L504" s="186">
        <f t="shared" si="351"/>
      </c>
      <c r="M504" s="185">
        <f t="shared" si="231"/>
      </c>
      <c r="N504" s="187">
        <f t="shared" si="261"/>
      </c>
      <c r="O504" s="187">
        <f t="shared" si="291"/>
      </c>
      <c r="P504" s="187">
        <f t="shared" si="171"/>
      </c>
      <c r="Q504" s="187">
        <f t="shared" si="201"/>
      </c>
      <c r="R504" s="185">
        <f t="shared" si="111"/>
      </c>
      <c r="S504" s="181">
        <f t="shared" si="141"/>
      </c>
      <c r="T504" s="187">
        <f t="shared" si="51"/>
      </c>
      <c r="U504" s="187">
        <f t="shared" si="81"/>
      </c>
      <c r="V504" s="187">
        <f t="shared" si="501"/>
      </c>
      <c r="W504" s="187">
        <f t="shared" si="21"/>
      </c>
      <c r="X504" s="187"/>
      <c r="Y504" s="188"/>
      <c r="Z504" s="179">
        <f>SUM(Z499:Z503)</f>
      </c>
      <c r="AA504" s="179">
        <f>SUM(AA499:AA503)</f>
      </c>
      <c r="AB504" s="179">
        <f>SUM(AB499:AB503)</f>
      </c>
      <c r="AC504" s="179">
        <f>SUM(AC499:AC503)</f>
      </c>
      <c r="AD504" s="179">
        <f>SUM(AD499:AD503)</f>
      </c>
      <c r="AE504" s="179">
        <f>SUM(AE499:AE503)</f>
      </c>
      <c r="AF504" s="179">
        <f>SUM(AF499:AF503)</f>
      </c>
      <c r="AG504" s="179">
        <f>SUM(AG499:AG503)</f>
      </c>
      <c r="AH504" s="179">
        <f>SUM(AH499:AH503)</f>
      </c>
      <c r="AI504" s="179">
        <f>SUM(AI499:AI503)</f>
      </c>
    </row>
    <row r="505">
      <c r="A505" s="149"/>
      <c r="B505" s="150" t="s">
        <v>118</v>
      </c>
      <c r="C505" s="192" t="s">
        <v>111</v>
      </c>
      <c r="D505" s="190">
        <v>3706.0530000000003</v>
      </c>
      <c r="E505" s="191">
        <v>8</v>
      </c>
      <c r="F505" s="154">
        <f t="shared" si="441"/>
      </c>
      <c r="G505" s="172">
        <v>2911.9000000000015</v>
      </c>
      <c r="H505" s="156">
        <f t="shared" si="471"/>
      </c>
      <c r="I505" s="157">
        <f t="shared" si="381"/>
      </c>
      <c r="J505" s="158">
        <f t="shared" si="411"/>
      </c>
      <c r="K505" s="159">
        <f t="shared" si="321"/>
      </c>
      <c r="L505" s="160">
        <f t="shared" si="351"/>
      </c>
      <c r="M505" s="158">
        <f t="shared" si="231"/>
      </c>
      <c r="N505" s="161">
        <f t="shared" si="261"/>
      </c>
      <c r="O505" s="161">
        <f t="shared" si="291"/>
      </c>
      <c r="P505" s="161">
        <f t="shared" si="171"/>
      </c>
      <c r="Q505" s="161">
        <f t="shared" si="201"/>
      </c>
      <c r="R505" s="158">
        <f t="shared" si="111"/>
      </c>
      <c r="S505" s="159">
        <f t="shared" si="141"/>
      </c>
      <c r="T505" s="161">
        <f t="shared" si="51"/>
      </c>
      <c r="U505" s="161">
        <f t="shared" si="81"/>
      </c>
      <c r="V505" s="161">
        <f t="shared" si="501"/>
      </c>
      <c r="W505" s="161">
        <f t="shared" si="21"/>
      </c>
      <c r="X505" s="169" t="s">
        <v>107</v>
      </c>
      <c r="Y505" s="163" t="s">
        <v>132</v>
      </c>
      <c r="Z505" s="166">
        <v>100689</v>
      </c>
      <c r="AA505" s="166">
        <v>31110</v>
      </c>
      <c r="AB505" s="166">
        <v>181735</v>
      </c>
      <c r="AC505" s="166">
        <v>957</v>
      </c>
      <c r="AD505" s="166">
        <v>6</v>
      </c>
      <c r="AE505" s="166">
        <v>21739</v>
      </c>
      <c r="AF505" s="166">
        <v>350</v>
      </c>
      <c r="AG505" s="166">
        <v>65</v>
      </c>
      <c r="AH505" s="166">
        <v>20</v>
      </c>
      <c r="AI505" s="167">
        <v>2</v>
      </c>
    </row>
    <row r="506">
      <c r="A506" s="149"/>
      <c r="B506" s="150" t="s">
        <v>118</v>
      </c>
      <c r="C506" s="193" t="s">
        <v>114</v>
      </c>
      <c r="D506" s="171">
        <v>3821.03</v>
      </c>
      <c r="E506" s="172">
        <v>9</v>
      </c>
      <c r="F506" s="154">
        <f t="shared" si="441"/>
      </c>
      <c r="G506" s="172">
        <v>1924</v>
      </c>
      <c r="H506" s="156">
        <f t="shared" si="471"/>
      </c>
      <c r="I506" s="157">
        <f t="shared" si="381"/>
      </c>
      <c r="J506" s="158">
        <f t="shared" si="411"/>
      </c>
      <c r="K506" s="159">
        <f t="shared" si="321"/>
      </c>
      <c r="L506" s="160">
        <f t="shared" si="351"/>
      </c>
      <c r="M506" s="158">
        <f t="shared" si="231"/>
      </c>
      <c r="N506" s="161">
        <f t="shared" si="261"/>
      </c>
      <c r="O506" s="161">
        <f t="shared" si="291"/>
      </c>
      <c r="P506" s="161">
        <f t="shared" si="171"/>
      </c>
      <c r="Q506" s="161">
        <f t="shared" si="201"/>
      </c>
      <c r="R506" s="158">
        <f t="shared" si="111"/>
      </c>
      <c r="S506" s="159">
        <f t="shared" si="141"/>
      </c>
      <c r="T506" s="161">
        <f t="shared" si="51"/>
      </c>
      <c r="U506" s="161">
        <f t="shared" si="81"/>
      </c>
      <c r="V506" s="161">
        <f t="shared" si="501"/>
      </c>
      <c r="W506" s="161">
        <f t="shared" si="21"/>
      </c>
      <c r="X506" s="169" t="s">
        <v>107</v>
      </c>
      <c r="Y506" s="163" t="s">
        <v>132</v>
      </c>
      <c r="Z506" s="166">
        <v>117913</v>
      </c>
      <c r="AA506" s="166">
        <v>30118</v>
      </c>
      <c r="AB506" s="166">
        <v>216817</v>
      </c>
      <c r="AC506" s="166">
        <v>905</v>
      </c>
      <c r="AD506" s="166">
        <v>9</v>
      </c>
      <c r="AE506" s="166">
        <v>20710</v>
      </c>
      <c r="AF506" s="166">
        <v>340</v>
      </c>
      <c r="AG506" s="166">
        <v>54</v>
      </c>
      <c r="AH506" s="166">
        <v>11</v>
      </c>
      <c r="AI506" s="167">
        <v>0</v>
      </c>
    </row>
    <row r="507">
      <c r="A507" s="149"/>
      <c r="B507" s="150" t="s">
        <v>118</v>
      </c>
      <c r="C507" s="194" t="s">
        <v>115</v>
      </c>
      <c r="D507" s="171">
        <v>3209.5879999999997</v>
      </c>
      <c r="E507" s="172">
        <v>9</v>
      </c>
      <c r="F507" s="154">
        <f t="shared" si="441"/>
      </c>
      <c r="G507" s="172">
        <v>4300.0999999999985</v>
      </c>
      <c r="H507" s="156">
        <f t="shared" si="471"/>
      </c>
      <c r="I507" s="157">
        <f t="shared" si="381"/>
      </c>
      <c r="J507" s="158">
        <f t="shared" si="411"/>
      </c>
      <c r="K507" s="159">
        <f t="shared" si="321"/>
      </c>
      <c r="L507" s="174">
        <f t="shared" si="351"/>
      </c>
      <c r="M507" s="175">
        <f t="shared" si="231"/>
      </c>
      <c r="N507" s="176">
        <f t="shared" si="261"/>
      </c>
      <c r="O507" s="176">
        <f t="shared" si="291"/>
      </c>
      <c r="P507" s="176">
        <f t="shared" si="171"/>
      </c>
      <c r="Q507" s="176">
        <f t="shared" si="201"/>
      </c>
      <c r="R507" s="175">
        <f t="shared" si="111"/>
      </c>
      <c r="S507" s="177">
        <f t="shared" si="141"/>
      </c>
      <c r="T507" s="176">
        <f t="shared" si="51"/>
      </c>
      <c r="U507" s="176">
        <f t="shared" si="81"/>
      </c>
      <c r="V507" s="176">
        <f t="shared" si="501"/>
      </c>
      <c r="W507" s="176">
        <f t="shared" si="21"/>
      </c>
      <c r="X507" s="169" t="s">
        <v>107</v>
      </c>
      <c r="Y507" s="163" t="s">
        <v>132</v>
      </c>
      <c r="Z507" s="166">
        <v>114634</v>
      </c>
      <c r="AA507" s="166">
        <v>27700</v>
      </c>
      <c r="AB507" s="166">
        <v>191905</v>
      </c>
      <c r="AC507" s="166">
        <v>859</v>
      </c>
      <c r="AD507" s="166">
        <v>8</v>
      </c>
      <c r="AE507" s="166">
        <v>18219</v>
      </c>
      <c r="AF507" s="166">
        <v>330</v>
      </c>
      <c r="AG507" s="166">
        <v>57</v>
      </c>
      <c r="AH507" s="165">
        <v>27</v>
      </c>
      <c r="AI507" s="167">
        <v>3</v>
      </c>
    </row>
    <row r="508">
      <c r="A508" s="149"/>
      <c r="B508" s="150" t="s">
        <v>118</v>
      </c>
      <c r="C508" s="196" t="s">
        <v>116</v>
      </c>
      <c r="D508" s="195">
        <v>2748.279</v>
      </c>
      <c r="E508" s="172">
        <v>6</v>
      </c>
      <c r="F508" s="154">
        <f t="shared" si="441"/>
      </c>
      <c r="G508" s="172">
        <v>3108</v>
      </c>
      <c r="H508" s="156">
        <f t="shared" si="471"/>
      </c>
      <c r="I508" s="157">
        <f t="shared" si="381"/>
      </c>
      <c r="J508" s="158">
        <f t="shared" si="411"/>
      </c>
      <c r="K508" s="159">
        <f t="shared" si="321"/>
      </c>
      <c r="L508" s="174">
        <f t="shared" si="351"/>
      </c>
      <c r="M508" s="175">
        <f t="shared" si="231"/>
      </c>
      <c r="N508" s="176">
        <f t="shared" si="261"/>
      </c>
      <c r="O508" s="176">
        <f t="shared" si="291"/>
      </c>
      <c r="P508" s="176">
        <f t="shared" si="171"/>
      </c>
      <c r="Q508" s="176">
        <f t="shared" si="201"/>
      </c>
      <c r="R508" s="175">
        <f t="shared" si="111"/>
      </c>
      <c r="S508" s="177">
        <f t="shared" si="141"/>
      </c>
      <c r="T508" s="176">
        <f t="shared" si="51"/>
      </c>
      <c r="U508" s="176">
        <f t="shared" si="81"/>
      </c>
      <c r="V508" s="176">
        <f t="shared" si="501"/>
      </c>
      <c r="W508" s="176">
        <f t="shared" si="21"/>
      </c>
      <c r="X508" s="169" t="s">
        <v>107</v>
      </c>
      <c r="Y508" s="163" t="s">
        <v>132</v>
      </c>
      <c r="Z508" s="166">
        <v>103266</v>
      </c>
      <c r="AA508" s="166">
        <v>23584</v>
      </c>
      <c r="AB508" s="166">
        <v>141136</v>
      </c>
      <c r="AC508" s="166">
        <v>781</v>
      </c>
      <c r="AD508" s="166">
        <v>6</v>
      </c>
      <c r="AE508" s="166">
        <v>13271</v>
      </c>
      <c r="AF508" s="166">
        <v>320</v>
      </c>
      <c r="AG508" s="166">
        <v>42</v>
      </c>
      <c r="AH508" s="165">
        <v>18</v>
      </c>
      <c r="AI508" s="167">
        <v>3</v>
      </c>
    </row>
    <row r="509">
      <c r="A509" s="149"/>
      <c r="B509" s="178" t="s">
        <v>112</v>
      </c>
      <c r="C509" s="178"/>
      <c r="D509" s="179">
        <f>SUM(D505:D508)</f>
      </c>
      <c r="E509" s="180">
        <f>SUM(E505:E508)</f>
      </c>
      <c r="F509" s="181">
        <f t="shared" si="441"/>
      </c>
      <c r="G509" s="182">
        <f>SUM(G505:G508)</f>
      </c>
      <c r="H509" s="183">
        <f t="shared" si="471"/>
      </c>
      <c r="I509" s="184">
        <f t="shared" si="381"/>
      </c>
      <c r="J509" s="185">
        <f t="shared" si="411"/>
      </c>
      <c r="K509" s="181">
        <f t="shared" si="321"/>
      </c>
      <c r="L509" s="186">
        <f t="shared" si="351"/>
      </c>
      <c r="M509" s="185">
        <f t="shared" si="231"/>
      </c>
      <c r="N509" s="187">
        <f t="shared" si="261"/>
      </c>
      <c r="O509" s="187">
        <f t="shared" si="291"/>
      </c>
      <c r="P509" s="187">
        <f t="shared" si="171"/>
      </c>
      <c r="Q509" s="187">
        <f t="shared" si="201"/>
      </c>
      <c r="R509" s="185">
        <f t="shared" si="111"/>
      </c>
      <c r="S509" s="181">
        <f t="shared" si="141"/>
      </c>
      <c r="T509" s="187">
        <f t="shared" si="51"/>
      </c>
      <c r="U509" s="187">
        <f t="shared" si="81"/>
      </c>
      <c r="V509" s="187">
        <f t="shared" si="501"/>
      </c>
      <c r="W509" s="187">
        <f t="shared" si="21"/>
      </c>
      <c r="X509" s="187"/>
      <c r="Y509" s="188"/>
      <c r="Z509" s="179">
        <f>SUM(Z505:Z508)</f>
      </c>
      <c r="AA509" s="179">
        <f>SUM(AA505:AA508)</f>
      </c>
      <c r="AB509" s="179">
        <f>SUM(AB505:AB508)</f>
      </c>
      <c r="AC509" s="179">
        <f>SUM(AC505:AC508)</f>
      </c>
      <c r="AD509" s="179">
        <f>SUM(AD505:AD508)</f>
      </c>
      <c r="AE509" s="179">
        <f>SUM(AE505:AE508)</f>
      </c>
      <c r="AF509" s="179">
        <f>SUM(AF505:AF508)</f>
      </c>
      <c r="AG509" s="179">
        <f>SUM(AG505:AG508)</f>
      </c>
      <c r="AH509" s="179">
        <f>SUM(AH505:AH508)</f>
      </c>
      <c r="AI509" s="179">
        <f>SUM(AI505:AI508)</f>
      </c>
    </row>
    <row r="510">
      <c r="A510" s="149"/>
      <c r="B510" s="150" t="s">
        <v>131</v>
      </c>
      <c r="C510" s="197" t="s">
        <v>117</v>
      </c>
      <c r="D510" s="171">
        <v>3060.7519999999995</v>
      </c>
      <c r="E510" s="172">
        <v>7</v>
      </c>
      <c r="F510" s="154">
        <f t="shared" si="441"/>
      </c>
      <c r="G510" s="172">
        <v>2153.2000000000007</v>
      </c>
      <c r="H510" s="156">
        <f t="shared" si="471"/>
      </c>
      <c r="I510" s="157">
        <f t="shared" si="381"/>
      </c>
      <c r="J510" s="158">
        <f t="shared" si="411"/>
      </c>
      <c r="K510" s="159">
        <f t="shared" si="321"/>
      </c>
      <c r="L510" s="174">
        <f t="shared" si="351"/>
      </c>
      <c r="M510" s="175">
        <f t="shared" si="231"/>
      </c>
      <c r="N510" s="176">
        <f t="shared" si="261"/>
      </c>
      <c r="O510" s="176">
        <f t="shared" si="291"/>
      </c>
      <c r="P510" s="176">
        <f t="shared" si="171"/>
      </c>
      <c r="Q510" s="176">
        <f t="shared" si="201"/>
      </c>
      <c r="R510" s="175">
        <f t="shared" si="111"/>
      </c>
      <c r="S510" s="177">
        <f t="shared" si="141"/>
      </c>
      <c r="T510" s="176">
        <f t="shared" si="51"/>
      </c>
      <c r="U510" s="176">
        <f t="shared" si="81"/>
      </c>
      <c r="V510" s="176">
        <f t="shared" si="501"/>
      </c>
      <c r="W510" s="176">
        <f t="shared" si="21"/>
      </c>
      <c r="X510" s="197" t="s">
        <v>142</v>
      </c>
      <c r="Y510" s="163" t="s">
        <v>132</v>
      </c>
      <c r="Z510" s="166">
        <v>106793</v>
      </c>
      <c r="AA510" s="166">
        <v>26333</v>
      </c>
      <c r="AB510" s="166">
        <v>178709</v>
      </c>
      <c r="AC510" s="166">
        <v>864</v>
      </c>
      <c r="AD510" s="166">
        <v>6</v>
      </c>
      <c r="AE510" s="166">
        <v>16359</v>
      </c>
      <c r="AF510" s="166">
        <v>254</v>
      </c>
      <c r="AG510" s="166">
        <v>70</v>
      </c>
      <c r="AH510" s="165">
        <v>9</v>
      </c>
      <c r="AI510" s="167">
        <v>2</v>
      </c>
    </row>
    <row r="511">
      <c r="A511" s="149"/>
      <c r="B511" s="150" t="s">
        <v>131</v>
      </c>
      <c r="C511" s="194" t="s">
        <v>119</v>
      </c>
      <c r="D511" s="195">
        <v>2393.005</v>
      </c>
      <c r="E511" s="172">
        <v>4</v>
      </c>
      <c r="F511" s="154">
        <f t="shared" si="441"/>
      </c>
      <c r="G511" s="172">
        <v>870.3000000000029</v>
      </c>
      <c r="H511" s="156">
        <f t="shared" si="471"/>
      </c>
      <c r="I511" s="157">
        <f t="shared" si="381"/>
      </c>
      <c r="J511" s="158">
        <f t="shared" si="411"/>
      </c>
      <c r="K511" s="159">
        <f t="shared" si="321"/>
      </c>
      <c r="L511" s="174">
        <f t="shared" si="351"/>
      </c>
      <c r="M511" s="175">
        <f t="shared" si="231"/>
      </c>
      <c r="N511" s="176">
        <f t="shared" si="261"/>
      </c>
      <c r="O511" s="176">
        <f t="shared" si="291"/>
      </c>
      <c r="P511" s="176">
        <f t="shared" si="171"/>
      </c>
      <c r="Q511" s="176">
        <f t="shared" si="201"/>
      </c>
      <c r="R511" s="175">
        <f t="shared" si="111"/>
      </c>
      <c r="S511" s="177">
        <f t="shared" si="141"/>
      </c>
      <c r="T511" s="176">
        <f t="shared" si="51"/>
      </c>
      <c r="U511" s="176">
        <f t="shared" si="81"/>
      </c>
      <c r="V511" s="176">
        <f t="shared" si="501"/>
      </c>
      <c r="W511" s="176">
        <f t="shared" si="21"/>
      </c>
      <c r="X511" s="197" t="s">
        <v>142</v>
      </c>
      <c r="Y511" s="163" t="s">
        <v>120</v>
      </c>
      <c r="Z511" s="166">
        <v>92777</v>
      </c>
      <c r="AA511" s="166">
        <v>23784</v>
      </c>
      <c r="AB511" s="166">
        <v>139934</v>
      </c>
      <c r="AC511" s="166">
        <v>722</v>
      </c>
      <c r="AD511" s="166">
        <v>3</v>
      </c>
      <c r="AE511" s="166">
        <v>13688</v>
      </c>
      <c r="AF511" s="166">
        <v>255</v>
      </c>
      <c r="AG511" s="166">
        <v>54</v>
      </c>
      <c r="AH511" s="165">
        <v>17</v>
      </c>
      <c r="AI511" s="167">
        <v>0</v>
      </c>
    </row>
    <row r="512">
      <c r="A512" s="149"/>
      <c r="B512" s="150" t="s">
        <v>131</v>
      </c>
      <c r="C512" s="194" t="s">
        <v>121</v>
      </c>
      <c r="D512" s="195">
        <v>3228.907</v>
      </c>
      <c r="E512" s="172">
        <v>3</v>
      </c>
      <c r="F512" s="154">
        <f t="shared" si="441"/>
      </c>
      <c r="G512" s="172">
        <v>684</v>
      </c>
      <c r="H512" s="156">
        <f t="shared" si="471"/>
      </c>
      <c r="I512" s="157">
        <f t="shared" si="381"/>
      </c>
      <c r="J512" s="158">
        <f t="shared" si="411"/>
      </c>
      <c r="K512" s="159">
        <f t="shared" si="321"/>
      </c>
      <c r="L512" s="174">
        <f t="shared" si="351"/>
      </c>
      <c r="M512" s="175">
        <f t="shared" si="231"/>
      </c>
      <c r="N512" s="176">
        <f t="shared" si="261"/>
      </c>
      <c r="O512" s="176">
        <f t="shared" si="291"/>
      </c>
      <c r="P512" s="176">
        <f t="shared" si="171"/>
      </c>
      <c r="Q512" s="176">
        <f t="shared" si="201"/>
      </c>
      <c r="R512" s="175">
        <f t="shared" si="111"/>
      </c>
      <c r="S512" s="177">
        <f t="shared" si="141"/>
      </c>
      <c r="T512" s="176">
        <f t="shared" si="51"/>
      </c>
      <c r="U512" s="176">
        <f t="shared" si="81"/>
      </c>
      <c r="V512" s="176">
        <f t="shared" si="501"/>
      </c>
      <c r="W512" s="176">
        <f t="shared" si="21"/>
      </c>
      <c r="X512" s="197" t="s">
        <v>142</v>
      </c>
      <c r="Y512" s="163" t="s">
        <v>120</v>
      </c>
      <c r="Z512" s="166">
        <v>111917</v>
      </c>
      <c r="AA512" s="166">
        <v>31269</v>
      </c>
      <c r="AB512" s="166">
        <v>194930</v>
      </c>
      <c r="AC512" s="166">
        <v>679</v>
      </c>
      <c r="AD512" s="166">
        <v>3</v>
      </c>
      <c r="AE512" s="166">
        <v>19416</v>
      </c>
      <c r="AF512" s="166">
        <v>269</v>
      </c>
      <c r="AG512" s="166">
        <v>64</v>
      </c>
      <c r="AH512" s="165">
        <v>11</v>
      </c>
      <c r="AI512" s="167">
        <v>0</v>
      </c>
    </row>
    <row r="513">
      <c r="A513" s="149"/>
      <c r="B513" s="150" t="s">
        <v>131</v>
      </c>
      <c r="C513" s="196" t="s">
        <v>122</v>
      </c>
      <c r="D513" s="195">
        <v>2858.4350000000004</v>
      </c>
      <c r="E513" s="172">
        <v>4</v>
      </c>
      <c r="F513" s="154">
        <f t="shared" si="441"/>
      </c>
      <c r="G513" s="172">
        <v>912</v>
      </c>
      <c r="H513" s="156">
        <f t="shared" si="471"/>
      </c>
      <c r="I513" s="157">
        <f t="shared" si="381"/>
      </c>
      <c r="J513" s="158">
        <f t="shared" si="411"/>
      </c>
      <c r="K513" s="159">
        <f t="shared" si="321"/>
      </c>
      <c r="L513" s="174">
        <f t="shared" si="351"/>
      </c>
      <c r="M513" s="175">
        <f t="shared" si="231"/>
      </c>
      <c r="N513" s="176">
        <f t="shared" si="261"/>
      </c>
      <c r="O513" s="176">
        <f t="shared" si="291"/>
      </c>
      <c r="P513" s="176">
        <f t="shared" si="171"/>
      </c>
      <c r="Q513" s="176">
        <f t="shared" si="201"/>
      </c>
      <c r="R513" s="175">
        <f t="shared" si="111"/>
      </c>
      <c r="S513" s="177">
        <f t="shared" si="141"/>
      </c>
      <c r="T513" s="176">
        <f t="shared" si="51"/>
      </c>
      <c r="U513" s="176">
        <f t="shared" si="81"/>
      </c>
      <c r="V513" s="176">
        <f t="shared" si="501"/>
      </c>
      <c r="W513" s="176">
        <f t="shared" si="21"/>
      </c>
      <c r="X513" s="169" t="s">
        <v>142</v>
      </c>
      <c r="Y513" s="163" t="s">
        <v>120</v>
      </c>
      <c r="Z513" s="166">
        <v>80095</v>
      </c>
      <c r="AA513" s="166">
        <v>14344</v>
      </c>
      <c r="AB513" s="166">
        <v>166925</v>
      </c>
      <c r="AC513" s="166">
        <v>502</v>
      </c>
      <c r="AD513" s="166">
        <v>3</v>
      </c>
      <c r="AE513" s="166">
        <v>12234</v>
      </c>
      <c r="AF513" s="166">
        <v>203</v>
      </c>
      <c r="AG513" s="166">
        <v>27</v>
      </c>
      <c r="AH513" s="165">
        <v>8</v>
      </c>
      <c r="AI513" s="167">
        <v>0</v>
      </c>
    </row>
    <row r="514">
      <c r="A514" s="149"/>
      <c r="B514" s="178" t="s">
        <v>112</v>
      </c>
      <c r="C514" s="178"/>
      <c r="D514" s="179">
        <f>SUM(D510:D513)</f>
      </c>
      <c r="E514" s="180">
        <f>SUM(E510:E513)</f>
      </c>
      <c r="F514" s="181">
        <f t="shared" si="441"/>
      </c>
      <c r="G514" s="182">
        <f>SUM(G510:G513)</f>
      </c>
      <c r="H514" s="183">
        <f t="shared" si="471"/>
      </c>
      <c r="I514" s="184">
        <f t="shared" si="381"/>
      </c>
      <c r="J514" s="185">
        <f t="shared" si="411"/>
      </c>
      <c r="K514" s="181">
        <f t="shared" si="321"/>
      </c>
      <c r="L514" s="186">
        <f t="shared" si="351"/>
      </c>
      <c r="M514" s="185">
        <f t="shared" si="231"/>
      </c>
      <c r="N514" s="187">
        <f t="shared" si="261"/>
      </c>
      <c r="O514" s="187">
        <f t="shared" si="291"/>
      </c>
      <c r="P514" s="187">
        <f t="shared" si="171"/>
      </c>
      <c r="Q514" s="187">
        <f t="shared" si="201"/>
      </c>
      <c r="R514" s="185">
        <f t="shared" si="111"/>
      </c>
      <c r="S514" s="181">
        <f t="shared" si="141"/>
      </c>
      <c r="T514" s="187">
        <f t="shared" si="51"/>
      </c>
      <c r="U514" s="187">
        <f t="shared" si="81"/>
      </c>
      <c r="V514" s="187">
        <f t="shared" si="501"/>
      </c>
      <c r="W514" s="187">
        <f t="shared" si="21"/>
      </c>
      <c r="X514" s="187"/>
      <c r="Y514" s="188"/>
      <c r="Z514" s="179">
        <f>SUM(Z510:Z513)</f>
      </c>
      <c r="AA514" s="179">
        <f>SUM(AA510:AA513)</f>
      </c>
      <c r="AB514" s="179">
        <f>SUM(AB510:AB513)</f>
      </c>
      <c r="AC514" s="179">
        <f>SUM(AC510:AC513)</f>
      </c>
      <c r="AD514" s="179">
        <f>SUM(AD510:AD513)</f>
      </c>
      <c r="AE514" s="179">
        <f>SUM(AE510:AE513)</f>
      </c>
      <c r="AF514" s="179">
        <f>SUM(AF510:AF513)</f>
      </c>
      <c r="AG514" s="179">
        <f>SUM(AG510:AG513)</f>
      </c>
      <c r="AH514" s="179">
        <f>SUM(AH510:AH513)</f>
      </c>
      <c r="AI514" s="179">
        <f>SUM(AI510:AI513)</f>
      </c>
    </row>
    <row r="515">
      <c r="A515" s="149"/>
      <c r="B515" s="150" t="s">
        <v>124</v>
      </c>
      <c r="C515" s="197" t="s">
        <v>123</v>
      </c>
      <c r="D515" s="198">
        <v>2959.7290000000003</v>
      </c>
      <c r="E515" s="153">
        <v>2</v>
      </c>
      <c r="F515" s="154">
        <f t="shared" si="441"/>
      </c>
      <c r="G515" s="155">
        <v>1024</v>
      </c>
      <c r="H515" s="156">
        <f t="shared" si="471"/>
      </c>
      <c r="I515" s="157">
        <f t="shared" si="381"/>
      </c>
      <c r="J515" s="158">
        <f t="shared" si="411"/>
      </c>
      <c r="K515" s="159">
        <f t="shared" si="321"/>
      </c>
      <c r="L515" s="174">
        <f t="shared" si="351"/>
      </c>
      <c r="M515" s="175">
        <f t="shared" si="231"/>
      </c>
      <c r="N515" s="176">
        <f t="shared" si="261"/>
      </c>
      <c r="O515" s="176">
        <f t="shared" si="291"/>
      </c>
      <c r="P515" s="176">
        <f t="shared" si="171"/>
      </c>
      <c r="Q515" s="176">
        <f t="shared" si="201"/>
      </c>
      <c r="R515" s="175">
        <f t="shared" si="111"/>
      </c>
      <c r="S515" s="177">
        <f t="shared" si="141"/>
      </c>
      <c r="T515" s="176">
        <f t="shared" si="51"/>
      </c>
      <c r="U515" s="176">
        <f t="shared" si="81"/>
      </c>
      <c r="V515" s="176">
        <f t="shared" si="501"/>
      </c>
      <c r="W515" s="176">
        <f t="shared" si="21"/>
      </c>
      <c r="X515" s="169" t="s">
        <v>142</v>
      </c>
      <c r="Y515" s="163" t="s">
        <v>120</v>
      </c>
      <c r="Z515" s="166">
        <v>92233</v>
      </c>
      <c r="AA515" s="166">
        <v>12172</v>
      </c>
      <c r="AB515" s="166">
        <v>199703</v>
      </c>
      <c r="AC515" s="199">
        <v>560</v>
      </c>
      <c r="AD515" s="199">
        <v>3</v>
      </c>
      <c r="AE515" s="199">
        <v>11054</v>
      </c>
      <c r="AF515" s="199">
        <v>214</v>
      </c>
      <c r="AG515" s="199">
        <v>31</v>
      </c>
      <c r="AH515" s="199">
        <v>10</v>
      </c>
      <c r="AI515" s="167">
        <v>0</v>
      </c>
    </row>
    <row r="516">
      <c r="A516" s="149"/>
      <c r="B516" s="150" t="s">
        <v>124</v>
      </c>
      <c r="C516" s="194" t="s">
        <v>125</v>
      </c>
      <c r="D516" s="198">
        <v>997.92</v>
      </c>
      <c r="E516" s="153">
        <v>5</v>
      </c>
      <c r="F516" s="154">
        <f t="shared" si="441"/>
      </c>
      <c r="G516" s="155">
        <v>1729.199999999997</v>
      </c>
      <c r="H516" s="156">
        <f t="shared" si="471"/>
      </c>
      <c r="I516" s="157">
        <f t="shared" si="381"/>
      </c>
      <c r="J516" s="158">
        <f t="shared" si="411"/>
      </c>
      <c r="K516" s="159">
        <f t="shared" si="321"/>
      </c>
      <c r="L516" s="174">
        <f t="shared" si="351"/>
      </c>
      <c r="M516" s="175">
        <f t="shared" si="231"/>
      </c>
      <c r="N516" s="176">
        <f t="shared" si="261"/>
      </c>
      <c r="O516" s="176">
        <f t="shared" si="291"/>
      </c>
      <c r="P516" s="176">
        <f t="shared" si="171"/>
      </c>
      <c r="Q516" s="176">
        <f t="shared" si="201"/>
      </c>
      <c r="R516" s="175">
        <f t="shared" si="111"/>
      </c>
      <c r="S516" s="177">
        <f t="shared" si="141"/>
      </c>
      <c r="T516" s="176">
        <f t="shared" si="51"/>
      </c>
      <c r="U516" s="176">
        <f t="shared" si="81"/>
      </c>
      <c r="V516" s="176">
        <f t="shared" si="501"/>
      </c>
      <c r="W516" s="176">
        <f t="shared" si="21"/>
      </c>
      <c r="X516" s="169" t="s">
        <v>142</v>
      </c>
      <c r="Y516" s="163" t="s">
        <v>120</v>
      </c>
      <c r="Z516" s="166">
        <v>35365</v>
      </c>
      <c r="AA516" s="166">
        <v>7058</v>
      </c>
      <c r="AB516" s="166">
        <v>33916</v>
      </c>
      <c r="AC516" s="199">
        <v>203</v>
      </c>
      <c r="AD516" s="199">
        <v>5</v>
      </c>
      <c r="AE516" s="199">
        <v>2886</v>
      </c>
      <c r="AF516" s="199">
        <v>137</v>
      </c>
      <c r="AG516" s="199">
        <v>8</v>
      </c>
      <c r="AH516" s="199">
        <v>4</v>
      </c>
      <c r="AI516" s="167">
        <v>0</v>
      </c>
    </row>
    <row r="517">
      <c r="A517" s="149"/>
      <c r="B517" s="150" t="s">
        <v>124</v>
      </c>
      <c r="C517" s="194" t="s">
        <v>126</v>
      </c>
      <c r="D517" s="171">
        <v>2691.9740000000006</v>
      </c>
      <c r="E517" s="172">
        <v>3</v>
      </c>
      <c r="F517" s="154">
        <f t="shared" si="441"/>
      </c>
      <c r="G517" s="172">
        <v>1252</v>
      </c>
      <c r="H517" s="156">
        <f t="shared" si="471"/>
      </c>
      <c r="I517" s="157">
        <f t="shared" si="381"/>
      </c>
      <c r="J517" s="158">
        <f t="shared" si="411"/>
      </c>
      <c r="K517" s="159">
        <f t="shared" si="321"/>
      </c>
      <c r="L517" s="174">
        <f t="shared" si="351"/>
      </c>
      <c r="M517" s="175">
        <f t="shared" si="231"/>
      </c>
      <c r="N517" s="176">
        <f t="shared" si="261"/>
      </c>
      <c r="O517" s="176">
        <f t="shared" si="291"/>
      </c>
      <c r="P517" s="176">
        <f t="shared" si="171"/>
      </c>
      <c r="Q517" s="176">
        <f t="shared" si="201"/>
      </c>
      <c r="R517" s="175">
        <f t="shared" si="111"/>
      </c>
      <c r="S517" s="177">
        <f t="shared" si="141"/>
      </c>
      <c r="T517" s="176">
        <f t="shared" si="51"/>
      </c>
      <c r="U517" s="176">
        <f t="shared" si="81"/>
      </c>
      <c r="V517" s="176">
        <f t="shared" si="501"/>
      </c>
      <c r="W517" s="176">
        <f t="shared" si="21"/>
      </c>
      <c r="X517" s="169" t="s">
        <v>142</v>
      </c>
      <c r="Y517" s="163" t="s">
        <v>120</v>
      </c>
      <c r="Z517" s="166">
        <v>109392</v>
      </c>
      <c r="AA517" s="166">
        <v>19799</v>
      </c>
      <c r="AB517" s="166">
        <v>196801</v>
      </c>
      <c r="AC517" s="166">
        <v>575</v>
      </c>
      <c r="AD517" s="166">
        <v>3</v>
      </c>
      <c r="AE517" s="166">
        <v>11289</v>
      </c>
      <c r="AF517" s="166">
        <v>165</v>
      </c>
      <c r="AG517" s="166">
        <v>37</v>
      </c>
      <c r="AH517" s="165">
        <v>8</v>
      </c>
      <c r="AI517" s="167">
        <v>0</v>
      </c>
    </row>
    <row r="518">
      <c r="A518" s="149"/>
      <c r="B518" s="150" t="s">
        <v>124</v>
      </c>
      <c r="C518" s="196" t="s">
        <v>127</v>
      </c>
      <c r="D518" s="195">
        <v>3632.2230000000004</v>
      </c>
      <c r="E518" s="172">
        <v>13</v>
      </c>
      <c r="F518" s="154">
        <f t="shared" si="441"/>
      </c>
      <c r="G518" s="172">
        <v>2857.9000000000015</v>
      </c>
      <c r="H518" s="156">
        <f t="shared" si="471"/>
      </c>
      <c r="I518" s="157">
        <f t="shared" si="381"/>
      </c>
      <c r="J518" s="158">
        <f t="shared" si="411"/>
      </c>
      <c r="K518" s="159">
        <f t="shared" si="321"/>
      </c>
      <c r="L518" s="174">
        <f t="shared" si="351"/>
      </c>
      <c r="M518" s="175">
        <f t="shared" si="231"/>
      </c>
      <c r="N518" s="176">
        <f t="shared" si="261"/>
      </c>
      <c r="O518" s="176">
        <f t="shared" si="291"/>
      </c>
      <c r="P518" s="176">
        <f t="shared" si="171"/>
      </c>
      <c r="Q518" s="176">
        <f t="shared" si="201"/>
      </c>
      <c r="R518" s="175">
        <f t="shared" si="111"/>
      </c>
      <c r="S518" s="177">
        <f t="shared" si="141"/>
      </c>
      <c r="T518" s="176">
        <f t="shared" si="51"/>
      </c>
      <c r="U518" s="176">
        <f t="shared" si="81"/>
      </c>
      <c r="V518" s="176">
        <f t="shared" si="501"/>
      </c>
      <c r="W518" s="176">
        <f t="shared" si="21"/>
      </c>
      <c r="X518" s="169" t="s">
        <v>142</v>
      </c>
      <c r="Y518" s="163" t="s">
        <v>120</v>
      </c>
      <c r="Z518" s="166">
        <v>169597</v>
      </c>
      <c r="AA518" s="166">
        <v>23659</v>
      </c>
      <c r="AB518" s="166">
        <v>330930</v>
      </c>
      <c r="AC518" s="166">
        <v>857</v>
      </c>
      <c r="AD518" s="166">
        <v>6</v>
      </c>
      <c r="AE518" s="166">
        <v>19492</v>
      </c>
      <c r="AF518" s="166">
        <v>193</v>
      </c>
      <c r="AG518" s="166">
        <v>72</v>
      </c>
      <c r="AH518" s="165">
        <v>23</v>
      </c>
      <c r="AI518" s="167">
        <v>1</v>
      </c>
    </row>
    <row r="519">
      <c r="A519" s="149"/>
      <c r="B519" s="150" t="s">
        <v>124</v>
      </c>
      <c r="C519" s="194" t="s">
        <v>128</v>
      </c>
      <c r="D519" s="195">
        <f>511.512+0.734</f>
      </c>
      <c r="E519" s="172">
        <v>6</v>
      </c>
      <c r="F519" s="154">
        <f t="shared" si="441"/>
      </c>
      <c r="G519" s="172">
        <v>3091.2000000000044</v>
      </c>
      <c r="H519" s="156">
        <f t="shared" si="471"/>
      </c>
      <c r="I519" s="157">
        <f t="shared" si="381"/>
      </c>
      <c r="J519" s="158">
        <f t="shared" si="411"/>
      </c>
      <c r="K519" s="159">
        <f t="shared" si="321"/>
      </c>
      <c r="L519" s="174">
        <f t="shared" si="351"/>
      </c>
      <c r="M519" s="175">
        <f t="shared" si="231"/>
      </c>
      <c r="N519" s="176">
        <f t="shared" si="261"/>
      </c>
      <c r="O519" s="176">
        <f t="shared" si="291"/>
      </c>
      <c r="P519" s="176">
        <f t="shared" si="171"/>
      </c>
      <c r="Q519" s="176">
        <f t="shared" si="201"/>
      </c>
      <c r="R519" s="175">
        <f t="shared" si="111"/>
      </c>
      <c r="S519" s="177">
        <f t="shared" si="141"/>
      </c>
      <c r="T519" s="176">
        <f t="shared" si="51"/>
      </c>
      <c r="U519" s="176">
        <f t="shared" si="81"/>
      </c>
      <c r="V519" s="176">
        <f t="shared" si="501"/>
      </c>
      <c r="W519" s="176">
        <f t="shared" si="21"/>
      </c>
      <c r="X519" s="169" t="s">
        <v>142</v>
      </c>
      <c r="Y519" s="163" t="s">
        <v>120</v>
      </c>
      <c r="Z519" s="166">
        <v>28539</v>
      </c>
      <c r="AA519" s="166">
        <v>3554</v>
      </c>
      <c r="AB519" s="166">
        <v>26185</v>
      </c>
      <c r="AC519" s="166">
        <v>136</v>
      </c>
      <c r="AD519" s="166">
        <v>5</v>
      </c>
      <c r="AE519" s="166">
        <v>1673</v>
      </c>
      <c r="AF519" s="166">
        <v>45</v>
      </c>
      <c r="AG519" s="166">
        <v>18</v>
      </c>
      <c r="AH519" s="165">
        <v>7</v>
      </c>
      <c r="AI519" s="167">
        <v>1</v>
      </c>
    </row>
    <row r="520">
      <c r="A520" s="149"/>
      <c r="B520" s="178" t="s">
        <v>112</v>
      </c>
      <c r="C520" s="178"/>
      <c r="D520" s="179">
        <f>SUM(D515:D519)</f>
      </c>
      <c r="E520" s="180">
        <f>SUM(E515:E519)</f>
      </c>
      <c r="F520" s="181">
        <f t="shared" si="441"/>
      </c>
      <c r="G520" s="182">
        <f>SUM(G515:G519)</f>
      </c>
      <c r="H520" s="183">
        <f t="shared" si="471"/>
      </c>
      <c r="I520" s="184">
        <f t="shared" si="381"/>
      </c>
      <c r="J520" s="185">
        <f t="shared" si="411"/>
      </c>
      <c r="K520" s="181">
        <f t="shared" si="321"/>
      </c>
      <c r="L520" s="186">
        <f t="shared" si="351"/>
      </c>
      <c r="M520" s="185">
        <f t="shared" si="231"/>
      </c>
      <c r="N520" s="187">
        <f t="shared" si="261"/>
      </c>
      <c r="O520" s="187">
        <f t="shared" si="291"/>
      </c>
      <c r="P520" s="187">
        <f t="shared" si="171"/>
      </c>
      <c r="Q520" s="187">
        <f t="shared" si="201"/>
      </c>
      <c r="R520" s="185">
        <f t="shared" si="111"/>
      </c>
      <c r="S520" s="181">
        <f t="shared" si="141"/>
      </c>
      <c r="T520" s="187">
        <f t="shared" si="51"/>
      </c>
      <c r="U520" s="187">
        <f t="shared" si="81"/>
      </c>
      <c r="V520" s="187">
        <f t="shared" si="501"/>
      </c>
      <c r="W520" s="187">
        <f t="shared" si="21"/>
      </c>
      <c r="X520" s="187"/>
      <c r="Y520" s="188"/>
      <c r="Z520" s="179">
        <f>SUM(Z515:Z519)</f>
      </c>
      <c r="AA520" s="179">
        <f>SUM(AA515:AA519)</f>
      </c>
      <c r="AB520" s="179">
        <f>SUM(AB515:AB519)</f>
      </c>
      <c r="AC520" s="179">
        <f>SUM(AC515:AC519)</f>
      </c>
      <c r="AD520" s="179">
        <f>SUM(AD515:AD519)</f>
      </c>
      <c r="AE520" s="179">
        <f>SUM(AE515:AE519)</f>
      </c>
      <c r="AF520" s="179">
        <f>SUM(AF515:AF519)</f>
      </c>
      <c r="AG520" s="179">
        <f>SUM(AG515:AG519)</f>
      </c>
      <c r="AH520" s="179">
        <f>SUM(AH515:AH519)</f>
      </c>
      <c r="AI520" s="179">
        <f>SUM(AI515:AI519)</f>
      </c>
    </row>
    <row r="521">
      <c r="A521" s="149"/>
      <c r="B521" s="202" t="s">
        <v>129</v>
      </c>
      <c r="C521" s="202"/>
      <c r="D521" s="203">
        <f>SUM(D520+D504+D509+D514)</f>
      </c>
      <c r="E521" s="204">
        <f>SUM(E520+E504+E509+E514)</f>
      </c>
      <c r="F521" s="205">
        <f t="shared" si="441"/>
      </c>
      <c r="G521" s="206">
        <f>SUM(G520+G504+G509+G514)</f>
      </c>
      <c r="H521" s="207">
        <f t="shared" si="471"/>
      </c>
      <c r="I521" s="208">
        <f t="shared" si="381"/>
      </c>
      <c r="J521" s="209">
        <f t="shared" si="411"/>
      </c>
      <c r="K521" s="205">
        <f t="shared" si="321"/>
      </c>
      <c r="L521" s="210">
        <f t="shared" si="351"/>
      </c>
      <c r="M521" s="210">
        <f t="shared" si="231"/>
      </c>
      <c r="N521" s="211">
        <f t="shared" si="261"/>
      </c>
      <c r="O521" s="211">
        <f t="shared" si="291"/>
      </c>
      <c r="P521" s="211">
        <f t="shared" si="171"/>
      </c>
      <c r="Q521" s="211">
        <f t="shared" si="201"/>
      </c>
      <c r="R521" s="212">
        <f t="shared" si="111"/>
      </c>
      <c r="S521" s="213">
        <f t="shared" si="141"/>
      </c>
      <c r="T521" s="214">
        <f t="shared" si="51"/>
      </c>
      <c r="U521" s="214">
        <f t="shared" si="81"/>
      </c>
      <c r="V521" s="214">
        <f t="shared" si="501"/>
      </c>
      <c r="W521" s="214">
        <f t="shared" si="21"/>
      </c>
      <c r="X521" s="214"/>
      <c r="Y521" s="215"/>
      <c r="Z521" s="216">
        <f>SUM(Z504+Z520+Z509+Z514)</f>
      </c>
      <c r="AA521" s="216">
        <f>SUM(AA504+AA520+AA509+AA514)</f>
      </c>
      <c r="AB521" s="216">
        <f>SUM(AB504+AB520+AB509+AB514)</f>
      </c>
      <c r="AC521" s="216">
        <f>SUM(AC504+AC520+AC509+AC514)</f>
      </c>
      <c r="AD521" s="216">
        <f>SUM(AD504+AD520+AD509+AD514)</f>
      </c>
      <c r="AE521" s="216">
        <f>SUM(AE504+AE520+AE509+AE514)</f>
      </c>
      <c r="AF521" s="216">
        <f>SUM(AF504+AF520+AF509+AF514)</f>
      </c>
      <c r="AG521" s="216">
        <f>SUM(AG504+AG520+AG509+AG514)</f>
      </c>
      <c r="AH521" s="216">
        <f>SUM(AH504+AH520+AH509+AH514)</f>
      </c>
      <c r="AI521" s="216">
        <f>SUM(AI504+AI520+AI509+AI514)</f>
      </c>
    </row>
    <row r="522">
      <c r="A522" s="133" t="s">
        <v>70</v>
      </c>
      <c r="B522" s="134" t="s">
        <v>71</v>
      </c>
      <c r="C522" s="135" t="s">
        <v>72</v>
      </c>
      <c r="D522" s="136" t="s">
        <v>73</v>
      </c>
      <c r="E522" s="137" t="s">
        <v>74</v>
      </c>
      <c r="F522" s="138" t="s">
        <v>75</v>
      </c>
      <c r="G522" s="139" t="s">
        <v>76</v>
      </c>
      <c r="H522" s="138" t="s">
        <v>77</v>
      </c>
      <c r="I522" s="139" t="s">
        <v>78</v>
      </c>
      <c r="J522" s="140" t="s">
        <v>79</v>
      </c>
      <c r="K522" s="140" t="s">
        <v>80</v>
      </c>
      <c r="L522" s="141" t="s">
        <v>81</v>
      </c>
      <c r="M522" s="141" t="s">
        <v>82</v>
      </c>
      <c r="N522" s="141" t="s">
        <v>83</v>
      </c>
      <c r="O522" s="141" t="s">
        <v>84</v>
      </c>
      <c r="P522" s="141" t="s">
        <v>85</v>
      </c>
      <c r="Q522" s="141" t="s">
        <v>86</v>
      </c>
      <c r="R522" s="141" t="s">
        <v>87</v>
      </c>
      <c r="S522" s="141" t="s">
        <v>88</v>
      </c>
      <c r="T522" s="142" t="s">
        <v>89</v>
      </c>
      <c r="U522" s="142" t="s">
        <v>90</v>
      </c>
      <c r="V522" s="142" t="s">
        <v>91</v>
      </c>
      <c r="W522" s="142" t="s">
        <v>92</v>
      </c>
      <c r="X522" s="143" t="s">
        <v>93</v>
      </c>
      <c r="Y522" s="143" t="s">
        <v>94</v>
      </c>
      <c r="Z522" s="144" t="s">
        <v>95</v>
      </c>
      <c r="AA522" s="144" t="s">
        <v>96</v>
      </c>
      <c r="AB522" s="144" t="s">
        <v>97</v>
      </c>
      <c r="AC522" s="145" t="s">
        <v>98</v>
      </c>
      <c r="AD522" s="145" t="s">
        <v>99</v>
      </c>
      <c r="AE522" s="146" t="s">
        <v>100</v>
      </c>
      <c r="AF522" s="145" t="s">
        <v>101</v>
      </c>
      <c r="AG522" s="145" t="s">
        <v>102</v>
      </c>
      <c r="AH522" s="147" t="s">
        <v>103</v>
      </c>
      <c r="AI522" s="148" t="s">
        <v>104</v>
      </c>
    </row>
    <row r="523">
      <c r="A523" s="149">
        <v>46288</v>
      </c>
      <c r="B523" s="150" t="s">
        <v>131</v>
      </c>
      <c r="C523" s="151" t="s">
        <v>135</v>
      </c>
      <c r="D523" s="152">
        <v>1075.453</v>
      </c>
      <c r="E523" s="153">
        <v>1</v>
      </c>
      <c r="F523" s="154">
        <f t="shared" ref="F523:F545" si="442">D523/E523</f>
      </c>
      <c r="G523" s="155">
        <v>168</v>
      </c>
      <c r="H523" s="156">
        <f t="shared" ref="H523:H545" si="472">AD523</f>
      </c>
      <c r="I523" s="157">
        <f t="shared" ref="I523:I545" si="382">D523/AD523</f>
      </c>
      <c r="J523" s="158">
        <f t="shared" ref="J523:J545" si="412">G523/E523</f>
      </c>
      <c r="K523" s="159">
        <f t="shared" ref="K523:K545" si="322">G523/D523</f>
      </c>
      <c r="L523" s="160">
        <f t="shared" ref="L523:L545" si="352">D523/AB523</f>
      </c>
      <c r="M523" s="158">
        <f t="shared" ref="M523:M545" si="232">D523/AC523</f>
      </c>
      <c r="N523" s="161">
        <f t="shared" ref="N523:N545" si="262">AC523/AB523</f>
      </c>
      <c r="O523" s="161">
        <f t="shared" ref="O523:O545" si="292">AD523/AC523</f>
      </c>
      <c r="P523" s="161">
        <f t="shared" ref="P523:P545" si="172">AA523/Z523</f>
      </c>
      <c r="Q523" s="161">
        <f t="shared" ref="Q523:Q545" si="202">AD523/AA523</f>
      </c>
      <c r="R523" s="158">
        <f t="shared" ref="R523:R545" si="112">D523/Z523*1000</f>
      </c>
      <c r="S523" s="159">
        <f t="shared" ref="S523:S545" si="142">D523/AA523</f>
      </c>
      <c r="T523" s="161">
        <f t="shared" ref="T523:T545" si="52">AE523/AB523</f>
      </c>
      <c r="U523" s="161">
        <f t="shared" ref="U523:U545" si="82">AF523/AB523</f>
      </c>
      <c r="V523" s="161">
        <f t="shared" ref="V523:V545" si="502">AG523/AB523</f>
      </c>
      <c r="W523" s="161">
        <f t="shared" ref="W523:W545" si="22">AH523/AB523</f>
      </c>
      <c r="X523" s="162" t="s">
        <v>107</v>
      </c>
      <c r="Y523" s="163" t="s">
        <v>137</v>
      </c>
      <c r="Z523" s="164">
        <v>38755</v>
      </c>
      <c r="AA523" s="164">
        <v>16093</v>
      </c>
      <c r="AB523" s="164">
        <v>54197</v>
      </c>
      <c r="AC523" s="164">
        <v>402</v>
      </c>
      <c r="AD523" s="165">
        <v>1</v>
      </c>
      <c r="AE523" s="164">
        <v>8682</v>
      </c>
      <c r="AF523" s="166">
        <v>160</v>
      </c>
      <c r="AG523" s="166">
        <v>28</v>
      </c>
      <c r="AH523" s="166">
        <v>5</v>
      </c>
      <c r="AI523" s="167">
        <v>0</v>
      </c>
    </row>
    <row r="524">
      <c r="A524" s="149"/>
      <c r="B524" s="150" t="s">
        <v>131</v>
      </c>
      <c r="C524" s="168" t="s">
        <v>136</v>
      </c>
      <c r="D524" s="152">
        <v>2591.082</v>
      </c>
      <c r="E524" s="153">
        <v>4</v>
      </c>
      <c r="F524" s="154">
        <f t="shared" si="442"/>
      </c>
      <c r="G524" s="155">
        <v>1469.2</v>
      </c>
      <c r="H524" s="156">
        <f t="shared" si="472"/>
      </c>
      <c r="I524" s="157">
        <f t="shared" si="382"/>
      </c>
      <c r="J524" s="158">
        <f t="shared" si="412"/>
      </c>
      <c r="K524" s="159">
        <f t="shared" si="322"/>
      </c>
      <c r="L524" s="160">
        <f t="shared" si="352"/>
      </c>
      <c r="M524" s="158">
        <f t="shared" si="232"/>
      </c>
      <c r="N524" s="161">
        <f t="shared" si="262"/>
      </c>
      <c r="O524" s="161">
        <f t="shared" si="292"/>
      </c>
      <c r="P524" s="161">
        <f t="shared" si="172"/>
      </c>
      <c r="Q524" s="161">
        <f t="shared" si="202"/>
      </c>
      <c r="R524" s="158">
        <f t="shared" si="112"/>
      </c>
      <c r="S524" s="159">
        <f t="shared" si="142"/>
      </c>
      <c r="T524" s="161">
        <f t="shared" si="52"/>
      </c>
      <c r="U524" s="161">
        <f t="shared" si="82"/>
      </c>
      <c r="V524" s="161">
        <f t="shared" si="502"/>
      </c>
      <c r="W524" s="161">
        <f t="shared" si="22"/>
      </c>
      <c r="X524" s="169" t="s">
        <v>107</v>
      </c>
      <c r="Y524" s="163" t="s">
        <v>137</v>
      </c>
      <c r="Z524" s="166">
        <v>97047</v>
      </c>
      <c r="AA524" s="164">
        <v>33087</v>
      </c>
      <c r="AB524" s="164">
        <v>145788</v>
      </c>
      <c r="AC524" s="164">
        <v>984</v>
      </c>
      <c r="AD524" s="166">
        <v>2</v>
      </c>
      <c r="AE524" s="164">
        <v>19219</v>
      </c>
      <c r="AF524" s="166">
        <v>368</v>
      </c>
      <c r="AG524" s="166">
        <v>71</v>
      </c>
      <c r="AH524" s="165">
        <v>16</v>
      </c>
      <c r="AI524" s="167">
        <v>1</v>
      </c>
    </row>
    <row r="525">
      <c r="A525" s="149"/>
      <c r="B525" s="150" t="s">
        <v>131</v>
      </c>
      <c r="C525" s="170" t="s">
        <v>106</v>
      </c>
      <c r="D525" s="171">
        <v>2530.617</v>
      </c>
      <c r="E525" s="172">
        <v>8</v>
      </c>
      <c r="F525" s="154">
        <f t="shared" si="442"/>
      </c>
      <c r="G525" s="172">
        <v>2328</v>
      </c>
      <c r="H525" s="156">
        <f t="shared" si="472"/>
      </c>
      <c r="I525" s="157">
        <f t="shared" si="382"/>
      </c>
      <c r="J525" s="158">
        <f t="shared" si="412"/>
      </c>
      <c r="K525" s="159">
        <f t="shared" si="322"/>
      </c>
      <c r="L525" s="160">
        <f t="shared" si="352"/>
      </c>
      <c r="M525" s="158">
        <f t="shared" si="232"/>
      </c>
      <c r="N525" s="161">
        <f t="shared" si="262"/>
      </c>
      <c r="O525" s="161">
        <f t="shared" si="292"/>
      </c>
      <c r="P525" s="161">
        <f t="shared" si="172"/>
      </c>
      <c r="Q525" s="161">
        <f t="shared" si="202"/>
      </c>
      <c r="R525" s="158">
        <f t="shared" si="112"/>
      </c>
      <c r="S525" s="159">
        <f t="shared" si="142"/>
      </c>
      <c r="T525" s="161">
        <f t="shared" si="52"/>
      </c>
      <c r="U525" s="161">
        <f t="shared" si="82"/>
      </c>
      <c r="V525" s="161">
        <f t="shared" si="502"/>
      </c>
      <c r="W525" s="161">
        <f t="shared" si="22"/>
      </c>
      <c r="X525" s="169" t="s">
        <v>107</v>
      </c>
      <c r="Y525" s="163" t="s">
        <v>137</v>
      </c>
      <c r="Z525" s="166">
        <v>98556</v>
      </c>
      <c r="AA525" s="166">
        <v>31651</v>
      </c>
      <c r="AB525" s="166">
        <v>147751</v>
      </c>
      <c r="AC525" s="166">
        <v>976</v>
      </c>
      <c r="AD525" s="166">
        <v>8</v>
      </c>
      <c r="AE525" s="166">
        <v>18776</v>
      </c>
      <c r="AF525" s="166">
        <v>400</v>
      </c>
      <c r="AG525" s="166">
        <v>48</v>
      </c>
      <c r="AH525" s="166">
        <v>11</v>
      </c>
      <c r="AI525" s="167">
        <v>0</v>
      </c>
    </row>
    <row r="526">
      <c r="A526" s="149"/>
      <c r="B526" s="150" t="s">
        <v>131</v>
      </c>
      <c r="C526" s="173" t="s">
        <v>109</v>
      </c>
      <c r="D526" s="171">
        <v>2259.779</v>
      </c>
      <c r="E526" s="172">
        <v>9</v>
      </c>
      <c r="F526" s="154">
        <f t="shared" si="442"/>
      </c>
      <c r="G526" s="172">
        <v>2041.2</v>
      </c>
      <c r="H526" s="156">
        <f t="shared" si="472"/>
      </c>
      <c r="I526" s="157">
        <f t="shared" si="382"/>
      </c>
      <c r="J526" s="158">
        <f t="shared" si="412"/>
      </c>
      <c r="K526" s="159">
        <f t="shared" si="322"/>
      </c>
      <c r="L526" s="174">
        <f t="shared" si="352"/>
      </c>
      <c r="M526" s="175">
        <f t="shared" si="232"/>
      </c>
      <c r="N526" s="176">
        <f t="shared" si="262"/>
      </c>
      <c r="O526" s="176">
        <f t="shared" si="292"/>
      </c>
      <c r="P526" s="176">
        <f t="shared" si="172"/>
      </c>
      <c r="Q526" s="176">
        <f t="shared" si="202"/>
      </c>
      <c r="R526" s="175">
        <f t="shared" si="112"/>
      </c>
      <c r="S526" s="177">
        <f t="shared" si="142"/>
      </c>
      <c r="T526" s="176">
        <f t="shared" si="52"/>
      </c>
      <c r="U526" s="176">
        <f t="shared" si="82"/>
      </c>
      <c r="V526" s="176">
        <f t="shared" si="502"/>
      </c>
      <c r="W526" s="176">
        <f t="shared" si="22"/>
      </c>
      <c r="X526" s="169" t="s">
        <v>107</v>
      </c>
      <c r="Y526" s="163" t="s">
        <v>137</v>
      </c>
      <c r="Z526" s="166">
        <v>78125</v>
      </c>
      <c r="AA526" s="166">
        <v>26777</v>
      </c>
      <c r="AB526" s="166">
        <v>130969</v>
      </c>
      <c r="AC526" s="166">
        <v>846</v>
      </c>
      <c r="AD526" s="166">
        <v>9</v>
      </c>
      <c r="AE526" s="166">
        <v>16319</v>
      </c>
      <c r="AF526" s="166">
        <v>369</v>
      </c>
      <c r="AG526" s="166">
        <v>36</v>
      </c>
      <c r="AH526" s="165">
        <v>15</v>
      </c>
      <c r="AI526" s="167">
        <v>1</v>
      </c>
    </row>
    <row r="527">
      <c r="A527" s="149"/>
      <c r="B527" s="150" t="s">
        <v>131</v>
      </c>
      <c r="C527" s="173" t="s">
        <v>110</v>
      </c>
      <c r="D527" s="195">
        <v>2749.375</v>
      </c>
      <c r="E527" s="172">
        <v>1</v>
      </c>
      <c r="F527" s="154">
        <f t="shared" si="442"/>
      </c>
      <c r="G527" s="172">
        <v>228</v>
      </c>
      <c r="H527" s="156">
        <f t="shared" si="472"/>
      </c>
      <c r="I527" s="157">
        <f t="shared" si="382"/>
      </c>
      <c r="J527" s="158">
        <f t="shared" si="412"/>
      </c>
      <c r="K527" s="159">
        <f t="shared" si="322"/>
      </c>
      <c r="L527" s="174">
        <f t="shared" si="352"/>
      </c>
      <c r="M527" s="175">
        <f t="shared" si="232"/>
      </c>
      <c r="N527" s="176">
        <f t="shared" si="262"/>
      </c>
      <c r="O527" s="176">
        <f t="shared" si="292"/>
      </c>
      <c r="P527" s="176">
        <f t="shared" si="172"/>
      </c>
      <c r="Q527" s="176">
        <f t="shared" si="202"/>
      </c>
      <c r="R527" s="175">
        <f t="shared" si="112"/>
      </c>
      <c r="S527" s="177">
        <f t="shared" si="142"/>
      </c>
      <c r="T527" s="176">
        <f t="shared" si="52"/>
      </c>
      <c r="U527" s="176">
        <f t="shared" si="82"/>
      </c>
      <c r="V527" s="176">
        <f t="shared" si="502"/>
      </c>
      <c r="W527" s="176">
        <f t="shared" si="22"/>
      </c>
      <c r="X527" s="169" t="s">
        <v>107</v>
      </c>
      <c r="Y527" s="163" t="s">
        <v>137</v>
      </c>
      <c r="Z527" s="166">
        <v>85999</v>
      </c>
      <c r="AA527" s="166">
        <v>24384</v>
      </c>
      <c r="AB527" s="166">
        <v>156420</v>
      </c>
      <c r="AC527" s="166">
        <v>884</v>
      </c>
      <c r="AD527" s="166">
        <v>1</v>
      </c>
      <c r="AE527" s="166">
        <v>16430</v>
      </c>
      <c r="AF527" s="166">
        <v>302</v>
      </c>
      <c r="AG527" s="166">
        <v>42</v>
      </c>
      <c r="AH527" s="165">
        <v>7</v>
      </c>
      <c r="AI527" s="167">
        <v>0</v>
      </c>
    </row>
    <row r="528">
      <c r="A528" s="149"/>
      <c r="B528" s="178" t="s">
        <v>112</v>
      </c>
      <c r="C528" s="178"/>
      <c r="D528" s="179">
        <f>SUM(D523:D527)</f>
      </c>
      <c r="E528" s="180">
        <f>SUM(E523:E527)</f>
      </c>
      <c r="F528" s="181">
        <f t="shared" si="442"/>
      </c>
      <c r="G528" s="182">
        <f>SUM(G523:G527)</f>
      </c>
      <c r="H528" s="183">
        <f t="shared" si="472"/>
      </c>
      <c r="I528" s="184">
        <f t="shared" si="382"/>
      </c>
      <c r="J528" s="185">
        <f t="shared" si="412"/>
      </c>
      <c r="K528" s="181">
        <f t="shared" si="322"/>
      </c>
      <c r="L528" s="186">
        <f t="shared" si="352"/>
      </c>
      <c r="M528" s="185">
        <f t="shared" si="232"/>
      </c>
      <c r="N528" s="187">
        <f t="shared" si="262"/>
      </c>
      <c r="O528" s="187">
        <f t="shared" si="292"/>
      </c>
      <c r="P528" s="187">
        <f t="shared" si="172"/>
      </c>
      <c r="Q528" s="187">
        <f t="shared" si="202"/>
      </c>
      <c r="R528" s="185">
        <f t="shared" si="112"/>
      </c>
      <c r="S528" s="181">
        <f t="shared" si="142"/>
      </c>
      <c r="T528" s="187">
        <f t="shared" si="52"/>
      </c>
      <c r="U528" s="187">
        <f t="shared" si="82"/>
      </c>
      <c r="V528" s="187">
        <f t="shared" si="502"/>
      </c>
      <c r="W528" s="187">
        <f t="shared" si="22"/>
      </c>
      <c r="X528" s="187"/>
      <c r="Y528" s="188"/>
      <c r="Z528" s="179">
        <f>SUM(Z523:Z527)</f>
      </c>
      <c r="AA528" s="179">
        <f>SUM(AA523:AA527)</f>
      </c>
      <c r="AB528" s="179">
        <f>SUM(AB523:AB527)</f>
      </c>
      <c r="AC528" s="179">
        <f>SUM(AC523:AC527)</f>
      </c>
      <c r="AD528" s="179">
        <f>SUM(AD523:AD527)</f>
      </c>
      <c r="AE528" s="179">
        <f>SUM(AE523:AE527)</f>
      </c>
      <c r="AF528" s="179">
        <f>SUM(AF523:AF527)</f>
      </c>
      <c r="AG528" s="179">
        <f>SUM(AG523:AG527)</f>
      </c>
      <c r="AH528" s="179">
        <f>SUM(AH523:AH527)</f>
      </c>
      <c r="AI528" s="179">
        <f>SUM(AI523:AI527)</f>
      </c>
    </row>
    <row r="529">
      <c r="A529" s="149"/>
      <c r="B529" s="150" t="s">
        <v>118</v>
      </c>
      <c r="C529" s="192" t="s">
        <v>111</v>
      </c>
      <c r="D529" s="190">
        <v>1967.858</v>
      </c>
      <c r="E529" s="191">
        <v>3</v>
      </c>
      <c r="F529" s="154">
        <f t="shared" si="442"/>
      </c>
      <c r="G529" s="172">
        <v>1730.8</v>
      </c>
      <c r="H529" s="156">
        <f t="shared" si="472"/>
      </c>
      <c r="I529" s="157">
        <f t="shared" si="382"/>
      </c>
      <c r="J529" s="158">
        <f t="shared" si="412"/>
      </c>
      <c r="K529" s="159">
        <f t="shared" si="322"/>
      </c>
      <c r="L529" s="160">
        <f t="shared" si="352"/>
      </c>
      <c r="M529" s="158">
        <f t="shared" si="232"/>
      </c>
      <c r="N529" s="161">
        <f t="shared" si="262"/>
      </c>
      <c r="O529" s="161">
        <f t="shared" si="292"/>
      </c>
      <c r="P529" s="161">
        <f t="shared" si="172"/>
      </c>
      <c r="Q529" s="161">
        <f t="shared" si="202"/>
      </c>
      <c r="R529" s="158">
        <f t="shared" si="112"/>
      </c>
      <c r="S529" s="159">
        <f t="shared" si="142"/>
      </c>
      <c r="T529" s="161">
        <f t="shared" si="52"/>
      </c>
      <c r="U529" s="161">
        <f t="shared" si="82"/>
      </c>
      <c r="V529" s="161">
        <f t="shared" si="502"/>
      </c>
      <c r="W529" s="161">
        <f t="shared" si="22"/>
      </c>
      <c r="X529" s="169" t="s">
        <v>107</v>
      </c>
      <c r="Y529" s="163" t="s">
        <v>137</v>
      </c>
      <c r="Z529" s="166">
        <v>73101</v>
      </c>
      <c r="AA529" s="166">
        <v>23800</v>
      </c>
      <c r="AB529" s="166">
        <v>119045</v>
      </c>
      <c r="AC529" s="166">
        <v>843</v>
      </c>
      <c r="AD529" s="166">
        <v>3</v>
      </c>
      <c r="AE529" s="166">
        <v>14116</v>
      </c>
      <c r="AF529" s="166">
        <v>283</v>
      </c>
      <c r="AG529" s="166">
        <v>42</v>
      </c>
      <c r="AH529" s="166">
        <v>18</v>
      </c>
      <c r="AI529" s="167">
        <v>0</v>
      </c>
    </row>
    <row r="530">
      <c r="A530" s="149"/>
      <c r="B530" s="150" t="s">
        <v>118</v>
      </c>
      <c r="C530" s="193" t="s">
        <v>114</v>
      </c>
      <c r="D530" s="171">
        <v>2401.84</v>
      </c>
      <c r="E530" s="172">
        <v>9</v>
      </c>
      <c r="F530" s="154">
        <f t="shared" si="442"/>
      </c>
      <c r="G530" s="172">
        <v>2423</v>
      </c>
      <c r="H530" s="156">
        <f t="shared" si="472"/>
      </c>
      <c r="I530" s="157">
        <f t="shared" si="382"/>
      </c>
      <c r="J530" s="158">
        <f t="shared" si="412"/>
      </c>
      <c r="K530" s="159">
        <f t="shared" si="322"/>
      </c>
      <c r="L530" s="160">
        <f t="shared" si="352"/>
      </c>
      <c r="M530" s="158">
        <f t="shared" si="232"/>
      </c>
      <c r="N530" s="161">
        <f t="shared" si="262"/>
      </c>
      <c r="O530" s="161">
        <f t="shared" si="292"/>
      </c>
      <c r="P530" s="161">
        <f t="shared" si="172"/>
      </c>
      <c r="Q530" s="161">
        <f t="shared" si="202"/>
      </c>
      <c r="R530" s="158">
        <f t="shared" si="112"/>
      </c>
      <c r="S530" s="159">
        <f t="shared" si="142"/>
      </c>
      <c r="T530" s="161">
        <f t="shared" si="52"/>
      </c>
      <c r="U530" s="161">
        <f t="shared" si="82"/>
      </c>
      <c r="V530" s="161">
        <f t="shared" si="502"/>
      </c>
      <c r="W530" s="161">
        <f t="shared" si="22"/>
      </c>
      <c r="X530" s="169" t="s">
        <v>107</v>
      </c>
      <c r="Y530" s="163" t="s">
        <v>137</v>
      </c>
      <c r="Z530" s="166">
        <v>89506</v>
      </c>
      <c r="AA530" s="166">
        <v>23664</v>
      </c>
      <c r="AB530" s="166">
        <v>168368</v>
      </c>
      <c r="AC530" s="166">
        <v>871</v>
      </c>
      <c r="AD530" s="166">
        <v>7</v>
      </c>
      <c r="AE530" s="166">
        <v>15035</v>
      </c>
      <c r="AF530" s="166">
        <v>229</v>
      </c>
      <c r="AG530" s="166">
        <v>53</v>
      </c>
      <c r="AH530" s="166">
        <v>21</v>
      </c>
      <c r="AI530" s="167">
        <v>1</v>
      </c>
    </row>
    <row r="531">
      <c r="A531" s="149"/>
      <c r="B531" s="150" t="s">
        <v>118</v>
      </c>
      <c r="C531" s="194" t="s">
        <v>115</v>
      </c>
      <c r="D531" s="171">
        <v>2063.804</v>
      </c>
      <c r="E531" s="172">
        <v>8</v>
      </c>
      <c r="F531" s="154">
        <f t="shared" si="442"/>
      </c>
      <c r="G531" s="172">
        <v>2381.2</v>
      </c>
      <c r="H531" s="156">
        <f t="shared" si="472"/>
      </c>
      <c r="I531" s="157">
        <f t="shared" si="382"/>
      </c>
      <c r="J531" s="158">
        <f t="shared" si="412"/>
      </c>
      <c r="K531" s="159">
        <f t="shared" si="322"/>
      </c>
      <c r="L531" s="174">
        <f t="shared" si="352"/>
      </c>
      <c r="M531" s="175">
        <f t="shared" si="232"/>
      </c>
      <c r="N531" s="176">
        <f t="shared" si="262"/>
      </c>
      <c r="O531" s="176">
        <f t="shared" si="292"/>
      </c>
      <c r="P531" s="176">
        <f t="shared" si="172"/>
      </c>
      <c r="Q531" s="176">
        <f t="shared" si="202"/>
      </c>
      <c r="R531" s="175">
        <f t="shared" si="112"/>
      </c>
      <c r="S531" s="177">
        <f t="shared" si="142"/>
      </c>
      <c r="T531" s="176">
        <f t="shared" si="52"/>
      </c>
      <c r="U531" s="176">
        <f t="shared" si="82"/>
      </c>
      <c r="V531" s="176">
        <f t="shared" si="502"/>
      </c>
      <c r="W531" s="176">
        <f t="shared" si="22"/>
      </c>
      <c r="X531" s="169" t="s">
        <v>107</v>
      </c>
      <c r="Y531" s="163" t="s">
        <v>137</v>
      </c>
      <c r="Z531" s="166">
        <v>76182</v>
      </c>
      <c r="AA531" s="166">
        <v>19963</v>
      </c>
      <c r="AB531" s="166">
        <v>138766</v>
      </c>
      <c r="AC531" s="166">
        <v>810</v>
      </c>
      <c r="AD531" s="166">
        <v>7</v>
      </c>
      <c r="AE531" s="166">
        <v>11969</v>
      </c>
      <c r="AF531" s="166">
        <v>194</v>
      </c>
      <c r="AG531" s="166">
        <v>30</v>
      </c>
      <c r="AH531" s="165">
        <v>14</v>
      </c>
      <c r="AI531" s="167">
        <v>1</v>
      </c>
    </row>
    <row r="532">
      <c r="A532" s="149"/>
      <c r="B532" s="150" t="s">
        <v>118</v>
      </c>
      <c r="C532" s="196" t="s">
        <v>116</v>
      </c>
      <c r="D532" s="195">
        <v>1758.799</v>
      </c>
      <c r="E532" s="172">
        <v>5</v>
      </c>
      <c r="F532" s="154">
        <f t="shared" si="442"/>
      </c>
      <c r="G532" s="172">
        <v>1066.3</v>
      </c>
      <c r="H532" s="156">
        <f t="shared" si="472"/>
      </c>
      <c r="I532" s="157">
        <f t="shared" si="382"/>
      </c>
      <c r="J532" s="158">
        <f t="shared" si="412"/>
      </c>
      <c r="K532" s="159">
        <f t="shared" si="322"/>
      </c>
      <c r="L532" s="174">
        <f t="shared" si="352"/>
      </c>
      <c r="M532" s="175">
        <f t="shared" si="232"/>
      </c>
      <c r="N532" s="176">
        <f t="shared" si="262"/>
      </c>
      <c r="O532" s="176">
        <f t="shared" si="292"/>
      </c>
      <c r="P532" s="176">
        <f t="shared" si="172"/>
      </c>
      <c r="Q532" s="176">
        <f t="shared" si="202"/>
      </c>
      <c r="R532" s="175">
        <f t="shared" si="112"/>
      </c>
      <c r="S532" s="177">
        <f t="shared" si="142"/>
      </c>
      <c r="T532" s="176">
        <f t="shared" si="52"/>
      </c>
      <c r="U532" s="176">
        <f t="shared" si="82"/>
      </c>
      <c r="V532" s="176">
        <f t="shared" si="502"/>
      </c>
      <c r="W532" s="176">
        <f t="shared" si="22"/>
      </c>
      <c r="X532" s="169" t="s">
        <v>107</v>
      </c>
      <c r="Y532" s="163" t="s">
        <v>137</v>
      </c>
      <c r="Z532" s="166">
        <v>68494</v>
      </c>
      <c r="AA532" s="166">
        <v>16304</v>
      </c>
      <c r="AB532" s="166">
        <v>122571</v>
      </c>
      <c r="AC532" s="166">
        <v>787</v>
      </c>
      <c r="AD532" s="166">
        <v>3</v>
      </c>
      <c r="AE532" s="166">
        <v>9361</v>
      </c>
      <c r="AF532" s="166">
        <v>239</v>
      </c>
      <c r="AG532" s="166">
        <v>37</v>
      </c>
      <c r="AH532" s="165">
        <v>10</v>
      </c>
      <c r="AI532" s="167">
        <v>1</v>
      </c>
    </row>
    <row r="533">
      <c r="A533" s="149"/>
      <c r="B533" s="178" t="s">
        <v>112</v>
      </c>
      <c r="C533" s="178"/>
      <c r="D533" s="179">
        <f>SUM(D529:D532)</f>
      </c>
      <c r="E533" s="180">
        <f>SUM(E529:E532)</f>
      </c>
      <c r="F533" s="181">
        <f t="shared" si="442"/>
      </c>
      <c r="G533" s="182">
        <f>SUM(G529:G532)</f>
      </c>
      <c r="H533" s="183">
        <f t="shared" si="472"/>
      </c>
      <c r="I533" s="184">
        <f t="shared" si="382"/>
      </c>
      <c r="J533" s="185">
        <f t="shared" si="412"/>
      </c>
      <c r="K533" s="181">
        <f t="shared" si="322"/>
      </c>
      <c r="L533" s="186">
        <f t="shared" si="352"/>
      </c>
      <c r="M533" s="185">
        <f t="shared" si="232"/>
      </c>
      <c r="N533" s="187">
        <f t="shared" si="262"/>
      </c>
      <c r="O533" s="187">
        <f t="shared" si="292"/>
      </c>
      <c r="P533" s="187">
        <f t="shared" si="172"/>
      </c>
      <c r="Q533" s="187">
        <f t="shared" si="202"/>
      </c>
      <c r="R533" s="185">
        <f t="shared" si="112"/>
      </c>
      <c r="S533" s="181">
        <f t="shared" si="142"/>
      </c>
      <c r="T533" s="187">
        <f t="shared" si="52"/>
      </c>
      <c r="U533" s="187">
        <f t="shared" si="82"/>
      </c>
      <c r="V533" s="187">
        <f t="shared" si="502"/>
      </c>
      <c r="W533" s="187">
        <f t="shared" si="22"/>
      </c>
      <c r="X533" s="187"/>
      <c r="Y533" s="188"/>
      <c r="Z533" s="179">
        <f>SUM(Z529:Z532)</f>
      </c>
      <c r="AA533" s="179">
        <f>SUM(AA529:AA532)</f>
      </c>
      <c r="AB533" s="179">
        <f>SUM(AB529:AB532)</f>
      </c>
      <c r="AC533" s="179">
        <f>SUM(AC529:AC532)</f>
      </c>
      <c r="AD533" s="179">
        <f>SUM(AD529:AD532)</f>
      </c>
      <c r="AE533" s="179">
        <f>SUM(AE529:AE532)</f>
      </c>
      <c r="AF533" s="179">
        <f>SUM(AF529:AF532)</f>
      </c>
      <c r="AG533" s="179">
        <f>SUM(AG529:AG532)</f>
      </c>
      <c r="AH533" s="179">
        <f>SUM(AH529:AH532)</f>
      </c>
      <c r="AI533" s="179">
        <f>SUM(AI529:AI532)</f>
      </c>
    </row>
    <row r="534">
      <c r="A534" s="149"/>
      <c r="B534" s="150" t="s">
        <v>124</v>
      </c>
      <c r="C534" s="197" t="s">
        <v>117</v>
      </c>
      <c r="D534" s="171">
        <v>1648.123</v>
      </c>
      <c r="E534" s="172">
        <v>6</v>
      </c>
      <c r="F534" s="154">
        <f t="shared" si="442"/>
      </c>
      <c r="G534" s="172">
        <v>3168</v>
      </c>
      <c r="H534" s="156">
        <f t="shared" si="472"/>
      </c>
      <c r="I534" s="157">
        <f t="shared" si="382"/>
      </c>
      <c r="J534" s="158">
        <f t="shared" si="412"/>
      </c>
      <c r="K534" s="159">
        <f t="shared" si="322"/>
      </c>
      <c r="L534" s="174">
        <f t="shared" si="352"/>
      </c>
      <c r="M534" s="175">
        <f t="shared" si="232"/>
      </c>
      <c r="N534" s="176">
        <f t="shared" si="262"/>
      </c>
      <c r="O534" s="176">
        <f t="shared" si="292"/>
      </c>
      <c r="P534" s="176">
        <f t="shared" si="172"/>
      </c>
      <c r="Q534" s="176">
        <f t="shared" si="202"/>
      </c>
      <c r="R534" s="175">
        <f t="shared" si="112"/>
      </c>
      <c r="S534" s="177">
        <f t="shared" si="142"/>
      </c>
      <c r="T534" s="176">
        <f t="shared" si="52"/>
      </c>
      <c r="U534" s="176">
        <f t="shared" si="82"/>
      </c>
      <c r="V534" s="176">
        <f t="shared" si="502"/>
      </c>
      <c r="W534" s="176">
        <f t="shared" si="22"/>
      </c>
      <c r="X534" s="197" t="s">
        <v>142</v>
      </c>
      <c r="Y534" s="163" t="s">
        <v>137</v>
      </c>
      <c r="Z534" s="166">
        <v>74587</v>
      </c>
      <c r="AA534" s="166">
        <v>19472</v>
      </c>
      <c r="AB534" s="166">
        <v>121395</v>
      </c>
      <c r="AC534" s="166">
        <v>770</v>
      </c>
      <c r="AD534" s="166">
        <v>7</v>
      </c>
      <c r="AE534" s="166">
        <v>10358</v>
      </c>
      <c r="AF534" s="166">
        <v>224</v>
      </c>
      <c r="AG534" s="166">
        <v>33</v>
      </c>
      <c r="AH534" s="165">
        <v>8</v>
      </c>
      <c r="AI534" s="167">
        <v>0</v>
      </c>
    </row>
    <row r="535">
      <c r="A535" s="149"/>
      <c r="B535" s="150" t="s">
        <v>124</v>
      </c>
      <c r="C535" s="194" t="s">
        <v>119</v>
      </c>
      <c r="D535" s="195">
        <v>1900.622</v>
      </c>
      <c r="E535" s="172">
        <v>6</v>
      </c>
      <c r="F535" s="154">
        <f t="shared" si="442"/>
      </c>
      <c r="G535" s="172">
        <v>1876</v>
      </c>
      <c r="H535" s="156">
        <f t="shared" si="472"/>
      </c>
      <c r="I535" s="157">
        <f t="shared" si="382"/>
      </c>
      <c r="J535" s="158">
        <f t="shared" si="412"/>
      </c>
      <c r="K535" s="159">
        <f t="shared" si="322"/>
      </c>
      <c r="L535" s="174">
        <f t="shared" si="352"/>
      </c>
      <c r="M535" s="175">
        <f t="shared" si="232"/>
      </c>
      <c r="N535" s="176">
        <f t="shared" si="262"/>
      </c>
      <c r="O535" s="176">
        <f t="shared" si="292"/>
      </c>
      <c r="P535" s="176">
        <f t="shared" si="172"/>
      </c>
      <c r="Q535" s="176">
        <f t="shared" si="202"/>
      </c>
      <c r="R535" s="175">
        <f t="shared" si="112"/>
      </c>
      <c r="S535" s="177">
        <f t="shared" si="142"/>
      </c>
      <c r="T535" s="176">
        <f t="shared" si="52"/>
      </c>
      <c r="U535" s="176">
        <f t="shared" si="82"/>
      </c>
      <c r="V535" s="176">
        <f t="shared" si="502"/>
      </c>
      <c r="W535" s="176">
        <f t="shared" si="22"/>
      </c>
      <c r="X535" s="197" t="s">
        <v>142</v>
      </c>
      <c r="Y535" s="163" t="s">
        <v>120</v>
      </c>
      <c r="Z535" s="166">
        <v>80192</v>
      </c>
      <c r="AA535" s="166">
        <v>20188</v>
      </c>
      <c r="AB535" s="166">
        <v>132590</v>
      </c>
      <c r="AC535" s="166">
        <v>801</v>
      </c>
      <c r="AD535" s="166">
        <v>5</v>
      </c>
      <c r="AE535" s="166">
        <v>11562</v>
      </c>
      <c r="AF535" s="166">
        <v>187</v>
      </c>
      <c r="AG535" s="166">
        <v>31</v>
      </c>
      <c r="AH535" s="165">
        <v>6</v>
      </c>
      <c r="AI535" s="167">
        <v>1</v>
      </c>
    </row>
    <row r="536">
      <c r="A536" s="149"/>
      <c r="B536" s="150" t="s">
        <v>124</v>
      </c>
      <c r="C536" s="194" t="s">
        <v>121</v>
      </c>
      <c r="D536" s="195">
        <v>1890.564</v>
      </c>
      <c r="E536" s="172">
        <v>10</v>
      </c>
      <c r="F536" s="154">
        <f t="shared" si="442"/>
      </c>
      <c r="G536" s="172">
        <v>3398.4000000000015</v>
      </c>
      <c r="H536" s="156">
        <f t="shared" si="472"/>
      </c>
      <c r="I536" s="157">
        <f t="shared" si="382"/>
      </c>
      <c r="J536" s="158">
        <f t="shared" si="412"/>
      </c>
      <c r="K536" s="159">
        <f t="shared" si="322"/>
      </c>
      <c r="L536" s="174">
        <f t="shared" si="352"/>
      </c>
      <c r="M536" s="175">
        <f t="shared" si="232"/>
      </c>
      <c r="N536" s="176">
        <f t="shared" si="262"/>
      </c>
      <c r="O536" s="176">
        <f t="shared" si="292"/>
      </c>
      <c r="P536" s="176">
        <f t="shared" si="172"/>
      </c>
      <c r="Q536" s="176">
        <f t="shared" si="202"/>
      </c>
      <c r="R536" s="175">
        <f t="shared" si="112"/>
      </c>
      <c r="S536" s="177">
        <f t="shared" si="142"/>
      </c>
      <c r="T536" s="176">
        <f t="shared" si="52"/>
      </c>
      <c r="U536" s="176">
        <f t="shared" si="82"/>
      </c>
      <c r="V536" s="176">
        <f t="shared" si="502"/>
      </c>
      <c r="W536" s="176">
        <f t="shared" si="22"/>
      </c>
      <c r="X536" s="197" t="s">
        <v>142</v>
      </c>
      <c r="Y536" s="163" t="s">
        <v>120</v>
      </c>
      <c r="Z536" s="166">
        <v>89020</v>
      </c>
      <c r="AA536" s="166">
        <v>22579</v>
      </c>
      <c r="AB536" s="166">
        <v>134096</v>
      </c>
      <c r="AC536" s="166">
        <v>876</v>
      </c>
      <c r="AD536" s="166">
        <v>5</v>
      </c>
      <c r="AE536" s="166">
        <v>12728</v>
      </c>
      <c r="AF536" s="166">
        <v>242</v>
      </c>
      <c r="AG536" s="166">
        <v>36</v>
      </c>
      <c r="AH536" s="165">
        <v>4</v>
      </c>
      <c r="AI536" s="167">
        <v>1</v>
      </c>
    </row>
    <row r="537">
      <c r="A537" s="149"/>
      <c r="B537" s="150" t="s">
        <v>124</v>
      </c>
      <c r="C537" s="196" t="s">
        <v>122</v>
      </c>
      <c r="D537" s="195">
        <v>2114.27</v>
      </c>
      <c r="E537" s="172">
        <v>3</v>
      </c>
      <c r="F537" s="154">
        <f t="shared" si="442"/>
      </c>
      <c r="G537" s="172">
        <v>641.1999999999971</v>
      </c>
      <c r="H537" s="156">
        <f t="shared" si="472"/>
      </c>
      <c r="I537" s="157">
        <f t="shared" si="382"/>
      </c>
      <c r="J537" s="158">
        <f t="shared" si="412"/>
      </c>
      <c r="K537" s="159">
        <f t="shared" si="322"/>
      </c>
      <c r="L537" s="174">
        <f t="shared" si="352"/>
      </c>
      <c r="M537" s="175">
        <f t="shared" si="232"/>
      </c>
      <c r="N537" s="176">
        <f t="shared" si="262"/>
      </c>
      <c r="O537" s="176">
        <f t="shared" si="292"/>
      </c>
      <c r="P537" s="176">
        <f t="shared" si="172"/>
      </c>
      <c r="Q537" s="176">
        <f t="shared" si="202"/>
      </c>
      <c r="R537" s="175">
        <f t="shared" si="112"/>
      </c>
      <c r="S537" s="177">
        <f t="shared" si="142"/>
      </c>
      <c r="T537" s="176">
        <f t="shared" si="52"/>
      </c>
      <c r="U537" s="176">
        <f t="shared" si="82"/>
      </c>
      <c r="V537" s="176">
        <f t="shared" si="502"/>
      </c>
      <c r="W537" s="176">
        <f t="shared" si="22"/>
      </c>
      <c r="X537" s="169" t="s">
        <v>142</v>
      </c>
      <c r="Y537" s="163" t="s">
        <v>120</v>
      </c>
      <c r="Z537" s="166">
        <v>108897</v>
      </c>
      <c r="AA537" s="166">
        <v>24927</v>
      </c>
      <c r="AB537" s="166">
        <v>167334</v>
      </c>
      <c r="AC537" s="166">
        <v>895</v>
      </c>
      <c r="AD537" s="166">
        <v>5</v>
      </c>
      <c r="AE537" s="166">
        <v>13583</v>
      </c>
      <c r="AF537" s="166">
        <v>223</v>
      </c>
      <c r="AG537" s="166">
        <v>41</v>
      </c>
      <c r="AH537" s="165">
        <v>8</v>
      </c>
      <c r="AI537" s="167">
        <v>0</v>
      </c>
    </row>
    <row r="538">
      <c r="A538" s="149"/>
      <c r="B538" s="178" t="s">
        <v>112</v>
      </c>
      <c r="C538" s="178"/>
      <c r="D538" s="179">
        <f>SUM(D534:D537)</f>
      </c>
      <c r="E538" s="180">
        <f>SUM(E534:E537)</f>
      </c>
      <c r="F538" s="181">
        <f t="shared" si="442"/>
      </c>
      <c r="G538" s="182">
        <f>SUM(G534:G537)</f>
      </c>
      <c r="H538" s="183">
        <f t="shared" si="472"/>
      </c>
      <c r="I538" s="184">
        <f t="shared" si="382"/>
      </c>
      <c r="J538" s="185">
        <f t="shared" si="412"/>
      </c>
      <c r="K538" s="181">
        <f t="shared" si="322"/>
      </c>
      <c r="L538" s="186">
        <f t="shared" si="352"/>
      </c>
      <c r="M538" s="185">
        <f t="shared" si="232"/>
      </c>
      <c r="N538" s="187">
        <f t="shared" si="262"/>
      </c>
      <c r="O538" s="187">
        <f t="shared" si="292"/>
      </c>
      <c r="P538" s="187">
        <f t="shared" si="172"/>
      </c>
      <c r="Q538" s="187">
        <f t="shared" si="202"/>
      </c>
      <c r="R538" s="185">
        <f t="shared" si="112"/>
      </c>
      <c r="S538" s="181">
        <f t="shared" si="142"/>
      </c>
      <c r="T538" s="187">
        <f t="shared" si="52"/>
      </c>
      <c r="U538" s="187">
        <f t="shared" si="82"/>
      </c>
      <c r="V538" s="187">
        <f t="shared" si="502"/>
      </c>
      <c r="W538" s="187">
        <f t="shared" si="22"/>
      </c>
      <c r="X538" s="187"/>
      <c r="Y538" s="188"/>
      <c r="Z538" s="179">
        <f>SUM(Z534:Z537)</f>
      </c>
      <c r="AA538" s="179">
        <f>SUM(AA534:AA537)</f>
      </c>
      <c r="AB538" s="179">
        <f>SUM(AB534:AB537)</f>
      </c>
      <c r="AC538" s="179">
        <f>SUM(AC534:AC537)</f>
      </c>
      <c r="AD538" s="179">
        <f>SUM(AD534:AD537)</f>
      </c>
      <c r="AE538" s="179">
        <f>SUM(AE534:AE537)</f>
      </c>
      <c r="AF538" s="179">
        <f>SUM(AF534:AF537)</f>
      </c>
      <c r="AG538" s="179">
        <f>SUM(AG534:AG537)</f>
      </c>
      <c r="AH538" s="179">
        <f>SUM(AH534:AH537)</f>
      </c>
      <c r="AI538" s="179">
        <f>SUM(AI534:AI537)</f>
      </c>
    </row>
    <row r="539">
      <c r="A539" s="149"/>
      <c r="B539" s="150" t="s">
        <v>130</v>
      </c>
      <c r="C539" s="197" t="s">
        <v>123</v>
      </c>
      <c r="D539" s="198">
        <v>2690.7760000000003</v>
      </c>
      <c r="E539" s="153">
        <v>8</v>
      </c>
      <c r="F539" s="154">
        <f t="shared" si="442"/>
      </c>
      <c r="G539" s="155">
        <v>3585.600000000002</v>
      </c>
      <c r="H539" s="156">
        <f t="shared" si="472"/>
      </c>
      <c r="I539" s="157">
        <f t="shared" si="382"/>
      </c>
      <c r="J539" s="158">
        <f t="shared" si="412"/>
      </c>
      <c r="K539" s="159">
        <f t="shared" si="322"/>
      </c>
      <c r="L539" s="174">
        <f t="shared" si="352"/>
      </c>
      <c r="M539" s="175">
        <f t="shared" si="232"/>
      </c>
      <c r="N539" s="176">
        <f t="shared" si="262"/>
      </c>
      <c r="O539" s="176">
        <f t="shared" si="292"/>
      </c>
      <c r="P539" s="176">
        <f t="shared" si="172"/>
      </c>
      <c r="Q539" s="176">
        <f t="shared" si="202"/>
      </c>
      <c r="R539" s="175">
        <f t="shared" si="112"/>
      </c>
      <c r="S539" s="177">
        <f t="shared" si="142"/>
      </c>
      <c r="T539" s="176">
        <f t="shared" si="52"/>
      </c>
      <c r="U539" s="176">
        <f t="shared" si="82"/>
      </c>
      <c r="V539" s="176">
        <f t="shared" si="502"/>
      </c>
      <c r="W539" s="176">
        <f t="shared" si="22"/>
      </c>
      <c r="X539" s="169" t="s">
        <v>142</v>
      </c>
      <c r="Y539" s="163" t="s">
        <v>120</v>
      </c>
      <c r="Z539" s="166">
        <v>124467</v>
      </c>
      <c r="AA539" s="166">
        <v>24860</v>
      </c>
      <c r="AB539" s="166">
        <v>227091</v>
      </c>
      <c r="AC539" s="199">
        <v>951</v>
      </c>
      <c r="AD539" s="199">
        <v>7</v>
      </c>
      <c r="AE539" s="199">
        <v>14111</v>
      </c>
      <c r="AF539" s="199">
        <v>274</v>
      </c>
      <c r="AG539" s="199">
        <v>47</v>
      </c>
      <c r="AH539" s="199">
        <v>14</v>
      </c>
      <c r="AI539" s="167">
        <v>1</v>
      </c>
    </row>
    <row r="540">
      <c r="A540" s="149"/>
      <c r="B540" s="150" t="s">
        <v>130</v>
      </c>
      <c r="C540" s="194" t="s">
        <v>125</v>
      </c>
      <c r="D540" s="198">
        <v>2570.912</v>
      </c>
      <c r="E540" s="153">
        <v>3</v>
      </c>
      <c r="F540" s="154">
        <f t="shared" si="442"/>
      </c>
      <c r="G540" s="155">
        <v>1284</v>
      </c>
      <c r="H540" s="156">
        <f t="shared" si="472"/>
      </c>
      <c r="I540" s="157">
        <f t="shared" si="382"/>
      </c>
      <c r="J540" s="158">
        <f t="shared" si="412"/>
      </c>
      <c r="K540" s="159">
        <f t="shared" si="322"/>
      </c>
      <c r="L540" s="174">
        <f t="shared" si="352"/>
      </c>
      <c r="M540" s="175">
        <f t="shared" si="232"/>
      </c>
      <c r="N540" s="176">
        <f t="shared" si="262"/>
      </c>
      <c r="O540" s="176">
        <f t="shared" si="292"/>
      </c>
      <c r="P540" s="176">
        <f t="shared" si="172"/>
      </c>
      <c r="Q540" s="176">
        <f t="shared" si="202"/>
      </c>
      <c r="R540" s="175">
        <f t="shared" si="112"/>
      </c>
      <c r="S540" s="177">
        <f t="shared" si="142"/>
      </c>
      <c r="T540" s="176">
        <f t="shared" si="52"/>
      </c>
      <c r="U540" s="176">
        <f t="shared" si="82"/>
      </c>
      <c r="V540" s="176">
        <f t="shared" si="502"/>
      </c>
      <c r="W540" s="176">
        <f t="shared" si="22"/>
      </c>
      <c r="X540" s="169" t="s">
        <v>142</v>
      </c>
      <c r="Y540" s="163" t="s">
        <v>120</v>
      </c>
      <c r="Z540" s="166">
        <v>117669</v>
      </c>
      <c r="AA540" s="166">
        <v>25787</v>
      </c>
      <c r="AB540" s="166">
        <v>234965</v>
      </c>
      <c r="AC540" s="199">
        <v>1093</v>
      </c>
      <c r="AD540" s="199">
        <v>3</v>
      </c>
      <c r="AE540" s="199">
        <v>14060</v>
      </c>
      <c r="AF540" s="199">
        <v>247</v>
      </c>
      <c r="AG540" s="199">
        <v>40</v>
      </c>
      <c r="AH540" s="199">
        <v>14</v>
      </c>
      <c r="AI540" s="167">
        <v>0</v>
      </c>
    </row>
    <row r="541">
      <c r="A541" s="149"/>
      <c r="B541" s="150" t="s">
        <v>130</v>
      </c>
      <c r="C541" s="194" t="s">
        <v>126</v>
      </c>
      <c r="D541" s="171">
        <v>986.05</v>
      </c>
      <c r="E541" s="172">
        <v>4</v>
      </c>
      <c r="F541" s="154">
        <f t="shared" si="442"/>
      </c>
      <c r="G541" s="172">
        <v>1501.2000000000007</v>
      </c>
      <c r="H541" s="156">
        <f t="shared" si="472"/>
      </c>
      <c r="I541" s="157">
        <f t="shared" si="382"/>
      </c>
      <c r="J541" s="158">
        <f t="shared" si="412"/>
      </c>
      <c r="K541" s="159">
        <f t="shared" si="322"/>
      </c>
      <c r="L541" s="174">
        <f t="shared" si="352"/>
      </c>
      <c r="M541" s="175">
        <f t="shared" si="232"/>
      </c>
      <c r="N541" s="176">
        <f t="shared" si="262"/>
      </c>
      <c r="O541" s="176">
        <f t="shared" si="292"/>
      </c>
      <c r="P541" s="176">
        <f t="shared" si="172"/>
      </c>
      <c r="Q541" s="176">
        <f t="shared" si="202"/>
      </c>
      <c r="R541" s="175">
        <f t="shared" si="112"/>
      </c>
      <c r="S541" s="177">
        <f t="shared" si="142"/>
      </c>
      <c r="T541" s="176">
        <f t="shared" si="52"/>
      </c>
      <c r="U541" s="176">
        <f t="shared" si="82"/>
      </c>
      <c r="V541" s="176">
        <f t="shared" si="502"/>
      </c>
      <c r="W541" s="176">
        <f t="shared" si="22"/>
      </c>
      <c r="X541" s="169" t="s">
        <v>142</v>
      </c>
      <c r="Y541" s="163" t="s">
        <v>120</v>
      </c>
      <c r="Z541" s="166">
        <v>39518</v>
      </c>
      <c r="AA541" s="166">
        <v>7285</v>
      </c>
      <c r="AB541" s="166">
        <v>69496</v>
      </c>
      <c r="AC541" s="166">
        <v>418</v>
      </c>
      <c r="AD541" s="166">
        <v>3</v>
      </c>
      <c r="AE541" s="166">
        <v>3817</v>
      </c>
      <c r="AF541" s="166">
        <v>78</v>
      </c>
      <c r="AG541" s="166">
        <v>14</v>
      </c>
      <c r="AH541" s="165">
        <v>7</v>
      </c>
      <c r="AI541" s="167">
        <v>1</v>
      </c>
    </row>
    <row r="542">
      <c r="A542" s="149"/>
      <c r="B542" s="150" t="s">
        <v>130</v>
      </c>
      <c r="C542" s="196" t="s">
        <v>127</v>
      </c>
      <c r="D542" s="195">
        <v>1160.055</v>
      </c>
      <c r="E542" s="172">
        <v>6</v>
      </c>
      <c r="F542" s="154">
        <f t="shared" si="442"/>
      </c>
      <c r="G542" s="172">
        <v>1821.0999999999985</v>
      </c>
      <c r="H542" s="156">
        <f t="shared" si="472"/>
      </c>
      <c r="I542" s="157">
        <f t="shared" si="382"/>
      </c>
      <c r="J542" s="158">
        <f t="shared" si="412"/>
      </c>
      <c r="K542" s="159">
        <f t="shared" si="322"/>
      </c>
      <c r="L542" s="174">
        <f t="shared" si="352"/>
      </c>
      <c r="M542" s="175">
        <f t="shared" si="232"/>
      </c>
      <c r="N542" s="176">
        <f t="shared" si="262"/>
      </c>
      <c r="O542" s="176">
        <f t="shared" si="292"/>
      </c>
      <c r="P542" s="176">
        <f t="shared" si="172"/>
      </c>
      <c r="Q542" s="176">
        <f t="shared" si="202"/>
      </c>
      <c r="R542" s="175">
        <f t="shared" si="112"/>
      </c>
      <c r="S542" s="177">
        <f t="shared" si="142"/>
      </c>
      <c r="T542" s="176">
        <f t="shared" si="52"/>
      </c>
      <c r="U542" s="176">
        <f t="shared" si="82"/>
      </c>
      <c r="V542" s="176">
        <f t="shared" si="502"/>
      </c>
      <c r="W542" s="176">
        <f t="shared" si="22"/>
      </c>
      <c r="X542" s="169" t="s">
        <v>142</v>
      </c>
      <c r="Y542" s="163" t="s">
        <v>120</v>
      </c>
      <c r="Z542" s="166">
        <v>40698</v>
      </c>
      <c r="AA542" s="166">
        <v>5541</v>
      </c>
      <c r="AB542" s="166">
        <v>85837</v>
      </c>
      <c r="AC542" s="166">
        <v>365</v>
      </c>
      <c r="AD542" s="166">
        <v>5</v>
      </c>
      <c r="AE542" s="166">
        <v>3593</v>
      </c>
      <c r="AF542" s="166">
        <v>84</v>
      </c>
      <c r="AG542" s="166">
        <v>7</v>
      </c>
      <c r="AH542" s="165">
        <v>2</v>
      </c>
      <c r="AI542" s="167">
        <v>1</v>
      </c>
    </row>
    <row r="543">
      <c r="A543" s="149"/>
      <c r="B543" s="150" t="s">
        <v>130</v>
      </c>
      <c r="C543" s="194" t="s">
        <v>128</v>
      </c>
      <c r="D543" s="195">
        <f>2002.956+0.17+0.745</f>
      </c>
      <c r="E543" s="172">
        <v>2</v>
      </c>
      <c r="F543" s="154">
        <f t="shared" si="442"/>
      </c>
      <c r="G543" s="172">
        <v>382.40000000000146</v>
      </c>
      <c r="H543" s="156">
        <f t="shared" si="472"/>
      </c>
      <c r="I543" s="157">
        <f t="shared" si="382"/>
      </c>
      <c r="J543" s="158">
        <f t="shared" si="412"/>
      </c>
      <c r="K543" s="159">
        <f t="shared" si="322"/>
      </c>
      <c r="L543" s="174">
        <f t="shared" si="352"/>
      </c>
      <c r="M543" s="175">
        <f t="shared" si="232"/>
      </c>
      <c r="N543" s="176">
        <f t="shared" si="262"/>
      </c>
      <c r="O543" s="176">
        <f t="shared" si="292"/>
      </c>
      <c r="P543" s="176">
        <f t="shared" si="172"/>
      </c>
      <c r="Q543" s="176">
        <f t="shared" si="202"/>
      </c>
      <c r="R543" s="175">
        <f t="shared" si="112"/>
      </c>
      <c r="S543" s="177">
        <f t="shared" si="142"/>
      </c>
      <c r="T543" s="176">
        <f t="shared" si="52"/>
      </c>
      <c r="U543" s="176">
        <f t="shared" si="82"/>
      </c>
      <c r="V543" s="176">
        <f t="shared" si="502"/>
      </c>
      <c r="W543" s="176">
        <f t="shared" si="22"/>
      </c>
      <c r="X543" s="169" t="s">
        <v>142</v>
      </c>
      <c r="Y543" s="163" t="s">
        <v>120</v>
      </c>
      <c r="Z543" s="166">
        <v>61894</v>
      </c>
      <c r="AA543" s="166">
        <v>8704</v>
      </c>
      <c r="AB543" s="166">
        <v>139516</v>
      </c>
      <c r="AC543" s="166">
        <v>458</v>
      </c>
      <c r="AD543" s="166">
        <v>1</v>
      </c>
      <c r="AE543" s="166">
        <v>6661</v>
      </c>
      <c r="AF543" s="166">
        <v>79</v>
      </c>
      <c r="AG543" s="166">
        <v>23</v>
      </c>
      <c r="AH543" s="165">
        <v>6</v>
      </c>
      <c r="AI543" s="167">
        <v>1</v>
      </c>
    </row>
    <row r="544">
      <c r="A544" s="149"/>
      <c r="B544" s="178" t="s">
        <v>112</v>
      </c>
      <c r="C544" s="178"/>
      <c r="D544" s="179">
        <f>SUM(D539:D543)</f>
      </c>
      <c r="E544" s="180">
        <f>SUM(E539:E543)</f>
      </c>
      <c r="F544" s="181">
        <f t="shared" si="442"/>
      </c>
      <c r="G544" s="182">
        <f>SUM(G539:G543)</f>
      </c>
      <c r="H544" s="183">
        <f t="shared" si="472"/>
      </c>
      <c r="I544" s="184">
        <f t="shared" si="382"/>
      </c>
      <c r="J544" s="185">
        <f t="shared" si="412"/>
      </c>
      <c r="K544" s="181">
        <f t="shared" si="322"/>
      </c>
      <c r="L544" s="186">
        <f t="shared" si="352"/>
      </c>
      <c r="M544" s="185">
        <f t="shared" si="232"/>
      </c>
      <c r="N544" s="187">
        <f t="shared" si="262"/>
      </c>
      <c r="O544" s="187">
        <f t="shared" si="292"/>
      </c>
      <c r="P544" s="187">
        <f t="shared" si="172"/>
      </c>
      <c r="Q544" s="187">
        <f t="shared" si="202"/>
      </c>
      <c r="R544" s="185">
        <f t="shared" si="112"/>
      </c>
      <c r="S544" s="181">
        <f t="shared" si="142"/>
      </c>
      <c r="T544" s="187">
        <f t="shared" si="52"/>
      </c>
      <c r="U544" s="187">
        <f t="shared" si="82"/>
      </c>
      <c r="V544" s="187">
        <f t="shared" si="502"/>
      </c>
      <c r="W544" s="187">
        <f t="shared" si="22"/>
      </c>
      <c r="X544" s="187"/>
      <c r="Y544" s="188"/>
      <c r="Z544" s="179">
        <f>SUM(Z539:Z543)</f>
      </c>
      <c r="AA544" s="179">
        <f>SUM(AA539:AA543)</f>
      </c>
      <c r="AB544" s="179">
        <f>SUM(AB539:AB543)</f>
      </c>
      <c r="AC544" s="179">
        <f>SUM(AC539:AC543)</f>
      </c>
      <c r="AD544" s="179">
        <f>SUM(AD539:AD543)</f>
      </c>
      <c r="AE544" s="179">
        <f>SUM(AE539:AE543)</f>
      </c>
      <c r="AF544" s="179">
        <f>SUM(AF539:AF543)</f>
      </c>
      <c r="AG544" s="179">
        <f>SUM(AG539:AG543)</f>
      </c>
      <c r="AH544" s="179">
        <f>SUM(AH539:AH543)</f>
      </c>
      <c r="AI544" s="179">
        <f>SUM(AI539:AI543)</f>
      </c>
    </row>
    <row r="545">
      <c r="A545" s="149"/>
      <c r="B545" s="202" t="s">
        <v>129</v>
      </c>
      <c r="C545" s="202"/>
      <c r="D545" s="203">
        <f>SUM(D544+D528+D533+D538)</f>
      </c>
      <c r="E545" s="204">
        <f>SUM(E544+E528+E533+E538)</f>
      </c>
      <c r="F545" s="205">
        <f t="shared" si="442"/>
      </c>
      <c r="G545" s="206">
        <f>SUM(G544+G528+G533+G538)</f>
      </c>
      <c r="H545" s="207">
        <f t="shared" si="472"/>
      </c>
      <c r="I545" s="208">
        <f t="shared" si="382"/>
      </c>
      <c r="J545" s="209">
        <f t="shared" si="412"/>
      </c>
      <c r="K545" s="205">
        <f t="shared" si="322"/>
      </c>
      <c r="L545" s="210">
        <f t="shared" si="352"/>
      </c>
      <c r="M545" s="210">
        <f t="shared" si="232"/>
      </c>
      <c r="N545" s="211">
        <f t="shared" si="262"/>
      </c>
      <c r="O545" s="211">
        <f t="shared" si="292"/>
      </c>
      <c r="P545" s="211">
        <f t="shared" si="172"/>
      </c>
      <c r="Q545" s="211">
        <f t="shared" si="202"/>
      </c>
      <c r="R545" s="212">
        <f t="shared" si="112"/>
      </c>
      <c r="S545" s="213">
        <f t="shared" si="142"/>
      </c>
      <c r="T545" s="214">
        <f t="shared" si="52"/>
      </c>
      <c r="U545" s="214">
        <f t="shared" si="82"/>
      </c>
      <c r="V545" s="214">
        <f t="shared" si="502"/>
      </c>
      <c r="W545" s="214">
        <f t="shared" si="22"/>
      </c>
      <c r="X545" s="214"/>
      <c r="Y545" s="215"/>
      <c r="Z545" s="216">
        <f>SUM(Z528+Z544+Z533+Z538)</f>
      </c>
      <c r="AA545" s="216">
        <f>SUM(AA528+AA544+AA533+AA538)</f>
      </c>
      <c r="AB545" s="216">
        <f>SUM(AB528+AB544+AB533+AB538)</f>
      </c>
      <c r="AC545" s="216">
        <f>SUM(AC528+AC544+AC533+AC538)</f>
      </c>
      <c r="AD545" s="216">
        <f>SUM(AD528+AD544+AD533+AD538)</f>
      </c>
      <c r="AE545" s="216">
        <f>SUM(AE528+AE544+AE533+AE538)</f>
      </c>
      <c r="AF545" s="216">
        <f>SUM(AF528+AF544+AF533+AF538)</f>
      </c>
      <c r="AG545" s="216">
        <f>SUM(AG528+AG544+AG533+AG538)</f>
      </c>
      <c r="AH545" s="216">
        <f>SUM(AH528+AH544+AH533+AH538)</f>
      </c>
      <c r="AI545" s="216">
        <f>SUM(AI528+AI544+AI533+AI538)</f>
      </c>
    </row>
    <row r="546">
      <c r="A546" s="133" t="s">
        <v>70</v>
      </c>
      <c r="B546" s="134" t="s">
        <v>71</v>
      </c>
      <c r="C546" s="135" t="s">
        <v>72</v>
      </c>
      <c r="D546" s="136" t="s">
        <v>73</v>
      </c>
      <c r="E546" s="137" t="s">
        <v>74</v>
      </c>
      <c r="F546" s="138" t="s">
        <v>75</v>
      </c>
      <c r="G546" s="139" t="s">
        <v>76</v>
      </c>
      <c r="H546" s="138" t="s">
        <v>77</v>
      </c>
      <c r="I546" s="139" t="s">
        <v>78</v>
      </c>
      <c r="J546" s="140" t="s">
        <v>79</v>
      </c>
      <c r="K546" s="140" t="s">
        <v>80</v>
      </c>
      <c r="L546" s="141" t="s">
        <v>81</v>
      </c>
      <c r="M546" s="141" t="s">
        <v>82</v>
      </c>
      <c r="N546" s="141" t="s">
        <v>83</v>
      </c>
      <c r="O546" s="141" t="s">
        <v>84</v>
      </c>
      <c r="P546" s="141" t="s">
        <v>85</v>
      </c>
      <c r="Q546" s="141" t="s">
        <v>86</v>
      </c>
      <c r="R546" s="141" t="s">
        <v>87</v>
      </c>
      <c r="S546" s="141" t="s">
        <v>88</v>
      </c>
      <c r="T546" s="142" t="s">
        <v>89</v>
      </c>
      <c r="U546" s="142" t="s">
        <v>90</v>
      </c>
      <c r="V546" s="142" t="s">
        <v>91</v>
      </c>
      <c r="W546" s="142" t="s">
        <v>92</v>
      </c>
      <c r="X546" s="143" t="s">
        <v>93</v>
      </c>
      <c r="Y546" s="143" t="s">
        <v>94</v>
      </c>
      <c r="Z546" s="144" t="s">
        <v>95</v>
      </c>
      <c r="AA546" s="144" t="s">
        <v>96</v>
      </c>
      <c r="AB546" s="144" t="s">
        <v>97</v>
      </c>
      <c r="AC546" s="145" t="s">
        <v>98</v>
      </c>
      <c r="AD546" s="145" t="s">
        <v>99</v>
      </c>
      <c r="AE546" s="146" t="s">
        <v>100</v>
      </c>
      <c r="AF546" s="145" t="s">
        <v>101</v>
      </c>
      <c r="AG546" s="145" t="s">
        <v>102</v>
      </c>
      <c r="AH546" s="147" t="s">
        <v>103</v>
      </c>
      <c r="AI546" s="148" t="s">
        <v>104</v>
      </c>
    </row>
    <row r="547">
      <c r="A547" s="149">
        <v>46289</v>
      </c>
      <c r="B547" s="150" t="s">
        <v>105</v>
      </c>
      <c r="C547" s="151" t="s">
        <v>135</v>
      </c>
      <c r="D547" s="152">
        <v>869.702</v>
      </c>
      <c r="E547" s="153">
        <v>0</v>
      </c>
      <c r="F547" s="154">
        <f t="shared" ref="F547:F569" si="443">D547/E547</f>
      </c>
      <c r="G547" s="155">
        <v>0</v>
      </c>
      <c r="H547" s="156">
        <f t="shared" ref="H547:H569" si="473">AD547</f>
      </c>
      <c r="I547" s="157">
        <f t="shared" ref="I547:I569" si="383">D547/AD547</f>
      </c>
      <c r="J547" s="158">
        <f t="shared" ref="J547:J569" si="413">G547/E547</f>
      </c>
      <c r="K547" s="159">
        <f t="shared" ref="K547:K569" si="323">G547/D547</f>
      </c>
      <c r="L547" s="160">
        <f t="shared" ref="L547:L569" si="353">D547/AB547</f>
      </c>
      <c r="M547" s="158">
        <f t="shared" ref="M547:M569" si="233">D547/AC547</f>
      </c>
      <c r="N547" s="161">
        <f t="shared" ref="N547:N569" si="263">AC547/AB547</f>
      </c>
      <c r="O547" s="161">
        <f t="shared" ref="O547:O569" si="293">AD547/AC547</f>
      </c>
      <c r="P547" s="161">
        <f t="shared" ref="P547:P569" si="173">AA547/Z547</f>
      </c>
      <c r="Q547" s="161">
        <f t="shared" ref="Q547:Q569" si="203">AD547/AA547</f>
      </c>
      <c r="R547" s="158">
        <f t="shared" ref="R547:R569" si="113">D547/Z547*1000</f>
      </c>
      <c r="S547" s="159">
        <f t="shared" ref="S547:S569" si="143">D547/AA547</f>
      </c>
      <c r="T547" s="161">
        <f t="shared" ref="T547:T569" si="53">AE547/AB547</f>
      </c>
      <c r="U547" s="161">
        <f t="shared" ref="U547:U569" si="83">AF547/AB547</f>
      </c>
      <c r="V547" s="161">
        <f t="shared" ref="V547:V569" si="503">AG547/AB547</f>
      </c>
      <c r="W547" s="161">
        <f t="shared" ref="W547:W569" si="23">AH547/AB547</f>
      </c>
      <c r="X547" s="162" t="s">
        <v>107</v>
      </c>
      <c r="Y547" s="163" t="s">
        <v>132</v>
      </c>
      <c r="Z547" s="164">
        <v>20027</v>
      </c>
      <c r="AA547" s="164">
        <v>8085</v>
      </c>
      <c r="AB547" s="164">
        <v>33076</v>
      </c>
      <c r="AC547" s="164">
        <v>290</v>
      </c>
      <c r="AD547" s="165">
        <v>0</v>
      </c>
      <c r="AE547" s="164">
        <v>4717</v>
      </c>
      <c r="AF547" s="166">
        <v>110</v>
      </c>
      <c r="AG547" s="166">
        <v>10</v>
      </c>
      <c r="AH547" s="166">
        <v>4</v>
      </c>
      <c r="AI547" s="167">
        <v>0</v>
      </c>
    </row>
    <row r="548">
      <c r="A548" s="149"/>
      <c r="B548" s="150" t="s">
        <v>105</v>
      </c>
      <c r="C548" s="168" t="s">
        <v>136</v>
      </c>
      <c r="D548" s="152">
        <v>2076.254</v>
      </c>
      <c r="E548" s="153">
        <v>7</v>
      </c>
      <c r="F548" s="154">
        <f t="shared" si="443"/>
      </c>
      <c r="G548" s="155">
        <v>3332.7999999999997</v>
      </c>
      <c r="H548" s="156">
        <f t="shared" si="473"/>
      </c>
      <c r="I548" s="157">
        <f t="shared" si="383"/>
      </c>
      <c r="J548" s="158">
        <f t="shared" si="413"/>
      </c>
      <c r="K548" s="159">
        <f t="shared" si="323"/>
      </c>
      <c r="L548" s="160">
        <f t="shared" si="353"/>
      </c>
      <c r="M548" s="158">
        <f t="shared" si="233"/>
      </c>
      <c r="N548" s="161">
        <f t="shared" si="263"/>
      </c>
      <c r="O548" s="161">
        <f t="shared" si="293"/>
      </c>
      <c r="P548" s="161">
        <f t="shared" si="173"/>
      </c>
      <c r="Q548" s="161">
        <f t="shared" si="203"/>
      </c>
      <c r="R548" s="158">
        <f t="shared" si="113"/>
      </c>
      <c r="S548" s="159">
        <f t="shared" si="143"/>
      </c>
      <c r="T548" s="161">
        <f t="shared" si="53"/>
      </c>
      <c r="U548" s="161">
        <f t="shared" si="83"/>
      </c>
      <c r="V548" s="161">
        <f t="shared" si="503"/>
      </c>
      <c r="W548" s="161">
        <f t="shared" si="23"/>
      </c>
      <c r="X548" s="169" t="s">
        <v>107</v>
      </c>
      <c r="Y548" s="163" t="s">
        <v>132</v>
      </c>
      <c r="Z548" s="166">
        <v>44429</v>
      </c>
      <c r="AA548" s="164">
        <v>15560</v>
      </c>
      <c r="AB548" s="164">
        <v>87389</v>
      </c>
      <c r="AC548" s="164">
        <v>519</v>
      </c>
      <c r="AD548" s="166">
        <v>6</v>
      </c>
      <c r="AE548" s="164">
        <v>10215</v>
      </c>
      <c r="AF548" s="166">
        <v>200</v>
      </c>
      <c r="AG548" s="166">
        <v>28</v>
      </c>
      <c r="AH548" s="165">
        <v>7</v>
      </c>
      <c r="AI548" s="167">
        <v>2</v>
      </c>
    </row>
    <row r="549">
      <c r="A549" s="149"/>
      <c r="B549" s="150" t="s">
        <v>105</v>
      </c>
      <c r="C549" s="170" t="s">
        <v>106</v>
      </c>
      <c r="D549" s="171">
        <v>2553.187</v>
      </c>
      <c r="E549" s="172">
        <v>14</v>
      </c>
      <c r="F549" s="154">
        <f t="shared" si="443"/>
      </c>
      <c r="G549" s="172">
        <v>7145.200000000001</v>
      </c>
      <c r="H549" s="156">
        <f t="shared" si="473"/>
      </c>
      <c r="I549" s="157">
        <f t="shared" si="383"/>
      </c>
      <c r="J549" s="158">
        <f t="shared" si="413"/>
      </c>
      <c r="K549" s="159">
        <f t="shared" si="323"/>
      </c>
      <c r="L549" s="160">
        <f t="shared" si="353"/>
      </c>
      <c r="M549" s="158">
        <f t="shared" si="233"/>
      </c>
      <c r="N549" s="161">
        <f t="shared" si="263"/>
      </c>
      <c r="O549" s="161">
        <f t="shared" si="293"/>
      </c>
      <c r="P549" s="161">
        <f t="shared" si="173"/>
      </c>
      <c r="Q549" s="161">
        <f t="shared" si="203"/>
      </c>
      <c r="R549" s="158">
        <f t="shared" si="113"/>
      </c>
      <c r="S549" s="159">
        <f t="shared" si="143"/>
      </c>
      <c r="T549" s="161">
        <f t="shared" si="53"/>
      </c>
      <c r="U549" s="161">
        <f t="shared" si="83"/>
      </c>
      <c r="V549" s="161">
        <f t="shared" si="503"/>
      </c>
      <c r="W549" s="161">
        <f t="shared" si="23"/>
      </c>
      <c r="X549" s="169" t="s">
        <v>107</v>
      </c>
      <c r="Y549" s="163" t="s">
        <v>132</v>
      </c>
      <c r="Z549" s="166">
        <v>54585</v>
      </c>
      <c r="AA549" s="166">
        <v>15470</v>
      </c>
      <c r="AB549" s="166">
        <v>106606</v>
      </c>
      <c r="AC549" s="166">
        <v>672</v>
      </c>
      <c r="AD549" s="166">
        <v>11</v>
      </c>
      <c r="AE549" s="166">
        <v>10793</v>
      </c>
      <c r="AF549" s="166">
        <v>256</v>
      </c>
      <c r="AG549" s="166">
        <v>20</v>
      </c>
      <c r="AH549" s="166">
        <v>6</v>
      </c>
      <c r="AI549" s="167">
        <v>4</v>
      </c>
    </row>
    <row r="550">
      <c r="A550" s="149"/>
      <c r="B550" s="150" t="s">
        <v>105</v>
      </c>
      <c r="C550" s="173" t="s">
        <v>109</v>
      </c>
      <c r="D550" s="171">
        <v>2471.0919999999996</v>
      </c>
      <c r="E550" s="172">
        <v>14</v>
      </c>
      <c r="F550" s="154">
        <f t="shared" si="443"/>
      </c>
      <c r="G550" s="172">
        <v>6651.199999999997</v>
      </c>
      <c r="H550" s="156">
        <f t="shared" si="473"/>
      </c>
      <c r="I550" s="157">
        <f t="shared" si="383"/>
      </c>
      <c r="J550" s="158">
        <f t="shared" si="413"/>
      </c>
      <c r="K550" s="159">
        <f t="shared" si="323"/>
      </c>
      <c r="L550" s="174">
        <f t="shared" si="353"/>
      </c>
      <c r="M550" s="175">
        <f t="shared" si="233"/>
      </c>
      <c r="N550" s="176">
        <f t="shared" si="263"/>
      </c>
      <c r="O550" s="176">
        <f t="shared" si="293"/>
      </c>
      <c r="P550" s="176">
        <f t="shared" si="173"/>
      </c>
      <c r="Q550" s="176">
        <f t="shared" si="203"/>
      </c>
      <c r="R550" s="175">
        <f t="shared" si="113"/>
      </c>
      <c r="S550" s="177">
        <f t="shared" si="143"/>
      </c>
      <c r="T550" s="176">
        <f t="shared" si="53"/>
      </c>
      <c r="U550" s="176">
        <f t="shared" si="83"/>
      </c>
      <c r="V550" s="176">
        <f t="shared" si="503"/>
      </c>
      <c r="W550" s="176">
        <f t="shared" si="23"/>
      </c>
      <c r="X550" s="169" t="s">
        <v>107</v>
      </c>
      <c r="Y550" s="163" t="s">
        <v>132</v>
      </c>
      <c r="Z550" s="166">
        <v>49904</v>
      </c>
      <c r="AA550" s="166">
        <v>15039</v>
      </c>
      <c r="AB550" s="166">
        <v>86998</v>
      </c>
      <c r="AC550" s="166">
        <v>737</v>
      </c>
      <c r="AD550" s="166">
        <v>13</v>
      </c>
      <c r="AE550" s="166">
        <v>9144</v>
      </c>
      <c r="AF550" s="166">
        <v>278</v>
      </c>
      <c r="AG550" s="166">
        <v>22</v>
      </c>
      <c r="AH550" s="165">
        <v>10</v>
      </c>
      <c r="AI550" s="167">
        <v>1</v>
      </c>
    </row>
    <row r="551">
      <c r="A551" s="149"/>
      <c r="B551" s="150" t="s">
        <v>105</v>
      </c>
      <c r="C551" s="173" t="s">
        <v>110</v>
      </c>
      <c r="D551" s="195">
        <v>3271.564</v>
      </c>
      <c r="E551" s="172">
        <v>9</v>
      </c>
      <c r="F551" s="154">
        <f t="shared" si="443"/>
      </c>
      <c r="G551" s="172">
        <v>2473.100000000002</v>
      </c>
      <c r="H551" s="156">
        <f t="shared" si="473"/>
      </c>
      <c r="I551" s="157">
        <f t="shared" si="383"/>
      </c>
      <c r="J551" s="158">
        <f t="shared" si="413"/>
      </c>
      <c r="K551" s="159">
        <f t="shared" si="323"/>
      </c>
      <c r="L551" s="174">
        <f t="shared" si="353"/>
      </c>
      <c r="M551" s="175">
        <f t="shared" si="233"/>
      </c>
      <c r="N551" s="176">
        <f t="shared" si="263"/>
      </c>
      <c r="O551" s="176">
        <f t="shared" si="293"/>
      </c>
      <c r="P551" s="176">
        <f t="shared" si="173"/>
      </c>
      <c r="Q551" s="176">
        <f t="shared" si="203"/>
      </c>
      <c r="R551" s="175">
        <f t="shared" si="113"/>
      </c>
      <c r="S551" s="177">
        <f t="shared" si="143"/>
      </c>
      <c r="T551" s="176">
        <f t="shared" si="53"/>
      </c>
      <c r="U551" s="176">
        <f t="shared" si="83"/>
      </c>
      <c r="V551" s="176">
        <f t="shared" si="503"/>
      </c>
      <c r="W551" s="176">
        <f t="shared" si="23"/>
      </c>
      <c r="X551" s="169" t="s">
        <v>107</v>
      </c>
      <c r="Y551" s="163" t="s">
        <v>132</v>
      </c>
      <c r="Z551" s="166">
        <v>63525</v>
      </c>
      <c r="AA551" s="166">
        <v>14623</v>
      </c>
      <c r="AB551" s="166">
        <v>125306</v>
      </c>
      <c r="AC551" s="166">
        <v>647</v>
      </c>
      <c r="AD551" s="166">
        <v>6</v>
      </c>
      <c r="AE551" s="166">
        <v>10338</v>
      </c>
      <c r="AF551" s="166">
        <v>262</v>
      </c>
      <c r="AG551" s="166">
        <v>19</v>
      </c>
      <c r="AH551" s="165">
        <v>6</v>
      </c>
      <c r="AI551" s="167">
        <v>5</v>
      </c>
    </row>
    <row r="552">
      <c r="A552" s="149"/>
      <c r="B552" s="178" t="s">
        <v>112</v>
      </c>
      <c r="C552" s="178"/>
      <c r="D552" s="179">
        <f>SUM(D547:D551)</f>
      </c>
      <c r="E552" s="180">
        <f>SUM(E547:E551)</f>
      </c>
      <c r="F552" s="181">
        <f t="shared" si="443"/>
      </c>
      <c r="G552" s="182">
        <f>SUM(G547:G551)</f>
      </c>
      <c r="H552" s="183">
        <f t="shared" si="473"/>
      </c>
      <c r="I552" s="184">
        <f t="shared" si="383"/>
      </c>
      <c r="J552" s="185">
        <f t="shared" si="413"/>
      </c>
      <c r="K552" s="181">
        <f t="shared" si="323"/>
      </c>
      <c r="L552" s="186">
        <f t="shared" si="353"/>
      </c>
      <c r="M552" s="185">
        <f t="shared" si="233"/>
      </c>
      <c r="N552" s="187">
        <f t="shared" si="263"/>
      </c>
      <c r="O552" s="187">
        <f t="shared" si="293"/>
      </c>
      <c r="P552" s="187">
        <f t="shared" si="173"/>
      </c>
      <c r="Q552" s="187">
        <f t="shared" si="203"/>
      </c>
      <c r="R552" s="185">
        <f t="shared" si="113"/>
      </c>
      <c r="S552" s="181">
        <f t="shared" si="143"/>
      </c>
      <c r="T552" s="187">
        <f t="shared" si="53"/>
      </c>
      <c r="U552" s="187">
        <f t="shared" si="83"/>
      </c>
      <c r="V552" s="187">
        <f t="shared" si="503"/>
      </c>
      <c r="W552" s="187">
        <f t="shared" si="23"/>
      </c>
      <c r="X552" s="187"/>
      <c r="Y552" s="188"/>
      <c r="Z552" s="179">
        <f>SUM(Z547:Z551)</f>
      </c>
      <c r="AA552" s="179">
        <f>SUM(AA547:AA551)</f>
      </c>
      <c r="AB552" s="179">
        <f>SUM(AB547:AB551)</f>
      </c>
      <c r="AC552" s="179">
        <f>SUM(AC547:AC551)</f>
      </c>
      <c r="AD552" s="179">
        <f>SUM(AD547:AD551)</f>
      </c>
      <c r="AE552" s="179">
        <f>SUM(AE547:AE551)</f>
      </c>
      <c r="AF552" s="179">
        <f>SUM(AF547:AF551)</f>
      </c>
      <c r="AG552" s="179">
        <f>SUM(AG547:AG551)</f>
      </c>
      <c r="AH552" s="179">
        <f>SUM(AH547:AH551)</f>
      </c>
      <c r="AI552" s="179">
        <f>SUM(AI547:AI551)</f>
      </c>
    </row>
    <row r="553">
      <c r="A553" s="149"/>
      <c r="B553" s="150" t="s">
        <v>130</v>
      </c>
      <c r="C553" s="192" t="s">
        <v>111</v>
      </c>
      <c r="D553" s="190">
        <v>3040.7110000000002</v>
      </c>
      <c r="E553" s="191">
        <v>4</v>
      </c>
      <c r="F553" s="154">
        <f t="shared" si="443"/>
      </c>
      <c r="G553" s="172">
        <v>912</v>
      </c>
      <c r="H553" s="156">
        <f t="shared" si="473"/>
      </c>
      <c r="I553" s="157">
        <f t="shared" si="383"/>
      </c>
      <c r="J553" s="158">
        <f t="shared" si="413"/>
      </c>
      <c r="K553" s="159">
        <f t="shared" si="323"/>
      </c>
      <c r="L553" s="160">
        <f t="shared" si="353"/>
      </c>
      <c r="M553" s="158">
        <f t="shared" si="233"/>
      </c>
      <c r="N553" s="161">
        <f t="shared" si="263"/>
      </c>
      <c r="O553" s="161">
        <f t="shared" si="293"/>
      </c>
      <c r="P553" s="161">
        <f t="shared" si="173"/>
      </c>
      <c r="Q553" s="161">
        <f t="shared" si="203"/>
      </c>
      <c r="R553" s="158">
        <f t="shared" si="113"/>
      </c>
      <c r="S553" s="159">
        <f t="shared" si="143"/>
      </c>
      <c r="T553" s="161">
        <f t="shared" si="53"/>
      </c>
      <c r="U553" s="161">
        <f t="shared" si="83"/>
      </c>
      <c r="V553" s="161">
        <f t="shared" si="503"/>
      </c>
      <c r="W553" s="161">
        <f t="shared" si="23"/>
      </c>
      <c r="X553" s="169" t="s">
        <v>107</v>
      </c>
      <c r="Y553" s="163" t="s">
        <v>132</v>
      </c>
      <c r="Z553" s="166">
        <v>62056</v>
      </c>
      <c r="AA553" s="166">
        <v>14359</v>
      </c>
      <c r="AB553" s="166">
        <v>136570</v>
      </c>
      <c r="AC553" s="166">
        <v>547</v>
      </c>
      <c r="AD553" s="166">
        <v>3</v>
      </c>
      <c r="AE553" s="166">
        <v>11347</v>
      </c>
      <c r="AF553" s="166">
        <v>204</v>
      </c>
      <c r="AG553" s="166">
        <v>26</v>
      </c>
      <c r="AH553" s="166">
        <v>5</v>
      </c>
      <c r="AI553" s="167">
        <v>0</v>
      </c>
    </row>
    <row r="554">
      <c r="A554" s="149"/>
      <c r="B554" s="150" t="s">
        <v>130</v>
      </c>
      <c r="C554" s="193" t="s">
        <v>114</v>
      </c>
      <c r="D554" s="171">
        <v>3744.1479999999997</v>
      </c>
      <c r="E554" s="172">
        <v>6</v>
      </c>
      <c r="F554" s="154">
        <f t="shared" si="443"/>
      </c>
      <c r="G554" s="172">
        <v>1314.3999999999978</v>
      </c>
      <c r="H554" s="156">
        <f t="shared" si="473"/>
      </c>
      <c r="I554" s="157">
        <f t="shared" si="383"/>
      </c>
      <c r="J554" s="158">
        <f t="shared" si="413"/>
      </c>
      <c r="K554" s="159">
        <f t="shared" si="323"/>
      </c>
      <c r="L554" s="160">
        <f t="shared" si="353"/>
      </c>
      <c r="M554" s="158">
        <f t="shared" si="233"/>
      </c>
      <c r="N554" s="161">
        <f t="shared" si="263"/>
      </c>
      <c r="O554" s="161">
        <f t="shared" si="293"/>
      </c>
      <c r="P554" s="161">
        <f t="shared" si="173"/>
      </c>
      <c r="Q554" s="161">
        <f t="shared" si="203"/>
      </c>
      <c r="R554" s="158">
        <f t="shared" si="113"/>
      </c>
      <c r="S554" s="159">
        <f t="shared" si="143"/>
      </c>
      <c r="T554" s="161">
        <f t="shared" si="53"/>
      </c>
      <c r="U554" s="161">
        <f t="shared" si="83"/>
      </c>
      <c r="V554" s="161">
        <f t="shared" si="503"/>
      </c>
      <c r="W554" s="161">
        <f t="shared" si="23"/>
      </c>
      <c r="X554" s="169" t="s">
        <v>107</v>
      </c>
      <c r="Y554" s="163" t="s">
        <v>132</v>
      </c>
      <c r="Z554" s="166">
        <v>67576</v>
      </c>
      <c r="AA554" s="166">
        <v>14138</v>
      </c>
      <c r="AB554" s="166">
        <v>163050</v>
      </c>
      <c r="AC554" s="166">
        <v>593</v>
      </c>
      <c r="AD554" s="165">
        <v>7</v>
      </c>
      <c r="AE554" s="166">
        <v>11276</v>
      </c>
      <c r="AF554" s="166">
        <v>169</v>
      </c>
      <c r="AG554" s="166">
        <v>20</v>
      </c>
      <c r="AH554" s="166">
        <v>10</v>
      </c>
      <c r="AI554" s="167">
        <v>1</v>
      </c>
    </row>
    <row r="555">
      <c r="A555" s="149"/>
      <c r="B555" s="150" t="s">
        <v>130</v>
      </c>
      <c r="C555" s="194" t="s">
        <v>115</v>
      </c>
      <c r="D555" s="171">
        <v>3149.134</v>
      </c>
      <c r="E555" s="172">
        <v>2</v>
      </c>
      <c r="F555" s="154">
        <f t="shared" si="443"/>
      </c>
      <c r="G555" s="172">
        <v>456</v>
      </c>
      <c r="H555" s="156">
        <f t="shared" si="473"/>
      </c>
      <c r="I555" s="157">
        <f t="shared" si="383"/>
      </c>
      <c r="J555" s="158">
        <f t="shared" si="413"/>
      </c>
      <c r="K555" s="159">
        <f t="shared" si="323"/>
      </c>
      <c r="L555" s="174">
        <f t="shared" si="353"/>
      </c>
      <c r="M555" s="175">
        <f t="shared" si="233"/>
      </c>
      <c r="N555" s="176">
        <f t="shared" si="263"/>
      </c>
      <c r="O555" s="176">
        <f t="shared" si="293"/>
      </c>
      <c r="P555" s="176">
        <f t="shared" si="173"/>
      </c>
      <c r="Q555" s="176">
        <f t="shared" si="203"/>
      </c>
      <c r="R555" s="175">
        <f t="shared" si="113"/>
      </c>
      <c r="S555" s="177">
        <f t="shared" si="143"/>
      </c>
      <c r="T555" s="176">
        <f t="shared" si="53"/>
      </c>
      <c r="U555" s="176">
        <f t="shared" si="83"/>
      </c>
      <c r="V555" s="176">
        <f t="shared" si="503"/>
      </c>
      <c r="W555" s="176">
        <f t="shared" si="23"/>
      </c>
      <c r="X555" s="169" t="s">
        <v>107</v>
      </c>
      <c r="Y555" s="163" t="s">
        <v>132</v>
      </c>
      <c r="Z555" s="166">
        <v>63758</v>
      </c>
      <c r="AA555" s="166">
        <v>13700</v>
      </c>
      <c r="AB555" s="166">
        <v>151585</v>
      </c>
      <c r="AC555" s="166">
        <v>492</v>
      </c>
      <c r="AD555" s="166">
        <v>2</v>
      </c>
      <c r="AE555" s="166">
        <v>10099</v>
      </c>
      <c r="AF555" s="166">
        <v>192</v>
      </c>
      <c r="AG555" s="166">
        <v>34</v>
      </c>
      <c r="AH555" s="165">
        <v>11</v>
      </c>
      <c r="AI555" s="167">
        <v>0</v>
      </c>
    </row>
    <row r="556">
      <c r="A556" s="149"/>
      <c r="B556" s="150" t="s">
        <v>130</v>
      </c>
      <c r="C556" s="196" t="s">
        <v>116</v>
      </c>
      <c r="D556" s="195">
        <v>2143.441</v>
      </c>
      <c r="E556" s="172">
        <v>9</v>
      </c>
      <c r="F556" s="154">
        <f t="shared" si="443"/>
      </c>
      <c r="G556" s="172">
        <v>3645.4000000000015</v>
      </c>
      <c r="H556" s="156">
        <f t="shared" si="473"/>
      </c>
      <c r="I556" s="157">
        <f t="shared" si="383"/>
      </c>
      <c r="J556" s="158">
        <f t="shared" si="413"/>
      </c>
      <c r="K556" s="159">
        <f t="shared" si="323"/>
      </c>
      <c r="L556" s="174">
        <f t="shared" si="353"/>
      </c>
      <c r="M556" s="175">
        <f t="shared" si="233"/>
      </c>
      <c r="N556" s="176">
        <f t="shared" si="263"/>
      </c>
      <c r="O556" s="176">
        <f t="shared" si="293"/>
      </c>
      <c r="P556" s="176">
        <f t="shared" si="173"/>
      </c>
      <c r="Q556" s="176">
        <f t="shared" si="203"/>
      </c>
      <c r="R556" s="175">
        <f t="shared" si="113"/>
      </c>
      <c r="S556" s="177">
        <f t="shared" si="143"/>
      </c>
      <c r="T556" s="176">
        <f t="shared" si="53"/>
      </c>
      <c r="U556" s="176">
        <f t="shared" si="83"/>
      </c>
      <c r="V556" s="176">
        <f t="shared" si="503"/>
      </c>
      <c r="W556" s="176">
        <f t="shared" si="23"/>
      </c>
      <c r="X556" s="169" t="s">
        <v>107</v>
      </c>
      <c r="Y556" s="163" t="s">
        <v>132</v>
      </c>
      <c r="Z556" s="166">
        <v>46472</v>
      </c>
      <c r="AA556" s="166">
        <v>11221</v>
      </c>
      <c r="AB556" s="166">
        <v>96450</v>
      </c>
      <c r="AC556" s="166">
        <v>511</v>
      </c>
      <c r="AD556" s="166">
        <v>6</v>
      </c>
      <c r="AE556" s="166">
        <v>6947</v>
      </c>
      <c r="AF556" s="166">
        <v>173</v>
      </c>
      <c r="AG556" s="166">
        <v>17</v>
      </c>
      <c r="AH556" s="165">
        <v>6</v>
      </c>
      <c r="AI556" s="167">
        <v>4</v>
      </c>
    </row>
    <row r="557">
      <c r="A557" s="149"/>
      <c r="B557" s="178" t="s">
        <v>112</v>
      </c>
      <c r="C557" s="178"/>
      <c r="D557" s="179">
        <f>SUM(D553:D556)</f>
      </c>
      <c r="E557" s="180">
        <f>SUM(E553:E556)</f>
      </c>
      <c r="F557" s="181">
        <f t="shared" si="443"/>
      </c>
      <c r="G557" s="182">
        <f>SUM(G553:G556)</f>
      </c>
      <c r="H557" s="183">
        <f t="shared" si="473"/>
      </c>
      <c r="I557" s="184">
        <f t="shared" si="383"/>
      </c>
      <c r="J557" s="185">
        <f t="shared" si="413"/>
      </c>
      <c r="K557" s="181">
        <f t="shared" si="323"/>
      </c>
      <c r="L557" s="186">
        <f t="shared" si="353"/>
      </c>
      <c r="M557" s="185">
        <f t="shared" si="233"/>
      </c>
      <c r="N557" s="187">
        <f t="shared" si="263"/>
      </c>
      <c r="O557" s="187">
        <f t="shared" si="293"/>
      </c>
      <c r="P557" s="187">
        <f t="shared" si="173"/>
      </c>
      <c r="Q557" s="187">
        <f t="shared" si="203"/>
      </c>
      <c r="R557" s="185">
        <f t="shared" si="113"/>
      </c>
      <c r="S557" s="181">
        <f t="shared" si="143"/>
      </c>
      <c r="T557" s="187">
        <f t="shared" si="53"/>
      </c>
      <c r="U557" s="187">
        <f t="shared" si="83"/>
      </c>
      <c r="V557" s="187">
        <f t="shared" si="503"/>
      </c>
      <c r="W557" s="187">
        <f t="shared" si="23"/>
      </c>
      <c r="X557" s="187"/>
      <c r="Y557" s="188"/>
      <c r="Z557" s="179">
        <f>SUM(Z553:Z556)</f>
      </c>
      <c r="AA557" s="179">
        <f>SUM(AA553:AA556)</f>
      </c>
      <c r="AB557" s="179">
        <f>SUM(AB553:AB556)</f>
      </c>
      <c r="AC557" s="179">
        <f>SUM(AC553:AC556)</f>
      </c>
      <c r="AD557" s="179">
        <f>SUM(AD553:AD556)</f>
      </c>
      <c r="AE557" s="179">
        <f>SUM(AE553:AE556)</f>
      </c>
      <c r="AF557" s="179">
        <f>SUM(AF553:AF556)</f>
      </c>
      <c r="AG557" s="179">
        <f>SUM(AG553:AG556)</f>
      </c>
      <c r="AH557" s="179">
        <f>SUM(AH553:AH556)</f>
      </c>
      <c r="AI557" s="179">
        <f>SUM(AI553:AI556)</f>
      </c>
    </row>
    <row r="558">
      <c r="A558" s="149"/>
      <c r="B558" s="150" t="s">
        <v>118</v>
      </c>
      <c r="C558" s="197" t="s">
        <v>117</v>
      </c>
      <c r="D558" s="171">
        <v>1691.787</v>
      </c>
      <c r="E558" s="172">
        <v>9</v>
      </c>
      <c r="F558" s="154">
        <f t="shared" si="443"/>
      </c>
      <c r="G558" s="172">
        <v>2570.4000000000015</v>
      </c>
      <c r="H558" s="156">
        <f t="shared" si="473"/>
      </c>
      <c r="I558" s="157">
        <f t="shared" si="383"/>
      </c>
      <c r="J558" s="158">
        <f t="shared" si="413"/>
      </c>
      <c r="K558" s="159">
        <f t="shared" si="323"/>
      </c>
      <c r="L558" s="174">
        <f t="shared" si="353"/>
      </c>
      <c r="M558" s="175">
        <f t="shared" si="233"/>
      </c>
      <c r="N558" s="176">
        <f t="shared" si="263"/>
      </c>
      <c r="O558" s="176">
        <f t="shared" si="293"/>
      </c>
      <c r="P558" s="176">
        <f t="shared" si="173"/>
      </c>
      <c r="Q558" s="176">
        <f t="shared" si="203"/>
      </c>
      <c r="R558" s="175">
        <f t="shared" si="113"/>
      </c>
      <c r="S558" s="177">
        <f t="shared" si="143"/>
      </c>
      <c r="T558" s="176">
        <f t="shared" si="53"/>
      </c>
      <c r="U558" s="176">
        <f t="shared" si="83"/>
      </c>
      <c r="V558" s="176">
        <f t="shared" si="503"/>
      </c>
      <c r="W558" s="176">
        <f t="shared" si="23"/>
      </c>
      <c r="X558" s="197" t="s">
        <v>142</v>
      </c>
      <c r="Y558" s="163" t="s">
        <v>132</v>
      </c>
      <c r="Z558" s="166">
        <v>40243</v>
      </c>
      <c r="AA558" s="166">
        <v>7605</v>
      </c>
      <c r="AB558" s="166">
        <v>93886</v>
      </c>
      <c r="AC558" s="166">
        <v>490</v>
      </c>
      <c r="AD558" s="166">
        <v>6</v>
      </c>
      <c r="AE558" s="166">
        <v>6021</v>
      </c>
      <c r="AF558" s="166">
        <v>168</v>
      </c>
      <c r="AG558" s="166">
        <v>8</v>
      </c>
      <c r="AH558" s="165">
        <v>9</v>
      </c>
      <c r="AI558" s="167">
        <v>3</v>
      </c>
    </row>
    <row r="559">
      <c r="A559" s="149"/>
      <c r="B559" s="150" t="s">
        <v>118</v>
      </c>
      <c r="C559" s="194" t="s">
        <v>119</v>
      </c>
      <c r="D559" s="195">
        <v>2649.551</v>
      </c>
      <c r="E559" s="172">
        <v>4</v>
      </c>
      <c r="F559" s="154">
        <f t="shared" si="443"/>
      </c>
      <c r="G559" s="172">
        <v>2597.2000000000007</v>
      </c>
      <c r="H559" s="156">
        <f t="shared" si="473"/>
      </c>
      <c r="I559" s="157">
        <f t="shared" si="383"/>
      </c>
      <c r="J559" s="158">
        <f t="shared" si="413"/>
      </c>
      <c r="K559" s="159">
        <f t="shared" si="323"/>
      </c>
      <c r="L559" s="174">
        <f t="shared" si="353"/>
      </c>
      <c r="M559" s="175">
        <f t="shared" si="233"/>
      </c>
      <c r="N559" s="176">
        <f t="shared" si="263"/>
      </c>
      <c r="O559" s="176">
        <f t="shared" si="293"/>
      </c>
      <c r="P559" s="176">
        <f t="shared" si="173"/>
      </c>
      <c r="Q559" s="176">
        <f t="shared" si="203"/>
      </c>
      <c r="R559" s="175">
        <f t="shared" si="113"/>
      </c>
      <c r="S559" s="177">
        <f t="shared" si="143"/>
      </c>
      <c r="T559" s="176">
        <f t="shared" si="53"/>
      </c>
      <c r="U559" s="176">
        <f t="shared" si="83"/>
      </c>
      <c r="V559" s="176">
        <f t="shared" si="503"/>
      </c>
      <c r="W559" s="176">
        <f t="shared" si="23"/>
      </c>
      <c r="X559" s="197" t="s">
        <v>142</v>
      </c>
      <c r="Y559" s="163" t="s">
        <v>120</v>
      </c>
      <c r="Z559" s="166">
        <v>53618</v>
      </c>
      <c r="AA559" s="166">
        <v>11964</v>
      </c>
      <c r="AB559" s="166">
        <v>132564</v>
      </c>
      <c r="AC559" s="166">
        <v>550</v>
      </c>
      <c r="AD559" s="166">
        <v>3</v>
      </c>
      <c r="AE559" s="166">
        <v>8786</v>
      </c>
      <c r="AF559" s="166">
        <v>159</v>
      </c>
      <c r="AG559" s="166">
        <v>17</v>
      </c>
      <c r="AH559" s="165">
        <v>7</v>
      </c>
      <c r="AI559" s="167">
        <v>0</v>
      </c>
    </row>
    <row r="560">
      <c r="A560" s="149"/>
      <c r="B560" s="150" t="s">
        <v>118</v>
      </c>
      <c r="C560" s="194" t="s">
        <v>121</v>
      </c>
      <c r="D560" s="195">
        <v>2380.538</v>
      </c>
      <c r="E560" s="172">
        <v>1</v>
      </c>
      <c r="F560" s="154">
        <f t="shared" si="443"/>
      </c>
      <c r="G560" s="172">
        <v>228</v>
      </c>
      <c r="H560" s="156">
        <f t="shared" si="473"/>
      </c>
      <c r="I560" s="157">
        <f t="shared" si="383"/>
      </c>
      <c r="J560" s="158">
        <f t="shared" si="413"/>
      </c>
      <c r="K560" s="159">
        <f t="shared" si="323"/>
      </c>
      <c r="L560" s="174">
        <f t="shared" si="353"/>
      </c>
      <c r="M560" s="175">
        <f t="shared" si="233"/>
      </c>
      <c r="N560" s="176">
        <f t="shared" si="263"/>
      </c>
      <c r="O560" s="176">
        <f t="shared" si="293"/>
      </c>
      <c r="P560" s="176">
        <f t="shared" si="173"/>
      </c>
      <c r="Q560" s="176">
        <f t="shared" si="203"/>
      </c>
      <c r="R560" s="175">
        <f t="shared" si="113"/>
      </c>
      <c r="S560" s="177">
        <f t="shared" si="143"/>
      </c>
      <c r="T560" s="176">
        <f t="shared" si="53"/>
      </c>
      <c r="U560" s="176">
        <f t="shared" si="83"/>
      </c>
      <c r="V560" s="176">
        <f t="shared" si="503"/>
      </c>
      <c r="W560" s="176">
        <f t="shared" si="23"/>
      </c>
      <c r="X560" s="197" t="s">
        <v>142</v>
      </c>
      <c r="Y560" s="163" t="s">
        <v>120</v>
      </c>
      <c r="Z560" s="166">
        <v>44566</v>
      </c>
      <c r="AA560" s="166">
        <v>10020</v>
      </c>
      <c r="AB560" s="166">
        <v>110512</v>
      </c>
      <c r="AC560" s="166">
        <v>310</v>
      </c>
      <c r="AD560" s="166">
        <v>2</v>
      </c>
      <c r="AE560" s="166">
        <v>8062</v>
      </c>
      <c r="AF560" s="166">
        <v>151</v>
      </c>
      <c r="AG560" s="166">
        <v>13</v>
      </c>
      <c r="AH560" s="165">
        <v>4</v>
      </c>
      <c r="AI560" s="167">
        <v>0</v>
      </c>
    </row>
    <row r="561">
      <c r="A561" s="149"/>
      <c r="B561" s="150" t="s">
        <v>118</v>
      </c>
      <c r="C561" s="196" t="s">
        <v>122</v>
      </c>
      <c r="D561" s="195">
        <v>1606.3090000000002</v>
      </c>
      <c r="E561" s="172">
        <v>8</v>
      </c>
      <c r="F561" s="154">
        <f t="shared" si="443"/>
      </c>
      <c r="G561" s="172">
        <v>3623.9999999999964</v>
      </c>
      <c r="H561" s="156">
        <f t="shared" si="473"/>
      </c>
      <c r="I561" s="157">
        <f t="shared" si="383"/>
      </c>
      <c r="J561" s="158">
        <f t="shared" si="413"/>
      </c>
      <c r="K561" s="159">
        <f t="shared" si="323"/>
      </c>
      <c r="L561" s="174">
        <f t="shared" si="353"/>
      </c>
      <c r="M561" s="175">
        <f t="shared" si="233"/>
      </c>
      <c r="N561" s="176">
        <f t="shared" si="263"/>
      </c>
      <c r="O561" s="176">
        <f t="shared" si="293"/>
      </c>
      <c r="P561" s="176">
        <f t="shared" si="173"/>
      </c>
      <c r="Q561" s="176">
        <f t="shared" si="203"/>
      </c>
      <c r="R561" s="175">
        <f t="shared" si="113"/>
      </c>
      <c r="S561" s="177">
        <f t="shared" si="143"/>
      </c>
      <c r="T561" s="176">
        <f t="shared" si="53"/>
      </c>
      <c r="U561" s="176">
        <f t="shared" si="83"/>
      </c>
      <c r="V561" s="176">
        <f t="shared" si="503"/>
      </c>
      <c r="W561" s="176">
        <f t="shared" si="23"/>
      </c>
      <c r="X561" s="169" t="s">
        <v>142</v>
      </c>
      <c r="Y561" s="163" t="s">
        <v>120</v>
      </c>
      <c r="Z561" s="166">
        <v>36331</v>
      </c>
      <c r="AA561" s="166">
        <v>5732</v>
      </c>
      <c r="AB561" s="166">
        <v>92420</v>
      </c>
      <c r="AC561" s="166">
        <v>259</v>
      </c>
      <c r="AD561" s="166">
        <v>6</v>
      </c>
      <c r="AE561" s="166">
        <v>6074</v>
      </c>
      <c r="AF561" s="166">
        <v>87</v>
      </c>
      <c r="AG561" s="166">
        <v>13</v>
      </c>
      <c r="AH561" s="165">
        <v>2</v>
      </c>
      <c r="AI561" s="167">
        <v>0</v>
      </c>
    </row>
    <row r="562">
      <c r="A562" s="149"/>
      <c r="B562" s="178" t="s">
        <v>112</v>
      </c>
      <c r="C562" s="178"/>
      <c r="D562" s="179">
        <f>SUM(D558:D561)</f>
      </c>
      <c r="E562" s="180">
        <f>SUM(E558:E561)</f>
      </c>
      <c r="F562" s="181">
        <f t="shared" si="443"/>
      </c>
      <c r="G562" s="182">
        <f>SUM(G558:G561)</f>
      </c>
      <c r="H562" s="183">
        <f t="shared" si="473"/>
      </c>
      <c r="I562" s="184">
        <f t="shared" si="383"/>
      </c>
      <c r="J562" s="185">
        <f t="shared" si="413"/>
      </c>
      <c r="K562" s="181">
        <f t="shared" si="323"/>
      </c>
      <c r="L562" s="186">
        <f t="shared" si="353"/>
      </c>
      <c r="M562" s="185">
        <f t="shared" si="233"/>
      </c>
      <c r="N562" s="187">
        <f t="shared" si="263"/>
      </c>
      <c r="O562" s="187">
        <f t="shared" si="293"/>
      </c>
      <c r="P562" s="187">
        <f t="shared" si="173"/>
      </c>
      <c r="Q562" s="187">
        <f t="shared" si="203"/>
      </c>
      <c r="R562" s="185">
        <f t="shared" si="113"/>
      </c>
      <c r="S562" s="181">
        <f t="shared" si="143"/>
      </c>
      <c r="T562" s="187">
        <f t="shared" si="53"/>
      </c>
      <c r="U562" s="187">
        <f t="shared" si="83"/>
      </c>
      <c r="V562" s="187">
        <f t="shared" si="503"/>
      </c>
      <c r="W562" s="187">
        <f t="shared" si="23"/>
      </c>
      <c r="X562" s="187"/>
      <c r="Y562" s="188"/>
      <c r="Z562" s="179">
        <f>SUM(Z558:Z561)</f>
      </c>
      <c r="AA562" s="179">
        <f>SUM(AA558:AA561)</f>
      </c>
      <c r="AB562" s="179">
        <f>SUM(AB558:AB561)</f>
      </c>
      <c r="AC562" s="179">
        <f>SUM(AC558:AC561)</f>
      </c>
      <c r="AD562" s="179">
        <f>SUM(AD558:AD561)</f>
      </c>
      <c r="AE562" s="179">
        <f>SUM(AE558:AE561)</f>
      </c>
      <c r="AF562" s="179">
        <f>SUM(AF558:AF561)</f>
      </c>
      <c r="AG562" s="179">
        <f>SUM(AG558:AG561)</f>
      </c>
      <c r="AH562" s="179">
        <f>SUM(AH558:AH561)</f>
      </c>
      <c r="AI562" s="179">
        <f>SUM(AI558:AI561)</f>
      </c>
    </row>
    <row r="563">
      <c r="A563" s="149"/>
      <c r="B563" s="150" t="s">
        <v>124</v>
      </c>
      <c r="C563" s="197" t="s">
        <v>123</v>
      </c>
      <c r="D563" s="198">
        <v>2992.681</v>
      </c>
      <c r="E563" s="153">
        <v>4</v>
      </c>
      <c r="F563" s="154">
        <f t="shared" si="443"/>
      </c>
      <c r="G563" s="155">
        <v>2041.6000000000058</v>
      </c>
      <c r="H563" s="156">
        <f t="shared" si="473"/>
      </c>
      <c r="I563" s="157">
        <f t="shared" si="383"/>
      </c>
      <c r="J563" s="158">
        <f t="shared" si="413"/>
      </c>
      <c r="K563" s="159">
        <f t="shared" si="323"/>
      </c>
      <c r="L563" s="174">
        <f t="shared" si="353"/>
      </c>
      <c r="M563" s="175">
        <f t="shared" si="233"/>
      </c>
      <c r="N563" s="176">
        <f t="shared" si="263"/>
      </c>
      <c r="O563" s="176">
        <f t="shared" si="293"/>
      </c>
      <c r="P563" s="176">
        <f t="shared" si="173"/>
      </c>
      <c r="Q563" s="176">
        <f t="shared" si="203"/>
      </c>
      <c r="R563" s="175">
        <f t="shared" si="113"/>
      </c>
      <c r="S563" s="177">
        <f t="shared" si="143"/>
      </c>
      <c r="T563" s="176">
        <f t="shared" si="53"/>
      </c>
      <c r="U563" s="176">
        <f t="shared" si="83"/>
      </c>
      <c r="V563" s="176">
        <f t="shared" si="503"/>
      </c>
      <c r="W563" s="176">
        <f t="shared" si="23"/>
      </c>
      <c r="X563" s="169" t="s">
        <v>142</v>
      </c>
      <c r="Y563" s="163" t="s">
        <v>120</v>
      </c>
      <c r="Z563" s="166">
        <v>64435</v>
      </c>
      <c r="AA563" s="166">
        <v>10024</v>
      </c>
      <c r="AB563" s="166">
        <v>188391</v>
      </c>
      <c r="AC563" s="199">
        <v>451</v>
      </c>
      <c r="AD563" s="199">
        <v>6</v>
      </c>
      <c r="AE563" s="199">
        <v>10423</v>
      </c>
      <c r="AF563" s="199">
        <v>131</v>
      </c>
      <c r="AG563" s="199">
        <v>27</v>
      </c>
      <c r="AH563" s="199">
        <v>8</v>
      </c>
      <c r="AI563" s="167">
        <v>0</v>
      </c>
    </row>
    <row r="564">
      <c r="A564" s="149"/>
      <c r="B564" s="150" t="s">
        <v>124</v>
      </c>
      <c r="C564" s="194" t="s">
        <v>125</v>
      </c>
      <c r="D564" s="198">
        <v>2530.0009999999997</v>
      </c>
      <c r="E564" s="153">
        <v>5</v>
      </c>
      <c r="F564" s="154">
        <f t="shared" si="443"/>
      </c>
      <c r="G564" s="155">
        <v>1666.2999999999956</v>
      </c>
      <c r="H564" s="156">
        <f t="shared" si="473"/>
      </c>
      <c r="I564" s="157">
        <f t="shared" si="383"/>
      </c>
      <c r="J564" s="158">
        <f t="shared" si="413"/>
      </c>
      <c r="K564" s="159">
        <f t="shared" si="323"/>
      </c>
      <c r="L564" s="174">
        <f t="shared" si="353"/>
      </c>
      <c r="M564" s="175">
        <f t="shared" si="233"/>
      </c>
      <c r="N564" s="176">
        <f t="shared" si="263"/>
      </c>
      <c r="O564" s="176">
        <f t="shared" si="293"/>
      </c>
      <c r="P564" s="176">
        <f t="shared" si="173"/>
      </c>
      <c r="Q564" s="176">
        <f t="shared" si="203"/>
      </c>
      <c r="R564" s="175">
        <f t="shared" si="113"/>
      </c>
      <c r="S564" s="177">
        <f t="shared" si="143"/>
      </c>
      <c r="T564" s="176">
        <f t="shared" si="53"/>
      </c>
      <c r="U564" s="176">
        <f t="shared" si="83"/>
      </c>
      <c r="V564" s="176">
        <f t="shared" si="503"/>
      </c>
      <c r="W564" s="176">
        <f t="shared" si="23"/>
      </c>
      <c r="X564" s="169" t="s">
        <v>142</v>
      </c>
      <c r="Y564" s="163" t="s">
        <v>120</v>
      </c>
      <c r="Z564" s="166">
        <v>59541</v>
      </c>
      <c r="AA564" s="166">
        <v>6823</v>
      </c>
      <c r="AB564" s="166">
        <v>167577</v>
      </c>
      <c r="AC564" s="199">
        <v>436</v>
      </c>
      <c r="AD564" s="199">
        <v>5</v>
      </c>
      <c r="AE564" s="199">
        <v>8690</v>
      </c>
      <c r="AF564" s="199">
        <v>113</v>
      </c>
      <c r="AG564" s="199">
        <v>26</v>
      </c>
      <c r="AH564" s="199">
        <v>6</v>
      </c>
      <c r="AI564" s="167">
        <v>1</v>
      </c>
    </row>
    <row r="565">
      <c r="A565" s="149"/>
      <c r="B565" s="150" t="s">
        <v>124</v>
      </c>
      <c r="C565" s="194" t="s">
        <v>126</v>
      </c>
      <c r="D565" s="171">
        <v>2249.961</v>
      </c>
      <c r="E565" s="172">
        <v>7</v>
      </c>
      <c r="F565" s="154">
        <f t="shared" si="443"/>
      </c>
      <c r="G565" s="172">
        <v>1406.7000000000044</v>
      </c>
      <c r="H565" s="156">
        <f t="shared" si="473"/>
      </c>
      <c r="I565" s="157">
        <f t="shared" si="383"/>
      </c>
      <c r="J565" s="158">
        <f t="shared" si="413"/>
      </c>
      <c r="K565" s="159">
        <f t="shared" si="323"/>
      </c>
      <c r="L565" s="174">
        <f t="shared" si="353"/>
      </c>
      <c r="M565" s="175">
        <f t="shared" si="233"/>
      </c>
      <c r="N565" s="176">
        <f t="shared" si="263"/>
      </c>
      <c r="O565" s="176">
        <f t="shared" si="293"/>
      </c>
      <c r="P565" s="176">
        <f t="shared" si="173"/>
      </c>
      <c r="Q565" s="176">
        <f t="shared" si="203"/>
      </c>
      <c r="R565" s="175">
        <f t="shared" si="113"/>
      </c>
      <c r="S565" s="177">
        <f t="shared" si="143"/>
      </c>
      <c r="T565" s="176">
        <f t="shared" si="53"/>
      </c>
      <c r="U565" s="176">
        <f t="shared" si="83"/>
      </c>
      <c r="V565" s="176">
        <f t="shared" si="503"/>
      </c>
      <c r="W565" s="176">
        <f t="shared" si="23"/>
      </c>
      <c r="X565" s="169" t="s">
        <v>142</v>
      </c>
      <c r="Y565" s="163" t="s">
        <v>120</v>
      </c>
      <c r="Z565" s="166">
        <v>57009</v>
      </c>
      <c r="AA565" s="166">
        <v>5957</v>
      </c>
      <c r="AB565" s="166">
        <v>156930</v>
      </c>
      <c r="AC565" s="166">
        <v>391</v>
      </c>
      <c r="AD565" s="166">
        <v>5</v>
      </c>
      <c r="AE565" s="166">
        <v>7478</v>
      </c>
      <c r="AF565" s="166">
        <v>93</v>
      </c>
      <c r="AG565" s="166">
        <v>21</v>
      </c>
      <c r="AH565" s="165">
        <v>7</v>
      </c>
      <c r="AI565" s="167">
        <v>1</v>
      </c>
    </row>
    <row r="566">
      <c r="A566" s="149"/>
      <c r="B566" s="150" t="s">
        <v>124</v>
      </c>
      <c r="C566" s="196" t="s">
        <v>127</v>
      </c>
      <c r="D566" s="195">
        <v>2015.723</v>
      </c>
      <c r="E566" s="172">
        <v>4</v>
      </c>
      <c r="F566" s="154">
        <f t="shared" si="443"/>
      </c>
      <c r="G566" s="172">
        <v>912</v>
      </c>
      <c r="H566" s="156">
        <f t="shared" si="473"/>
      </c>
      <c r="I566" s="157">
        <f t="shared" si="383"/>
      </c>
      <c r="J566" s="158">
        <f t="shared" si="413"/>
      </c>
      <c r="K566" s="159">
        <f t="shared" si="323"/>
      </c>
      <c r="L566" s="174">
        <f t="shared" si="353"/>
      </c>
      <c r="M566" s="175">
        <f t="shared" si="233"/>
      </c>
      <c r="N566" s="176">
        <f t="shared" si="263"/>
      </c>
      <c r="O566" s="176">
        <f t="shared" si="293"/>
      </c>
      <c r="P566" s="176">
        <f t="shared" si="173"/>
      </c>
      <c r="Q566" s="176">
        <f t="shared" si="203"/>
      </c>
      <c r="R566" s="175">
        <f t="shared" si="113"/>
      </c>
      <c r="S566" s="177">
        <f t="shared" si="143"/>
      </c>
      <c r="T566" s="176">
        <f t="shared" si="53"/>
      </c>
      <c r="U566" s="176">
        <f t="shared" si="83"/>
      </c>
      <c r="V566" s="176">
        <f t="shared" si="503"/>
      </c>
      <c r="W566" s="176">
        <f t="shared" si="23"/>
      </c>
      <c r="X566" s="169" t="s">
        <v>142</v>
      </c>
      <c r="Y566" s="163" t="s">
        <v>120</v>
      </c>
      <c r="Z566" s="166">
        <v>59129</v>
      </c>
      <c r="AA566" s="166">
        <v>4874</v>
      </c>
      <c r="AB566" s="166">
        <v>134131</v>
      </c>
      <c r="AC566" s="166">
        <v>336</v>
      </c>
      <c r="AD566" s="166">
        <v>4</v>
      </c>
      <c r="AE566" s="166">
        <v>5846</v>
      </c>
      <c r="AF566" s="166">
        <v>81</v>
      </c>
      <c r="AG566" s="166">
        <v>10</v>
      </c>
      <c r="AH566" s="165">
        <v>2</v>
      </c>
      <c r="AI566" s="167">
        <v>0</v>
      </c>
    </row>
    <row r="567">
      <c r="A567" s="149"/>
      <c r="B567" s="150" t="s">
        <v>124</v>
      </c>
      <c r="C567" s="194" t="s">
        <v>128</v>
      </c>
      <c r="D567" s="195">
        <f>862.484+0.355+0.467</f>
      </c>
      <c r="E567" s="172">
        <v>0</v>
      </c>
      <c r="F567" s="154">
        <f t="shared" si="443"/>
      </c>
      <c r="G567" s="172">
        <v>0</v>
      </c>
      <c r="H567" s="156">
        <f t="shared" si="473"/>
      </c>
      <c r="I567" s="157">
        <f t="shared" si="383"/>
      </c>
      <c r="J567" s="158">
        <f t="shared" si="413"/>
      </c>
      <c r="K567" s="159">
        <f t="shared" si="323"/>
      </c>
      <c r="L567" s="174">
        <f t="shared" si="353"/>
      </c>
      <c r="M567" s="175">
        <f t="shared" si="233"/>
      </c>
      <c r="N567" s="176">
        <f t="shared" si="263"/>
      </c>
      <c r="O567" s="176">
        <f t="shared" si="293"/>
      </c>
      <c r="P567" s="176">
        <f t="shared" si="173"/>
      </c>
      <c r="Q567" s="176">
        <f t="shared" si="203"/>
      </c>
      <c r="R567" s="175">
        <f t="shared" si="113"/>
      </c>
      <c r="S567" s="177">
        <f t="shared" si="143"/>
      </c>
      <c r="T567" s="176">
        <f t="shared" si="53"/>
      </c>
      <c r="U567" s="176">
        <f t="shared" si="83"/>
      </c>
      <c r="V567" s="176">
        <f t="shared" si="503"/>
      </c>
      <c r="W567" s="176">
        <f t="shared" si="23"/>
      </c>
      <c r="X567" s="169" t="s">
        <v>142</v>
      </c>
      <c r="Y567" s="163" t="s">
        <v>120</v>
      </c>
      <c r="Z567" s="166">
        <v>32193</v>
      </c>
      <c r="AA567" s="166">
        <v>2852</v>
      </c>
      <c r="AB567" s="166">
        <v>56816</v>
      </c>
      <c r="AC567" s="166">
        <v>252</v>
      </c>
      <c r="AD567" s="166">
        <v>0</v>
      </c>
      <c r="AE567" s="166">
        <v>2612</v>
      </c>
      <c r="AF567" s="166">
        <v>43</v>
      </c>
      <c r="AG567" s="166">
        <v>10</v>
      </c>
      <c r="AH567" s="165">
        <v>2</v>
      </c>
      <c r="AI567" s="167">
        <v>0</v>
      </c>
    </row>
    <row r="568">
      <c r="A568" s="149"/>
      <c r="B568" s="178" t="s">
        <v>112</v>
      </c>
      <c r="C568" s="178"/>
      <c r="D568" s="179">
        <f>SUM(D563:D567)</f>
      </c>
      <c r="E568" s="180">
        <f>SUM(E563:E567)</f>
      </c>
      <c r="F568" s="181">
        <f t="shared" si="443"/>
      </c>
      <c r="G568" s="182">
        <f>SUM(G563:G567)</f>
      </c>
      <c r="H568" s="183">
        <f t="shared" si="473"/>
      </c>
      <c r="I568" s="184">
        <f t="shared" si="383"/>
      </c>
      <c r="J568" s="185">
        <f t="shared" si="413"/>
      </c>
      <c r="K568" s="181">
        <f t="shared" si="323"/>
      </c>
      <c r="L568" s="186">
        <f t="shared" si="353"/>
      </c>
      <c r="M568" s="185">
        <f t="shared" si="233"/>
      </c>
      <c r="N568" s="187">
        <f t="shared" si="263"/>
      </c>
      <c r="O568" s="187">
        <f t="shared" si="293"/>
      </c>
      <c r="P568" s="187">
        <f t="shared" si="173"/>
      </c>
      <c r="Q568" s="187">
        <f t="shared" si="203"/>
      </c>
      <c r="R568" s="185">
        <f t="shared" si="113"/>
      </c>
      <c r="S568" s="181">
        <f t="shared" si="143"/>
      </c>
      <c r="T568" s="187">
        <f t="shared" si="53"/>
      </c>
      <c r="U568" s="187">
        <f t="shared" si="83"/>
      </c>
      <c r="V568" s="187">
        <f t="shared" si="503"/>
      </c>
      <c r="W568" s="187">
        <f t="shared" si="23"/>
      </c>
      <c r="X568" s="187"/>
      <c r="Y568" s="188"/>
      <c r="Z568" s="179">
        <f>SUM(Z563:Z567)</f>
      </c>
      <c r="AA568" s="179">
        <f>SUM(AA563:AA567)</f>
      </c>
      <c r="AB568" s="179">
        <f>SUM(AB563:AB567)</f>
      </c>
      <c r="AC568" s="179">
        <f>SUM(AC563:AC567)</f>
      </c>
      <c r="AD568" s="179">
        <f>SUM(AD563:AD567)</f>
      </c>
      <c r="AE568" s="179">
        <f>SUM(AE563:AE567)</f>
      </c>
      <c r="AF568" s="179">
        <f>SUM(AF563:AF567)</f>
      </c>
      <c r="AG568" s="179">
        <f>SUM(AG563:AG567)</f>
      </c>
      <c r="AH568" s="179">
        <f>SUM(AH563:AH567)</f>
      </c>
      <c r="AI568" s="179">
        <f>SUM(AI563:AI567)</f>
      </c>
    </row>
    <row r="569">
      <c r="A569" s="149"/>
      <c r="B569" s="202" t="s">
        <v>129</v>
      </c>
      <c r="C569" s="202"/>
      <c r="D569" s="203">
        <f>SUM(D568+D552+D557+D562)</f>
      </c>
      <c r="E569" s="204">
        <f>SUM(E568+E552+E557+E562)</f>
      </c>
      <c r="F569" s="205">
        <f t="shared" si="443"/>
      </c>
      <c r="G569" s="206">
        <f>SUM(G568+G552+G557+G562)</f>
      </c>
      <c r="H569" s="207">
        <f t="shared" si="473"/>
      </c>
      <c r="I569" s="208">
        <f t="shared" si="383"/>
      </c>
      <c r="J569" s="209">
        <f t="shared" si="413"/>
      </c>
      <c r="K569" s="205">
        <f t="shared" si="323"/>
      </c>
      <c r="L569" s="210">
        <f t="shared" si="353"/>
      </c>
      <c r="M569" s="210">
        <f t="shared" si="233"/>
      </c>
      <c r="N569" s="211">
        <f t="shared" si="263"/>
      </c>
      <c r="O569" s="211">
        <f t="shared" si="293"/>
      </c>
      <c r="P569" s="211">
        <f t="shared" si="173"/>
      </c>
      <c r="Q569" s="211">
        <f t="shared" si="203"/>
      </c>
      <c r="R569" s="212">
        <f t="shared" si="113"/>
      </c>
      <c r="S569" s="213">
        <f t="shared" si="143"/>
      </c>
      <c r="T569" s="214">
        <f t="shared" si="53"/>
      </c>
      <c r="U569" s="214">
        <f t="shared" si="83"/>
      </c>
      <c r="V569" s="214">
        <f t="shared" si="503"/>
      </c>
      <c r="W569" s="214">
        <f t="shared" si="23"/>
      </c>
      <c r="X569" s="214"/>
      <c r="Y569" s="215"/>
      <c r="Z569" s="216">
        <f>SUM(Z552+Z568+Z557+Z562)</f>
      </c>
      <c r="AA569" s="216">
        <f>SUM(AA552+AA568+AA557+AA562)</f>
      </c>
      <c r="AB569" s="216">
        <f>SUM(AB552+AB568+AB557+AB562)</f>
      </c>
      <c r="AC569" s="216">
        <f>SUM(AC552+AC568+AC557+AC562)</f>
      </c>
      <c r="AD569" s="216">
        <f>SUM(AD552+AD568+AD557+AD562)</f>
      </c>
      <c r="AE569" s="216">
        <f>SUM(AE552+AE568+AE557+AE562)</f>
      </c>
      <c r="AF569" s="216">
        <f>SUM(AF552+AF568+AF557+AF562)</f>
      </c>
      <c r="AG569" s="216">
        <f>SUM(AG552+AG568+AG557+AG562)</f>
      </c>
      <c r="AH569" s="216">
        <f>SUM(AH552+AH568+AH557+AH562)</f>
      </c>
      <c r="AI569" s="216">
        <f>SUM(AI552+AI568+AI557+AI562)</f>
      </c>
    </row>
    <row r="570">
      <c r="A570" s="133" t="s">
        <v>70</v>
      </c>
      <c r="B570" s="134" t="s">
        <v>71</v>
      </c>
      <c r="C570" s="135" t="s">
        <v>72</v>
      </c>
      <c r="D570" s="136" t="s">
        <v>73</v>
      </c>
      <c r="E570" s="137" t="s">
        <v>74</v>
      </c>
      <c r="F570" s="138" t="s">
        <v>75</v>
      </c>
      <c r="G570" s="139" t="s">
        <v>76</v>
      </c>
      <c r="H570" s="138" t="s">
        <v>77</v>
      </c>
      <c r="I570" s="139" t="s">
        <v>78</v>
      </c>
      <c r="J570" s="140" t="s">
        <v>79</v>
      </c>
      <c r="K570" s="140" t="s">
        <v>80</v>
      </c>
      <c r="L570" s="141" t="s">
        <v>81</v>
      </c>
      <c r="M570" s="141" t="s">
        <v>82</v>
      </c>
      <c r="N570" s="141" t="s">
        <v>83</v>
      </c>
      <c r="O570" s="141" t="s">
        <v>84</v>
      </c>
      <c r="P570" s="141" t="s">
        <v>85</v>
      </c>
      <c r="Q570" s="141" t="s">
        <v>86</v>
      </c>
      <c r="R570" s="141" t="s">
        <v>87</v>
      </c>
      <c r="S570" s="141" t="s">
        <v>88</v>
      </c>
      <c r="T570" s="142" t="s">
        <v>89</v>
      </c>
      <c r="U570" s="142" t="s">
        <v>90</v>
      </c>
      <c r="V570" s="142" t="s">
        <v>91</v>
      </c>
      <c r="W570" s="142" t="s">
        <v>92</v>
      </c>
      <c r="X570" s="143" t="s">
        <v>93</v>
      </c>
      <c r="Y570" s="143" t="s">
        <v>94</v>
      </c>
      <c r="Z570" s="144" t="s">
        <v>95</v>
      </c>
      <c r="AA570" s="144" t="s">
        <v>96</v>
      </c>
      <c r="AB570" s="144" t="s">
        <v>97</v>
      </c>
      <c r="AC570" s="145" t="s">
        <v>98</v>
      </c>
      <c r="AD570" s="145" t="s">
        <v>99</v>
      </c>
      <c r="AE570" s="146" t="s">
        <v>100</v>
      </c>
      <c r="AF570" s="145" t="s">
        <v>101</v>
      </c>
      <c r="AG570" s="145" t="s">
        <v>102</v>
      </c>
      <c r="AH570" s="147" t="s">
        <v>103</v>
      </c>
      <c r="AI570" s="148" t="s">
        <v>104</v>
      </c>
    </row>
    <row r="571">
      <c r="A571" s="149">
        <v>46290</v>
      </c>
      <c r="B571" s="150" t="s">
        <v>105</v>
      </c>
      <c r="C571" s="151" t="s">
        <v>135</v>
      </c>
      <c r="D571" s="152">
        <v>625.862</v>
      </c>
      <c r="E571" s="153">
        <v>3</v>
      </c>
      <c r="F571" s="154">
        <f t="shared" ref="F571:F593" si="444">D571/E571</f>
      </c>
      <c r="G571" s="155">
        <v>1762.8000000000002</v>
      </c>
      <c r="H571" s="156">
        <f t="shared" ref="H571:H593" si="474">AD571</f>
      </c>
      <c r="I571" s="157">
        <f t="shared" ref="I571:I593" si="384">D571/AD571</f>
      </c>
      <c r="J571" s="158">
        <f t="shared" ref="J571:J593" si="414">G571/E571</f>
      </c>
      <c r="K571" s="159">
        <f t="shared" ref="K571:K593" si="324">G571/D571</f>
      </c>
      <c r="L571" s="160">
        <f t="shared" ref="L571:L593" si="354">D571/AB571</f>
      </c>
      <c r="M571" s="158">
        <f t="shared" ref="M571:M593" si="234">D571/AC571</f>
      </c>
      <c r="N571" s="161">
        <f t="shared" ref="N571:N593" si="264">AC571/AB571</f>
      </c>
      <c r="O571" s="161">
        <f t="shared" ref="O571:O593" si="294">AD571/AC571</f>
      </c>
      <c r="P571" s="161">
        <f t="shared" ref="P571:P593" si="174">AA571/Z571</f>
      </c>
      <c r="Q571" s="161">
        <f t="shared" ref="Q571:Q593" si="204">AD571/AA571</f>
      </c>
      <c r="R571" s="158">
        <f t="shared" ref="R571:R593" si="114">D571/Z571*1000</f>
      </c>
      <c r="S571" s="159">
        <f t="shared" ref="S571:S593" si="144">D571/AA571</f>
      </c>
      <c r="T571" s="161">
        <f t="shared" ref="T571:T593" si="54">AE571/AB571</f>
      </c>
      <c r="U571" s="161">
        <f t="shared" ref="U571:U593" si="84">AF571/AB571</f>
      </c>
      <c r="V571" s="161">
        <f t="shared" ref="V571:V593" si="504">AG571/AB571</f>
      </c>
      <c r="W571" s="161">
        <f t="shared" ref="W571:W593" si="24">AH571/AB571</f>
      </c>
      <c r="X571" s="162" t="s">
        <v>107</v>
      </c>
      <c r="Y571" s="163" t="s">
        <v>132</v>
      </c>
      <c r="Z571" s="164">
        <v>14411</v>
      </c>
      <c r="AA571" s="164">
        <v>5942</v>
      </c>
      <c r="AB571" s="164">
        <v>22905</v>
      </c>
      <c r="AC571" s="164">
        <v>146</v>
      </c>
      <c r="AD571" s="165">
        <v>2</v>
      </c>
      <c r="AE571" s="164">
        <v>2996</v>
      </c>
      <c r="AF571" s="166">
        <v>72</v>
      </c>
      <c r="AG571" s="166">
        <v>11</v>
      </c>
      <c r="AH571" s="166">
        <v>1</v>
      </c>
      <c r="AI571" s="167">
        <v>2</v>
      </c>
    </row>
    <row r="572">
      <c r="A572" s="149"/>
      <c r="B572" s="150" t="s">
        <v>105</v>
      </c>
      <c r="C572" s="168" t="s">
        <v>136</v>
      </c>
      <c r="D572" s="152">
        <v>2491.348</v>
      </c>
      <c r="E572" s="153">
        <v>5</v>
      </c>
      <c r="F572" s="154">
        <f t="shared" si="444"/>
      </c>
      <c r="G572" s="155">
        <v>1729.1999999999998</v>
      </c>
      <c r="H572" s="156">
        <f t="shared" si="474"/>
      </c>
      <c r="I572" s="157">
        <f t="shared" si="384"/>
      </c>
      <c r="J572" s="158">
        <f t="shared" si="414"/>
      </c>
      <c r="K572" s="159">
        <f t="shared" si="324"/>
      </c>
      <c r="L572" s="160">
        <f t="shared" si="354"/>
      </c>
      <c r="M572" s="158">
        <f t="shared" si="234"/>
      </c>
      <c r="N572" s="161">
        <f t="shared" si="264"/>
      </c>
      <c r="O572" s="161">
        <f t="shared" si="294"/>
      </c>
      <c r="P572" s="161">
        <f t="shared" si="174"/>
      </c>
      <c r="Q572" s="161">
        <f t="shared" si="204"/>
      </c>
      <c r="R572" s="158">
        <f t="shared" si="114"/>
      </c>
      <c r="S572" s="159">
        <f t="shared" si="144"/>
      </c>
      <c r="T572" s="161">
        <f t="shared" si="54"/>
      </c>
      <c r="U572" s="161">
        <f t="shared" si="84"/>
      </c>
      <c r="V572" s="161">
        <f t="shared" si="504"/>
      </c>
      <c r="W572" s="161">
        <f t="shared" si="24"/>
      </c>
      <c r="X572" s="169" t="s">
        <v>107</v>
      </c>
      <c r="Y572" s="163" t="s">
        <v>132</v>
      </c>
      <c r="Z572" s="166">
        <v>62078</v>
      </c>
      <c r="AA572" s="164">
        <v>21158</v>
      </c>
      <c r="AB572" s="164">
        <v>114922</v>
      </c>
      <c r="AC572" s="164">
        <v>578</v>
      </c>
      <c r="AD572" s="166">
        <v>3</v>
      </c>
      <c r="AE572" s="164">
        <v>12992</v>
      </c>
      <c r="AF572" s="166">
        <v>242</v>
      </c>
      <c r="AG572" s="166">
        <v>52</v>
      </c>
      <c r="AH572" s="165">
        <v>7</v>
      </c>
      <c r="AI572" s="167">
        <v>1</v>
      </c>
    </row>
    <row r="573">
      <c r="A573" s="149"/>
      <c r="B573" s="150" t="s">
        <v>105</v>
      </c>
      <c r="C573" s="170" t="s">
        <v>106</v>
      </c>
      <c r="D573" s="171">
        <v>3386.557</v>
      </c>
      <c r="E573" s="172">
        <v>4</v>
      </c>
      <c r="F573" s="154">
        <f t="shared" si="444"/>
      </c>
      <c r="G573" s="172">
        <v>2712</v>
      </c>
      <c r="H573" s="156">
        <f t="shared" si="474"/>
      </c>
      <c r="I573" s="157">
        <f t="shared" si="384"/>
      </c>
      <c r="J573" s="158">
        <f t="shared" si="414"/>
      </c>
      <c r="K573" s="159">
        <f t="shared" si="324"/>
      </c>
      <c r="L573" s="160">
        <f t="shared" si="354"/>
      </c>
      <c r="M573" s="158">
        <f t="shared" si="234"/>
      </c>
      <c r="N573" s="161">
        <f t="shared" si="264"/>
      </c>
      <c r="O573" s="161">
        <f t="shared" si="294"/>
      </c>
      <c r="P573" s="161">
        <f t="shared" si="174"/>
      </c>
      <c r="Q573" s="161">
        <f t="shared" si="204"/>
      </c>
      <c r="R573" s="158">
        <f t="shared" si="114"/>
      </c>
      <c r="S573" s="159">
        <f t="shared" si="144"/>
      </c>
      <c r="T573" s="161">
        <f t="shared" si="54"/>
      </c>
      <c r="U573" s="161">
        <f t="shared" si="84"/>
      </c>
      <c r="V573" s="161">
        <f t="shared" si="504"/>
      </c>
      <c r="W573" s="161">
        <f t="shared" si="24"/>
      </c>
      <c r="X573" s="169" t="s">
        <v>107</v>
      </c>
      <c r="Y573" s="163" t="s">
        <v>132</v>
      </c>
      <c r="Z573" s="166">
        <v>75871</v>
      </c>
      <c r="AA573" s="166">
        <v>21751</v>
      </c>
      <c r="AB573" s="166">
        <v>166628</v>
      </c>
      <c r="AC573" s="166">
        <v>741</v>
      </c>
      <c r="AD573" s="166">
        <v>5</v>
      </c>
      <c r="AE573" s="166">
        <v>16444</v>
      </c>
      <c r="AF573" s="166">
        <v>280</v>
      </c>
      <c r="AG573" s="166">
        <v>49</v>
      </c>
      <c r="AH573" s="166">
        <v>10</v>
      </c>
      <c r="AI573" s="167">
        <v>0</v>
      </c>
    </row>
    <row r="574">
      <c r="A574" s="149"/>
      <c r="B574" s="150" t="s">
        <v>105</v>
      </c>
      <c r="C574" s="173" t="s">
        <v>109</v>
      </c>
      <c r="D574" s="171">
        <v>2176.889</v>
      </c>
      <c r="E574" s="172">
        <v>5</v>
      </c>
      <c r="F574" s="154">
        <f t="shared" si="444"/>
      </c>
      <c r="G574" s="172">
        <v>1108</v>
      </c>
      <c r="H574" s="156">
        <f t="shared" si="474"/>
      </c>
      <c r="I574" s="157">
        <f t="shared" si="384"/>
      </c>
      <c r="J574" s="158">
        <f t="shared" si="414"/>
      </c>
      <c r="K574" s="159">
        <f t="shared" si="324"/>
      </c>
      <c r="L574" s="174">
        <f t="shared" si="354"/>
      </c>
      <c r="M574" s="175">
        <f t="shared" si="234"/>
      </c>
      <c r="N574" s="176">
        <f t="shared" si="264"/>
      </c>
      <c r="O574" s="176">
        <f t="shared" si="294"/>
      </c>
      <c r="P574" s="176">
        <f t="shared" si="174"/>
      </c>
      <c r="Q574" s="176">
        <f t="shared" si="204"/>
      </c>
      <c r="R574" s="175">
        <f t="shared" si="114"/>
      </c>
      <c r="S574" s="177">
        <f t="shared" si="144"/>
      </c>
      <c r="T574" s="176">
        <f t="shared" si="54"/>
      </c>
      <c r="U574" s="176">
        <f t="shared" si="84"/>
      </c>
      <c r="V574" s="176">
        <f t="shared" si="504"/>
      </c>
      <c r="W574" s="176">
        <f t="shared" si="24"/>
      </c>
      <c r="X574" s="169" t="s">
        <v>107</v>
      </c>
      <c r="Y574" s="163" t="s">
        <v>132</v>
      </c>
      <c r="Z574" s="166">
        <v>49308</v>
      </c>
      <c r="AA574" s="166">
        <v>15447</v>
      </c>
      <c r="AB574" s="166">
        <v>97315</v>
      </c>
      <c r="AC574" s="166">
        <v>485</v>
      </c>
      <c r="AD574" s="166">
        <v>5</v>
      </c>
      <c r="AE574" s="166">
        <v>10551</v>
      </c>
      <c r="AF574" s="166">
        <v>167</v>
      </c>
      <c r="AG574" s="166">
        <v>30</v>
      </c>
      <c r="AH574" s="165">
        <v>6</v>
      </c>
      <c r="AI574" s="167">
        <v>0</v>
      </c>
    </row>
    <row r="575">
      <c r="A575" s="149"/>
      <c r="B575" s="150" t="s">
        <v>105</v>
      </c>
      <c r="C575" s="173" t="s">
        <v>110</v>
      </c>
      <c r="D575" s="195">
        <v>2303.496</v>
      </c>
      <c r="E575" s="172">
        <v>11</v>
      </c>
      <c r="F575" s="154">
        <f t="shared" si="444"/>
      </c>
      <c r="G575" s="172">
        <v>4185.0999999999985</v>
      </c>
      <c r="H575" s="156">
        <f t="shared" si="474"/>
      </c>
      <c r="I575" s="157">
        <f t="shared" si="384"/>
      </c>
      <c r="J575" s="158">
        <f t="shared" si="414"/>
      </c>
      <c r="K575" s="159">
        <f t="shared" si="324"/>
      </c>
      <c r="L575" s="174">
        <f t="shared" si="354"/>
      </c>
      <c r="M575" s="175">
        <f t="shared" si="234"/>
      </c>
      <c r="N575" s="176">
        <f t="shared" si="264"/>
      </c>
      <c r="O575" s="176">
        <f t="shared" si="294"/>
      </c>
      <c r="P575" s="176">
        <f t="shared" si="174"/>
      </c>
      <c r="Q575" s="176">
        <f t="shared" si="204"/>
      </c>
      <c r="R575" s="175">
        <f t="shared" si="114"/>
      </c>
      <c r="S575" s="177">
        <f t="shared" si="144"/>
      </c>
      <c r="T575" s="176">
        <f t="shared" si="54"/>
      </c>
      <c r="U575" s="176">
        <f t="shared" si="84"/>
      </c>
      <c r="V575" s="176">
        <f t="shared" si="504"/>
      </c>
      <c r="W575" s="176">
        <f t="shared" si="24"/>
      </c>
      <c r="X575" s="169" t="s">
        <v>107</v>
      </c>
      <c r="Y575" s="163" t="s">
        <v>132</v>
      </c>
      <c r="Z575" s="166">
        <v>56289</v>
      </c>
      <c r="AA575" s="166">
        <v>16203</v>
      </c>
      <c r="AB575" s="166">
        <v>114487</v>
      </c>
      <c r="AC575" s="166">
        <v>518</v>
      </c>
      <c r="AD575" s="166">
        <v>9</v>
      </c>
      <c r="AE575" s="166">
        <v>11105</v>
      </c>
      <c r="AF575" s="166">
        <v>238</v>
      </c>
      <c r="AG575" s="166">
        <v>30</v>
      </c>
      <c r="AH575" s="165">
        <v>9</v>
      </c>
      <c r="AI575" s="167">
        <v>3</v>
      </c>
    </row>
    <row r="576">
      <c r="A576" s="149"/>
      <c r="B576" s="178" t="s">
        <v>112</v>
      </c>
      <c r="C576" s="178"/>
      <c r="D576" s="179">
        <f>SUM(D571:D575)</f>
      </c>
      <c r="E576" s="180">
        <f>SUM(E571:E575)</f>
      </c>
      <c r="F576" s="181">
        <f t="shared" si="444"/>
      </c>
      <c r="G576" s="182">
        <f>SUM(G571:G575)</f>
      </c>
      <c r="H576" s="183">
        <f t="shared" si="474"/>
      </c>
      <c r="I576" s="184">
        <f t="shared" si="384"/>
      </c>
      <c r="J576" s="185">
        <f t="shared" si="414"/>
      </c>
      <c r="K576" s="181">
        <f t="shared" si="324"/>
      </c>
      <c r="L576" s="186">
        <f t="shared" si="354"/>
      </c>
      <c r="M576" s="185">
        <f t="shared" si="234"/>
      </c>
      <c r="N576" s="187">
        <f t="shared" si="264"/>
      </c>
      <c r="O576" s="187">
        <f t="shared" si="294"/>
      </c>
      <c r="P576" s="187">
        <f t="shared" si="174"/>
      </c>
      <c r="Q576" s="187">
        <f t="shared" si="204"/>
      </c>
      <c r="R576" s="185">
        <f t="shared" si="114"/>
      </c>
      <c r="S576" s="181">
        <f t="shared" si="144"/>
      </c>
      <c r="T576" s="187">
        <f t="shared" si="54"/>
      </c>
      <c r="U576" s="187">
        <f t="shared" si="84"/>
      </c>
      <c r="V576" s="187">
        <f t="shared" si="504"/>
      </c>
      <c r="W576" s="187">
        <f t="shared" si="24"/>
      </c>
      <c r="X576" s="187"/>
      <c r="Y576" s="188"/>
      <c r="Z576" s="179">
        <f>SUM(Z571:Z575)</f>
      </c>
      <c r="AA576" s="179">
        <f>SUM(AA571:AA575)</f>
      </c>
      <c r="AB576" s="179">
        <f>SUM(AB571:AB575)</f>
      </c>
      <c r="AC576" s="179">
        <f>SUM(AC571:AC575)</f>
      </c>
      <c r="AD576" s="179">
        <f>SUM(AD571:AD575)</f>
      </c>
      <c r="AE576" s="179">
        <f>SUM(AE571:AE575)</f>
      </c>
      <c r="AF576" s="179">
        <f>SUM(AF571:AF575)</f>
      </c>
      <c r="AG576" s="179">
        <f>SUM(AG571:AG575)</f>
      </c>
      <c r="AH576" s="179">
        <f>SUM(AH571:AH575)</f>
      </c>
      <c r="AI576" s="179">
        <f>SUM(AI571:AI575)</f>
      </c>
    </row>
    <row r="577">
      <c r="A577" s="149"/>
      <c r="B577" s="150" t="s">
        <v>130</v>
      </c>
      <c r="C577" s="192" t="s">
        <v>111</v>
      </c>
      <c r="D577" s="190">
        <v>2368.0769999999998</v>
      </c>
      <c r="E577" s="191">
        <v>3</v>
      </c>
      <c r="F577" s="154">
        <f t="shared" si="444"/>
      </c>
      <c r="G577" s="172">
        <v>1192</v>
      </c>
      <c r="H577" s="156">
        <f t="shared" si="474"/>
      </c>
      <c r="I577" s="157">
        <f t="shared" si="384"/>
      </c>
      <c r="J577" s="158">
        <f t="shared" si="414"/>
      </c>
      <c r="K577" s="159">
        <f t="shared" si="324"/>
      </c>
      <c r="L577" s="160">
        <f t="shared" si="354"/>
      </c>
      <c r="M577" s="158">
        <f t="shared" si="234"/>
      </c>
      <c r="N577" s="161">
        <f t="shared" si="264"/>
      </c>
      <c r="O577" s="161">
        <f t="shared" si="294"/>
      </c>
      <c r="P577" s="161">
        <f t="shared" si="174"/>
      </c>
      <c r="Q577" s="161">
        <f t="shared" si="204"/>
      </c>
      <c r="R577" s="158">
        <f t="shared" si="114"/>
      </c>
      <c r="S577" s="159">
        <f t="shared" si="144"/>
      </c>
      <c r="T577" s="161">
        <f t="shared" si="54"/>
      </c>
      <c r="U577" s="161">
        <f t="shared" si="84"/>
      </c>
      <c r="V577" s="161">
        <f t="shared" si="504"/>
      </c>
      <c r="W577" s="161">
        <f t="shared" si="24"/>
      </c>
      <c r="X577" s="169" t="s">
        <v>107</v>
      </c>
      <c r="Y577" s="163" t="s">
        <v>132</v>
      </c>
      <c r="Z577" s="166">
        <v>54075</v>
      </c>
      <c r="AA577" s="166">
        <v>15202</v>
      </c>
      <c r="AB577" s="166">
        <v>117458</v>
      </c>
      <c r="AC577" s="166">
        <v>484</v>
      </c>
      <c r="AD577" s="166">
        <v>5</v>
      </c>
      <c r="AE577" s="166">
        <v>11776</v>
      </c>
      <c r="AF577" s="166">
        <v>228</v>
      </c>
      <c r="AG577" s="166">
        <v>15</v>
      </c>
      <c r="AH577" s="166">
        <v>15</v>
      </c>
      <c r="AI577" s="167">
        <v>2</v>
      </c>
    </row>
    <row r="578">
      <c r="A578" s="149"/>
      <c r="B578" s="150" t="s">
        <v>130</v>
      </c>
      <c r="C578" s="193" t="s">
        <v>114</v>
      </c>
      <c r="D578" s="171">
        <v>2477.598</v>
      </c>
      <c r="E578" s="172">
        <v>6</v>
      </c>
      <c r="F578" s="154">
        <f t="shared" si="444"/>
      </c>
      <c r="G578" s="172">
        <v>3026.7999999999993</v>
      </c>
      <c r="H578" s="156">
        <f t="shared" si="474"/>
      </c>
      <c r="I578" s="157">
        <f t="shared" si="384"/>
      </c>
      <c r="J578" s="158">
        <f t="shared" si="414"/>
      </c>
      <c r="K578" s="159">
        <f t="shared" si="324"/>
      </c>
      <c r="L578" s="160">
        <f t="shared" si="354"/>
      </c>
      <c r="M578" s="158">
        <f t="shared" si="234"/>
      </c>
      <c r="N578" s="161">
        <f t="shared" si="264"/>
      </c>
      <c r="O578" s="161">
        <f t="shared" si="294"/>
      </c>
      <c r="P578" s="161">
        <f t="shared" si="174"/>
      </c>
      <c r="Q578" s="161">
        <f t="shared" si="204"/>
      </c>
      <c r="R578" s="158">
        <f t="shared" si="114"/>
      </c>
      <c r="S578" s="159">
        <f t="shared" si="144"/>
      </c>
      <c r="T578" s="161">
        <f t="shared" si="54"/>
      </c>
      <c r="U578" s="161">
        <f t="shared" si="84"/>
      </c>
      <c r="V578" s="161">
        <f t="shared" si="504"/>
      </c>
      <c r="W578" s="161">
        <f t="shared" si="24"/>
      </c>
      <c r="X578" s="169" t="s">
        <v>107</v>
      </c>
      <c r="Y578" s="163" t="s">
        <v>132</v>
      </c>
      <c r="Z578" s="166">
        <v>58963</v>
      </c>
      <c r="AA578" s="166">
        <v>13974</v>
      </c>
      <c r="AB578" s="166">
        <v>125430</v>
      </c>
      <c r="AC578" s="166">
        <v>381</v>
      </c>
      <c r="AD578" s="165">
        <v>5</v>
      </c>
      <c r="AE578" s="166">
        <v>11884</v>
      </c>
      <c r="AF578" s="166">
        <v>190</v>
      </c>
      <c r="AG578" s="166">
        <v>26</v>
      </c>
      <c r="AH578" s="166">
        <v>6</v>
      </c>
      <c r="AI578" s="167">
        <v>4</v>
      </c>
    </row>
    <row r="579">
      <c r="A579" s="149"/>
      <c r="B579" s="150" t="s">
        <v>130</v>
      </c>
      <c r="C579" s="194" t="s">
        <v>115</v>
      </c>
      <c r="D579" s="171">
        <v>2158.47</v>
      </c>
      <c r="E579" s="172">
        <v>3</v>
      </c>
      <c r="F579" s="154">
        <f t="shared" si="444"/>
      </c>
      <c r="G579" s="172">
        <v>652</v>
      </c>
      <c r="H579" s="156">
        <f t="shared" si="474"/>
      </c>
      <c r="I579" s="157">
        <f t="shared" si="384"/>
      </c>
      <c r="J579" s="158">
        <f t="shared" si="414"/>
      </c>
      <c r="K579" s="159">
        <f t="shared" si="324"/>
      </c>
      <c r="L579" s="174">
        <f t="shared" si="354"/>
      </c>
      <c r="M579" s="175">
        <f t="shared" si="234"/>
      </c>
      <c r="N579" s="176">
        <f t="shared" si="264"/>
      </c>
      <c r="O579" s="176">
        <f t="shared" si="294"/>
      </c>
      <c r="P579" s="176">
        <f t="shared" si="174"/>
      </c>
      <c r="Q579" s="176">
        <f t="shared" si="204"/>
      </c>
      <c r="R579" s="175">
        <f t="shared" si="114"/>
      </c>
      <c r="S579" s="177">
        <f t="shared" si="144"/>
      </c>
      <c r="T579" s="176">
        <f t="shared" si="54"/>
      </c>
      <c r="U579" s="176">
        <f t="shared" si="84"/>
      </c>
      <c r="V579" s="176">
        <f t="shared" si="504"/>
      </c>
      <c r="W579" s="176">
        <f t="shared" si="24"/>
      </c>
      <c r="X579" s="169" t="s">
        <v>107</v>
      </c>
      <c r="Y579" s="163" t="s">
        <v>132</v>
      </c>
      <c r="Z579" s="166">
        <v>55994</v>
      </c>
      <c r="AA579" s="166">
        <v>14255</v>
      </c>
      <c r="AB579" s="166">
        <v>102613</v>
      </c>
      <c r="AC579" s="166">
        <v>418</v>
      </c>
      <c r="AD579" s="166">
        <v>2</v>
      </c>
      <c r="AE579" s="166">
        <v>8757</v>
      </c>
      <c r="AF579" s="166">
        <v>199</v>
      </c>
      <c r="AG579" s="166">
        <v>31</v>
      </c>
      <c r="AH579" s="165">
        <v>11</v>
      </c>
      <c r="AI579" s="167">
        <v>0</v>
      </c>
    </row>
    <row r="580">
      <c r="A580" s="149"/>
      <c r="B580" s="150" t="s">
        <v>130</v>
      </c>
      <c r="C580" s="196" t="s">
        <v>116</v>
      </c>
      <c r="D580" s="195">
        <v>1854.486</v>
      </c>
      <c r="E580" s="172">
        <v>10</v>
      </c>
      <c r="F580" s="154">
        <f t="shared" si="444"/>
      </c>
      <c r="G580" s="172">
        <v>3124.7999999999993</v>
      </c>
      <c r="H580" s="156">
        <f t="shared" si="474"/>
      </c>
      <c r="I580" s="157">
        <f t="shared" si="384"/>
      </c>
      <c r="J580" s="158">
        <f t="shared" si="414"/>
      </c>
      <c r="K580" s="159">
        <f t="shared" si="324"/>
      </c>
      <c r="L580" s="174">
        <f t="shared" si="354"/>
      </c>
      <c r="M580" s="175">
        <f t="shared" si="234"/>
      </c>
      <c r="N580" s="176">
        <f t="shared" si="264"/>
      </c>
      <c r="O580" s="176">
        <f t="shared" si="294"/>
      </c>
      <c r="P580" s="176">
        <f t="shared" si="174"/>
      </c>
      <c r="Q580" s="176">
        <f t="shared" si="204"/>
      </c>
      <c r="R580" s="175">
        <f t="shared" si="114"/>
      </c>
      <c r="S580" s="177">
        <f t="shared" si="144"/>
      </c>
      <c r="T580" s="176">
        <f t="shared" si="54"/>
      </c>
      <c r="U580" s="176">
        <f t="shared" si="84"/>
      </c>
      <c r="V580" s="176">
        <f t="shared" si="504"/>
      </c>
      <c r="W580" s="176">
        <f t="shared" si="24"/>
      </c>
      <c r="X580" s="169" t="s">
        <v>107</v>
      </c>
      <c r="Y580" s="163" t="s">
        <v>132</v>
      </c>
      <c r="Z580" s="166">
        <v>46521</v>
      </c>
      <c r="AA580" s="166">
        <v>10378</v>
      </c>
      <c r="AB580" s="166">
        <v>86611</v>
      </c>
      <c r="AC580" s="166">
        <v>344</v>
      </c>
      <c r="AD580" s="166">
        <v>5</v>
      </c>
      <c r="AE580" s="166">
        <v>6790</v>
      </c>
      <c r="AF580" s="166">
        <v>151</v>
      </c>
      <c r="AG580" s="166">
        <v>20</v>
      </c>
      <c r="AH580" s="165">
        <v>12</v>
      </c>
      <c r="AI580" s="167">
        <v>8</v>
      </c>
    </row>
    <row r="581">
      <c r="A581" s="149"/>
      <c r="B581" s="178" t="s">
        <v>112</v>
      </c>
      <c r="C581" s="178"/>
      <c r="D581" s="179">
        <f>SUM(D577:D580)</f>
      </c>
      <c r="E581" s="180">
        <f>SUM(E577:E580)</f>
      </c>
      <c r="F581" s="181">
        <f t="shared" si="444"/>
      </c>
      <c r="G581" s="182">
        <f>SUM(G577:G580)</f>
      </c>
      <c r="H581" s="183">
        <f t="shared" si="474"/>
      </c>
      <c r="I581" s="184">
        <f t="shared" si="384"/>
      </c>
      <c r="J581" s="185">
        <f t="shared" si="414"/>
      </c>
      <c r="K581" s="181">
        <f t="shared" si="324"/>
      </c>
      <c r="L581" s="186">
        <f t="shared" si="354"/>
      </c>
      <c r="M581" s="185">
        <f t="shared" si="234"/>
      </c>
      <c r="N581" s="187">
        <f t="shared" si="264"/>
      </c>
      <c r="O581" s="187">
        <f t="shared" si="294"/>
      </c>
      <c r="P581" s="187">
        <f t="shared" si="174"/>
      </c>
      <c r="Q581" s="187">
        <f t="shared" si="204"/>
      </c>
      <c r="R581" s="185">
        <f t="shared" si="114"/>
      </c>
      <c r="S581" s="181">
        <f t="shared" si="144"/>
      </c>
      <c r="T581" s="187">
        <f t="shared" si="54"/>
      </c>
      <c r="U581" s="187">
        <f t="shared" si="84"/>
      </c>
      <c r="V581" s="187">
        <f t="shared" si="504"/>
      </c>
      <c r="W581" s="187">
        <f t="shared" si="24"/>
      </c>
      <c r="X581" s="187"/>
      <c r="Y581" s="188"/>
      <c r="Z581" s="179">
        <f>SUM(Z577:Z580)</f>
      </c>
      <c r="AA581" s="179">
        <f>SUM(AA577:AA580)</f>
      </c>
      <c r="AB581" s="179">
        <f>SUM(AB577:AB580)</f>
      </c>
      <c r="AC581" s="179">
        <f>SUM(AC577:AC580)</f>
      </c>
      <c r="AD581" s="179">
        <f>SUM(AD577:AD580)</f>
      </c>
      <c r="AE581" s="179">
        <f>SUM(AE577:AE580)</f>
      </c>
      <c r="AF581" s="179">
        <f>SUM(AF577:AF580)</f>
      </c>
      <c r="AG581" s="179">
        <f>SUM(AG577:AG580)</f>
      </c>
      <c r="AH581" s="179">
        <f>SUM(AH577:AH580)</f>
      </c>
      <c r="AI581" s="179">
        <f>SUM(AI577:AI580)</f>
      </c>
    </row>
    <row r="582">
      <c r="A582" s="149"/>
      <c r="B582" s="150" t="s">
        <v>131</v>
      </c>
      <c r="C582" s="197" t="s">
        <v>117</v>
      </c>
      <c r="D582" s="171">
        <v>726.5669999999999</v>
      </c>
      <c r="E582" s="172">
        <v>12</v>
      </c>
      <c r="F582" s="154">
        <f t="shared" si="444"/>
      </c>
      <c r="G582" s="172">
        <v>4246</v>
      </c>
      <c r="H582" s="156">
        <f t="shared" si="474"/>
      </c>
      <c r="I582" s="157">
        <f t="shared" si="384"/>
      </c>
      <c r="J582" s="158">
        <f t="shared" si="414"/>
      </c>
      <c r="K582" s="159">
        <f t="shared" si="324"/>
      </c>
      <c r="L582" s="174">
        <f t="shared" si="354"/>
      </c>
      <c r="M582" s="175">
        <f t="shared" si="234"/>
      </c>
      <c r="N582" s="176">
        <f t="shared" si="264"/>
      </c>
      <c r="O582" s="176">
        <f t="shared" si="294"/>
      </c>
      <c r="P582" s="176">
        <f t="shared" si="174"/>
      </c>
      <c r="Q582" s="176">
        <f t="shared" si="204"/>
      </c>
      <c r="R582" s="175">
        <f t="shared" si="114"/>
      </c>
      <c r="S582" s="177">
        <f t="shared" si="144"/>
      </c>
      <c r="T582" s="176">
        <f t="shared" si="54"/>
      </c>
      <c r="U582" s="176">
        <f t="shared" si="84"/>
      </c>
      <c r="V582" s="176">
        <f t="shared" si="504"/>
      </c>
      <c r="W582" s="176">
        <f t="shared" si="24"/>
      </c>
      <c r="X582" s="197" t="s">
        <v>142</v>
      </c>
      <c r="Y582" s="163" t="s">
        <v>132</v>
      </c>
      <c r="Z582" s="166">
        <v>26320</v>
      </c>
      <c r="AA582" s="166">
        <v>4417</v>
      </c>
      <c r="AB582" s="166">
        <v>35428</v>
      </c>
      <c r="AC582" s="166">
        <v>295</v>
      </c>
      <c r="AD582" s="166">
        <v>10</v>
      </c>
      <c r="AE582" s="166">
        <v>2536</v>
      </c>
      <c r="AF582" s="166">
        <v>64</v>
      </c>
      <c r="AG582" s="166">
        <v>9</v>
      </c>
      <c r="AH582" s="165">
        <v>6</v>
      </c>
      <c r="AI582" s="167">
        <v>2</v>
      </c>
    </row>
    <row r="583">
      <c r="A583" s="149"/>
      <c r="B583" s="150" t="s">
        <v>131</v>
      </c>
      <c r="C583" s="194" t="s">
        <v>119</v>
      </c>
      <c r="D583" s="195">
        <v>1729.5270000000003</v>
      </c>
      <c r="E583" s="172">
        <v>4</v>
      </c>
      <c r="F583" s="154">
        <f t="shared" si="444"/>
      </c>
      <c r="G583" s="172">
        <v>2037.2000000000044</v>
      </c>
      <c r="H583" s="156">
        <f t="shared" si="474"/>
      </c>
      <c r="I583" s="157">
        <f t="shared" si="384"/>
      </c>
      <c r="J583" s="158">
        <f t="shared" si="414"/>
      </c>
      <c r="K583" s="159">
        <f t="shared" si="324"/>
      </c>
      <c r="L583" s="174">
        <f t="shared" si="354"/>
      </c>
      <c r="M583" s="175">
        <f t="shared" si="234"/>
      </c>
      <c r="N583" s="176">
        <f t="shared" si="264"/>
      </c>
      <c r="O583" s="176">
        <f t="shared" si="294"/>
      </c>
      <c r="P583" s="176">
        <f t="shared" si="174"/>
      </c>
      <c r="Q583" s="176">
        <f t="shared" si="204"/>
      </c>
      <c r="R583" s="175">
        <f t="shared" si="114"/>
      </c>
      <c r="S583" s="177">
        <f t="shared" si="144"/>
      </c>
      <c r="T583" s="176">
        <f t="shared" si="54"/>
      </c>
      <c r="U583" s="176">
        <f t="shared" si="84"/>
      </c>
      <c r="V583" s="176">
        <f t="shared" si="504"/>
      </c>
      <c r="W583" s="176">
        <f t="shared" si="24"/>
      </c>
      <c r="X583" s="197" t="s">
        <v>142</v>
      </c>
      <c r="Y583" s="163" t="s">
        <v>120</v>
      </c>
      <c r="Z583" s="166">
        <v>52893</v>
      </c>
      <c r="AA583" s="166">
        <v>9588</v>
      </c>
      <c r="AB583" s="166">
        <v>96959</v>
      </c>
      <c r="AC583" s="166">
        <v>477</v>
      </c>
      <c r="AD583" s="166">
        <v>3</v>
      </c>
      <c r="AE583" s="166">
        <v>7025</v>
      </c>
      <c r="AF583" s="166">
        <v>129</v>
      </c>
      <c r="AG583" s="166">
        <v>25</v>
      </c>
      <c r="AH583" s="165">
        <v>4</v>
      </c>
      <c r="AI583" s="167">
        <v>0</v>
      </c>
    </row>
    <row r="584">
      <c r="A584" s="149"/>
      <c r="B584" s="150" t="s">
        <v>131</v>
      </c>
      <c r="C584" s="194" t="s">
        <v>121</v>
      </c>
      <c r="D584" s="195">
        <v>2137.326</v>
      </c>
      <c r="E584" s="172">
        <v>1</v>
      </c>
      <c r="F584" s="154">
        <f t="shared" si="444"/>
      </c>
      <c r="G584" s="172">
        <v>228</v>
      </c>
      <c r="H584" s="156">
        <f t="shared" si="474"/>
      </c>
      <c r="I584" s="157">
        <f t="shared" si="384"/>
      </c>
      <c r="J584" s="158">
        <f t="shared" si="414"/>
      </c>
      <c r="K584" s="159">
        <f t="shared" si="324"/>
      </c>
      <c r="L584" s="174">
        <f t="shared" si="354"/>
      </c>
      <c r="M584" s="175">
        <f t="shared" si="234"/>
      </c>
      <c r="N584" s="176">
        <f t="shared" si="264"/>
      </c>
      <c r="O584" s="176">
        <f t="shared" si="294"/>
      </c>
      <c r="P584" s="176">
        <f t="shared" si="174"/>
      </c>
      <c r="Q584" s="176">
        <f t="shared" si="204"/>
      </c>
      <c r="R584" s="175">
        <f t="shared" si="114"/>
      </c>
      <c r="S584" s="177">
        <f t="shared" si="144"/>
      </c>
      <c r="T584" s="176">
        <f t="shared" si="54"/>
      </c>
      <c r="U584" s="176">
        <f t="shared" si="84"/>
      </c>
      <c r="V584" s="176">
        <f t="shared" si="504"/>
      </c>
      <c r="W584" s="176">
        <f t="shared" si="24"/>
      </c>
      <c r="X584" s="197" t="s">
        <v>142</v>
      </c>
      <c r="Y584" s="163" t="s">
        <v>120</v>
      </c>
      <c r="Z584" s="166">
        <v>58070</v>
      </c>
      <c r="AA584" s="166">
        <v>13205</v>
      </c>
      <c r="AB584" s="166">
        <v>118279</v>
      </c>
      <c r="AC584" s="166">
        <v>607</v>
      </c>
      <c r="AD584" s="166">
        <v>1</v>
      </c>
      <c r="AE584" s="166">
        <v>9674</v>
      </c>
      <c r="AF584" s="166">
        <v>120</v>
      </c>
      <c r="AG584" s="166">
        <v>24</v>
      </c>
      <c r="AH584" s="165">
        <v>9</v>
      </c>
      <c r="AI584" s="167">
        <v>0</v>
      </c>
    </row>
    <row r="585">
      <c r="A585" s="149"/>
      <c r="B585" s="150" t="s">
        <v>131</v>
      </c>
      <c r="C585" s="196" t="s">
        <v>122</v>
      </c>
      <c r="D585" s="195">
        <v>1009.545</v>
      </c>
      <c r="E585" s="172">
        <v>2</v>
      </c>
      <c r="F585" s="154">
        <f t="shared" si="444"/>
      </c>
      <c r="G585" s="172">
        <v>1024</v>
      </c>
      <c r="H585" s="156">
        <f t="shared" si="474"/>
      </c>
      <c r="I585" s="157">
        <f t="shared" si="384"/>
      </c>
      <c r="J585" s="158">
        <f t="shared" si="414"/>
      </c>
      <c r="K585" s="159">
        <f t="shared" si="324"/>
      </c>
      <c r="L585" s="174">
        <f t="shared" si="354"/>
      </c>
      <c r="M585" s="175">
        <f t="shared" si="234"/>
      </c>
      <c r="N585" s="176">
        <f t="shared" si="264"/>
      </c>
      <c r="O585" s="176">
        <f t="shared" si="294"/>
      </c>
      <c r="P585" s="176">
        <f t="shared" si="174"/>
      </c>
      <c r="Q585" s="176">
        <f t="shared" si="204"/>
      </c>
      <c r="R585" s="175">
        <f t="shared" si="114"/>
      </c>
      <c r="S585" s="177">
        <f t="shared" si="144"/>
      </c>
      <c r="T585" s="176">
        <f t="shared" si="54"/>
      </c>
      <c r="U585" s="176">
        <f t="shared" si="84"/>
      </c>
      <c r="V585" s="176">
        <f t="shared" si="504"/>
      </c>
      <c r="W585" s="176">
        <f t="shared" si="24"/>
      </c>
      <c r="X585" s="169" t="s">
        <v>142</v>
      </c>
      <c r="Y585" s="163" t="s">
        <v>120</v>
      </c>
      <c r="Z585" s="166">
        <v>33055</v>
      </c>
      <c r="AA585" s="166">
        <v>3598</v>
      </c>
      <c r="AB585" s="166">
        <v>59276</v>
      </c>
      <c r="AC585" s="166">
        <v>231</v>
      </c>
      <c r="AD585" s="166">
        <v>1</v>
      </c>
      <c r="AE585" s="166">
        <v>3621</v>
      </c>
      <c r="AF585" s="166">
        <v>62</v>
      </c>
      <c r="AG585" s="166">
        <v>11</v>
      </c>
      <c r="AH585" s="165">
        <v>0</v>
      </c>
      <c r="AI585" s="167">
        <v>0</v>
      </c>
    </row>
    <row r="586">
      <c r="A586" s="149"/>
      <c r="B586" s="178" t="s">
        <v>112</v>
      </c>
      <c r="C586" s="178"/>
      <c r="D586" s="179">
        <f>SUM(D582:D585)</f>
      </c>
      <c r="E586" s="180">
        <f>SUM(E582:E585)</f>
      </c>
      <c r="F586" s="181">
        <f t="shared" si="444"/>
      </c>
      <c r="G586" s="182">
        <f>SUM(G582:G585)</f>
      </c>
      <c r="H586" s="183">
        <f t="shared" si="474"/>
      </c>
      <c r="I586" s="184">
        <f t="shared" si="384"/>
      </c>
      <c r="J586" s="185">
        <f t="shared" si="414"/>
      </c>
      <c r="K586" s="181">
        <f t="shared" si="324"/>
      </c>
      <c r="L586" s="186">
        <f t="shared" si="354"/>
      </c>
      <c r="M586" s="185">
        <f t="shared" si="234"/>
      </c>
      <c r="N586" s="187">
        <f t="shared" si="264"/>
      </c>
      <c r="O586" s="187">
        <f t="shared" si="294"/>
      </c>
      <c r="P586" s="187">
        <f t="shared" si="174"/>
      </c>
      <c r="Q586" s="187">
        <f t="shared" si="204"/>
      </c>
      <c r="R586" s="185">
        <f t="shared" si="114"/>
      </c>
      <c r="S586" s="181">
        <f t="shared" si="144"/>
      </c>
      <c r="T586" s="187">
        <f t="shared" si="54"/>
      </c>
      <c r="U586" s="187">
        <f t="shared" si="84"/>
      </c>
      <c r="V586" s="187">
        <f t="shared" si="504"/>
      </c>
      <c r="W586" s="187">
        <f t="shared" si="24"/>
      </c>
      <c r="X586" s="187"/>
      <c r="Y586" s="188"/>
      <c r="Z586" s="179">
        <f>SUM(Z582:Z585)</f>
      </c>
      <c r="AA586" s="179">
        <f>SUM(AA582:AA585)</f>
      </c>
      <c r="AB586" s="179">
        <f>SUM(AB582:AB585)</f>
      </c>
      <c r="AC586" s="179">
        <f>SUM(AC582:AC585)</f>
      </c>
      <c r="AD586" s="179">
        <f>SUM(AD582:AD585)</f>
      </c>
      <c r="AE586" s="179">
        <f>SUM(AE582:AE585)</f>
      </c>
      <c r="AF586" s="179">
        <f>SUM(AF582:AF585)</f>
      </c>
      <c r="AG586" s="179">
        <f>SUM(AG582:AG585)</f>
      </c>
      <c r="AH586" s="179">
        <f>SUM(AH582:AH585)</f>
      </c>
      <c r="AI586" s="179">
        <f>SUM(AI582:AI585)</f>
      </c>
    </row>
    <row r="587">
      <c r="A587" s="149"/>
      <c r="B587" s="150" t="s">
        <v>124</v>
      </c>
      <c r="C587" s="197" t="s">
        <v>123</v>
      </c>
      <c r="D587" s="198">
        <v>1097.1899999999998</v>
      </c>
      <c r="E587" s="153">
        <v>5</v>
      </c>
      <c r="F587" s="154">
        <f t="shared" si="444"/>
      </c>
      <c r="G587" s="155">
        <v>2901.5999999999985</v>
      </c>
      <c r="H587" s="156">
        <f t="shared" si="474"/>
      </c>
      <c r="I587" s="157">
        <f t="shared" si="384"/>
      </c>
      <c r="J587" s="158">
        <f t="shared" si="414"/>
      </c>
      <c r="K587" s="159">
        <f t="shared" si="324"/>
      </c>
      <c r="L587" s="174">
        <f t="shared" si="354"/>
      </c>
      <c r="M587" s="175">
        <f t="shared" si="234"/>
      </c>
      <c r="N587" s="176">
        <f t="shared" si="264"/>
      </c>
      <c r="O587" s="176">
        <f t="shared" si="294"/>
      </c>
      <c r="P587" s="176">
        <f t="shared" si="174"/>
      </c>
      <c r="Q587" s="176">
        <f t="shared" si="204"/>
      </c>
      <c r="R587" s="175">
        <f t="shared" si="114"/>
      </c>
      <c r="S587" s="177">
        <f t="shared" si="144"/>
      </c>
      <c r="T587" s="176">
        <f t="shared" si="54"/>
      </c>
      <c r="U587" s="176">
        <f t="shared" si="84"/>
      </c>
      <c r="V587" s="176">
        <f t="shared" si="504"/>
      </c>
      <c r="W587" s="176">
        <f t="shared" si="24"/>
      </c>
      <c r="X587" s="169" t="s">
        <v>142</v>
      </c>
      <c r="Y587" s="163" t="s">
        <v>120</v>
      </c>
      <c r="Z587" s="166">
        <v>38473</v>
      </c>
      <c r="AA587" s="166">
        <v>3575</v>
      </c>
      <c r="AB587" s="166">
        <v>79641</v>
      </c>
      <c r="AC587" s="199">
        <v>193</v>
      </c>
      <c r="AD587" s="199">
        <v>6</v>
      </c>
      <c r="AE587" s="199">
        <v>4049</v>
      </c>
      <c r="AF587" s="199">
        <v>65</v>
      </c>
      <c r="AG587" s="199">
        <v>11</v>
      </c>
      <c r="AH587" s="199">
        <v>5</v>
      </c>
      <c r="AI587" s="167">
        <v>1</v>
      </c>
    </row>
    <row r="588">
      <c r="A588" s="149"/>
      <c r="B588" s="150" t="s">
        <v>124</v>
      </c>
      <c r="C588" s="194" t="s">
        <v>125</v>
      </c>
      <c r="D588" s="198">
        <v>1189.4840000000002</v>
      </c>
      <c r="E588" s="153">
        <v>8</v>
      </c>
      <c r="F588" s="154">
        <f t="shared" si="444"/>
      </c>
      <c r="G588" s="155">
        <v>3477.4000000000015</v>
      </c>
      <c r="H588" s="156">
        <f t="shared" si="474"/>
      </c>
      <c r="I588" s="157">
        <f t="shared" si="384"/>
      </c>
      <c r="J588" s="158">
        <f t="shared" si="414"/>
      </c>
      <c r="K588" s="159">
        <f t="shared" si="324"/>
      </c>
      <c r="L588" s="174">
        <f t="shared" si="354"/>
      </c>
      <c r="M588" s="175">
        <f t="shared" si="234"/>
      </c>
      <c r="N588" s="176">
        <f t="shared" si="264"/>
      </c>
      <c r="O588" s="176">
        <f t="shared" si="294"/>
      </c>
      <c r="P588" s="176">
        <f t="shared" si="174"/>
      </c>
      <c r="Q588" s="176">
        <f t="shared" si="204"/>
      </c>
      <c r="R588" s="175">
        <f t="shared" si="114"/>
      </c>
      <c r="S588" s="177">
        <f t="shared" si="144"/>
      </c>
      <c r="T588" s="176">
        <f t="shared" si="54"/>
      </c>
      <c r="U588" s="176">
        <f t="shared" si="84"/>
      </c>
      <c r="V588" s="176">
        <f t="shared" si="504"/>
      </c>
      <c r="W588" s="176">
        <f t="shared" si="24"/>
      </c>
      <c r="X588" s="169" t="s">
        <v>142</v>
      </c>
      <c r="Y588" s="163" t="s">
        <v>120</v>
      </c>
      <c r="Z588" s="166">
        <v>43121</v>
      </c>
      <c r="AA588" s="166">
        <v>3943</v>
      </c>
      <c r="AB588" s="166">
        <v>80653</v>
      </c>
      <c r="AC588" s="199">
        <v>196</v>
      </c>
      <c r="AD588" s="199">
        <v>6</v>
      </c>
      <c r="AE588" s="199">
        <v>4030</v>
      </c>
      <c r="AF588" s="199">
        <v>61</v>
      </c>
      <c r="AG588" s="199">
        <v>11</v>
      </c>
      <c r="AH588" s="199">
        <v>4</v>
      </c>
      <c r="AI588" s="167">
        <v>2</v>
      </c>
    </row>
    <row r="589">
      <c r="A589" s="149"/>
      <c r="B589" s="150" t="s">
        <v>124</v>
      </c>
      <c r="C589" s="194" t="s">
        <v>126</v>
      </c>
      <c r="D589" s="171">
        <v>1251.199</v>
      </c>
      <c r="E589" s="172">
        <v>4</v>
      </c>
      <c r="F589" s="154">
        <f t="shared" si="444"/>
      </c>
      <c r="G589" s="172">
        <v>1441.5999999999985</v>
      </c>
      <c r="H589" s="156">
        <f t="shared" si="474"/>
      </c>
      <c r="I589" s="157">
        <f t="shared" si="384"/>
      </c>
      <c r="J589" s="158">
        <f t="shared" si="414"/>
      </c>
      <c r="K589" s="159">
        <f t="shared" si="324"/>
      </c>
      <c r="L589" s="174">
        <f t="shared" si="354"/>
      </c>
      <c r="M589" s="175">
        <f t="shared" si="234"/>
      </c>
      <c r="N589" s="176">
        <f t="shared" si="264"/>
      </c>
      <c r="O589" s="176">
        <f t="shared" si="294"/>
      </c>
      <c r="P589" s="176">
        <f t="shared" si="174"/>
      </c>
      <c r="Q589" s="176">
        <f t="shared" si="204"/>
      </c>
      <c r="R589" s="175">
        <f t="shared" si="114"/>
      </c>
      <c r="S589" s="177">
        <f t="shared" si="144"/>
      </c>
      <c r="T589" s="176">
        <f t="shared" si="54"/>
      </c>
      <c r="U589" s="176">
        <f t="shared" si="84"/>
      </c>
      <c r="V589" s="176">
        <f t="shared" si="504"/>
      </c>
      <c r="W589" s="176">
        <f t="shared" si="24"/>
      </c>
      <c r="X589" s="169" t="s">
        <v>142</v>
      </c>
      <c r="Y589" s="163" t="s">
        <v>120</v>
      </c>
      <c r="Z589" s="166">
        <v>58032</v>
      </c>
      <c r="AA589" s="166">
        <v>9091</v>
      </c>
      <c r="AB589" s="166">
        <v>94872</v>
      </c>
      <c r="AC589" s="166">
        <v>319</v>
      </c>
      <c r="AD589" s="166">
        <v>4</v>
      </c>
      <c r="AE589" s="166">
        <v>5591</v>
      </c>
      <c r="AF589" s="166">
        <v>95</v>
      </c>
      <c r="AG589" s="166">
        <v>31</v>
      </c>
      <c r="AH589" s="165">
        <v>5</v>
      </c>
      <c r="AI589" s="167">
        <v>0</v>
      </c>
    </row>
    <row r="590">
      <c r="A590" s="149"/>
      <c r="B590" s="150" t="s">
        <v>124</v>
      </c>
      <c r="C590" s="196" t="s">
        <v>127</v>
      </c>
      <c r="D590" s="195">
        <v>3407.401</v>
      </c>
      <c r="E590" s="172">
        <v>7</v>
      </c>
      <c r="F590" s="154">
        <f t="shared" si="444"/>
      </c>
      <c r="G590" s="172">
        <v>1521.199999999997</v>
      </c>
      <c r="H590" s="156">
        <f t="shared" si="474"/>
      </c>
      <c r="I590" s="157">
        <f t="shared" si="384"/>
      </c>
      <c r="J590" s="158">
        <f t="shared" si="414"/>
      </c>
      <c r="K590" s="159">
        <f t="shared" si="324"/>
      </c>
      <c r="L590" s="174">
        <f t="shared" si="354"/>
      </c>
      <c r="M590" s="175">
        <f t="shared" si="234"/>
      </c>
      <c r="N590" s="176">
        <f t="shared" si="264"/>
      </c>
      <c r="O590" s="176">
        <f t="shared" si="294"/>
      </c>
      <c r="P590" s="176">
        <f t="shared" si="174"/>
      </c>
      <c r="Q590" s="176">
        <f t="shared" si="204"/>
      </c>
      <c r="R590" s="175">
        <f t="shared" si="114"/>
      </c>
      <c r="S590" s="177">
        <f t="shared" si="144"/>
      </c>
      <c r="T590" s="176">
        <f t="shared" si="54"/>
      </c>
      <c r="U590" s="176">
        <f t="shared" si="84"/>
      </c>
      <c r="V590" s="176">
        <f t="shared" si="504"/>
      </c>
      <c r="W590" s="176">
        <f t="shared" si="24"/>
      </c>
      <c r="X590" s="169" t="s">
        <v>142</v>
      </c>
      <c r="Y590" s="163" t="s">
        <v>120</v>
      </c>
      <c r="Z590" s="166">
        <v>115979</v>
      </c>
      <c r="AA590" s="166">
        <v>19410</v>
      </c>
      <c r="AB590" s="166">
        <v>239344</v>
      </c>
      <c r="AC590" s="166">
        <v>840</v>
      </c>
      <c r="AD590" s="166">
        <v>7</v>
      </c>
      <c r="AE590" s="166">
        <v>14140</v>
      </c>
      <c r="AF590" s="166">
        <v>229</v>
      </c>
      <c r="AG590" s="166">
        <v>56</v>
      </c>
      <c r="AH590" s="165">
        <v>17</v>
      </c>
      <c r="AI590" s="167">
        <v>1</v>
      </c>
    </row>
    <row r="591">
      <c r="A591" s="149"/>
      <c r="B591" s="150" t="s">
        <v>124</v>
      </c>
      <c r="C591" s="194" t="s">
        <v>128</v>
      </c>
      <c r="D591" s="195">
        <f>2370.148+0.494+0.446</f>
      </c>
      <c r="E591" s="172">
        <v>8</v>
      </c>
      <c r="F591" s="154">
        <f t="shared" si="444"/>
      </c>
      <c r="G591" s="172">
        <v>3539.5</v>
      </c>
      <c r="H591" s="156">
        <f t="shared" si="474"/>
      </c>
      <c r="I591" s="157">
        <f t="shared" si="384"/>
      </c>
      <c r="J591" s="158">
        <f t="shared" si="414"/>
      </c>
      <c r="K591" s="159">
        <f t="shared" si="324"/>
      </c>
      <c r="L591" s="174">
        <f t="shared" si="354"/>
      </c>
      <c r="M591" s="175">
        <f t="shared" si="234"/>
      </c>
      <c r="N591" s="176">
        <f t="shared" si="264"/>
      </c>
      <c r="O591" s="176">
        <f t="shared" si="294"/>
      </c>
      <c r="P591" s="176">
        <f t="shared" si="174"/>
      </c>
      <c r="Q591" s="176">
        <f t="shared" si="204"/>
      </c>
      <c r="R591" s="175">
        <f t="shared" si="114"/>
      </c>
      <c r="S591" s="177">
        <f t="shared" si="144"/>
      </c>
      <c r="T591" s="176">
        <f t="shared" si="54"/>
      </c>
      <c r="U591" s="176">
        <f t="shared" si="84"/>
      </c>
      <c r="V591" s="176">
        <f t="shared" si="504"/>
      </c>
      <c r="W591" s="176">
        <f t="shared" si="24"/>
      </c>
      <c r="X591" s="169" t="s">
        <v>142</v>
      </c>
      <c r="Y591" s="163" t="s">
        <v>120</v>
      </c>
      <c r="Z591" s="166">
        <v>83407</v>
      </c>
      <c r="AA591" s="166">
        <v>10471</v>
      </c>
      <c r="AB591" s="166">
        <v>150809</v>
      </c>
      <c r="AC591" s="166">
        <v>586</v>
      </c>
      <c r="AD591" s="166">
        <v>5</v>
      </c>
      <c r="AE591" s="166">
        <v>9031</v>
      </c>
      <c r="AF591" s="166">
        <v>142</v>
      </c>
      <c r="AG591" s="166">
        <v>38</v>
      </c>
      <c r="AH591" s="165">
        <v>10</v>
      </c>
      <c r="AI591" s="167">
        <v>1</v>
      </c>
    </row>
    <row r="592">
      <c r="A592" s="149"/>
      <c r="B592" s="178" t="s">
        <v>112</v>
      </c>
      <c r="C592" s="178"/>
      <c r="D592" s="179">
        <f>SUM(D587:D591)</f>
      </c>
      <c r="E592" s="180">
        <f>SUM(E587:E591)</f>
      </c>
      <c r="F592" s="181">
        <f t="shared" si="444"/>
      </c>
      <c r="G592" s="182">
        <f>SUM(G587:G591)</f>
      </c>
      <c r="H592" s="183">
        <f t="shared" si="474"/>
      </c>
      <c r="I592" s="184">
        <f t="shared" si="384"/>
      </c>
      <c r="J592" s="185">
        <f t="shared" si="414"/>
      </c>
      <c r="K592" s="181">
        <f t="shared" si="324"/>
      </c>
      <c r="L592" s="186">
        <f t="shared" si="354"/>
      </c>
      <c r="M592" s="185">
        <f t="shared" si="234"/>
      </c>
      <c r="N592" s="187">
        <f t="shared" si="264"/>
      </c>
      <c r="O592" s="187">
        <f t="shared" si="294"/>
      </c>
      <c r="P592" s="187">
        <f t="shared" si="174"/>
      </c>
      <c r="Q592" s="187">
        <f t="shared" si="204"/>
      </c>
      <c r="R592" s="185">
        <f t="shared" si="114"/>
      </c>
      <c r="S592" s="181">
        <f t="shared" si="144"/>
      </c>
      <c r="T592" s="187">
        <f t="shared" si="54"/>
      </c>
      <c r="U592" s="187">
        <f t="shared" si="84"/>
      </c>
      <c r="V592" s="187">
        <f t="shared" si="504"/>
      </c>
      <c r="W592" s="187">
        <f t="shared" si="24"/>
      </c>
      <c r="X592" s="187"/>
      <c r="Y592" s="188"/>
      <c r="Z592" s="179">
        <f>SUM(Z587:Z591)</f>
      </c>
      <c r="AA592" s="179">
        <f>SUM(AA587:AA591)</f>
      </c>
      <c r="AB592" s="179">
        <f>SUM(AB587:AB591)</f>
      </c>
      <c r="AC592" s="179">
        <f>SUM(AC587:AC591)</f>
      </c>
      <c r="AD592" s="179">
        <f>SUM(AD587:AD591)</f>
      </c>
      <c r="AE592" s="179">
        <f>SUM(AE587:AE591)</f>
      </c>
      <c r="AF592" s="179">
        <f>SUM(AF587:AF591)</f>
      </c>
      <c r="AG592" s="179">
        <f>SUM(AG587:AG591)</f>
      </c>
      <c r="AH592" s="179">
        <f>SUM(AH587:AH591)</f>
      </c>
      <c r="AI592" s="179">
        <f>SUM(AI587:AI591)</f>
      </c>
    </row>
    <row r="593">
      <c r="A593" s="149"/>
      <c r="B593" s="202" t="s">
        <v>129</v>
      </c>
      <c r="C593" s="202"/>
      <c r="D593" s="203">
        <f>SUM(D592+D576+D581+D586)</f>
      </c>
      <c r="E593" s="204">
        <f>SUM(E592+E576+E581+E586)</f>
      </c>
      <c r="F593" s="205">
        <f t="shared" si="444"/>
      </c>
      <c r="G593" s="206">
        <f>SUM(G592+G576+G581+G586)</f>
      </c>
      <c r="H593" s="207">
        <f t="shared" si="474"/>
      </c>
      <c r="I593" s="208">
        <f t="shared" si="384"/>
      </c>
      <c r="J593" s="209">
        <f t="shared" si="414"/>
      </c>
      <c r="K593" s="205">
        <f t="shared" si="324"/>
      </c>
      <c r="L593" s="210">
        <f t="shared" si="354"/>
      </c>
      <c r="M593" s="210">
        <f t="shared" si="234"/>
      </c>
      <c r="N593" s="211">
        <f t="shared" si="264"/>
      </c>
      <c r="O593" s="211">
        <f t="shared" si="294"/>
      </c>
      <c r="P593" s="211">
        <f t="shared" si="174"/>
      </c>
      <c r="Q593" s="211">
        <f t="shared" si="204"/>
      </c>
      <c r="R593" s="212">
        <f t="shared" si="114"/>
      </c>
      <c r="S593" s="213">
        <f t="shared" si="144"/>
      </c>
      <c r="T593" s="214">
        <f t="shared" si="54"/>
      </c>
      <c r="U593" s="214">
        <f t="shared" si="84"/>
      </c>
      <c r="V593" s="214">
        <f t="shared" si="504"/>
      </c>
      <c r="W593" s="214">
        <f t="shared" si="24"/>
      </c>
      <c r="X593" s="214"/>
      <c r="Y593" s="215"/>
      <c r="Z593" s="216">
        <f>SUM(Z576+Z592+Z581+Z586)</f>
      </c>
      <c r="AA593" s="216">
        <f>SUM(AA576+AA592+AA581+AA586)</f>
      </c>
      <c r="AB593" s="216">
        <f>SUM(AB576+AB592+AB581+AB586)</f>
      </c>
      <c r="AC593" s="216">
        <f>SUM(AC576+AC592+AC581+AC586)</f>
      </c>
      <c r="AD593" s="216">
        <f>SUM(AD576+AD592+AD581+AD586)</f>
      </c>
      <c r="AE593" s="216">
        <f>SUM(AE576+AE592+AE581+AE586)</f>
      </c>
      <c r="AF593" s="216">
        <f>SUM(AF576+AF592+AF581+AF586)</f>
      </c>
      <c r="AG593" s="216">
        <f>SUM(AG576+AG592+AG581+AG586)</f>
      </c>
      <c r="AH593" s="216">
        <f>SUM(AH576+AH592+AH581+AH586)</f>
      </c>
      <c r="AI593" s="216">
        <f>SUM(AI576+AI592+AI581+AI586)</f>
      </c>
    </row>
    <row r="594">
      <c r="A594" s="133" t="s">
        <v>70</v>
      </c>
      <c r="B594" s="134" t="s">
        <v>71</v>
      </c>
      <c r="C594" s="135" t="s">
        <v>72</v>
      </c>
      <c r="D594" s="136" t="s">
        <v>73</v>
      </c>
      <c r="E594" s="137" t="s">
        <v>74</v>
      </c>
      <c r="F594" s="138" t="s">
        <v>75</v>
      </c>
      <c r="G594" s="139" t="s">
        <v>76</v>
      </c>
      <c r="H594" s="138" t="s">
        <v>77</v>
      </c>
      <c r="I594" s="139" t="s">
        <v>78</v>
      </c>
      <c r="J594" s="140" t="s">
        <v>79</v>
      </c>
      <c r="K594" s="140" t="s">
        <v>80</v>
      </c>
      <c r="L594" s="141" t="s">
        <v>81</v>
      </c>
      <c r="M594" s="141" t="s">
        <v>82</v>
      </c>
      <c r="N594" s="141" t="s">
        <v>83</v>
      </c>
      <c r="O594" s="141" t="s">
        <v>84</v>
      </c>
      <c r="P594" s="141" t="s">
        <v>85</v>
      </c>
      <c r="Q594" s="141" t="s">
        <v>86</v>
      </c>
      <c r="R594" s="141" t="s">
        <v>87</v>
      </c>
      <c r="S594" s="141" t="s">
        <v>88</v>
      </c>
      <c r="T594" s="142" t="s">
        <v>89</v>
      </c>
      <c r="U594" s="142" t="s">
        <v>90</v>
      </c>
      <c r="V594" s="142" t="s">
        <v>91</v>
      </c>
      <c r="W594" s="142" t="s">
        <v>92</v>
      </c>
      <c r="X594" s="143" t="s">
        <v>93</v>
      </c>
      <c r="Y594" s="143" t="s">
        <v>94</v>
      </c>
      <c r="Z594" s="144" t="s">
        <v>95</v>
      </c>
      <c r="AA594" s="144" t="s">
        <v>96</v>
      </c>
      <c r="AB594" s="144" t="s">
        <v>97</v>
      </c>
      <c r="AC594" s="145" t="s">
        <v>98</v>
      </c>
      <c r="AD594" s="145" t="s">
        <v>99</v>
      </c>
      <c r="AE594" s="146" t="s">
        <v>100</v>
      </c>
      <c r="AF594" s="145" t="s">
        <v>101</v>
      </c>
      <c r="AG594" s="145" t="s">
        <v>102</v>
      </c>
      <c r="AH594" s="147" t="s">
        <v>103</v>
      </c>
      <c r="AI594" s="148" t="s">
        <v>104</v>
      </c>
    </row>
    <row r="595">
      <c r="A595" s="149">
        <v>46291</v>
      </c>
      <c r="B595" s="150" t="s">
        <v>105</v>
      </c>
      <c r="C595" s="151" t="s">
        <v>135</v>
      </c>
      <c r="D595" s="152">
        <v>1081.6970000000001</v>
      </c>
      <c r="E595" s="153">
        <v>1</v>
      </c>
      <c r="F595" s="154">
        <f t="shared" ref="F595:F617" si="445">D595/E595</f>
      </c>
      <c r="G595" s="155">
        <v>228</v>
      </c>
      <c r="H595" s="156">
        <f t="shared" ref="H595:H617" si="475">AD595</f>
      </c>
      <c r="I595" s="157">
        <f t="shared" ref="I595:I617" si="385">D595/AD595</f>
      </c>
      <c r="J595" s="158">
        <f t="shared" ref="J595:J617" si="415">G595/E595</f>
      </c>
      <c r="K595" s="159">
        <f t="shared" ref="K595:K617" si="325">G595/D595</f>
      </c>
      <c r="L595" s="160">
        <f t="shared" ref="L595:L617" si="355">D595/AB595</f>
      </c>
      <c r="M595" s="158">
        <f t="shared" ref="M595:M617" si="235">D595/AC595</f>
      </c>
      <c r="N595" s="161">
        <f t="shared" ref="N595:N617" si="265">AC595/AB595</f>
      </c>
      <c r="O595" s="161">
        <f t="shared" ref="O595:O617" si="295">AD595/AC595</f>
      </c>
      <c r="P595" s="161">
        <f t="shared" ref="P595:P617" si="175">AA595/Z595</f>
      </c>
      <c r="Q595" s="161">
        <f t="shared" ref="Q595:Q617" si="205">AD595/AA595</f>
      </c>
      <c r="R595" s="158">
        <f t="shared" ref="R595:R617" si="115">D595/Z595*1000</f>
      </c>
      <c r="S595" s="159">
        <f t="shared" ref="S595:S617" si="145">D595/AA595</f>
      </c>
      <c r="T595" s="161">
        <f t="shared" ref="T595:T617" si="55">AE595/AB595</f>
      </c>
      <c r="U595" s="161">
        <f t="shared" ref="U595:U617" si="85">AF595/AB595</f>
      </c>
      <c r="V595" s="161">
        <f t="shared" ref="V595:V617" si="505">AG595/AB595</f>
      </c>
      <c r="W595" s="161">
        <f t="shared" ref="W595:W617" si="25">AH595/AB595</f>
      </c>
      <c r="X595" s="162" t="s">
        <v>107</v>
      </c>
      <c r="Y595" s="163" t="s">
        <v>132</v>
      </c>
      <c r="Z595" s="164">
        <v>26353</v>
      </c>
      <c r="AA595" s="164">
        <v>9170</v>
      </c>
      <c r="AB595" s="164">
        <v>44527</v>
      </c>
      <c r="AC595" s="164">
        <v>294</v>
      </c>
      <c r="AD595" s="165">
        <v>1</v>
      </c>
      <c r="AE595" s="164">
        <v>5571</v>
      </c>
      <c r="AF595" s="166">
        <v>88</v>
      </c>
      <c r="AG595" s="166">
        <v>15</v>
      </c>
      <c r="AH595" s="166">
        <v>9</v>
      </c>
      <c r="AI595" s="167">
        <v>0</v>
      </c>
    </row>
    <row r="596">
      <c r="A596" s="149"/>
      <c r="B596" s="150" t="s">
        <v>105</v>
      </c>
      <c r="C596" s="168" t="s">
        <v>136</v>
      </c>
      <c r="D596" s="152">
        <v>2557.0089999999996</v>
      </c>
      <c r="E596" s="153">
        <v>11</v>
      </c>
      <c r="F596" s="154">
        <f t="shared" si="445"/>
      </c>
      <c r="G596" s="155">
        <v>4122.4</v>
      </c>
      <c r="H596" s="156">
        <f t="shared" si="475"/>
      </c>
      <c r="I596" s="157">
        <f t="shared" si="385"/>
      </c>
      <c r="J596" s="158">
        <f t="shared" si="415"/>
      </c>
      <c r="K596" s="159">
        <f t="shared" si="325"/>
      </c>
      <c r="L596" s="160">
        <f t="shared" si="355"/>
      </c>
      <c r="M596" s="158">
        <f t="shared" si="235"/>
      </c>
      <c r="N596" s="161">
        <f t="shared" si="265"/>
      </c>
      <c r="O596" s="161">
        <f t="shared" si="295"/>
      </c>
      <c r="P596" s="161">
        <f t="shared" si="175"/>
      </c>
      <c r="Q596" s="161">
        <f t="shared" si="205"/>
      </c>
      <c r="R596" s="158">
        <f t="shared" si="115"/>
      </c>
      <c r="S596" s="159">
        <f t="shared" si="145"/>
      </c>
      <c r="T596" s="161">
        <f t="shared" si="55"/>
      </c>
      <c r="U596" s="161">
        <f t="shared" si="85"/>
      </c>
      <c r="V596" s="161">
        <f t="shared" si="505"/>
      </c>
      <c r="W596" s="161">
        <f t="shared" si="25"/>
      </c>
      <c r="X596" s="169" t="s">
        <v>107</v>
      </c>
      <c r="Y596" s="163" t="s">
        <v>132</v>
      </c>
      <c r="Z596" s="166">
        <v>68294</v>
      </c>
      <c r="AA596" s="164">
        <v>19924</v>
      </c>
      <c r="AB596" s="164">
        <v>103465</v>
      </c>
      <c r="AC596" s="164">
        <v>501</v>
      </c>
      <c r="AD596" s="166">
        <v>9</v>
      </c>
      <c r="AE596" s="164">
        <v>12614</v>
      </c>
      <c r="AF596" s="166">
        <v>208</v>
      </c>
      <c r="AG596" s="166">
        <v>43</v>
      </c>
      <c r="AH596" s="165">
        <v>1</v>
      </c>
      <c r="AI596" s="167">
        <v>3</v>
      </c>
    </row>
    <row r="597">
      <c r="A597" s="149"/>
      <c r="B597" s="150" t="s">
        <v>105</v>
      </c>
      <c r="C597" s="170" t="s">
        <v>106</v>
      </c>
      <c r="D597" s="171">
        <v>3430.08</v>
      </c>
      <c r="E597" s="172">
        <v>9</v>
      </c>
      <c r="F597" s="154">
        <f t="shared" si="445"/>
      </c>
      <c r="G597" s="172">
        <v>3124</v>
      </c>
      <c r="H597" s="156">
        <f t="shared" si="475"/>
      </c>
      <c r="I597" s="157">
        <f t="shared" si="385"/>
      </c>
      <c r="J597" s="158">
        <f t="shared" si="415"/>
      </c>
      <c r="K597" s="159">
        <f t="shared" si="325"/>
      </c>
      <c r="L597" s="160">
        <f t="shared" si="355"/>
      </c>
      <c r="M597" s="158">
        <f t="shared" si="235"/>
      </c>
      <c r="N597" s="161">
        <f t="shared" si="265"/>
      </c>
      <c r="O597" s="161">
        <f t="shared" si="295"/>
      </c>
      <c r="P597" s="161">
        <f t="shared" si="175"/>
      </c>
      <c r="Q597" s="161">
        <f t="shared" si="205"/>
      </c>
      <c r="R597" s="158">
        <f t="shared" si="115"/>
      </c>
      <c r="S597" s="159">
        <f t="shared" si="145"/>
      </c>
      <c r="T597" s="161">
        <f t="shared" si="55"/>
      </c>
      <c r="U597" s="161">
        <f t="shared" si="85"/>
      </c>
      <c r="V597" s="161">
        <f t="shared" si="505"/>
      </c>
      <c r="W597" s="161">
        <f t="shared" si="25"/>
      </c>
      <c r="X597" s="169" t="s">
        <v>107</v>
      </c>
      <c r="Y597" s="163" t="s">
        <v>132</v>
      </c>
      <c r="Z597" s="166">
        <v>90712</v>
      </c>
      <c r="AA597" s="166">
        <v>19697</v>
      </c>
      <c r="AB597" s="166">
        <v>159506</v>
      </c>
      <c r="AC597" s="166">
        <v>628</v>
      </c>
      <c r="AD597" s="166">
        <v>7</v>
      </c>
      <c r="AE597" s="166">
        <v>15710</v>
      </c>
      <c r="AF597" s="166">
        <v>259</v>
      </c>
      <c r="AG597" s="166">
        <v>48</v>
      </c>
      <c r="AH597" s="166">
        <v>1</v>
      </c>
      <c r="AI597" s="167">
        <v>0</v>
      </c>
    </row>
    <row r="598">
      <c r="A598" s="149"/>
      <c r="B598" s="150" t="s">
        <v>105</v>
      </c>
      <c r="C598" s="173" t="s">
        <v>109</v>
      </c>
      <c r="D598" s="171">
        <v>3202.824</v>
      </c>
      <c r="E598" s="172">
        <v>14</v>
      </c>
      <c r="F598" s="154">
        <f t="shared" si="445"/>
      </c>
      <c r="G598" s="172">
        <v>5834.699999999999</v>
      </c>
      <c r="H598" s="156">
        <f t="shared" si="475"/>
      </c>
      <c r="I598" s="157">
        <f t="shared" si="385"/>
      </c>
      <c r="J598" s="158">
        <f t="shared" si="415"/>
      </c>
      <c r="K598" s="159">
        <f t="shared" si="325"/>
      </c>
      <c r="L598" s="174">
        <f t="shared" si="355"/>
      </c>
      <c r="M598" s="175">
        <f t="shared" si="235"/>
      </c>
      <c r="N598" s="176">
        <f t="shared" si="265"/>
      </c>
      <c r="O598" s="176">
        <f t="shared" si="295"/>
      </c>
      <c r="P598" s="176">
        <f t="shared" si="175"/>
      </c>
      <c r="Q598" s="176">
        <f t="shared" si="205"/>
      </c>
      <c r="R598" s="175">
        <f t="shared" si="115"/>
      </c>
      <c r="S598" s="177">
        <f t="shared" si="145"/>
      </c>
      <c r="T598" s="176">
        <f t="shared" si="55"/>
      </c>
      <c r="U598" s="176">
        <f t="shared" si="85"/>
      </c>
      <c r="V598" s="176">
        <f t="shared" si="505"/>
      </c>
      <c r="W598" s="176">
        <f t="shared" si="25"/>
      </c>
      <c r="X598" s="169" t="s">
        <v>107</v>
      </c>
      <c r="Y598" s="163" t="s">
        <v>132</v>
      </c>
      <c r="Z598" s="166">
        <v>75874</v>
      </c>
      <c r="AA598" s="166">
        <v>16927</v>
      </c>
      <c r="AB598" s="166">
        <v>131343</v>
      </c>
      <c r="AC598" s="166">
        <v>479</v>
      </c>
      <c r="AD598" s="166">
        <v>8</v>
      </c>
      <c r="AE598" s="166">
        <v>11928</v>
      </c>
      <c r="AF598" s="166">
        <v>200</v>
      </c>
      <c r="AG598" s="166">
        <v>37</v>
      </c>
      <c r="AH598" s="165">
        <v>1</v>
      </c>
      <c r="AI598" s="167">
        <v>7</v>
      </c>
    </row>
    <row r="599">
      <c r="A599" s="149"/>
      <c r="B599" s="150" t="s">
        <v>105</v>
      </c>
      <c r="C599" s="173" t="s">
        <v>110</v>
      </c>
      <c r="D599" s="195">
        <v>3326.8360000000002</v>
      </c>
      <c r="E599" s="172">
        <v>10</v>
      </c>
      <c r="F599" s="154">
        <f t="shared" si="445"/>
      </c>
      <c r="G599" s="172">
        <v>2741.9000000000033</v>
      </c>
      <c r="H599" s="156">
        <f t="shared" si="475"/>
      </c>
      <c r="I599" s="157">
        <f t="shared" si="385"/>
      </c>
      <c r="J599" s="158">
        <f t="shared" si="415"/>
      </c>
      <c r="K599" s="159">
        <f t="shared" si="325"/>
      </c>
      <c r="L599" s="174">
        <f t="shared" si="355"/>
      </c>
      <c r="M599" s="175">
        <f t="shared" si="235"/>
      </c>
      <c r="N599" s="176">
        <f t="shared" si="265"/>
      </c>
      <c r="O599" s="176">
        <f t="shared" si="295"/>
      </c>
      <c r="P599" s="176">
        <f t="shared" si="175"/>
      </c>
      <c r="Q599" s="176">
        <f t="shared" si="205"/>
      </c>
      <c r="R599" s="175">
        <f t="shared" si="115"/>
      </c>
      <c r="S599" s="177">
        <f t="shared" si="145"/>
      </c>
      <c r="T599" s="176">
        <f t="shared" si="55"/>
      </c>
      <c r="U599" s="176">
        <f t="shared" si="85"/>
      </c>
      <c r="V599" s="176">
        <f t="shared" si="505"/>
      </c>
      <c r="W599" s="176">
        <f t="shared" si="25"/>
      </c>
      <c r="X599" s="169" t="s">
        <v>107</v>
      </c>
      <c r="Y599" s="163" t="s">
        <v>132</v>
      </c>
      <c r="Z599" s="166">
        <v>68411</v>
      </c>
      <c r="AA599" s="166">
        <v>13991</v>
      </c>
      <c r="AB599" s="166">
        <v>130785</v>
      </c>
      <c r="AC599" s="166">
        <v>557</v>
      </c>
      <c r="AD599" s="166">
        <v>7</v>
      </c>
      <c r="AE599" s="166">
        <v>10975</v>
      </c>
      <c r="AF599" s="166">
        <v>227</v>
      </c>
      <c r="AG599" s="166">
        <v>26</v>
      </c>
      <c r="AH599" s="165">
        <v>1</v>
      </c>
      <c r="AI599" s="167">
        <v>3</v>
      </c>
    </row>
    <row r="600">
      <c r="A600" s="149"/>
      <c r="B600" s="178" t="s">
        <v>112</v>
      </c>
      <c r="C600" s="178"/>
      <c r="D600" s="179">
        <f>SUM(D595:D599)</f>
      </c>
      <c r="E600" s="180">
        <f>SUM(E595:E599)</f>
      </c>
      <c r="F600" s="181">
        <f t="shared" si="445"/>
      </c>
      <c r="G600" s="182">
        <f>SUM(G595:G599)</f>
      </c>
      <c r="H600" s="183">
        <f t="shared" si="475"/>
      </c>
      <c r="I600" s="184">
        <f t="shared" si="385"/>
      </c>
      <c r="J600" s="185">
        <f t="shared" si="415"/>
      </c>
      <c r="K600" s="181">
        <f t="shared" si="325"/>
      </c>
      <c r="L600" s="186">
        <f t="shared" si="355"/>
      </c>
      <c r="M600" s="185">
        <f t="shared" si="235"/>
      </c>
      <c r="N600" s="187">
        <f t="shared" si="265"/>
      </c>
      <c r="O600" s="187">
        <f t="shared" si="295"/>
      </c>
      <c r="P600" s="187">
        <f t="shared" si="175"/>
      </c>
      <c r="Q600" s="187">
        <f t="shared" si="205"/>
      </c>
      <c r="R600" s="185">
        <f t="shared" si="115"/>
      </c>
      <c r="S600" s="181">
        <f t="shared" si="145"/>
      </c>
      <c r="T600" s="187">
        <f t="shared" si="55"/>
      </c>
      <c r="U600" s="187">
        <f t="shared" si="85"/>
      </c>
      <c r="V600" s="187">
        <f t="shared" si="505"/>
      </c>
      <c r="W600" s="187">
        <f t="shared" si="25"/>
      </c>
      <c r="X600" s="187"/>
      <c r="Y600" s="188"/>
      <c r="Z600" s="179">
        <f>SUM(Z595:Z599)</f>
      </c>
      <c r="AA600" s="179">
        <f>SUM(AA595:AA599)</f>
      </c>
      <c r="AB600" s="179">
        <f>SUM(AB595:AB599)</f>
      </c>
      <c r="AC600" s="179">
        <f>SUM(AC595:AC599)</f>
      </c>
      <c r="AD600" s="179">
        <f>SUM(AD595:AD599)</f>
      </c>
      <c r="AE600" s="179">
        <f>SUM(AE595:AE599)</f>
      </c>
      <c r="AF600" s="179">
        <f>SUM(AF595:AF599)</f>
      </c>
      <c r="AG600" s="179">
        <f>SUM(AG595:AG599)</f>
      </c>
      <c r="AH600" s="179">
        <f>SUM(AH595:AH599)</f>
      </c>
      <c r="AI600" s="179">
        <f>SUM(AI595:AI599)</f>
      </c>
    </row>
    <row r="601">
      <c r="A601" s="149"/>
      <c r="B601" s="150" t="s">
        <v>118</v>
      </c>
      <c r="C601" s="192" t="s">
        <v>111</v>
      </c>
      <c r="D601" s="190">
        <v>3693.0800000000004</v>
      </c>
      <c r="E601" s="191">
        <v>11</v>
      </c>
      <c r="F601" s="154">
        <f t="shared" si="445"/>
      </c>
      <c r="G601" s="172">
        <v>3075.999999999998</v>
      </c>
      <c r="H601" s="156">
        <f t="shared" si="475"/>
      </c>
      <c r="I601" s="157">
        <f t="shared" si="385"/>
      </c>
      <c r="J601" s="158">
        <f t="shared" si="415"/>
      </c>
      <c r="K601" s="159">
        <f t="shared" si="325"/>
      </c>
      <c r="L601" s="160">
        <f t="shared" si="355"/>
      </c>
      <c r="M601" s="158">
        <f t="shared" si="235"/>
      </c>
      <c r="N601" s="161">
        <f t="shared" si="265"/>
      </c>
      <c r="O601" s="161">
        <f t="shared" si="295"/>
      </c>
      <c r="P601" s="161">
        <f t="shared" si="175"/>
      </c>
      <c r="Q601" s="161">
        <f t="shared" si="205"/>
      </c>
      <c r="R601" s="158">
        <f t="shared" si="115"/>
      </c>
      <c r="S601" s="159">
        <f t="shared" si="145"/>
      </c>
      <c r="T601" s="161">
        <f t="shared" si="55"/>
      </c>
      <c r="U601" s="161">
        <f t="shared" si="85"/>
      </c>
      <c r="V601" s="161">
        <f t="shared" si="505"/>
      </c>
      <c r="W601" s="161">
        <f t="shared" si="25"/>
      </c>
      <c r="X601" s="169" t="s">
        <v>107</v>
      </c>
      <c r="Y601" s="163" t="s">
        <v>132</v>
      </c>
      <c r="Z601" s="166">
        <v>80904</v>
      </c>
      <c r="AA601" s="166">
        <v>15094</v>
      </c>
      <c r="AB601" s="166">
        <v>172000</v>
      </c>
      <c r="AC601" s="166">
        <v>464</v>
      </c>
      <c r="AD601" s="166">
        <v>10</v>
      </c>
      <c r="AE601" s="166">
        <v>14466</v>
      </c>
      <c r="AF601" s="166">
        <v>135</v>
      </c>
      <c r="AG601" s="166">
        <v>30</v>
      </c>
      <c r="AH601" s="166">
        <v>1</v>
      </c>
      <c r="AI601" s="167">
        <v>0</v>
      </c>
    </row>
    <row r="602">
      <c r="A602" s="149"/>
      <c r="B602" s="150" t="s">
        <v>118</v>
      </c>
      <c r="C602" s="193" t="s">
        <v>114</v>
      </c>
      <c r="D602" s="171">
        <v>3928.6349999999998</v>
      </c>
      <c r="E602" s="172">
        <v>8</v>
      </c>
      <c r="F602" s="154">
        <f t="shared" si="445"/>
      </c>
      <c r="G602" s="172">
        <v>3564</v>
      </c>
      <c r="H602" s="156">
        <f t="shared" si="475"/>
      </c>
      <c r="I602" s="157">
        <f t="shared" si="385"/>
      </c>
      <c r="J602" s="158">
        <f t="shared" si="415"/>
      </c>
      <c r="K602" s="159">
        <f t="shared" si="325"/>
      </c>
      <c r="L602" s="160">
        <f t="shared" si="355"/>
      </c>
      <c r="M602" s="158">
        <f t="shared" si="235"/>
      </c>
      <c r="N602" s="161">
        <f t="shared" si="265"/>
      </c>
      <c r="O602" s="161">
        <f t="shared" si="295"/>
      </c>
      <c r="P602" s="161">
        <f t="shared" si="175"/>
      </c>
      <c r="Q602" s="161">
        <f t="shared" si="205"/>
      </c>
      <c r="R602" s="158">
        <f t="shared" si="115"/>
      </c>
      <c r="S602" s="159">
        <f t="shared" si="145"/>
      </c>
      <c r="T602" s="161">
        <f t="shared" si="55"/>
      </c>
      <c r="U602" s="161">
        <f t="shared" si="85"/>
      </c>
      <c r="V602" s="161">
        <f t="shared" si="505"/>
      </c>
      <c r="W602" s="161">
        <f t="shared" si="25"/>
      </c>
      <c r="X602" s="169" t="s">
        <v>107</v>
      </c>
      <c r="Y602" s="163" t="s">
        <v>132</v>
      </c>
      <c r="Z602" s="166">
        <v>77210</v>
      </c>
      <c r="AA602" s="166">
        <v>14070</v>
      </c>
      <c r="AB602" s="166">
        <v>177444</v>
      </c>
      <c r="AC602" s="166">
        <v>513</v>
      </c>
      <c r="AD602" s="165">
        <v>8</v>
      </c>
      <c r="AE602" s="166">
        <v>14166</v>
      </c>
      <c r="AF602" s="166">
        <v>187</v>
      </c>
      <c r="AG602" s="166">
        <v>29</v>
      </c>
      <c r="AH602" s="166">
        <v>1</v>
      </c>
      <c r="AI602" s="167">
        <v>2</v>
      </c>
    </row>
    <row r="603">
      <c r="A603" s="149"/>
      <c r="B603" s="150" t="s">
        <v>118</v>
      </c>
      <c r="C603" s="194" t="s">
        <v>115</v>
      </c>
      <c r="D603" s="171">
        <v>4059.9950000000003</v>
      </c>
      <c r="E603" s="172">
        <v>7</v>
      </c>
      <c r="F603" s="154">
        <f t="shared" si="445"/>
      </c>
      <c r="G603" s="172">
        <v>1553.2000000000044</v>
      </c>
      <c r="H603" s="156">
        <f t="shared" si="475"/>
      </c>
      <c r="I603" s="157">
        <f t="shared" si="385"/>
      </c>
      <c r="J603" s="158">
        <f t="shared" si="415"/>
      </c>
      <c r="K603" s="159">
        <f t="shared" si="325"/>
      </c>
      <c r="L603" s="174">
        <f t="shared" si="355"/>
      </c>
      <c r="M603" s="175">
        <f t="shared" si="235"/>
      </c>
      <c r="N603" s="176">
        <f t="shared" si="265"/>
      </c>
      <c r="O603" s="176">
        <f t="shared" si="295"/>
      </c>
      <c r="P603" s="176">
        <f t="shared" si="175"/>
      </c>
      <c r="Q603" s="176">
        <f t="shared" si="205"/>
      </c>
      <c r="R603" s="175">
        <f t="shared" si="115"/>
      </c>
      <c r="S603" s="177">
        <f t="shared" si="145"/>
      </c>
      <c r="T603" s="176">
        <f t="shared" si="55"/>
      </c>
      <c r="U603" s="176">
        <f t="shared" si="85"/>
      </c>
      <c r="V603" s="176">
        <f t="shared" si="505"/>
      </c>
      <c r="W603" s="176">
        <f t="shared" si="25"/>
      </c>
      <c r="X603" s="169" t="s">
        <v>107</v>
      </c>
      <c r="Y603" s="163" t="s">
        <v>132</v>
      </c>
      <c r="Z603" s="166">
        <v>87661</v>
      </c>
      <c r="AA603" s="166">
        <v>14421</v>
      </c>
      <c r="AB603" s="166">
        <v>184500</v>
      </c>
      <c r="AC603" s="166">
        <v>443</v>
      </c>
      <c r="AD603" s="166">
        <v>7</v>
      </c>
      <c r="AE603" s="166">
        <v>12600</v>
      </c>
      <c r="AF603" s="166">
        <v>173</v>
      </c>
      <c r="AG603" s="166">
        <v>26</v>
      </c>
      <c r="AH603" s="165">
        <v>1</v>
      </c>
      <c r="AI603" s="167">
        <v>2</v>
      </c>
    </row>
    <row r="604">
      <c r="A604" s="149"/>
      <c r="B604" s="150" t="s">
        <v>118</v>
      </c>
      <c r="C604" s="196" t="s">
        <v>116</v>
      </c>
      <c r="D604" s="195">
        <v>3498.02</v>
      </c>
      <c r="E604" s="172">
        <v>2</v>
      </c>
      <c r="F604" s="154">
        <f t="shared" si="445"/>
      </c>
      <c r="G604" s="172">
        <v>382.29999999999563</v>
      </c>
      <c r="H604" s="156">
        <f t="shared" si="475"/>
      </c>
      <c r="I604" s="157">
        <f t="shared" si="385"/>
      </c>
      <c r="J604" s="158">
        <f t="shared" si="415"/>
      </c>
      <c r="K604" s="159">
        <f t="shared" si="325"/>
      </c>
      <c r="L604" s="174">
        <f t="shared" si="355"/>
      </c>
      <c r="M604" s="175">
        <f t="shared" si="235"/>
      </c>
      <c r="N604" s="176">
        <f t="shared" si="265"/>
      </c>
      <c r="O604" s="176">
        <f t="shared" si="295"/>
      </c>
      <c r="P604" s="176">
        <f t="shared" si="175"/>
      </c>
      <c r="Q604" s="176">
        <f t="shared" si="205"/>
      </c>
      <c r="R604" s="175">
        <f t="shared" si="115"/>
      </c>
      <c r="S604" s="177">
        <f t="shared" si="145"/>
      </c>
      <c r="T604" s="176">
        <f t="shared" si="55"/>
      </c>
      <c r="U604" s="176">
        <f t="shared" si="85"/>
      </c>
      <c r="V604" s="176">
        <f t="shared" si="505"/>
      </c>
      <c r="W604" s="176">
        <f t="shared" si="25"/>
      </c>
      <c r="X604" s="169" t="s">
        <v>107</v>
      </c>
      <c r="Y604" s="163" t="s">
        <v>132</v>
      </c>
      <c r="Z604" s="166">
        <v>84078</v>
      </c>
      <c r="AA604" s="166">
        <v>14038</v>
      </c>
      <c r="AB604" s="166">
        <v>163663</v>
      </c>
      <c r="AC604" s="166">
        <v>522</v>
      </c>
      <c r="AD604" s="166">
        <v>2</v>
      </c>
      <c r="AE604" s="166">
        <v>11029</v>
      </c>
      <c r="AF604" s="166">
        <v>138</v>
      </c>
      <c r="AG604" s="166">
        <v>44</v>
      </c>
      <c r="AH604" s="165">
        <v>1</v>
      </c>
      <c r="AI604" s="167">
        <v>1</v>
      </c>
    </row>
    <row r="605">
      <c r="A605" s="149"/>
      <c r="B605" s="178" t="s">
        <v>112</v>
      </c>
      <c r="C605" s="178"/>
      <c r="D605" s="179">
        <f>SUM(D601:D604)</f>
      </c>
      <c r="E605" s="180">
        <f>SUM(E601:E604)</f>
      </c>
      <c r="F605" s="181">
        <f t="shared" si="445"/>
      </c>
      <c r="G605" s="182">
        <f>SUM(G601:G604)</f>
      </c>
      <c r="H605" s="183">
        <f t="shared" si="475"/>
      </c>
      <c r="I605" s="184">
        <f t="shared" si="385"/>
      </c>
      <c r="J605" s="185">
        <f t="shared" si="415"/>
      </c>
      <c r="K605" s="181">
        <f t="shared" si="325"/>
      </c>
      <c r="L605" s="186">
        <f t="shared" si="355"/>
      </c>
      <c r="M605" s="185">
        <f t="shared" si="235"/>
      </c>
      <c r="N605" s="187">
        <f t="shared" si="265"/>
      </c>
      <c r="O605" s="187">
        <f t="shared" si="295"/>
      </c>
      <c r="P605" s="187">
        <f t="shared" si="175"/>
      </c>
      <c r="Q605" s="187">
        <f t="shared" si="205"/>
      </c>
      <c r="R605" s="185">
        <f t="shared" si="115"/>
      </c>
      <c r="S605" s="181">
        <f t="shared" si="145"/>
      </c>
      <c r="T605" s="187">
        <f t="shared" si="55"/>
      </c>
      <c r="U605" s="187">
        <f t="shared" si="85"/>
      </c>
      <c r="V605" s="187">
        <f t="shared" si="505"/>
      </c>
      <c r="W605" s="187">
        <f t="shared" si="25"/>
      </c>
      <c r="X605" s="187"/>
      <c r="Y605" s="188"/>
      <c r="Z605" s="179">
        <f>SUM(Z601:Z604)</f>
      </c>
      <c r="AA605" s="179">
        <f>SUM(AA601:AA604)</f>
      </c>
      <c r="AB605" s="179">
        <f>SUM(AB601:AB604)</f>
      </c>
      <c r="AC605" s="179">
        <f>SUM(AC601:AC604)</f>
      </c>
      <c r="AD605" s="179">
        <f>SUM(AD601:AD604)</f>
      </c>
      <c r="AE605" s="179">
        <f>SUM(AE601:AE604)</f>
      </c>
      <c r="AF605" s="179">
        <f>SUM(AF601:AF604)</f>
      </c>
      <c r="AG605" s="179">
        <f>SUM(AG601:AG604)</f>
      </c>
      <c r="AH605" s="179">
        <f>SUM(AH601:AH604)</f>
      </c>
      <c r="AI605" s="179">
        <f>SUM(AI601:AI604)</f>
      </c>
    </row>
    <row r="606">
      <c r="A606" s="149"/>
      <c r="B606" s="150" t="s">
        <v>130</v>
      </c>
      <c r="C606" s="197" t="s">
        <v>117</v>
      </c>
      <c r="D606" s="171">
        <v>1189.499</v>
      </c>
      <c r="E606" s="172">
        <v>7</v>
      </c>
      <c r="F606" s="154">
        <f t="shared" si="445"/>
      </c>
      <c r="G606" s="172">
        <v>3210.4000000000015</v>
      </c>
      <c r="H606" s="156">
        <f t="shared" si="475"/>
      </c>
      <c r="I606" s="157">
        <f t="shared" si="385"/>
      </c>
      <c r="J606" s="158">
        <f t="shared" si="415"/>
      </c>
      <c r="K606" s="159">
        <f t="shared" si="325"/>
      </c>
      <c r="L606" s="174">
        <f t="shared" si="355"/>
      </c>
      <c r="M606" s="175">
        <f t="shared" si="235"/>
      </c>
      <c r="N606" s="176">
        <f t="shared" si="265"/>
      </c>
      <c r="O606" s="176">
        <f t="shared" si="295"/>
      </c>
      <c r="P606" s="176">
        <f t="shared" si="175"/>
      </c>
      <c r="Q606" s="176">
        <f t="shared" si="205"/>
      </c>
      <c r="R606" s="175">
        <f t="shared" si="115"/>
      </c>
      <c r="S606" s="177">
        <f t="shared" si="145"/>
      </c>
      <c r="T606" s="176">
        <f t="shared" si="55"/>
      </c>
      <c r="U606" s="176">
        <f t="shared" si="85"/>
      </c>
      <c r="V606" s="176">
        <f t="shared" si="505"/>
      </c>
      <c r="W606" s="176">
        <f t="shared" si="25"/>
      </c>
      <c r="X606" s="197" t="s">
        <v>142</v>
      </c>
      <c r="Y606" s="163" t="s">
        <v>132</v>
      </c>
      <c r="Z606" s="166">
        <v>37747</v>
      </c>
      <c r="AA606" s="166">
        <v>5238</v>
      </c>
      <c r="AB606" s="166">
        <v>63680</v>
      </c>
      <c r="AC606" s="166">
        <v>303</v>
      </c>
      <c r="AD606" s="166">
        <v>3</v>
      </c>
      <c r="AE606" s="166">
        <v>4042</v>
      </c>
      <c r="AF606" s="166">
        <v>96</v>
      </c>
      <c r="AG606" s="166">
        <v>12</v>
      </c>
      <c r="AH606" s="165">
        <v>3</v>
      </c>
      <c r="AI606" s="167">
        <v>2</v>
      </c>
    </row>
    <row r="607">
      <c r="A607" s="149"/>
      <c r="B607" s="150" t="s">
        <v>130</v>
      </c>
      <c r="C607" s="194" t="s">
        <v>119</v>
      </c>
      <c r="D607" s="195">
        <v>1879.193</v>
      </c>
      <c r="E607" s="172">
        <v>2</v>
      </c>
      <c r="F607" s="154">
        <f t="shared" si="445"/>
      </c>
      <c r="G607" s="172">
        <v>1024</v>
      </c>
      <c r="H607" s="156">
        <f t="shared" si="475"/>
      </c>
      <c r="I607" s="157">
        <f t="shared" si="385"/>
      </c>
      <c r="J607" s="158">
        <f t="shared" si="415"/>
      </c>
      <c r="K607" s="159">
        <f t="shared" si="325"/>
      </c>
      <c r="L607" s="174">
        <f t="shared" si="355"/>
      </c>
      <c r="M607" s="175">
        <f t="shared" si="235"/>
      </c>
      <c r="N607" s="176">
        <f t="shared" si="265"/>
      </c>
      <c r="O607" s="176">
        <f t="shared" si="295"/>
      </c>
      <c r="P607" s="176">
        <f t="shared" si="175"/>
      </c>
      <c r="Q607" s="176">
        <f t="shared" si="205"/>
      </c>
      <c r="R607" s="175">
        <f t="shared" si="115"/>
      </c>
      <c r="S607" s="177">
        <f t="shared" si="145"/>
      </c>
      <c r="T607" s="176">
        <f t="shared" si="55"/>
      </c>
      <c r="U607" s="176">
        <f t="shared" si="85"/>
      </c>
      <c r="V607" s="176">
        <f t="shared" si="505"/>
      </c>
      <c r="W607" s="176">
        <f t="shared" si="25"/>
      </c>
      <c r="X607" s="197" t="s">
        <v>142</v>
      </c>
      <c r="Y607" s="163" t="s">
        <v>120</v>
      </c>
      <c r="Z607" s="166">
        <v>53455</v>
      </c>
      <c r="AA607" s="166">
        <v>7149</v>
      </c>
      <c r="AB607" s="166">
        <v>99371</v>
      </c>
      <c r="AC607" s="166">
        <v>309</v>
      </c>
      <c r="AD607" s="166">
        <v>2</v>
      </c>
      <c r="AE607" s="166">
        <v>5596</v>
      </c>
      <c r="AF607" s="166">
        <v>103</v>
      </c>
      <c r="AG607" s="166">
        <v>13</v>
      </c>
      <c r="AH607" s="165">
        <v>3</v>
      </c>
      <c r="AI607" s="167">
        <v>0</v>
      </c>
    </row>
    <row r="608">
      <c r="A608" s="149"/>
      <c r="B608" s="150" t="s">
        <v>130</v>
      </c>
      <c r="C608" s="194" t="s">
        <v>121</v>
      </c>
      <c r="D608" s="195">
        <v>3474.3129999999996</v>
      </c>
      <c r="E608" s="172">
        <v>5</v>
      </c>
      <c r="F608" s="154">
        <f t="shared" si="445"/>
      </c>
      <c r="G608" s="172">
        <v>1072.800000000003</v>
      </c>
      <c r="H608" s="156">
        <f t="shared" si="475"/>
      </c>
      <c r="I608" s="157">
        <f t="shared" si="385"/>
      </c>
      <c r="J608" s="158">
        <f t="shared" si="415"/>
      </c>
      <c r="K608" s="159">
        <f t="shared" si="325"/>
      </c>
      <c r="L608" s="174">
        <f t="shared" si="355"/>
      </c>
      <c r="M608" s="175">
        <f t="shared" si="235"/>
      </c>
      <c r="N608" s="176">
        <f t="shared" si="265"/>
      </c>
      <c r="O608" s="176">
        <f t="shared" si="295"/>
      </c>
      <c r="P608" s="176">
        <f t="shared" si="175"/>
      </c>
      <c r="Q608" s="176">
        <f t="shared" si="205"/>
      </c>
      <c r="R608" s="175">
        <f t="shared" si="115"/>
      </c>
      <c r="S608" s="177">
        <f t="shared" si="145"/>
      </c>
      <c r="T608" s="176">
        <f t="shared" si="55"/>
      </c>
      <c r="U608" s="176">
        <f t="shared" si="85"/>
      </c>
      <c r="V608" s="176">
        <f t="shared" si="505"/>
      </c>
      <c r="W608" s="176">
        <f t="shared" si="25"/>
      </c>
      <c r="X608" s="197" t="s">
        <v>142</v>
      </c>
      <c r="Y608" s="163" t="s">
        <v>120</v>
      </c>
      <c r="Z608" s="166">
        <v>94389</v>
      </c>
      <c r="AA608" s="166">
        <v>13645</v>
      </c>
      <c r="AB608" s="166">
        <v>209991</v>
      </c>
      <c r="AC608" s="166">
        <v>502</v>
      </c>
      <c r="AD608" s="166">
        <v>2</v>
      </c>
      <c r="AE608" s="166">
        <v>13077</v>
      </c>
      <c r="AF608" s="166">
        <v>144</v>
      </c>
      <c r="AG608" s="166">
        <v>22</v>
      </c>
      <c r="AH608" s="165">
        <v>5</v>
      </c>
      <c r="AI608" s="167">
        <v>1</v>
      </c>
    </row>
    <row r="609">
      <c r="A609" s="149"/>
      <c r="B609" s="150" t="s">
        <v>130</v>
      </c>
      <c r="C609" s="196" t="s">
        <v>122</v>
      </c>
      <c r="D609" s="195">
        <v>1298.743</v>
      </c>
      <c r="E609" s="172">
        <v>6</v>
      </c>
      <c r="F609" s="154">
        <f t="shared" si="445"/>
      </c>
      <c r="G609" s="172">
        <v>2524.7999999999956</v>
      </c>
      <c r="H609" s="156">
        <f t="shared" si="475"/>
      </c>
      <c r="I609" s="157">
        <f t="shared" si="385"/>
      </c>
      <c r="J609" s="158">
        <f t="shared" si="415"/>
      </c>
      <c r="K609" s="159">
        <f t="shared" si="325"/>
      </c>
      <c r="L609" s="174">
        <f t="shared" si="355"/>
      </c>
      <c r="M609" s="175">
        <f t="shared" si="235"/>
      </c>
      <c r="N609" s="176">
        <f t="shared" si="265"/>
      </c>
      <c r="O609" s="176">
        <f t="shared" si="295"/>
      </c>
      <c r="P609" s="176">
        <f t="shared" si="175"/>
      </c>
      <c r="Q609" s="176">
        <f t="shared" si="205"/>
      </c>
      <c r="R609" s="175">
        <f t="shared" si="115"/>
      </c>
      <c r="S609" s="177">
        <f t="shared" si="145"/>
      </c>
      <c r="T609" s="176">
        <f t="shared" si="55"/>
      </c>
      <c r="U609" s="176">
        <f t="shared" si="85"/>
      </c>
      <c r="V609" s="176">
        <f t="shared" si="505"/>
      </c>
      <c r="W609" s="176">
        <f t="shared" si="25"/>
      </c>
      <c r="X609" s="169" t="s">
        <v>142</v>
      </c>
      <c r="Y609" s="163" t="s">
        <v>120</v>
      </c>
      <c r="Z609" s="166">
        <v>47628</v>
      </c>
      <c r="AA609" s="166">
        <v>4165</v>
      </c>
      <c r="AB609" s="166">
        <v>93494</v>
      </c>
      <c r="AC609" s="166">
        <v>309</v>
      </c>
      <c r="AD609" s="166">
        <v>2</v>
      </c>
      <c r="AE609" s="166">
        <v>5051</v>
      </c>
      <c r="AF609" s="166">
        <v>60</v>
      </c>
      <c r="AG609" s="166">
        <v>16</v>
      </c>
      <c r="AH609" s="165">
        <v>4</v>
      </c>
      <c r="AI609" s="167">
        <v>2</v>
      </c>
    </row>
    <row r="610">
      <c r="A610" s="149"/>
      <c r="B610" s="178" t="s">
        <v>112</v>
      </c>
      <c r="C610" s="178"/>
      <c r="D610" s="179">
        <f>SUM(D606:D609)</f>
      </c>
      <c r="E610" s="180">
        <f>SUM(E606:E609)</f>
      </c>
      <c r="F610" s="181">
        <f t="shared" si="445"/>
      </c>
      <c r="G610" s="182">
        <f>SUM(G606:G609)</f>
      </c>
      <c r="H610" s="183">
        <f t="shared" si="475"/>
      </c>
      <c r="I610" s="184">
        <f t="shared" si="385"/>
      </c>
      <c r="J610" s="185">
        <f t="shared" si="415"/>
      </c>
      <c r="K610" s="181">
        <f t="shared" si="325"/>
      </c>
      <c r="L610" s="186">
        <f t="shared" si="355"/>
      </c>
      <c r="M610" s="185">
        <f t="shared" si="235"/>
      </c>
      <c r="N610" s="187">
        <f t="shared" si="265"/>
      </c>
      <c r="O610" s="187">
        <f t="shared" si="295"/>
      </c>
      <c r="P610" s="187">
        <f t="shared" si="175"/>
      </c>
      <c r="Q610" s="187">
        <f t="shared" si="205"/>
      </c>
      <c r="R610" s="185">
        <f t="shared" si="115"/>
      </c>
      <c r="S610" s="181">
        <f t="shared" si="145"/>
      </c>
      <c r="T610" s="187">
        <f t="shared" si="55"/>
      </c>
      <c r="U610" s="187">
        <f t="shared" si="85"/>
      </c>
      <c r="V610" s="187">
        <f t="shared" si="505"/>
      </c>
      <c r="W610" s="187">
        <f t="shared" si="25"/>
      </c>
      <c r="X610" s="187"/>
      <c r="Y610" s="188"/>
      <c r="Z610" s="179">
        <f>SUM(Z606:Z609)</f>
      </c>
      <c r="AA610" s="179">
        <f>SUM(AA606:AA609)</f>
      </c>
      <c r="AB610" s="179">
        <f>SUM(AB606:AB609)</f>
      </c>
      <c r="AC610" s="179">
        <f>SUM(AC606:AC609)</f>
      </c>
      <c r="AD610" s="179">
        <f>SUM(AD606:AD609)</f>
      </c>
      <c r="AE610" s="179">
        <f>SUM(AE606:AE609)</f>
      </c>
      <c r="AF610" s="179">
        <f>SUM(AF606:AF609)</f>
      </c>
      <c r="AG610" s="179">
        <f>SUM(AG606:AG609)</f>
      </c>
      <c r="AH610" s="179">
        <f>SUM(AH606:AH609)</f>
      </c>
      <c r="AI610" s="179">
        <f>SUM(AI606:AI609)</f>
      </c>
    </row>
    <row r="611">
      <c r="A611" s="149"/>
      <c r="B611" s="150" t="s">
        <v>124</v>
      </c>
      <c r="C611" s="197" t="s">
        <v>123</v>
      </c>
      <c r="D611" s="198">
        <v>368.854</v>
      </c>
      <c r="E611" s="153">
        <v>1</v>
      </c>
      <c r="F611" s="154">
        <f t="shared" si="445"/>
      </c>
      <c r="G611" s="155">
        <v>228</v>
      </c>
      <c r="H611" s="156">
        <f t="shared" si="475"/>
      </c>
      <c r="I611" s="157">
        <f t="shared" si="385"/>
      </c>
      <c r="J611" s="158">
        <f t="shared" si="415"/>
      </c>
      <c r="K611" s="159">
        <f t="shared" si="325"/>
      </c>
      <c r="L611" s="174">
        <f t="shared" si="355"/>
      </c>
      <c r="M611" s="175">
        <f t="shared" si="235"/>
      </c>
      <c r="N611" s="176">
        <f t="shared" si="265"/>
      </c>
      <c r="O611" s="176">
        <f t="shared" si="295"/>
      </c>
      <c r="P611" s="176">
        <f t="shared" si="175"/>
      </c>
      <c r="Q611" s="176">
        <f t="shared" si="205"/>
      </c>
      <c r="R611" s="175">
        <f t="shared" si="115"/>
      </c>
      <c r="S611" s="177">
        <f t="shared" si="145"/>
      </c>
      <c r="T611" s="176">
        <f t="shared" si="55"/>
      </c>
      <c r="U611" s="176">
        <f t="shared" si="85"/>
      </c>
      <c r="V611" s="176">
        <f t="shared" si="505"/>
      </c>
      <c r="W611" s="176">
        <f t="shared" si="25"/>
      </c>
      <c r="X611" s="169" t="s">
        <v>142</v>
      </c>
      <c r="Y611" s="163" t="s">
        <v>120</v>
      </c>
      <c r="Z611" s="166">
        <v>20424</v>
      </c>
      <c r="AA611" s="166">
        <v>1785</v>
      </c>
      <c r="AB611" s="166">
        <v>11587</v>
      </c>
      <c r="AC611" s="199">
        <v>48</v>
      </c>
      <c r="AD611" s="199">
        <v>2</v>
      </c>
      <c r="AE611" s="199">
        <v>697</v>
      </c>
      <c r="AF611" s="199">
        <v>21</v>
      </c>
      <c r="AG611" s="199">
        <v>6</v>
      </c>
      <c r="AH611" s="199">
        <v>3</v>
      </c>
      <c r="AI611" s="167">
        <v>0</v>
      </c>
    </row>
    <row r="612">
      <c r="A612" s="149"/>
      <c r="B612" s="150" t="s">
        <v>124</v>
      </c>
      <c r="C612" s="194" t="s">
        <v>125</v>
      </c>
      <c r="D612" s="198">
        <v>294.579</v>
      </c>
      <c r="E612" s="153">
        <v>0</v>
      </c>
      <c r="F612" s="154">
        <f t="shared" si="445"/>
      </c>
      <c r="G612" s="155">
        <v>0</v>
      </c>
      <c r="H612" s="156">
        <f t="shared" si="475"/>
      </c>
      <c r="I612" s="157">
        <f t="shared" si="385"/>
      </c>
      <c r="J612" s="158">
        <f t="shared" si="415"/>
      </c>
      <c r="K612" s="159">
        <f t="shared" si="325"/>
      </c>
      <c r="L612" s="174">
        <f t="shared" si="355"/>
      </c>
      <c r="M612" s="175">
        <f t="shared" si="235"/>
      </c>
      <c r="N612" s="176">
        <f t="shared" si="265"/>
      </c>
      <c r="O612" s="176">
        <f t="shared" si="295"/>
      </c>
      <c r="P612" s="176">
        <f t="shared" si="175"/>
      </c>
      <c r="Q612" s="176">
        <f t="shared" si="205"/>
      </c>
      <c r="R612" s="175">
        <f t="shared" si="115"/>
      </c>
      <c r="S612" s="177">
        <f t="shared" si="145"/>
      </c>
      <c r="T612" s="176">
        <f t="shared" si="55"/>
      </c>
      <c r="U612" s="176">
        <f t="shared" si="85"/>
      </c>
      <c r="V612" s="176">
        <f t="shared" si="505"/>
      </c>
      <c r="W612" s="176">
        <f t="shared" si="25"/>
      </c>
      <c r="X612" s="169" t="s">
        <v>142</v>
      </c>
      <c r="Y612" s="163" t="s">
        <v>120</v>
      </c>
      <c r="Z612" s="166">
        <v>15363</v>
      </c>
      <c r="AA612" s="166">
        <v>1681</v>
      </c>
      <c r="AB612" s="166">
        <v>10138</v>
      </c>
      <c r="AC612" s="199">
        <v>22</v>
      </c>
      <c r="AD612" s="199">
        <v>0</v>
      </c>
      <c r="AE612" s="199">
        <v>666</v>
      </c>
      <c r="AF612" s="199">
        <v>22</v>
      </c>
      <c r="AG612" s="199">
        <v>0</v>
      </c>
      <c r="AH612" s="199">
        <v>0</v>
      </c>
      <c r="AI612" s="167">
        <v>0</v>
      </c>
    </row>
    <row r="613">
      <c r="A613" s="149"/>
      <c r="B613" s="150" t="s">
        <v>124</v>
      </c>
      <c r="C613" s="194" t="s">
        <v>126</v>
      </c>
      <c r="D613" s="171">
        <v>1952.5629999999999</v>
      </c>
      <c r="E613" s="172">
        <v>3</v>
      </c>
      <c r="F613" s="154">
        <f t="shared" si="445"/>
      </c>
      <c r="G613" s="172">
        <v>610.3000000000029</v>
      </c>
      <c r="H613" s="156">
        <f t="shared" si="475"/>
      </c>
      <c r="I613" s="157">
        <f t="shared" si="385"/>
      </c>
      <c r="J613" s="158">
        <f t="shared" si="415"/>
      </c>
      <c r="K613" s="159">
        <f t="shared" si="325"/>
      </c>
      <c r="L613" s="174">
        <f t="shared" si="355"/>
      </c>
      <c r="M613" s="175">
        <f t="shared" si="235"/>
      </c>
      <c r="N613" s="176">
        <f t="shared" si="265"/>
      </c>
      <c r="O613" s="176">
        <f t="shared" si="295"/>
      </c>
      <c r="P613" s="176">
        <f t="shared" si="175"/>
      </c>
      <c r="Q613" s="176">
        <f t="shared" si="205"/>
      </c>
      <c r="R613" s="175">
        <f t="shared" si="115"/>
      </c>
      <c r="S613" s="177">
        <f t="shared" si="145"/>
      </c>
      <c r="T613" s="176">
        <f t="shared" si="55"/>
      </c>
      <c r="U613" s="176">
        <f t="shared" si="85"/>
      </c>
      <c r="V613" s="176">
        <f t="shared" si="505"/>
      </c>
      <c r="W613" s="176">
        <f t="shared" si="25"/>
      </c>
      <c r="X613" s="169" t="s">
        <v>142</v>
      </c>
      <c r="Y613" s="163" t="s">
        <v>120</v>
      </c>
      <c r="Z613" s="166">
        <v>66014</v>
      </c>
      <c r="AA613" s="166">
        <v>8926</v>
      </c>
      <c r="AB613" s="166">
        <v>130211</v>
      </c>
      <c r="AC613" s="166">
        <v>178</v>
      </c>
      <c r="AD613" s="166">
        <v>3</v>
      </c>
      <c r="AE613" s="166">
        <v>6234</v>
      </c>
      <c r="AF613" s="166">
        <v>84</v>
      </c>
      <c r="AG613" s="166">
        <v>27</v>
      </c>
      <c r="AH613" s="165">
        <v>6</v>
      </c>
      <c r="AI613" s="167">
        <v>0</v>
      </c>
    </row>
    <row r="614">
      <c r="A614" s="149"/>
      <c r="B614" s="150" t="s">
        <v>124</v>
      </c>
      <c r="C614" s="196" t="s">
        <v>127</v>
      </c>
      <c r="D614" s="195">
        <v>5131.148</v>
      </c>
      <c r="E614" s="172">
        <v>16</v>
      </c>
      <c r="F614" s="154">
        <f t="shared" si="445"/>
      </c>
      <c r="G614" s="172">
        <v>6400.800000000003</v>
      </c>
      <c r="H614" s="156">
        <f t="shared" si="475"/>
      </c>
      <c r="I614" s="157">
        <f t="shared" si="385"/>
      </c>
      <c r="J614" s="158">
        <f t="shared" si="415"/>
      </c>
      <c r="K614" s="159">
        <f t="shared" si="325"/>
      </c>
      <c r="L614" s="174">
        <f t="shared" si="355"/>
      </c>
      <c r="M614" s="175">
        <f t="shared" si="235"/>
      </c>
      <c r="N614" s="176">
        <f t="shared" si="265"/>
      </c>
      <c r="O614" s="176">
        <f t="shared" si="295"/>
      </c>
      <c r="P614" s="176">
        <f t="shared" si="175"/>
      </c>
      <c r="Q614" s="176">
        <f t="shared" si="205"/>
      </c>
      <c r="R614" s="175">
        <f t="shared" si="115"/>
      </c>
      <c r="S614" s="177">
        <f t="shared" si="145"/>
      </c>
      <c r="T614" s="176">
        <f t="shared" si="55"/>
      </c>
      <c r="U614" s="176">
        <f t="shared" si="85"/>
      </c>
      <c r="V614" s="176">
        <f t="shared" si="505"/>
      </c>
      <c r="W614" s="176">
        <f t="shared" si="25"/>
      </c>
      <c r="X614" s="169" t="s">
        <v>142</v>
      </c>
      <c r="Y614" s="163" t="s">
        <v>120</v>
      </c>
      <c r="Z614" s="166">
        <v>165793</v>
      </c>
      <c r="AA614" s="166">
        <v>17765</v>
      </c>
      <c r="AB614" s="166">
        <v>344470</v>
      </c>
      <c r="AC614" s="166">
        <v>561</v>
      </c>
      <c r="AD614" s="166">
        <v>9</v>
      </c>
      <c r="AE614" s="166">
        <v>16993</v>
      </c>
      <c r="AF614" s="166">
        <v>144</v>
      </c>
      <c r="AG614" s="166">
        <v>69</v>
      </c>
      <c r="AH614" s="165">
        <v>15</v>
      </c>
      <c r="AI614" s="167">
        <v>3</v>
      </c>
    </row>
    <row r="615">
      <c r="A615" s="149"/>
      <c r="B615" s="150" t="s">
        <v>124</v>
      </c>
      <c r="C615" s="194" t="s">
        <v>128</v>
      </c>
      <c r="D615" s="195">
        <f>1925.991+0.76+0.571</f>
      </c>
      <c r="E615" s="172">
        <v>12</v>
      </c>
      <c r="F615" s="154">
        <f t="shared" si="445"/>
      </c>
      <c r="G615" s="172">
        <v>3801.5999999999985</v>
      </c>
      <c r="H615" s="156">
        <f t="shared" si="475"/>
      </c>
      <c r="I615" s="157">
        <f t="shared" si="385"/>
      </c>
      <c r="J615" s="158">
        <f t="shared" si="415"/>
      </c>
      <c r="K615" s="159">
        <f t="shared" si="325"/>
      </c>
      <c r="L615" s="174">
        <f t="shared" si="355"/>
      </c>
      <c r="M615" s="175">
        <f t="shared" si="235"/>
      </c>
      <c r="N615" s="176">
        <f t="shared" si="265"/>
      </c>
      <c r="O615" s="176">
        <f t="shared" si="295"/>
      </c>
      <c r="P615" s="176">
        <f t="shared" si="175"/>
      </c>
      <c r="Q615" s="176">
        <f t="shared" si="205"/>
      </c>
      <c r="R615" s="175">
        <f t="shared" si="115"/>
      </c>
      <c r="S615" s="177">
        <f t="shared" si="145"/>
      </c>
      <c r="T615" s="176">
        <f t="shared" si="55"/>
      </c>
      <c r="U615" s="176">
        <f t="shared" si="85"/>
      </c>
      <c r="V615" s="176">
        <f t="shared" si="505"/>
      </c>
      <c r="W615" s="176">
        <f t="shared" si="25"/>
      </c>
      <c r="X615" s="169" t="s">
        <v>142</v>
      </c>
      <c r="Y615" s="163" t="s">
        <v>120</v>
      </c>
      <c r="Z615" s="166">
        <v>116403</v>
      </c>
      <c r="AA615" s="166">
        <v>4661</v>
      </c>
      <c r="AB615" s="166">
        <v>134129</v>
      </c>
      <c r="AC615" s="166">
        <v>491</v>
      </c>
      <c r="AD615" s="166">
        <v>9</v>
      </c>
      <c r="AE615" s="166">
        <v>5465</v>
      </c>
      <c r="AF615" s="166">
        <v>77</v>
      </c>
      <c r="AG615" s="166">
        <v>17</v>
      </c>
      <c r="AH615" s="165">
        <v>8</v>
      </c>
      <c r="AI615" s="167">
        <v>2</v>
      </c>
    </row>
    <row r="616">
      <c r="A616" s="149"/>
      <c r="B616" s="178" t="s">
        <v>112</v>
      </c>
      <c r="C616" s="178"/>
      <c r="D616" s="179">
        <f>SUM(D611:D615)</f>
      </c>
      <c r="E616" s="180">
        <f>SUM(E611:E615)</f>
      </c>
      <c r="F616" s="181">
        <f t="shared" si="445"/>
      </c>
      <c r="G616" s="182">
        <f>SUM(G611:G615)</f>
      </c>
      <c r="H616" s="183">
        <f t="shared" si="475"/>
      </c>
      <c r="I616" s="184">
        <f t="shared" si="385"/>
      </c>
      <c r="J616" s="185">
        <f t="shared" si="415"/>
      </c>
      <c r="K616" s="181">
        <f t="shared" si="325"/>
      </c>
      <c r="L616" s="186">
        <f t="shared" si="355"/>
      </c>
      <c r="M616" s="185">
        <f t="shared" si="235"/>
      </c>
      <c r="N616" s="187">
        <f t="shared" si="265"/>
      </c>
      <c r="O616" s="187">
        <f t="shared" si="295"/>
      </c>
      <c r="P616" s="187">
        <f t="shared" si="175"/>
      </c>
      <c r="Q616" s="187">
        <f t="shared" si="205"/>
      </c>
      <c r="R616" s="185">
        <f t="shared" si="115"/>
      </c>
      <c r="S616" s="181">
        <f t="shared" si="145"/>
      </c>
      <c r="T616" s="187">
        <f t="shared" si="55"/>
      </c>
      <c r="U616" s="187">
        <f t="shared" si="85"/>
      </c>
      <c r="V616" s="187">
        <f t="shared" si="505"/>
      </c>
      <c r="W616" s="187">
        <f t="shared" si="25"/>
      </c>
      <c r="X616" s="187"/>
      <c r="Y616" s="188"/>
      <c r="Z616" s="179">
        <f>SUM(Z611:Z615)</f>
      </c>
      <c r="AA616" s="179">
        <f>SUM(AA611:AA615)</f>
      </c>
      <c r="AB616" s="179">
        <f>SUM(AB611:AB615)</f>
      </c>
      <c r="AC616" s="179">
        <f>SUM(AC611:AC615)</f>
      </c>
      <c r="AD616" s="179">
        <f>SUM(AD611:AD615)</f>
      </c>
      <c r="AE616" s="179">
        <f>SUM(AE611:AE615)</f>
      </c>
      <c r="AF616" s="179">
        <f>SUM(AF611:AF615)</f>
      </c>
      <c r="AG616" s="179">
        <f>SUM(AG611:AG615)</f>
      </c>
      <c r="AH616" s="179">
        <f>SUM(AH611:AH615)</f>
      </c>
      <c r="AI616" s="179">
        <f>SUM(AI611:AI615)</f>
      </c>
    </row>
    <row r="617">
      <c r="A617" s="149"/>
      <c r="B617" s="202" t="s">
        <v>129</v>
      </c>
      <c r="C617" s="202"/>
      <c r="D617" s="203">
        <f>SUM(D616+D600+D605+D610)</f>
      </c>
      <c r="E617" s="204">
        <f>SUM(E616+E600+E605+E610)</f>
      </c>
      <c r="F617" s="205">
        <f t="shared" si="445"/>
      </c>
      <c r="G617" s="206">
        <f>SUM(G616+G600+G605+G610)</f>
      </c>
      <c r="H617" s="207">
        <f t="shared" si="475"/>
      </c>
      <c r="I617" s="208">
        <f t="shared" si="385"/>
      </c>
      <c r="J617" s="209">
        <f t="shared" si="415"/>
      </c>
      <c r="K617" s="205">
        <f t="shared" si="325"/>
      </c>
      <c r="L617" s="210">
        <f t="shared" si="355"/>
      </c>
      <c r="M617" s="210">
        <f t="shared" si="235"/>
      </c>
      <c r="N617" s="211">
        <f t="shared" si="265"/>
      </c>
      <c r="O617" s="211">
        <f t="shared" si="295"/>
      </c>
      <c r="P617" s="211">
        <f t="shared" si="175"/>
      </c>
      <c r="Q617" s="211">
        <f t="shared" si="205"/>
      </c>
      <c r="R617" s="212">
        <f t="shared" si="115"/>
      </c>
      <c r="S617" s="213">
        <f t="shared" si="145"/>
      </c>
      <c r="T617" s="214">
        <f t="shared" si="55"/>
      </c>
      <c r="U617" s="214">
        <f t="shared" si="85"/>
      </c>
      <c r="V617" s="214">
        <f t="shared" si="505"/>
      </c>
      <c r="W617" s="214">
        <f t="shared" si="25"/>
      </c>
      <c r="X617" s="214"/>
      <c r="Y617" s="215"/>
      <c r="Z617" s="216">
        <f>SUM(Z600+Z616+Z605+Z610)</f>
      </c>
      <c r="AA617" s="216">
        <f>SUM(AA600+AA616+AA605+AA610)</f>
      </c>
      <c r="AB617" s="216">
        <f>SUM(AB600+AB616+AB605+AB610)</f>
      </c>
      <c r="AC617" s="216">
        <f>SUM(AC600+AC616+AC605+AC610)</f>
      </c>
      <c r="AD617" s="216">
        <f>SUM(AD600+AD616+AD605+AD610)</f>
      </c>
      <c r="AE617" s="216">
        <f>SUM(AE600+AE616+AE605+AE610)</f>
      </c>
      <c r="AF617" s="216">
        <f>SUM(AF600+AF616+AF605+AF610)</f>
      </c>
      <c r="AG617" s="216">
        <f>SUM(AG600+AG616+AG605+AG610)</f>
      </c>
      <c r="AH617" s="216">
        <f>SUM(AH600+AH616+AH605+AH610)</f>
      </c>
      <c r="AI617" s="216">
        <f>SUM(AI600+AI616+AI605+AI610)</f>
      </c>
    </row>
    <row r="618">
      <c r="A618" s="220" t="s">
        <v>70</v>
      </c>
      <c r="B618" s="221" t="s">
        <v>71</v>
      </c>
      <c r="C618" s="135" t="s">
        <v>72</v>
      </c>
      <c r="D618" s="222" t="s">
        <v>73</v>
      </c>
      <c r="E618" s="223" t="s">
        <v>74</v>
      </c>
      <c r="F618" s="224" t="s">
        <v>75</v>
      </c>
      <c r="G618" s="225" t="s">
        <v>76</v>
      </c>
      <c r="H618" s="226" t="s">
        <v>77</v>
      </c>
      <c r="I618" s="227" t="s">
        <v>78</v>
      </c>
      <c r="J618" s="228" t="s">
        <v>79</v>
      </c>
      <c r="K618" s="229" t="s">
        <v>80</v>
      </c>
      <c r="L618" s="230" t="s">
        <v>81</v>
      </c>
      <c r="M618" s="230" t="s">
        <v>82</v>
      </c>
      <c r="N618" s="231" t="s">
        <v>83</v>
      </c>
      <c r="O618" s="231" t="s">
        <v>84</v>
      </c>
      <c r="P618" s="231" t="s">
        <v>85</v>
      </c>
      <c r="Q618" s="231" t="s">
        <v>86</v>
      </c>
      <c r="R618" s="232" t="s">
        <v>87</v>
      </c>
      <c r="S618" s="233" t="s">
        <v>88</v>
      </c>
      <c r="T618" s="234" t="s">
        <v>89</v>
      </c>
      <c r="U618" s="234" t="s">
        <v>90</v>
      </c>
      <c r="V618" s="234" t="s">
        <v>91</v>
      </c>
      <c r="W618" s="234" t="s">
        <v>92</v>
      </c>
      <c r="X618" s="235" t="s">
        <v>93</v>
      </c>
      <c r="Y618" s="143" t="s">
        <v>94</v>
      </c>
      <c r="Z618" s="144" t="s">
        <v>95</v>
      </c>
      <c r="AA618" s="144" t="s">
        <v>96</v>
      </c>
      <c r="AB618" s="144" t="s">
        <v>97</v>
      </c>
      <c r="AC618" s="145" t="s">
        <v>98</v>
      </c>
      <c r="AD618" s="145" t="s">
        <v>99</v>
      </c>
      <c r="AE618" s="146" t="s">
        <v>100</v>
      </c>
      <c r="AF618" s="145" t="s">
        <v>101</v>
      </c>
      <c r="AG618" s="145" t="s">
        <v>102</v>
      </c>
      <c r="AH618" s="147" t="s">
        <v>103</v>
      </c>
      <c r="AI618" s="148" t="s">
        <v>104</v>
      </c>
      <c r="AJ618" s="236"/>
      <c r="AK618" s="236"/>
      <c r="AL618" s="236"/>
      <c r="AM618" s="236"/>
      <c r="AN618" s="236"/>
      <c r="AO618" s="236"/>
    </row>
    <row r="619">
      <c r="A619" s="237">
        <v>46292</v>
      </c>
      <c r="B619" s="217" t="s">
        <v>105</v>
      </c>
      <c r="C619" s="238" t="s">
        <v>135</v>
      </c>
      <c r="D619" s="239">
        <v>836.222</v>
      </c>
      <c r="E619" s="153">
        <v>3</v>
      </c>
      <c r="F619" s="154">
        <f t="shared" ref="F619:F641" si="446">D619/E619</f>
      </c>
      <c r="G619" s="240">
        <v>673.2</v>
      </c>
      <c r="H619" s="156">
        <f t="shared" ref="H619:H641" si="476">AD619</f>
      </c>
      <c r="I619" s="157">
        <f t="shared" ref="I619:I641" si="386">D619/AD619</f>
      </c>
      <c r="J619" s="158">
        <f t="shared" ref="J619:J641" si="416">G619/E619</f>
      </c>
      <c r="K619" s="159">
        <f t="shared" ref="K619:K641" si="326">G619/D619</f>
      </c>
      <c r="L619" s="160">
        <f t="shared" ref="L619:L641" si="356">D619/AB619</f>
      </c>
      <c r="M619" s="158">
        <f t="shared" ref="M619:M641" si="236">D619/AC619</f>
      </c>
      <c r="N619" s="161">
        <f t="shared" ref="N619:N641" si="266">AC619/AB619</f>
      </c>
      <c r="O619" s="161">
        <f t="shared" ref="O619:O641" si="296">AD619/AC619</f>
      </c>
      <c r="P619" s="161">
        <f t="shared" ref="P619:P641" si="176">AA619/Z619</f>
      </c>
      <c r="Q619" s="161">
        <f t="shared" ref="Q619:Q641" si="206">AD619/AA619</f>
      </c>
      <c r="R619" s="158">
        <f t="shared" ref="R619:R641" si="116">D619/Z619*1000</f>
      </c>
      <c r="S619" s="159">
        <f t="shared" ref="S619:S641" si="146">D619/AA619</f>
      </c>
      <c r="T619" s="161">
        <f t="shared" ref="T619:T641" si="56">AE619/AB619</f>
      </c>
      <c r="U619" s="161">
        <f t="shared" ref="U619:U641" si="86">AF619/AB619</f>
      </c>
      <c r="V619" s="161">
        <f t="shared" ref="V619:V641" si="506">AG619/AB619</f>
      </c>
      <c r="W619" s="161">
        <f t="shared" ref="W619:W641" si="26">AH619/AB619</f>
      </c>
      <c r="X619" s="241" t="s">
        <v>107</v>
      </c>
      <c r="Y619" s="162" t="s">
        <v>132</v>
      </c>
      <c r="Z619" s="164">
        <v>27040</v>
      </c>
      <c r="AA619" s="164">
        <v>7437</v>
      </c>
      <c r="AB619" s="164">
        <v>37532</v>
      </c>
      <c r="AC619" s="164">
        <v>219</v>
      </c>
      <c r="AD619" s="166">
        <v>2</v>
      </c>
      <c r="AE619" s="164">
        <v>4173</v>
      </c>
      <c r="AF619" s="166">
        <v>66</v>
      </c>
      <c r="AG619" s="166">
        <v>13</v>
      </c>
      <c r="AH619" s="166">
        <v>2</v>
      </c>
      <c r="AI619" s="167">
        <v>0</v>
      </c>
      <c r="AJ619" s="236"/>
      <c r="AK619" s="236"/>
      <c r="AL619" s="236"/>
      <c r="AM619" s="236"/>
      <c r="AN619" s="236"/>
      <c r="AO619" s="236"/>
    </row>
    <row r="620">
      <c r="A620" s="237"/>
      <c r="B620" s="217" t="s">
        <v>105</v>
      </c>
      <c r="C620" s="238" t="s">
        <v>136</v>
      </c>
      <c r="D620" s="239">
        <v>3359.106</v>
      </c>
      <c r="E620" s="153">
        <v>8</v>
      </c>
      <c r="F620" s="154">
        <f t="shared" si="446"/>
      </c>
      <c r="G620" s="240">
        <v>2402.8</v>
      </c>
      <c r="H620" s="156">
        <f t="shared" si="476"/>
      </c>
      <c r="I620" s="157">
        <f t="shared" si="386"/>
      </c>
      <c r="J620" s="158">
        <f t="shared" si="416"/>
      </c>
      <c r="K620" s="159">
        <f t="shared" si="326"/>
      </c>
      <c r="L620" s="160">
        <f t="shared" si="356"/>
      </c>
      <c r="M620" s="158">
        <f t="shared" si="236"/>
      </c>
      <c r="N620" s="161">
        <f t="shared" si="266"/>
      </c>
      <c r="O620" s="161">
        <f t="shared" si="296"/>
      </c>
      <c r="P620" s="161">
        <f t="shared" si="176"/>
      </c>
      <c r="Q620" s="161">
        <f t="shared" si="206"/>
      </c>
      <c r="R620" s="158">
        <f t="shared" si="116"/>
      </c>
      <c r="S620" s="159">
        <f t="shared" si="146"/>
      </c>
      <c r="T620" s="161">
        <f t="shared" si="56"/>
      </c>
      <c r="U620" s="161">
        <f t="shared" si="86"/>
      </c>
      <c r="V620" s="161">
        <f t="shared" si="506"/>
      </c>
      <c r="W620" s="161">
        <f t="shared" si="26"/>
      </c>
      <c r="X620" s="169" t="s">
        <v>107</v>
      </c>
      <c r="Y620" s="162" t="s">
        <v>132</v>
      </c>
      <c r="Z620" s="166">
        <v>95312</v>
      </c>
      <c r="AA620" s="164">
        <v>21017</v>
      </c>
      <c r="AB620" s="164">
        <v>166335</v>
      </c>
      <c r="AC620" s="164">
        <v>568</v>
      </c>
      <c r="AD620" s="166">
        <v>8</v>
      </c>
      <c r="AE620" s="164">
        <v>16221</v>
      </c>
      <c r="AF620" s="166">
        <v>226</v>
      </c>
      <c r="AG620" s="166">
        <v>56</v>
      </c>
      <c r="AH620" s="166">
        <v>12</v>
      </c>
      <c r="AI620" s="167">
        <v>0</v>
      </c>
      <c r="AJ620" s="236"/>
      <c r="AK620" s="236"/>
      <c r="AL620" s="236"/>
      <c r="AM620" s="236"/>
      <c r="AN620" s="236"/>
      <c r="AO620" s="236"/>
    </row>
    <row r="621">
      <c r="A621" s="237"/>
      <c r="B621" s="217" t="s">
        <v>105</v>
      </c>
      <c r="C621" s="242" t="s">
        <v>106</v>
      </c>
      <c r="D621" s="243">
        <v>3658.204</v>
      </c>
      <c r="E621" s="172">
        <v>10</v>
      </c>
      <c r="F621" s="154">
        <f t="shared" si="446"/>
      </c>
      <c r="G621" s="148">
        <v>3117.88</v>
      </c>
      <c r="H621" s="156">
        <f t="shared" si="476"/>
      </c>
      <c r="I621" s="157">
        <f t="shared" si="386"/>
      </c>
      <c r="J621" s="158">
        <f t="shared" si="416"/>
      </c>
      <c r="K621" s="159">
        <f t="shared" si="326"/>
      </c>
      <c r="L621" s="160">
        <f t="shared" si="356"/>
      </c>
      <c r="M621" s="158">
        <f t="shared" si="236"/>
      </c>
      <c r="N621" s="161">
        <f t="shared" si="266"/>
      </c>
      <c r="O621" s="161">
        <f t="shared" si="296"/>
      </c>
      <c r="P621" s="161">
        <f t="shared" si="176"/>
      </c>
      <c r="Q621" s="161">
        <f t="shared" si="206"/>
      </c>
      <c r="R621" s="158">
        <f t="shared" si="116"/>
      </c>
      <c r="S621" s="159">
        <f t="shared" si="146"/>
      </c>
      <c r="T621" s="161">
        <f t="shared" si="56"/>
      </c>
      <c r="U621" s="161">
        <f t="shared" si="86"/>
      </c>
      <c r="V621" s="161">
        <f t="shared" si="506"/>
      </c>
      <c r="W621" s="161">
        <f t="shared" si="26"/>
      </c>
      <c r="X621" s="169" t="s">
        <v>107</v>
      </c>
      <c r="Y621" s="162" t="s">
        <v>132</v>
      </c>
      <c r="Z621" s="166">
        <v>94345</v>
      </c>
      <c r="AA621" s="166">
        <v>23349</v>
      </c>
      <c r="AB621" s="166">
        <v>161213</v>
      </c>
      <c r="AC621" s="166">
        <v>674</v>
      </c>
      <c r="AD621" s="166">
        <v>8</v>
      </c>
      <c r="AE621" s="166">
        <v>16387</v>
      </c>
      <c r="AF621" s="166">
        <v>311</v>
      </c>
      <c r="AG621" s="166">
        <v>57</v>
      </c>
      <c r="AH621" s="166">
        <v>9</v>
      </c>
      <c r="AI621" s="167">
        <v>4</v>
      </c>
      <c r="AJ621" s="236"/>
      <c r="AK621" s="236"/>
      <c r="AL621" s="236"/>
      <c r="AM621" s="236"/>
      <c r="AN621" s="236"/>
      <c r="AO621" s="236"/>
    </row>
    <row r="622">
      <c r="A622" s="237"/>
      <c r="B622" s="217" t="s">
        <v>105</v>
      </c>
      <c r="C622" s="244" t="s">
        <v>109</v>
      </c>
      <c r="D622" s="243">
        <v>3270.2630000000004</v>
      </c>
      <c r="E622" s="172">
        <v>16</v>
      </c>
      <c r="F622" s="245">
        <f t="shared" si="446"/>
      </c>
      <c r="G622" s="246">
        <v>5269.900000000001</v>
      </c>
      <c r="H622" s="247">
        <f t="shared" si="476"/>
      </c>
      <c r="I622" s="248">
        <f t="shared" si="386"/>
      </c>
      <c r="J622" s="249">
        <f t="shared" si="416"/>
      </c>
      <c r="K622" s="250">
        <f t="shared" si="326"/>
      </c>
      <c r="L622" s="251">
        <f t="shared" si="356"/>
      </c>
      <c r="M622" s="252">
        <f t="shared" si="236"/>
      </c>
      <c r="N622" s="253">
        <f t="shared" si="266"/>
      </c>
      <c r="O622" s="253">
        <f t="shared" si="296"/>
      </c>
      <c r="P622" s="253">
        <f t="shared" si="176"/>
      </c>
      <c r="Q622" s="253">
        <f t="shared" si="206"/>
      </c>
      <c r="R622" s="252">
        <f t="shared" si="116"/>
      </c>
      <c r="S622" s="254">
        <f t="shared" si="146"/>
      </c>
      <c r="T622" s="253">
        <f t="shared" si="56"/>
      </c>
      <c r="U622" s="253">
        <f t="shared" si="86"/>
      </c>
      <c r="V622" s="253">
        <f t="shared" si="506"/>
      </c>
      <c r="W622" s="253">
        <f t="shared" si="26"/>
      </c>
      <c r="X622" s="169" t="s">
        <v>107</v>
      </c>
      <c r="Y622" s="162" t="s">
        <v>132</v>
      </c>
      <c r="Z622" s="164">
        <v>78729</v>
      </c>
      <c r="AA622" s="164">
        <v>18674</v>
      </c>
      <c r="AB622" s="164">
        <v>157577</v>
      </c>
      <c r="AC622" s="164">
        <v>628</v>
      </c>
      <c r="AD622" s="164">
        <v>14</v>
      </c>
      <c r="AE622" s="164">
        <v>15039</v>
      </c>
      <c r="AF622" s="166">
        <v>233</v>
      </c>
      <c r="AG622" s="166">
        <v>27</v>
      </c>
      <c r="AH622" s="166">
        <v>8</v>
      </c>
      <c r="AI622" s="167">
        <v>3</v>
      </c>
      <c r="AJ622" s="236"/>
      <c r="AK622" s="236"/>
      <c r="AL622" s="236"/>
      <c r="AM622" s="236"/>
      <c r="AN622" s="236"/>
      <c r="AO622" s="236"/>
    </row>
    <row r="623">
      <c r="A623" s="237"/>
      <c r="B623" s="217" t="s">
        <v>105</v>
      </c>
      <c r="C623" s="244" t="s">
        <v>110</v>
      </c>
      <c r="D623" s="255">
        <v>2770.52</v>
      </c>
      <c r="E623" s="172">
        <v>7</v>
      </c>
      <c r="F623" s="245">
        <f t="shared" si="446"/>
      </c>
      <c r="G623" s="246">
        <v>2163.999999999998</v>
      </c>
      <c r="H623" s="247">
        <f t="shared" si="476"/>
      </c>
      <c r="I623" s="248">
        <f t="shared" si="386"/>
      </c>
      <c r="J623" s="249">
        <f t="shared" si="416"/>
      </c>
      <c r="K623" s="250">
        <f t="shared" si="326"/>
      </c>
      <c r="L623" s="251">
        <f t="shared" si="356"/>
      </c>
      <c r="M623" s="252">
        <f t="shared" si="236"/>
      </c>
      <c r="N623" s="253">
        <f t="shared" si="266"/>
      </c>
      <c r="O623" s="253">
        <f t="shared" si="296"/>
      </c>
      <c r="P623" s="253">
        <f t="shared" si="176"/>
      </c>
      <c r="Q623" s="253">
        <f t="shared" si="206"/>
      </c>
      <c r="R623" s="252">
        <f t="shared" si="116"/>
      </c>
      <c r="S623" s="254">
        <f t="shared" si="146"/>
      </c>
      <c r="T623" s="253">
        <f t="shared" si="56"/>
      </c>
      <c r="U623" s="253">
        <f t="shared" si="86"/>
      </c>
      <c r="V623" s="253">
        <f t="shared" si="506"/>
      </c>
      <c r="W623" s="253">
        <f t="shared" si="26"/>
      </c>
      <c r="X623" s="169" t="s">
        <v>107</v>
      </c>
      <c r="Y623" s="162" t="s">
        <v>132</v>
      </c>
      <c r="Z623" s="164">
        <v>64072</v>
      </c>
      <c r="AA623" s="164">
        <v>15513</v>
      </c>
      <c r="AB623" s="164">
        <v>143024</v>
      </c>
      <c r="AC623" s="164">
        <v>681</v>
      </c>
      <c r="AD623" s="164">
        <v>7</v>
      </c>
      <c r="AE623" s="164">
        <v>12796</v>
      </c>
      <c r="AF623" s="166">
        <v>176</v>
      </c>
      <c r="AG623" s="166">
        <v>29</v>
      </c>
      <c r="AH623" s="166">
        <v>9</v>
      </c>
      <c r="AI623" s="167">
        <v>1</v>
      </c>
      <c r="AJ623" s="236"/>
      <c r="AK623" s="236"/>
      <c r="AL623" s="236"/>
      <c r="AM623" s="236"/>
      <c r="AN623" s="236"/>
      <c r="AO623" s="236"/>
    </row>
    <row r="624">
      <c r="A624" s="237"/>
      <c r="B624" s="178" t="s">
        <v>112</v>
      </c>
      <c r="C624" s="178"/>
      <c r="D624" s="179">
        <f>SUM(D619:D623)</f>
      </c>
      <c r="E624" s="180">
        <f>SUM(E619:E623)</f>
      </c>
      <c r="F624" s="256">
        <f t="shared" si="446"/>
      </c>
      <c r="G624" s="257">
        <f>SUM(G619:G623)</f>
      </c>
      <c r="H624" s="258">
        <f t="shared" si="476"/>
      </c>
      <c r="I624" s="259">
        <f t="shared" si="386"/>
      </c>
      <c r="J624" s="260">
        <f t="shared" si="416"/>
      </c>
      <c r="K624" s="256">
        <f t="shared" si="326"/>
      </c>
      <c r="L624" s="261">
        <f t="shared" si="356"/>
      </c>
      <c r="M624" s="260">
        <f t="shared" si="236"/>
      </c>
      <c r="N624" s="262">
        <f t="shared" si="266"/>
      </c>
      <c r="O624" s="262">
        <f t="shared" si="296"/>
      </c>
      <c r="P624" s="187">
        <f t="shared" si="176"/>
      </c>
      <c r="Q624" s="187">
        <f t="shared" si="206"/>
      </c>
      <c r="R624" s="185">
        <f t="shared" si="116"/>
      </c>
      <c r="S624" s="181">
        <f t="shared" si="146"/>
      </c>
      <c r="T624" s="187">
        <f t="shared" si="56"/>
      </c>
      <c r="U624" s="187">
        <f t="shared" si="86"/>
      </c>
      <c r="V624" s="187">
        <f t="shared" si="506"/>
      </c>
      <c r="W624" s="187">
        <f t="shared" si="26"/>
      </c>
      <c r="X624" s="187"/>
      <c r="Y624" s="188"/>
      <c r="Z624" s="179">
        <f>SUM(Z619:Z623)</f>
      </c>
      <c r="AA624" s="179">
        <f>SUM(AA619:AA623)</f>
      </c>
      <c r="AB624" s="179">
        <f>SUM(AB619:AB623)</f>
      </c>
      <c r="AC624" s="179">
        <f>SUM(AC619:AC623)</f>
      </c>
      <c r="AD624" s="179">
        <f>SUM(AD619:AD623)</f>
      </c>
      <c r="AE624" s="179">
        <f>SUM(AE619:AE623)</f>
      </c>
      <c r="AF624" s="179">
        <f>SUM(AF619:AF623)</f>
      </c>
      <c r="AG624" s="179">
        <f>SUM(AG619:AG623)</f>
      </c>
      <c r="AH624" s="179">
        <f>SUM(AH619:AH623)</f>
      </c>
      <c r="AI624" s="179">
        <f>SUM(AI619:AI623)</f>
      </c>
      <c r="AJ624" s="236"/>
      <c r="AK624" s="236"/>
      <c r="AL624" s="236"/>
      <c r="AM624" s="236"/>
      <c r="AN624" s="236"/>
      <c r="AO624" s="236"/>
    </row>
    <row r="625">
      <c r="A625" s="237"/>
      <c r="B625" s="217" t="s">
        <v>130</v>
      </c>
      <c r="C625" s="192" t="s">
        <v>111</v>
      </c>
      <c r="D625" s="263">
        <v>3028.997</v>
      </c>
      <c r="E625" s="191">
        <v>6</v>
      </c>
      <c r="F625" s="245">
        <f t="shared" si="446"/>
      </c>
      <c r="G625" s="246">
        <v>2536</v>
      </c>
      <c r="H625" s="247">
        <f t="shared" si="476"/>
      </c>
      <c r="I625" s="248">
        <f t="shared" si="386"/>
      </c>
      <c r="J625" s="249">
        <f t="shared" si="416"/>
      </c>
      <c r="K625" s="250">
        <f t="shared" si="326"/>
      </c>
      <c r="L625" s="264">
        <f t="shared" si="356"/>
      </c>
      <c r="M625" s="158">
        <f t="shared" si="236"/>
      </c>
      <c r="N625" s="161">
        <f t="shared" si="266"/>
      </c>
      <c r="O625" s="161">
        <f t="shared" si="296"/>
      </c>
      <c r="P625" s="161">
        <f t="shared" si="176"/>
      </c>
      <c r="Q625" s="161">
        <f t="shared" si="206"/>
      </c>
      <c r="R625" s="158">
        <f t="shared" si="116"/>
      </c>
      <c r="S625" s="159">
        <f t="shared" si="146"/>
      </c>
      <c r="T625" s="161">
        <f t="shared" si="56"/>
      </c>
      <c r="U625" s="161">
        <f t="shared" si="86"/>
      </c>
      <c r="V625" s="161">
        <f t="shared" si="506"/>
      </c>
      <c r="W625" s="161">
        <f t="shared" si="26"/>
      </c>
      <c r="X625" s="169" t="s">
        <v>107</v>
      </c>
      <c r="Y625" s="162" t="s">
        <v>132</v>
      </c>
      <c r="Z625" s="166">
        <v>67151</v>
      </c>
      <c r="AA625" s="166">
        <v>15787</v>
      </c>
      <c r="AB625" s="166">
        <v>163653</v>
      </c>
      <c r="AC625" s="166">
        <v>627</v>
      </c>
      <c r="AD625" s="166">
        <v>6</v>
      </c>
      <c r="AE625" s="166">
        <v>14262</v>
      </c>
      <c r="AF625" s="166">
        <v>149</v>
      </c>
      <c r="AG625" s="166">
        <v>29</v>
      </c>
      <c r="AH625" s="166">
        <v>9</v>
      </c>
      <c r="AI625" s="167">
        <v>0</v>
      </c>
      <c r="AJ625" s="236"/>
      <c r="AK625" s="236"/>
      <c r="AL625" s="236"/>
      <c r="AM625" s="236"/>
      <c r="AN625" s="236"/>
      <c r="AO625" s="236"/>
    </row>
    <row r="626">
      <c r="A626" s="237"/>
      <c r="B626" s="217" t="s">
        <v>130</v>
      </c>
      <c r="C626" s="193" t="s">
        <v>114</v>
      </c>
      <c r="D626" s="243">
        <v>2894.7169999999996</v>
      </c>
      <c r="E626" s="172">
        <v>3</v>
      </c>
      <c r="F626" s="245">
        <f t="shared" si="446"/>
      </c>
      <c r="G626" s="246">
        <v>1284</v>
      </c>
      <c r="H626" s="247">
        <f t="shared" si="476"/>
      </c>
      <c r="I626" s="248">
        <f t="shared" si="386"/>
      </c>
      <c r="J626" s="249">
        <f t="shared" si="416"/>
      </c>
      <c r="K626" s="250">
        <f t="shared" si="326"/>
      </c>
      <c r="L626" s="264">
        <f t="shared" si="356"/>
      </c>
      <c r="M626" s="158">
        <f t="shared" si="236"/>
      </c>
      <c r="N626" s="161">
        <f t="shared" si="266"/>
      </c>
      <c r="O626" s="161">
        <f t="shared" si="296"/>
      </c>
      <c r="P626" s="161">
        <f t="shared" si="176"/>
      </c>
      <c r="Q626" s="161">
        <f t="shared" si="206"/>
      </c>
      <c r="R626" s="158">
        <f t="shared" si="116"/>
      </c>
      <c r="S626" s="159">
        <f t="shared" si="146"/>
      </c>
      <c r="T626" s="161">
        <f t="shared" si="56"/>
      </c>
      <c r="U626" s="161">
        <f t="shared" si="86"/>
      </c>
      <c r="V626" s="161">
        <f t="shared" si="506"/>
      </c>
      <c r="W626" s="161">
        <f t="shared" si="26"/>
      </c>
      <c r="X626" s="169" t="s">
        <v>107</v>
      </c>
      <c r="Y626" s="162" t="s">
        <v>132</v>
      </c>
      <c r="Z626" s="166">
        <v>71211</v>
      </c>
      <c r="AA626" s="166">
        <v>16246</v>
      </c>
      <c r="AB626" s="166">
        <v>182495</v>
      </c>
      <c r="AC626" s="166">
        <v>781</v>
      </c>
      <c r="AD626" s="166">
        <v>3</v>
      </c>
      <c r="AE626" s="166">
        <v>13189</v>
      </c>
      <c r="AF626" s="166">
        <v>169</v>
      </c>
      <c r="AG626" s="166">
        <v>28</v>
      </c>
      <c r="AH626" s="166">
        <v>5</v>
      </c>
      <c r="AI626" s="167">
        <v>0</v>
      </c>
      <c r="AJ626" s="236"/>
      <c r="AK626" s="236"/>
      <c r="AL626" s="236"/>
      <c r="AM626" s="236"/>
      <c r="AN626" s="236"/>
      <c r="AO626" s="236"/>
    </row>
    <row r="627">
      <c r="A627" s="237"/>
      <c r="B627" s="217" t="s">
        <v>130</v>
      </c>
      <c r="C627" s="196" t="s">
        <v>115</v>
      </c>
      <c r="D627" s="243">
        <v>3630.553</v>
      </c>
      <c r="E627" s="172">
        <v>10</v>
      </c>
      <c r="F627" s="154">
        <f t="shared" si="446"/>
      </c>
      <c r="G627" s="148">
        <v>4009.5999999999985</v>
      </c>
      <c r="H627" s="156">
        <f t="shared" si="476"/>
      </c>
      <c r="I627" s="157">
        <f t="shared" si="386"/>
      </c>
      <c r="J627" s="158">
        <f t="shared" si="416"/>
      </c>
      <c r="K627" s="159">
        <f t="shared" si="326"/>
      </c>
      <c r="L627" s="265">
        <f t="shared" si="356"/>
      </c>
      <c r="M627" s="252">
        <f t="shared" si="236"/>
      </c>
      <c r="N627" s="253">
        <f t="shared" si="266"/>
      </c>
      <c r="O627" s="253">
        <f t="shared" si="296"/>
      </c>
      <c r="P627" s="253">
        <f t="shared" si="176"/>
      </c>
      <c r="Q627" s="253">
        <f t="shared" si="206"/>
      </c>
      <c r="R627" s="252">
        <f t="shared" si="116"/>
      </c>
      <c r="S627" s="254">
        <f t="shared" si="146"/>
      </c>
      <c r="T627" s="253">
        <f t="shared" si="56"/>
      </c>
      <c r="U627" s="253">
        <f t="shared" si="86"/>
      </c>
      <c r="V627" s="253">
        <f t="shared" si="506"/>
      </c>
      <c r="W627" s="253">
        <f t="shared" si="26"/>
      </c>
      <c r="X627" s="169" t="s">
        <v>107</v>
      </c>
      <c r="Y627" s="162" t="s">
        <v>132</v>
      </c>
      <c r="Z627" s="166">
        <v>87574</v>
      </c>
      <c r="AA627" s="166">
        <v>13817</v>
      </c>
      <c r="AB627" s="166">
        <v>230976</v>
      </c>
      <c r="AC627" s="166">
        <v>790</v>
      </c>
      <c r="AD627" s="166">
        <v>8</v>
      </c>
      <c r="AE627" s="166">
        <v>13213</v>
      </c>
      <c r="AF627" s="166">
        <v>251</v>
      </c>
      <c r="AG627" s="166">
        <v>23</v>
      </c>
      <c r="AH627" s="166">
        <v>10</v>
      </c>
      <c r="AI627" s="167">
        <v>1</v>
      </c>
      <c r="AJ627" s="236"/>
      <c r="AK627" s="236"/>
      <c r="AL627" s="236"/>
      <c r="AM627" s="236"/>
      <c r="AN627" s="236"/>
      <c r="AO627" s="236"/>
    </row>
    <row r="628">
      <c r="A628" s="237"/>
      <c r="B628" s="217" t="s">
        <v>130</v>
      </c>
      <c r="C628" s="196" t="s">
        <v>116</v>
      </c>
      <c r="D628" s="255">
        <v>3362.076</v>
      </c>
      <c r="E628" s="172">
        <v>5</v>
      </c>
      <c r="F628" s="154">
        <f t="shared" si="446"/>
      </c>
      <c r="G628" s="148">
        <v>1697.2000000000007</v>
      </c>
      <c r="H628" s="156">
        <f t="shared" si="476"/>
      </c>
      <c r="I628" s="157">
        <f t="shared" si="386"/>
      </c>
      <c r="J628" s="158">
        <f t="shared" si="416"/>
      </c>
      <c r="K628" s="159">
        <f t="shared" si="326"/>
      </c>
      <c r="L628" s="265">
        <f t="shared" si="356"/>
      </c>
      <c r="M628" s="252">
        <f t="shared" si="236"/>
      </c>
      <c r="N628" s="253">
        <f t="shared" si="266"/>
      </c>
      <c r="O628" s="253">
        <f t="shared" si="296"/>
      </c>
      <c r="P628" s="253">
        <f t="shared" si="176"/>
      </c>
      <c r="Q628" s="253">
        <f t="shared" si="206"/>
      </c>
      <c r="R628" s="252">
        <f t="shared" si="116"/>
      </c>
      <c r="S628" s="254">
        <f t="shared" si="146"/>
      </c>
      <c r="T628" s="253">
        <f t="shared" si="56"/>
      </c>
      <c r="U628" s="253">
        <f t="shared" si="86"/>
      </c>
      <c r="V628" s="253">
        <f t="shared" si="506"/>
      </c>
      <c r="W628" s="253">
        <f t="shared" si="26"/>
      </c>
      <c r="X628" s="169" t="s">
        <v>107</v>
      </c>
      <c r="Y628" s="162" t="s">
        <v>132</v>
      </c>
      <c r="Z628" s="166">
        <v>83956</v>
      </c>
      <c r="AA628" s="166">
        <v>12574</v>
      </c>
      <c r="AB628" s="166">
        <v>190647</v>
      </c>
      <c r="AC628" s="166">
        <v>671</v>
      </c>
      <c r="AD628" s="166">
        <v>5</v>
      </c>
      <c r="AE628" s="166">
        <v>11150</v>
      </c>
      <c r="AF628" s="166">
        <v>131</v>
      </c>
      <c r="AG628" s="166">
        <v>27</v>
      </c>
      <c r="AH628" s="166">
        <v>10</v>
      </c>
      <c r="AI628" s="167">
        <v>1</v>
      </c>
      <c r="AJ628" s="236"/>
      <c r="AK628" s="236"/>
      <c r="AL628" s="236"/>
      <c r="AM628" s="236"/>
      <c r="AN628" s="236"/>
      <c r="AO628" s="236"/>
    </row>
    <row r="629">
      <c r="A629" s="237"/>
      <c r="B629" s="178" t="s">
        <v>112</v>
      </c>
      <c r="C629" s="178"/>
      <c r="D629" s="179">
        <f>SUM(D625:D628)</f>
      </c>
      <c r="E629" s="180">
        <f>SUM(E625:E628)</f>
      </c>
      <c r="F629" s="181">
        <f t="shared" si="446"/>
      </c>
      <c r="G629" s="182">
        <f>SUM(G625:G628)</f>
      </c>
      <c r="H629" s="266">
        <f t="shared" si="476"/>
      </c>
      <c r="I629" s="184">
        <f t="shared" si="386"/>
      </c>
      <c r="J629" s="185">
        <f t="shared" si="416"/>
      </c>
      <c r="K629" s="181">
        <f t="shared" si="326"/>
      </c>
      <c r="L629" s="186">
        <f t="shared" si="356"/>
      </c>
      <c r="M629" s="185">
        <f t="shared" si="236"/>
      </c>
      <c r="N629" s="187">
        <f t="shared" si="266"/>
      </c>
      <c r="O629" s="187">
        <f t="shared" si="296"/>
      </c>
      <c r="P629" s="187">
        <f t="shared" si="176"/>
      </c>
      <c r="Q629" s="187">
        <f t="shared" si="206"/>
      </c>
      <c r="R629" s="185">
        <f t="shared" si="116"/>
      </c>
      <c r="S629" s="181">
        <f t="shared" si="146"/>
      </c>
      <c r="T629" s="187">
        <f t="shared" si="56"/>
      </c>
      <c r="U629" s="187">
        <f t="shared" si="86"/>
      </c>
      <c r="V629" s="187">
        <f t="shared" si="506"/>
      </c>
      <c r="W629" s="187">
        <f t="shared" si="26"/>
      </c>
      <c r="X629" s="187"/>
      <c r="Y629" s="188"/>
      <c r="Z629" s="179">
        <f>SUM(Z625:Z628)</f>
      </c>
      <c r="AA629" s="179">
        <f>SUM(AA625:AA628)</f>
      </c>
      <c r="AB629" s="179">
        <f>SUM(AB625:AB628)</f>
      </c>
      <c r="AC629" s="179">
        <f>SUM(AC625:AC628)</f>
      </c>
      <c r="AD629" s="179">
        <f>SUM(AD625:AD628)</f>
      </c>
      <c r="AE629" s="179">
        <f>SUM(AE625:AE628)</f>
      </c>
      <c r="AF629" s="179">
        <f>SUM(AF625:AF628)</f>
      </c>
      <c r="AG629" s="179">
        <f>SUM(AG625:AG628)</f>
      </c>
      <c r="AH629" s="179">
        <f>SUM(AH625:AH628)</f>
      </c>
      <c r="AI629" s="179">
        <f>SUM(AI625:AI628)</f>
      </c>
      <c r="AJ629" s="236"/>
      <c r="AK629" s="236"/>
      <c r="AL629" s="236"/>
      <c r="AM629" s="236"/>
      <c r="AN629" s="236"/>
      <c r="AO629" s="236"/>
    </row>
    <row r="630">
      <c r="A630" s="237"/>
      <c r="B630" s="217" t="s">
        <v>131</v>
      </c>
      <c r="C630" s="169" t="s">
        <v>117</v>
      </c>
      <c r="D630" s="171">
        <v>2919.963</v>
      </c>
      <c r="E630" s="172">
        <v>7</v>
      </c>
      <c r="F630" s="154">
        <f t="shared" si="446"/>
      </c>
      <c r="G630" s="172">
        <v>1585.2</v>
      </c>
      <c r="H630" s="156">
        <f t="shared" si="476"/>
      </c>
      <c r="I630" s="157">
        <f t="shared" si="386"/>
      </c>
      <c r="J630" s="158">
        <f t="shared" si="416"/>
      </c>
      <c r="K630" s="159">
        <f t="shared" si="326"/>
      </c>
      <c r="L630" s="265">
        <f t="shared" si="356"/>
      </c>
      <c r="M630" s="252">
        <f t="shared" si="236"/>
      </c>
      <c r="N630" s="253">
        <f t="shared" si="266"/>
      </c>
      <c r="O630" s="253">
        <f t="shared" si="296"/>
      </c>
      <c r="P630" s="253">
        <f t="shared" si="176"/>
      </c>
      <c r="Q630" s="253">
        <f t="shared" si="206"/>
      </c>
      <c r="R630" s="252">
        <f t="shared" si="116"/>
      </c>
      <c r="S630" s="254">
        <f t="shared" si="146"/>
      </c>
      <c r="T630" s="253">
        <f t="shared" si="56"/>
      </c>
      <c r="U630" s="253">
        <f t="shared" si="86"/>
      </c>
      <c r="V630" s="253">
        <f t="shared" si="506"/>
      </c>
      <c r="W630" s="253">
        <f t="shared" si="26"/>
      </c>
      <c r="X630" s="169" t="s">
        <v>142</v>
      </c>
      <c r="Y630" s="162" t="s">
        <v>132</v>
      </c>
      <c r="Z630" s="166">
        <v>86480</v>
      </c>
      <c r="AA630" s="166">
        <v>12539</v>
      </c>
      <c r="AB630" s="166">
        <v>182946</v>
      </c>
      <c r="AC630" s="166">
        <v>659</v>
      </c>
      <c r="AD630" s="166">
        <v>6</v>
      </c>
      <c r="AE630" s="166">
        <v>11064</v>
      </c>
      <c r="AF630" s="166">
        <v>145</v>
      </c>
      <c r="AG630" s="166">
        <v>34</v>
      </c>
      <c r="AH630" s="166">
        <v>9</v>
      </c>
      <c r="AI630" s="167">
        <v>1</v>
      </c>
      <c r="AJ630" s="236"/>
      <c r="AK630" s="236"/>
      <c r="AL630" s="236"/>
      <c r="AM630" s="236"/>
      <c r="AN630" s="236"/>
      <c r="AO630" s="236"/>
    </row>
    <row r="631">
      <c r="A631" s="237"/>
      <c r="B631" s="217" t="s">
        <v>131</v>
      </c>
      <c r="C631" s="196" t="s">
        <v>119</v>
      </c>
      <c r="D631" s="195">
        <v>2838.631</v>
      </c>
      <c r="E631" s="172">
        <v>3</v>
      </c>
      <c r="F631" s="154">
        <f t="shared" si="446"/>
      </c>
      <c r="G631" s="172">
        <v>673.2</v>
      </c>
      <c r="H631" s="156">
        <f t="shared" si="476"/>
      </c>
      <c r="I631" s="157">
        <f t="shared" si="386"/>
      </c>
      <c r="J631" s="158">
        <f t="shared" si="416"/>
      </c>
      <c r="K631" s="159">
        <f t="shared" si="326"/>
      </c>
      <c r="L631" s="265">
        <f t="shared" si="356"/>
      </c>
      <c r="M631" s="252">
        <f t="shared" si="236"/>
      </c>
      <c r="N631" s="253">
        <f t="shared" si="266"/>
      </c>
      <c r="O631" s="253">
        <f t="shared" si="296"/>
      </c>
      <c r="P631" s="253">
        <f t="shared" si="176"/>
      </c>
      <c r="Q631" s="253">
        <f t="shared" si="206"/>
      </c>
      <c r="R631" s="252">
        <f t="shared" si="116"/>
      </c>
      <c r="S631" s="254">
        <f t="shared" si="146"/>
      </c>
      <c r="T631" s="253">
        <f t="shared" si="56"/>
      </c>
      <c r="U631" s="253">
        <f t="shared" si="86"/>
      </c>
      <c r="V631" s="253">
        <f t="shared" si="506"/>
      </c>
      <c r="W631" s="253">
        <f t="shared" si="26"/>
      </c>
      <c r="X631" s="169" t="s">
        <v>142</v>
      </c>
      <c r="Y631" s="162" t="s">
        <v>137</v>
      </c>
      <c r="Z631" s="166">
        <v>79666</v>
      </c>
      <c r="AA631" s="166">
        <v>11571</v>
      </c>
      <c r="AB631" s="166">
        <v>179473</v>
      </c>
      <c r="AC631" s="166">
        <v>653</v>
      </c>
      <c r="AD631" s="166">
        <v>3</v>
      </c>
      <c r="AE631" s="166">
        <v>11249</v>
      </c>
      <c r="AF631" s="166">
        <v>143</v>
      </c>
      <c r="AG631" s="166">
        <v>26</v>
      </c>
      <c r="AH631" s="166">
        <v>8</v>
      </c>
      <c r="AI631" s="167">
        <v>0</v>
      </c>
      <c r="AJ631" s="236"/>
      <c r="AK631" s="236"/>
      <c r="AL631" s="236"/>
      <c r="AM631" s="236"/>
      <c r="AN631" s="236"/>
      <c r="AO631" s="236"/>
    </row>
    <row r="632">
      <c r="A632" s="237"/>
      <c r="B632" s="217" t="s">
        <v>131</v>
      </c>
      <c r="C632" s="196" t="s">
        <v>121</v>
      </c>
      <c r="D632" s="195">
        <v>1675.308</v>
      </c>
      <c r="E632" s="172">
        <v>6</v>
      </c>
      <c r="F632" s="154">
        <f t="shared" si="446"/>
      </c>
      <c r="G632" s="172">
        <v>1210.8</v>
      </c>
      <c r="H632" s="156">
        <f t="shared" si="476"/>
      </c>
      <c r="I632" s="157">
        <f t="shared" si="386"/>
      </c>
      <c r="J632" s="158">
        <f t="shared" si="416"/>
      </c>
      <c r="K632" s="159">
        <f t="shared" si="326"/>
      </c>
      <c r="L632" s="265">
        <f t="shared" si="356"/>
      </c>
      <c r="M632" s="252">
        <f t="shared" si="236"/>
      </c>
      <c r="N632" s="253">
        <f t="shared" si="266"/>
      </c>
      <c r="O632" s="253">
        <f t="shared" si="296"/>
      </c>
      <c r="P632" s="253">
        <f t="shared" si="176"/>
      </c>
      <c r="Q632" s="253">
        <f t="shared" si="206"/>
      </c>
      <c r="R632" s="252">
        <f t="shared" si="116"/>
      </c>
      <c r="S632" s="254">
        <f t="shared" si="146"/>
      </c>
      <c r="T632" s="253">
        <f t="shared" si="56"/>
      </c>
      <c r="U632" s="253">
        <f t="shared" si="86"/>
      </c>
      <c r="V632" s="253">
        <f t="shared" si="506"/>
      </c>
      <c r="W632" s="253">
        <f t="shared" si="26"/>
      </c>
      <c r="X632" s="169" t="s">
        <v>142</v>
      </c>
      <c r="Y632" s="162" t="s">
        <v>137</v>
      </c>
      <c r="Z632" s="166">
        <v>49174</v>
      </c>
      <c r="AA632" s="166">
        <v>9125</v>
      </c>
      <c r="AB632" s="166">
        <v>103240</v>
      </c>
      <c r="AC632" s="166">
        <v>395</v>
      </c>
      <c r="AD632" s="166">
        <v>6</v>
      </c>
      <c r="AE632" s="166">
        <v>7543</v>
      </c>
      <c r="AF632" s="166">
        <v>114</v>
      </c>
      <c r="AG632" s="166">
        <v>19</v>
      </c>
      <c r="AH632" s="166">
        <v>7</v>
      </c>
      <c r="AI632" s="167">
        <v>1</v>
      </c>
      <c r="AJ632" s="236"/>
      <c r="AK632" s="236"/>
      <c r="AL632" s="236"/>
      <c r="AM632" s="236"/>
      <c r="AN632" s="236"/>
      <c r="AO632" s="236"/>
    </row>
    <row r="633">
      <c r="A633" s="237"/>
      <c r="B633" s="217" t="s">
        <v>131</v>
      </c>
      <c r="C633" s="196" t="s">
        <v>122</v>
      </c>
      <c r="D633" s="195">
        <v>1657.004</v>
      </c>
      <c r="E633" s="172">
        <v>7</v>
      </c>
      <c r="F633" s="154">
        <f t="shared" si="446"/>
      </c>
      <c r="G633" s="172">
        <v>3021.4</v>
      </c>
      <c r="H633" s="156">
        <f t="shared" si="476"/>
      </c>
      <c r="I633" s="157">
        <f t="shared" si="386"/>
      </c>
      <c r="J633" s="158">
        <f t="shared" si="416"/>
      </c>
      <c r="K633" s="159">
        <f t="shared" si="326"/>
      </c>
      <c r="L633" s="265">
        <f t="shared" si="356"/>
      </c>
      <c r="M633" s="252">
        <f t="shared" si="236"/>
      </c>
      <c r="N633" s="253">
        <f t="shared" si="266"/>
      </c>
      <c r="O633" s="253">
        <f t="shared" si="296"/>
      </c>
      <c r="P633" s="253">
        <f t="shared" si="176"/>
      </c>
      <c r="Q633" s="253">
        <f t="shared" si="206"/>
      </c>
      <c r="R633" s="252">
        <f t="shared" si="116"/>
      </c>
      <c r="S633" s="254">
        <f t="shared" si="146"/>
      </c>
      <c r="T633" s="253">
        <f t="shared" si="56"/>
      </c>
      <c r="U633" s="253">
        <f t="shared" si="86"/>
      </c>
      <c r="V633" s="253">
        <f t="shared" si="506"/>
      </c>
      <c r="W633" s="253">
        <f t="shared" si="26"/>
      </c>
      <c r="X633" s="169" t="s">
        <v>142</v>
      </c>
      <c r="Y633" s="162" t="s">
        <v>137</v>
      </c>
      <c r="Z633" s="166">
        <v>48314</v>
      </c>
      <c r="AA633" s="166">
        <v>8063</v>
      </c>
      <c r="AB633" s="166">
        <v>106729</v>
      </c>
      <c r="AC633" s="166">
        <v>289</v>
      </c>
      <c r="AD633" s="166">
        <v>5</v>
      </c>
      <c r="AE633" s="166">
        <v>7120</v>
      </c>
      <c r="AF633" s="166">
        <v>84</v>
      </c>
      <c r="AG633" s="166">
        <v>12</v>
      </c>
      <c r="AH633" s="166">
        <v>4</v>
      </c>
      <c r="AI633" s="167">
        <v>0</v>
      </c>
      <c r="AJ633" s="236"/>
      <c r="AK633" s="236"/>
      <c r="AL633" s="236"/>
      <c r="AM633" s="236"/>
      <c r="AN633" s="236"/>
      <c r="AO633" s="236"/>
    </row>
    <row r="634">
      <c r="A634" s="237"/>
      <c r="B634" s="178" t="s">
        <v>112</v>
      </c>
      <c r="C634" s="178"/>
      <c r="D634" s="179">
        <f>SUM(D630:D633)</f>
      </c>
      <c r="E634" s="180">
        <f>SUM(E630:E633)</f>
      </c>
      <c r="F634" s="181">
        <f t="shared" si="446"/>
      </c>
      <c r="G634" s="182">
        <f>SUM(G630:G633)</f>
      </c>
      <c r="H634" s="266">
        <f t="shared" si="476"/>
      </c>
      <c r="I634" s="184">
        <f t="shared" si="386"/>
      </c>
      <c r="J634" s="185">
        <f t="shared" si="416"/>
      </c>
      <c r="K634" s="181">
        <f t="shared" si="326"/>
      </c>
      <c r="L634" s="186">
        <f t="shared" si="356"/>
      </c>
      <c r="M634" s="185">
        <f t="shared" si="236"/>
      </c>
      <c r="N634" s="187">
        <f t="shared" si="266"/>
      </c>
      <c r="O634" s="187">
        <f t="shared" si="296"/>
      </c>
      <c r="P634" s="187">
        <f t="shared" si="176"/>
      </c>
      <c r="Q634" s="187">
        <f t="shared" si="206"/>
      </c>
      <c r="R634" s="185">
        <f t="shared" si="116"/>
      </c>
      <c r="S634" s="181">
        <f t="shared" si="146"/>
      </c>
      <c r="T634" s="187">
        <f t="shared" si="56"/>
      </c>
      <c r="U634" s="187">
        <f t="shared" si="86"/>
      </c>
      <c r="V634" s="187">
        <f t="shared" si="506"/>
      </c>
      <c r="W634" s="187">
        <f t="shared" si="26"/>
      </c>
      <c r="X634" s="187"/>
      <c r="Y634" s="188"/>
      <c r="Z634" s="179">
        <f>SUM(Z630:Z633)</f>
      </c>
      <c r="AA634" s="179">
        <f>SUM(AA630:AA633)</f>
      </c>
      <c r="AB634" s="179">
        <f>SUM(AB630:AB633)</f>
      </c>
      <c r="AC634" s="179">
        <f>SUM(AC630:AC633)</f>
      </c>
      <c r="AD634" s="179">
        <f>SUM(AD630:AD633)</f>
      </c>
      <c r="AE634" s="179">
        <f>SUM(AE630:AE633)</f>
      </c>
      <c r="AF634" s="179">
        <f>SUM(AF630:AF633)</f>
      </c>
      <c r="AG634" s="179">
        <f>SUM(AG630:AG633)</f>
      </c>
      <c r="AH634" s="179">
        <f>SUM(AH630:AH633)</f>
      </c>
      <c r="AI634" s="179">
        <f>SUM(AI630:AI633)</f>
      </c>
      <c r="AJ634" s="236"/>
      <c r="AK634" s="236"/>
      <c r="AL634" s="236"/>
      <c r="AM634" s="236"/>
      <c r="AN634" s="236"/>
      <c r="AO634" s="236"/>
    </row>
    <row r="635">
      <c r="A635" s="237"/>
      <c r="B635" s="217" t="s">
        <v>118</v>
      </c>
      <c r="C635" s="169" t="s">
        <v>123</v>
      </c>
      <c r="D635" s="198">
        <v>1795.399</v>
      </c>
      <c r="E635" s="153">
        <v>5</v>
      </c>
      <c r="F635" s="154">
        <f t="shared" si="446"/>
      </c>
      <c r="G635" s="155">
        <v>2929.2</v>
      </c>
      <c r="H635" s="156">
        <f t="shared" si="476"/>
      </c>
      <c r="I635" s="157">
        <f t="shared" si="386"/>
      </c>
      <c r="J635" s="158">
        <f t="shared" si="416"/>
      </c>
      <c r="K635" s="159">
        <f t="shared" si="326"/>
      </c>
      <c r="L635" s="265">
        <f t="shared" si="356"/>
      </c>
      <c r="M635" s="252">
        <f t="shared" si="236"/>
      </c>
      <c r="N635" s="253">
        <f t="shared" si="266"/>
      </c>
      <c r="O635" s="253">
        <f t="shared" si="296"/>
      </c>
      <c r="P635" s="253">
        <f t="shared" si="176"/>
      </c>
      <c r="Q635" s="253">
        <f t="shared" si="206"/>
      </c>
      <c r="R635" s="252">
        <f t="shared" si="116"/>
      </c>
      <c r="S635" s="254">
        <f t="shared" si="146"/>
      </c>
      <c r="T635" s="253">
        <f t="shared" si="56"/>
      </c>
      <c r="U635" s="253">
        <f t="shared" si="86"/>
      </c>
      <c r="V635" s="253">
        <f t="shared" si="506"/>
      </c>
      <c r="W635" s="253">
        <f t="shared" si="26"/>
      </c>
      <c r="X635" s="169" t="s">
        <v>142</v>
      </c>
      <c r="Y635" s="162" t="s">
        <v>137</v>
      </c>
      <c r="Z635" s="166">
        <v>57502</v>
      </c>
      <c r="AA635" s="166">
        <v>10227</v>
      </c>
      <c r="AB635" s="166">
        <v>128254</v>
      </c>
      <c r="AC635" s="199">
        <v>369</v>
      </c>
      <c r="AD635" s="199">
        <v>5</v>
      </c>
      <c r="AE635" s="199">
        <v>7033</v>
      </c>
      <c r="AF635" s="199">
        <v>122</v>
      </c>
      <c r="AG635" s="199">
        <v>29</v>
      </c>
      <c r="AH635" s="199">
        <v>6</v>
      </c>
      <c r="AI635" s="167">
        <v>0</v>
      </c>
      <c r="AJ635" s="236"/>
      <c r="AK635" s="236"/>
      <c r="AL635" s="236"/>
      <c r="AM635" s="236"/>
      <c r="AN635" s="236"/>
      <c r="AO635" s="236"/>
    </row>
    <row r="636">
      <c r="A636" s="237"/>
      <c r="B636" s="217" t="s">
        <v>118</v>
      </c>
      <c r="C636" s="196" t="s">
        <v>125</v>
      </c>
      <c r="D636" s="198">
        <v>5750.537</v>
      </c>
      <c r="E636" s="153">
        <v>15</v>
      </c>
      <c r="F636" s="154">
        <f t="shared" si="446"/>
      </c>
      <c r="G636" s="155">
        <v>4442.78</v>
      </c>
      <c r="H636" s="156">
        <f t="shared" si="476"/>
      </c>
      <c r="I636" s="157">
        <f t="shared" si="386"/>
      </c>
      <c r="J636" s="158">
        <f t="shared" si="416"/>
      </c>
      <c r="K636" s="159">
        <f t="shared" si="326"/>
      </c>
      <c r="L636" s="265">
        <f t="shared" si="356"/>
      </c>
      <c r="M636" s="252">
        <f t="shared" si="236"/>
      </c>
      <c r="N636" s="253">
        <f t="shared" si="266"/>
      </c>
      <c r="O636" s="253">
        <f t="shared" si="296"/>
      </c>
      <c r="P636" s="253">
        <f t="shared" si="176"/>
      </c>
      <c r="Q636" s="253">
        <f t="shared" si="206"/>
      </c>
      <c r="R636" s="252">
        <f t="shared" si="116"/>
      </c>
      <c r="S636" s="254">
        <f t="shared" si="146"/>
      </c>
      <c r="T636" s="253">
        <f t="shared" si="56"/>
      </c>
      <c r="U636" s="253">
        <f t="shared" si="86"/>
      </c>
      <c r="V636" s="253">
        <f t="shared" si="506"/>
      </c>
      <c r="W636" s="253">
        <f t="shared" si="26"/>
      </c>
      <c r="X636" s="169" t="s">
        <v>142</v>
      </c>
      <c r="Y636" s="162" t="s">
        <v>137</v>
      </c>
      <c r="Z636" s="166">
        <v>156850</v>
      </c>
      <c r="AA636" s="166">
        <v>20421</v>
      </c>
      <c r="AB636" s="166">
        <v>413520</v>
      </c>
      <c r="AC636" s="199">
        <v>490</v>
      </c>
      <c r="AD636" s="199">
        <v>13</v>
      </c>
      <c r="AE636" s="199">
        <v>19419</v>
      </c>
      <c r="AF636" s="199">
        <v>287</v>
      </c>
      <c r="AG636" s="199">
        <v>58</v>
      </c>
      <c r="AH636" s="199">
        <v>14</v>
      </c>
      <c r="AI636" s="167">
        <v>5</v>
      </c>
      <c r="AJ636" s="236"/>
      <c r="AK636" s="236"/>
      <c r="AL636" s="236"/>
      <c r="AM636" s="236"/>
      <c r="AN636" s="236"/>
      <c r="AO636" s="236"/>
    </row>
    <row r="637">
      <c r="A637" s="237"/>
      <c r="B637" s="217" t="s">
        <v>118</v>
      </c>
      <c r="C637" s="196" t="s">
        <v>126</v>
      </c>
      <c r="D637" s="171">
        <v>3306.831</v>
      </c>
      <c r="E637" s="172">
        <v>12</v>
      </c>
      <c r="F637" s="154">
        <f t="shared" si="446"/>
      </c>
      <c r="G637" s="172">
        <v>6097.2</v>
      </c>
      <c r="H637" s="156">
        <f t="shared" si="476"/>
      </c>
      <c r="I637" s="157">
        <f t="shared" si="386"/>
      </c>
      <c r="J637" s="158">
        <f t="shared" si="416"/>
      </c>
      <c r="K637" s="159">
        <f t="shared" si="326"/>
      </c>
      <c r="L637" s="265">
        <f t="shared" si="356"/>
      </c>
      <c r="M637" s="252">
        <f t="shared" si="236"/>
      </c>
      <c r="N637" s="253">
        <f t="shared" si="266"/>
      </c>
      <c r="O637" s="253">
        <f t="shared" si="296"/>
      </c>
      <c r="P637" s="253">
        <f t="shared" si="176"/>
      </c>
      <c r="Q637" s="253">
        <f t="shared" si="206"/>
      </c>
      <c r="R637" s="252">
        <f t="shared" si="116"/>
      </c>
      <c r="S637" s="254">
        <f t="shared" si="146"/>
      </c>
      <c r="T637" s="253">
        <f t="shared" si="56"/>
      </c>
      <c r="U637" s="253">
        <f t="shared" si="86"/>
      </c>
      <c r="V637" s="253">
        <f t="shared" si="506"/>
      </c>
      <c r="W637" s="253">
        <f t="shared" si="26"/>
      </c>
      <c r="X637" s="169" t="s">
        <v>142</v>
      </c>
      <c r="Y637" s="162" t="s">
        <v>137</v>
      </c>
      <c r="Z637" s="166">
        <v>119738</v>
      </c>
      <c r="AA637" s="166">
        <v>11593</v>
      </c>
      <c r="AB637" s="166">
        <v>228612</v>
      </c>
      <c r="AC637" s="166">
        <v>337</v>
      </c>
      <c r="AD637" s="166">
        <v>8</v>
      </c>
      <c r="AE637" s="166">
        <v>11200</v>
      </c>
      <c r="AF637" s="166">
        <v>113</v>
      </c>
      <c r="AG637" s="166">
        <v>23</v>
      </c>
      <c r="AH637" s="166">
        <v>12</v>
      </c>
      <c r="AI637" s="167">
        <v>1</v>
      </c>
      <c r="AJ637" s="236"/>
      <c r="AK637" s="236"/>
      <c r="AL637" s="236"/>
      <c r="AM637" s="236"/>
      <c r="AN637" s="236"/>
      <c r="AO637" s="236"/>
    </row>
    <row r="638">
      <c r="A638" s="237"/>
      <c r="B638" s="217" t="s">
        <v>118</v>
      </c>
      <c r="C638" s="196" t="s">
        <v>127</v>
      </c>
      <c r="D638" s="195">
        <v>364.02</v>
      </c>
      <c r="E638" s="172">
        <v>9</v>
      </c>
      <c r="F638" s="154">
        <f t="shared" si="446"/>
      </c>
      <c r="G638" s="172">
        <v>2495.9</v>
      </c>
      <c r="H638" s="156">
        <f t="shared" si="476"/>
      </c>
      <c r="I638" s="157">
        <f t="shared" si="386"/>
      </c>
      <c r="J638" s="158">
        <f t="shared" si="416"/>
      </c>
      <c r="K638" s="159">
        <f t="shared" si="326"/>
      </c>
      <c r="L638" s="265">
        <f t="shared" si="356"/>
      </c>
      <c r="M638" s="252">
        <f t="shared" si="236"/>
      </c>
      <c r="N638" s="253">
        <f t="shared" si="266"/>
      </c>
      <c r="O638" s="253">
        <f t="shared" si="296"/>
      </c>
      <c r="P638" s="253">
        <f t="shared" si="176"/>
      </c>
      <c r="Q638" s="253">
        <f t="shared" si="206"/>
      </c>
      <c r="R638" s="252">
        <f t="shared" si="116"/>
      </c>
      <c r="S638" s="254">
        <f t="shared" si="146"/>
      </c>
      <c r="T638" s="253">
        <f t="shared" si="56"/>
      </c>
      <c r="U638" s="253">
        <f t="shared" si="86"/>
      </c>
      <c r="V638" s="253">
        <f t="shared" si="506"/>
      </c>
      <c r="W638" s="253">
        <f t="shared" si="26"/>
      </c>
      <c r="X638" s="169" t="s">
        <v>142</v>
      </c>
      <c r="Y638" s="162" t="s">
        <v>137</v>
      </c>
      <c r="Z638" s="166">
        <v>39922</v>
      </c>
      <c r="AA638" s="166">
        <v>1513</v>
      </c>
      <c r="AB638" s="166">
        <v>11553</v>
      </c>
      <c r="AC638" s="166">
        <v>61</v>
      </c>
      <c r="AD638" s="166">
        <v>6</v>
      </c>
      <c r="AE638" s="166">
        <v>549</v>
      </c>
      <c r="AF638" s="166">
        <v>26</v>
      </c>
      <c r="AG638" s="166">
        <v>6</v>
      </c>
      <c r="AH638" s="166">
        <v>3</v>
      </c>
      <c r="AI638" s="167">
        <v>2</v>
      </c>
      <c r="AJ638" s="236"/>
      <c r="AK638" s="236"/>
      <c r="AL638" s="236"/>
      <c r="AM638" s="236"/>
      <c r="AN638" s="236"/>
      <c r="AO638" s="236"/>
    </row>
    <row r="639">
      <c r="A639" s="237"/>
      <c r="B639" s="217" t="s">
        <v>118</v>
      </c>
      <c r="C639" s="196" t="s">
        <v>128</v>
      </c>
      <c r="D639" s="195">
        <f>2574.136+0.993</f>
      </c>
      <c r="E639" s="172">
        <v>0</v>
      </c>
      <c r="F639" s="154">
        <f t="shared" si="446"/>
      </c>
      <c r="G639" s="172">
        <v>0</v>
      </c>
      <c r="H639" s="156">
        <f t="shared" si="476"/>
      </c>
      <c r="I639" s="157">
        <f t="shared" si="386"/>
      </c>
      <c r="J639" s="158">
        <f t="shared" si="416"/>
      </c>
      <c r="K639" s="159">
        <f t="shared" si="326"/>
      </c>
      <c r="L639" s="265">
        <f t="shared" si="356"/>
      </c>
      <c r="M639" s="252">
        <f t="shared" si="236"/>
      </c>
      <c r="N639" s="253">
        <f t="shared" si="266"/>
      </c>
      <c r="O639" s="253">
        <f t="shared" si="296"/>
      </c>
      <c r="P639" s="253">
        <f t="shared" si="176"/>
      </c>
      <c r="Q639" s="253">
        <f t="shared" si="206"/>
      </c>
      <c r="R639" s="252">
        <f t="shared" si="116"/>
      </c>
      <c r="S639" s="254">
        <f t="shared" si="146"/>
      </c>
      <c r="T639" s="253">
        <f t="shared" si="56"/>
      </c>
      <c r="U639" s="253">
        <f t="shared" si="86"/>
      </c>
      <c r="V639" s="253">
        <f t="shared" si="506"/>
      </c>
      <c r="W639" s="253">
        <f t="shared" si="26"/>
      </c>
      <c r="X639" s="169" t="s">
        <v>142</v>
      </c>
      <c r="Y639" s="162" t="s">
        <v>137</v>
      </c>
      <c r="Z639" s="166">
        <v>103683</v>
      </c>
      <c r="AA639" s="166">
        <v>8443</v>
      </c>
      <c r="AB639" s="166">
        <v>239242</v>
      </c>
      <c r="AC639" s="166">
        <v>386</v>
      </c>
      <c r="AD639" s="166">
        <v>0</v>
      </c>
      <c r="AE639" s="166">
        <v>8903</v>
      </c>
      <c r="AF639" s="166">
        <v>52</v>
      </c>
      <c r="AG639" s="166">
        <v>33</v>
      </c>
      <c r="AH639" s="166">
        <v>9</v>
      </c>
      <c r="AI639" s="167">
        <v>0</v>
      </c>
      <c r="AJ639" s="236"/>
      <c r="AK639" s="236"/>
      <c r="AL639" s="236"/>
      <c r="AM639" s="236"/>
      <c r="AN639" s="236"/>
      <c r="AO639" s="236"/>
    </row>
    <row r="640">
      <c r="A640" s="237"/>
      <c r="B640" s="178" t="s">
        <v>112</v>
      </c>
      <c r="C640" s="178"/>
      <c r="D640" s="179">
        <f>SUM(D635:D639)</f>
      </c>
      <c r="E640" s="180">
        <f>SUM(E635:E639)</f>
      </c>
      <c r="F640" s="181">
        <f t="shared" si="446"/>
      </c>
      <c r="G640" s="182">
        <f>SUM(G635:G639)</f>
      </c>
      <c r="H640" s="266">
        <f t="shared" si="476"/>
      </c>
      <c r="I640" s="184">
        <f t="shared" si="386"/>
      </c>
      <c r="J640" s="185">
        <f t="shared" si="416"/>
      </c>
      <c r="K640" s="181">
        <f t="shared" si="326"/>
      </c>
      <c r="L640" s="186">
        <f t="shared" si="356"/>
      </c>
      <c r="M640" s="185">
        <f t="shared" si="236"/>
      </c>
      <c r="N640" s="187">
        <f t="shared" si="266"/>
      </c>
      <c r="O640" s="187">
        <f t="shared" si="296"/>
      </c>
      <c r="P640" s="187">
        <f t="shared" si="176"/>
      </c>
      <c r="Q640" s="187">
        <f t="shared" si="206"/>
      </c>
      <c r="R640" s="185">
        <f t="shared" si="116"/>
      </c>
      <c r="S640" s="181">
        <f t="shared" si="146"/>
      </c>
      <c r="T640" s="187">
        <f t="shared" si="56"/>
      </c>
      <c r="U640" s="187">
        <f t="shared" si="86"/>
      </c>
      <c r="V640" s="187">
        <f t="shared" si="506"/>
      </c>
      <c r="W640" s="187">
        <f t="shared" si="26"/>
      </c>
      <c r="X640" s="187"/>
      <c r="Y640" s="188"/>
      <c r="Z640" s="179">
        <f>SUM(Z635:Z639)</f>
      </c>
      <c r="AA640" s="179">
        <f>SUM(AA635:AA639)</f>
      </c>
      <c r="AB640" s="179">
        <f>SUM(AB635:AB639)</f>
      </c>
      <c r="AC640" s="179">
        <f>SUM(AC635:AC639)</f>
      </c>
      <c r="AD640" s="179">
        <f>SUM(AD635:AD639)</f>
      </c>
      <c r="AE640" s="179">
        <f>SUM(AE635:AE639)</f>
      </c>
      <c r="AF640" s="179">
        <f>SUM(AF635:AF639)</f>
      </c>
      <c r="AG640" s="179">
        <f>SUM(AG635:AG639)</f>
      </c>
      <c r="AH640" s="179">
        <f>SUM(AH635:AH639)</f>
      </c>
      <c r="AI640" s="179">
        <f>SUM(AI635:AI639)</f>
      </c>
      <c r="AJ640" s="236"/>
      <c r="AK640" s="236"/>
      <c r="AL640" s="236"/>
      <c r="AM640" s="236"/>
      <c r="AN640" s="236"/>
      <c r="AO640" s="236"/>
    </row>
    <row r="641">
      <c r="A641" s="237"/>
      <c r="B641" s="202" t="s">
        <v>129</v>
      </c>
      <c r="C641" s="202"/>
      <c r="D641" s="203">
        <f>SUM(D640+D624+D629+D634)</f>
      </c>
      <c r="E641" s="204">
        <f>SUM(E640+E624+E629+E634)</f>
      </c>
      <c r="F641" s="205">
        <f t="shared" si="446"/>
      </c>
      <c r="G641" s="206">
        <f>SUM(G640+G624+G629+G634)</f>
      </c>
      <c r="H641" s="267">
        <f t="shared" si="476"/>
      </c>
      <c r="I641" s="208">
        <f t="shared" si="386"/>
      </c>
      <c r="J641" s="209">
        <f t="shared" si="416"/>
      </c>
      <c r="K641" s="205">
        <f t="shared" si="326"/>
      </c>
      <c r="L641" s="210">
        <f t="shared" si="356"/>
      </c>
      <c r="M641" s="210">
        <f t="shared" si="236"/>
      </c>
      <c r="N641" s="211">
        <f t="shared" si="266"/>
      </c>
      <c r="O641" s="211">
        <f t="shared" si="296"/>
      </c>
      <c r="P641" s="211">
        <f t="shared" si="176"/>
      </c>
      <c r="Q641" s="211">
        <f t="shared" si="206"/>
      </c>
      <c r="R641" s="212">
        <f t="shared" si="116"/>
      </c>
      <c r="S641" s="213">
        <f t="shared" si="146"/>
      </c>
      <c r="T641" s="214">
        <f t="shared" si="56"/>
      </c>
      <c r="U641" s="214">
        <f t="shared" si="86"/>
      </c>
      <c r="V641" s="214">
        <f t="shared" si="506"/>
      </c>
      <c r="W641" s="214">
        <f t="shared" si="26"/>
      </c>
      <c r="X641" s="214"/>
      <c r="Y641" s="215"/>
      <c r="Z641" s="216">
        <f>SUM(Z624+Z640+Z629+Z634)</f>
      </c>
      <c r="AA641" s="216">
        <f>SUM(AA624+AA640+AA629+AA634)</f>
      </c>
      <c r="AB641" s="216">
        <f>SUM(AB624+AB640+AB629+AB634)</f>
      </c>
      <c r="AC641" s="216">
        <f>SUM(AC624+AC640+AC629+AC634)</f>
      </c>
      <c r="AD641" s="216">
        <f>SUM(AD624+AD640+AD629+AD634)</f>
      </c>
      <c r="AE641" s="216">
        <f>SUM(AE624+AE640+AE629+AE634)</f>
      </c>
      <c r="AF641" s="216">
        <f>SUM(AF624+AF640+AF629+AF634)</f>
      </c>
      <c r="AG641" s="216">
        <f>SUM(AG624+AG640+AG629+AG634)</f>
      </c>
      <c r="AH641" s="216">
        <f>SUM(AH624+AH640+AH629+AH634)</f>
      </c>
      <c r="AI641" s="216">
        <f>SUM(AI624+AI640+AI629+AI634)</f>
      </c>
      <c r="AJ641" s="236"/>
      <c r="AK641" s="236"/>
      <c r="AL641" s="236"/>
      <c r="AM641" s="236"/>
      <c r="AN641" s="236"/>
      <c r="AO641" s="236"/>
    </row>
    <row r="642">
      <c r="A642" s="220" t="s">
        <v>70</v>
      </c>
      <c r="B642" s="221" t="s">
        <v>71</v>
      </c>
      <c r="C642" s="135" t="s">
        <v>72</v>
      </c>
      <c r="D642" s="222" t="s">
        <v>73</v>
      </c>
      <c r="E642" s="223" t="s">
        <v>74</v>
      </c>
      <c r="F642" s="224" t="s">
        <v>75</v>
      </c>
      <c r="G642" s="225" t="s">
        <v>76</v>
      </c>
      <c r="H642" s="226" t="s">
        <v>77</v>
      </c>
      <c r="I642" s="227" t="s">
        <v>78</v>
      </c>
      <c r="J642" s="228" t="s">
        <v>79</v>
      </c>
      <c r="K642" s="229" t="s">
        <v>80</v>
      </c>
      <c r="L642" s="230" t="s">
        <v>81</v>
      </c>
      <c r="M642" s="230" t="s">
        <v>82</v>
      </c>
      <c r="N642" s="231" t="s">
        <v>83</v>
      </c>
      <c r="O642" s="231" t="s">
        <v>84</v>
      </c>
      <c r="P642" s="231" t="s">
        <v>85</v>
      </c>
      <c r="Q642" s="231" t="s">
        <v>86</v>
      </c>
      <c r="R642" s="232" t="s">
        <v>87</v>
      </c>
      <c r="S642" s="233" t="s">
        <v>88</v>
      </c>
      <c r="T642" s="234" t="s">
        <v>89</v>
      </c>
      <c r="U642" s="234" t="s">
        <v>90</v>
      </c>
      <c r="V642" s="234" t="s">
        <v>91</v>
      </c>
      <c r="W642" s="234" t="s">
        <v>92</v>
      </c>
      <c r="X642" s="235" t="s">
        <v>93</v>
      </c>
      <c r="Y642" s="143" t="s">
        <v>94</v>
      </c>
      <c r="Z642" s="144" t="s">
        <v>95</v>
      </c>
      <c r="AA642" s="144" t="s">
        <v>96</v>
      </c>
      <c r="AB642" s="144" t="s">
        <v>97</v>
      </c>
      <c r="AC642" s="145" t="s">
        <v>98</v>
      </c>
      <c r="AD642" s="145" t="s">
        <v>99</v>
      </c>
      <c r="AE642" s="146" t="s">
        <v>100</v>
      </c>
      <c r="AF642" s="145" t="s">
        <v>101</v>
      </c>
      <c r="AG642" s="145" t="s">
        <v>102</v>
      </c>
      <c r="AH642" s="147" t="s">
        <v>103</v>
      </c>
      <c r="AI642" s="148" t="s">
        <v>104</v>
      </c>
      <c r="AJ642" s="236"/>
      <c r="AK642" s="236"/>
      <c r="AL642" s="236"/>
      <c r="AM642" s="236"/>
      <c r="AN642" s="236"/>
      <c r="AO642" s="236"/>
    </row>
    <row r="643">
      <c r="A643" s="268">
        <v>46293</v>
      </c>
      <c r="B643" s="217" t="s">
        <v>105</v>
      </c>
      <c r="C643" s="238" t="s">
        <v>135</v>
      </c>
      <c r="D643" s="239">
        <v>306.326</v>
      </c>
      <c r="E643" s="153">
        <v>2</v>
      </c>
      <c r="F643" s="154">
        <f t="shared" ref="F643:F665" si="447">D643/E643</f>
      </c>
      <c r="G643" s="240">
        <v>456</v>
      </c>
      <c r="H643" s="156">
        <f t="shared" ref="H643:H665" si="477">AD643</f>
      </c>
      <c r="I643" s="157">
        <f t="shared" ref="I643:I665" si="387">D643/AD643</f>
      </c>
      <c r="J643" s="158">
        <f t="shared" ref="J643:J665" si="417">G643/E643</f>
      </c>
      <c r="K643" s="159">
        <f t="shared" ref="K643:K665" si="327">G643/D643</f>
      </c>
      <c r="L643" s="160">
        <f t="shared" ref="L643:L665" si="357">D643/AB643</f>
      </c>
      <c r="M643" s="158">
        <f t="shared" ref="M643:M665" si="237">D643/AC643</f>
      </c>
      <c r="N643" s="161">
        <f t="shared" ref="N643:N665" si="267">AC643/AB643</f>
      </c>
      <c r="O643" s="161">
        <f t="shared" ref="O643:O665" si="297">AD643/AC643</f>
      </c>
      <c r="P643" s="161">
        <f t="shared" ref="P643:P665" si="177">AA643/Z643</f>
      </c>
      <c r="Q643" s="161">
        <f t="shared" ref="Q643:Q665" si="207">AD643/AA643</f>
      </c>
      <c r="R643" s="158">
        <f t="shared" ref="R643:R665" si="117">D643/Z643*1000</f>
      </c>
      <c r="S643" s="159">
        <f t="shared" ref="S643:S665" si="147">D643/AA643</f>
      </c>
      <c r="T643" s="161">
        <f t="shared" ref="T643:T665" si="57">AE643/AB643</f>
      </c>
      <c r="U643" s="161">
        <f t="shared" ref="U643:U665" si="87">AF643/AB643</f>
      </c>
      <c r="V643" s="161">
        <f t="shared" ref="V643:V665" si="507">AG643/AB643</f>
      </c>
      <c r="W643" s="161">
        <f t="shared" ref="W643:W665" si="27">AH643/AB643</f>
      </c>
      <c r="X643" s="241" t="s">
        <v>107</v>
      </c>
      <c r="Y643" s="163" t="s">
        <v>120</v>
      </c>
      <c r="Z643" s="164">
        <v>14736</v>
      </c>
      <c r="AA643" s="164">
        <v>2404</v>
      </c>
      <c r="AB643" s="164">
        <v>9659</v>
      </c>
      <c r="AC643" s="164">
        <v>82</v>
      </c>
      <c r="AD643" s="166">
        <v>1</v>
      </c>
      <c r="AE643" s="164">
        <v>1261</v>
      </c>
      <c r="AF643" s="166">
        <v>40</v>
      </c>
      <c r="AG643" s="166">
        <v>10</v>
      </c>
      <c r="AH643" s="166">
        <v>0</v>
      </c>
      <c r="AI643" s="167">
        <v>0</v>
      </c>
      <c r="AJ643" s="236"/>
      <c r="AK643" s="236"/>
      <c r="AL643" s="236"/>
      <c r="AM643" s="236"/>
      <c r="AN643" s="236"/>
      <c r="AO643" s="236"/>
    </row>
    <row r="644">
      <c r="A644" s="237"/>
      <c r="B644" s="217" t="s">
        <v>105</v>
      </c>
      <c r="C644" s="238" t="s">
        <v>136</v>
      </c>
      <c r="D644" s="239">
        <v>631.932</v>
      </c>
      <c r="E644" s="153">
        <v>1</v>
      </c>
      <c r="F644" s="154">
        <f t="shared" si="447"/>
      </c>
      <c r="G644" s="240">
        <v>217.20000000000005</v>
      </c>
      <c r="H644" s="156">
        <f t="shared" si="477"/>
      </c>
      <c r="I644" s="157">
        <f t="shared" si="387"/>
      </c>
      <c r="J644" s="158">
        <f t="shared" si="417"/>
      </c>
      <c r="K644" s="159">
        <f t="shared" si="327"/>
      </c>
      <c r="L644" s="160">
        <f t="shared" si="357"/>
      </c>
      <c r="M644" s="158">
        <f t="shared" si="237"/>
      </c>
      <c r="N644" s="161">
        <f t="shared" si="267"/>
      </c>
      <c r="O644" s="161">
        <f t="shared" si="297"/>
      </c>
      <c r="P644" s="161">
        <f t="shared" si="177"/>
      </c>
      <c r="Q644" s="161">
        <f t="shared" si="207"/>
      </c>
      <c r="R644" s="158">
        <f t="shared" si="117"/>
      </c>
      <c r="S644" s="159">
        <f t="shared" si="147"/>
      </c>
      <c r="T644" s="161">
        <f t="shared" si="57"/>
      </c>
      <c r="U644" s="161">
        <f t="shared" si="87"/>
      </c>
      <c r="V644" s="161">
        <f t="shared" si="507"/>
      </c>
      <c r="W644" s="161">
        <f t="shared" si="27"/>
      </c>
      <c r="X644" s="169" t="s">
        <v>107</v>
      </c>
      <c r="Y644" s="163" t="s">
        <v>120</v>
      </c>
      <c r="Z644" s="166">
        <v>35624</v>
      </c>
      <c r="AA644" s="164">
        <v>3784</v>
      </c>
      <c r="AB644" s="164">
        <v>16554</v>
      </c>
      <c r="AC644" s="164">
        <v>77</v>
      </c>
      <c r="AD644" s="166">
        <v>1</v>
      </c>
      <c r="AE644" s="164">
        <v>2061</v>
      </c>
      <c r="AF644" s="166">
        <v>78</v>
      </c>
      <c r="AG644" s="166">
        <v>7</v>
      </c>
      <c r="AH644" s="166">
        <v>4</v>
      </c>
      <c r="AI644" s="167">
        <v>0</v>
      </c>
      <c r="AJ644" s="236"/>
      <c r="AK644" s="236"/>
      <c r="AL644" s="236"/>
      <c r="AM644" s="236"/>
      <c r="AN644" s="236"/>
      <c r="AO644" s="236"/>
    </row>
    <row r="645">
      <c r="A645" s="237"/>
      <c r="B645" s="217" t="s">
        <v>105</v>
      </c>
      <c r="C645" s="242" t="s">
        <v>106</v>
      </c>
      <c r="D645" s="243">
        <v>1301.502</v>
      </c>
      <c r="E645" s="172">
        <v>3</v>
      </c>
      <c r="F645" s="154">
        <f t="shared" si="447"/>
      </c>
      <c r="G645" s="148">
        <v>1851.9999999999998</v>
      </c>
      <c r="H645" s="156">
        <f t="shared" si="477"/>
      </c>
      <c r="I645" s="157">
        <f t="shared" si="387"/>
      </c>
      <c r="J645" s="158">
        <f t="shared" si="417"/>
      </c>
      <c r="K645" s="159">
        <f t="shared" si="327"/>
      </c>
      <c r="L645" s="160">
        <f t="shared" si="357"/>
      </c>
      <c r="M645" s="158">
        <f t="shared" si="237"/>
      </c>
      <c r="N645" s="161">
        <f t="shared" si="267"/>
      </c>
      <c r="O645" s="161">
        <f t="shared" si="297"/>
      </c>
      <c r="P645" s="161">
        <f t="shared" si="177"/>
      </c>
      <c r="Q645" s="161">
        <f t="shared" si="207"/>
      </c>
      <c r="R645" s="158">
        <f t="shared" si="117"/>
      </c>
      <c r="S645" s="159">
        <f t="shared" si="147"/>
      </c>
      <c r="T645" s="161">
        <f t="shared" si="57"/>
      </c>
      <c r="U645" s="161">
        <f t="shared" si="87"/>
      </c>
      <c r="V645" s="161">
        <f t="shared" si="507"/>
      </c>
      <c r="W645" s="161">
        <f t="shared" si="27"/>
      </c>
      <c r="X645" s="169" t="s">
        <v>107</v>
      </c>
      <c r="Y645" s="163" t="s">
        <v>120</v>
      </c>
      <c r="Z645" s="166">
        <v>33396</v>
      </c>
      <c r="AA645" s="166">
        <v>9200</v>
      </c>
      <c r="AB645" s="166">
        <v>59996</v>
      </c>
      <c r="AC645" s="166">
        <v>252</v>
      </c>
      <c r="AD645" s="166">
        <v>3</v>
      </c>
      <c r="AE645" s="166">
        <v>6106</v>
      </c>
      <c r="AF645" s="166">
        <v>114</v>
      </c>
      <c r="AG645" s="166">
        <v>17</v>
      </c>
      <c r="AH645" s="166">
        <v>1</v>
      </c>
      <c r="AI645" s="167">
        <v>0</v>
      </c>
      <c r="AJ645" s="236"/>
      <c r="AK645" s="236"/>
      <c r="AL645" s="236"/>
      <c r="AM645" s="236"/>
      <c r="AN645" s="236"/>
      <c r="AO645" s="236"/>
    </row>
    <row r="646">
      <c r="A646" s="237"/>
      <c r="B646" s="217" t="s">
        <v>105</v>
      </c>
      <c r="C646" s="244" t="s">
        <v>109</v>
      </c>
      <c r="D646" s="243">
        <v>4244.902</v>
      </c>
      <c r="E646" s="172">
        <v>13</v>
      </c>
      <c r="F646" s="245">
        <f t="shared" si="447"/>
      </c>
      <c r="G646" s="246">
        <v>3969.2000000000007</v>
      </c>
      <c r="H646" s="247">
        <f t="shared" si="477"/>
      </c>
      <c r="I646" s="248">
        <f t="shared" si="387"/>
      </c>
      <c r="J646" s="249">
        <f t="shared" si="417"/>
      </c>
      <c r="K646" s="250">
        <f t="shared" si="327"/>
      </c>
      <c r="L646" s="251">
        <f t="shared" si="357"/>
      </c>
      <c r="M646" s="252">
        <f t="shared" si="237"/>
      </c>
      <c r="N646" s="253">
        <f t="shared" si="267"/>
      </c>
      <c r="O646" s="253">
        <f t="shared" si="297"/>
      </c>
      <c r="P646" s="253">
        <f t="shared" si="177"/>
      </c>
      <c r="Q646" s="253">
        <f t="shared" si="207"/>
      </c>
      <c r="R646" s="252">
        <f t="shared" si="117"/>
      </c>
      <c r="S646" s="254">
        <f t="shared" si="147"/>
      </c>
      <c r="T646" s="253">
        <f t="shared" si="57"/>
      </c>
      <c r="U646" s="253">
        <f t="shared" si="87"/>
      </c>
      <c r="V646" s="253">
        <f t="shared" si="507"/>
      </c>
      <c r="W646" s="253">
        <f t="shared" si="27"/>
      </c>
      <c r="X646" s="169" t="s">
        <v>107</v>
      </c>
      <c r="Y646" s="163" t="s">
        <v>120</v>
      </c>
      <c r="Z646" s="164">
        <v>100151</v>
      </c>
      <c r="AA646" s="164">
        <v>23930</v>
      </c>
      <c r="AB646" s="164">
        <v>221701</v>
      </c>
      <c r="AC646" s="164">
        <v>894</v>
      </c>
      <c r="AD646" s="164">
        <v>13</v>
      </c>
      <c r="AE646" s="164">
        <v>20927</v>
      </c>
      <c r="AF646" s="166">
        <v>366</v>
      </c>
      <c r="AG646" s="166">
        <v>40</v>
      </c>
      <c r="AH646" s="166">
        <v>13</v>
      </c>
      <c r="AI646" s="167">
        <v>0</v>
      </c>
      <c r="AJ646" s="236"/>
      <c r="AK646" s="236"/>
      <c r="AL646" s="236"/>
      <c r="AM646" s="236"/>
      <c r="AN646" s="236"/>
      <c r="AO646" s="236"/>
    </row>
    <row r="647">
      <c r="A647" s="237"/>
      <c r="B647" s="217" t="s">
        <v>105</v>
      </c>
      <c r="C647" s="244" t="s">
        <v>110</v>
      </c>
      <c r="D647" s="255">
        <v>6717.320999999999</v>
      </c>
      <c r="E647" s="172">
        <v>16</v>
      </c>
      <c r="F647" s="245">
        <f t="shared" si="447"/>
      </c>
      <c r="G647" s="246">
        <v>4081.5999999999995</v>
      </c>
      <c r="H647" s="247">
        <f t="shared" si="477"/>
      </c>
      <c r="I647" s="248">
        <f t="shared" si="387"/>
      </c>
      <c r="J647" s="249">
        <f t="shared" si="417"/>
      </c>
      <c r="K647" s="250">
        <f t="shared" si="327"/>
      </c>
      <c r="L647" s="251">
        <f t="shared" si="357"/>
      </c>
      <c r="M647" s="252">
        <f t="shared" si="237"/>
      </c>
      <c r="N647" s="253">
        <f t="shared" si="267"/>
      </c>
      <c r="O647" s="253">
        <f t="shared" si="297"/>
      </c>
      <c r="P647" s="253">
        <f t="shared" si="177"/>
      </c>
      <c r="Q647" s="253">
        <f t="shared" si="207"/>
      </c>
      <c r="R647" s="252">
        <f t="shared" si="117"/>
      </c>
      <c r="S647" s="254">
        <f t="shared" si="147"/>
      </c>
      <c r="T647" s="253">
        <f t="shared" si="57"/>
      </c>
      <c r="U647" s="253">
        <f t="shared" si="87"/>
      </c>
      <c r="V647" s="253">
        <f t="shared" si="507"/>
      </c>
      <c r="W647" s="253">
        <f t="shared" si="27"/>
      </c>
      <c r="X647" s="169" t="s">
        <v>107</v>
      </c>
      <c r="Y647" s="163" t="s">
        <v>120</v>
      </c>
      <c r="Z647" s="164">
        <v>117316</v>
      </c>
      <c r="AA647" s="164">
        <v>24921</v>
      </c>
      <c r="AB647" s="164">
        <v>304274</v>
      </c>
      <c r="AC647" s="164">
        <v>1070</v>
      </c>
      <c r="AD647" s="164">
        <v>14</v>
      </c>
      <c r="AE647" s="164">
        <v>27600</v>
      </c>
      <c r="AF647" s="166">
        <v>332</v>
      </c>
      <c r="AG647" s="166">
        <v>65</v>
      </c>
      <c r="AH647" s="166">
        <v>20</v>
      </c>
      <c r="AI647" s="167">
        <v>1</v>
      </c>
      <c r="AJ647" s="236"/>
      <c r="AK647" s="236"/>
      <c r="AL647" s="236"/>
      <c r="AM647" s="236"/>
      <c r="AN647" s="236"/>
      <c r="AO647" s="236"/>
    </row>
    <row r="648">
      <c r="A648" s="237"/>
      <c r="B648" s="178" t="s">
        <v>112</v>
      </c>
      <c r="C648" s="178"/>
      <c r="D648" s="179">
        <f>SUM(D643:D647)</f>
      </c>
      <c r="E648" s="180">
        <f>SUM(E643:E647)</f>
      </c>
      <c r="F648" s="256">
        <f t="shared" si="447"/>
      </c>
      <c r="G648" s="257">
        <f>SUM(G643:G647)</f>
      </c>
      <c r="H648" s="258">
        <f t="shared" si="477"/>
      </c>
      <c r="I648" s="259">
        <f t="shared" si="387"/>
      </c>
      <c r="J648" s="260">
        <f t="shared" si="417"/>
      </c>
      <c r="K648" s="256">
        <f t="shared" si="327"/>
      </c>
      <c r="L648" s="261">
        <f t="shared" si="357"/>
      </c>
      <c r="M648" s="260">
        <f t="shared" si="237"/>
      </c>
      <c r="N648" s="262">
        <f t="shared" si="267"/>
      </c>
      <c r="O648" s="262">
        <f t="shared" si="297"/>
      </c>
      <c r="P648" s="187">
        <f t="shared" si="177"/>
      </c>
      <c r="Q648" s="187">
        <f t="shared" si="207"/>
      </c>
      <c r="R648" s="185">
        <f t="shared" si="117"/>
      </c>
      <c r="S648" s="181">
        <f t="shared" si="147"/>
      </c>
      <c r="T648" s="187">
        <f t="shared" si="57"/>
      </c>
      <c r="U648" s="187">
        <f t="shared" si="87"/>
      </c>
      <c r="V648" s="187">
        <f t="shared" si="507"/>
      </c>
      <c r="W648" s="187">
        <f t="shared" si="27"/>
      </c>
      <c r="X648" s="187"/>
      <c r="Y648" s="188"/>
      <c r="Z648" s="179">
        <f>SUM(Z643:Z647)</f>
      </c>
      <c r="AA648" s="179">
        <f>SUM(AA643:AA647)</f>
      </c>
      <c r="AB648" s="179">
        <f>SUM(AB643:AB647)</f>
      </c>
      <c r="AC648" s="179">
        <f>SUM(AC643:AC647)</f>
      </c>
      <c r="AD648" s="179">
        <f>SUM(AD643:AD647)</f>
      </c>
      <c r="AE648" s="179">
        <f>SUM(AE643:AE647)</f>
      </c>
      <c r="AF648" s="179">
        <f>SUM(AF643:AF647)</f>
      </c>
      <c r="AG648" s="179">
        <f>SUM(AG643:AG647)</f>
      </c>
      <c r="AH648" s="179">
        <f>SUM(AH643:AH647)</f>
      </c>
      <c r="AI648" s="179">
        <f>SUM(AI643:AI647)</f>
      </c>
      <c r="AJ648" s="236"/>
      <c r="AK648" s="236"/>
      <c r="AL648" s="236"/>
      <c r="AM648" s="236"/>
      <c r="AN648" s="236"/>
      <c r="AO648" s="236"/>
    </row>
    <row r="649">
      <c r="A649" s="237"/>
      <c r="B649" s="217" t="s">
        <v>131</v>
      </c>
      <c r="C649" s="192" t="s">
        <v>111</v>
      </c>
      <c r="D649" s="263">
        <v>2077.578</v>
      </c>
      <c r="E649" s="191">
        <v>7</v>
      </c>
      <c r="F649" s="245">
        <f t="shared" si="447"/>
      </c>
      <c r="G649" s="246">
        <v>3848.7999999999993</v>
      </c>
      <c r="H649" s="247">
        <f t="shared" si="477"/>
      </c>
      <c r="I649" s="248">
        <f t="shared" si="387"/>
      </c>
      <c r="J649" s="249">
        <f t="shared" si="417"/>
      </c>
      <c r="K649" s="250">
        <f t="shared" si="327"/>
      </c>
      <c r="L649" s="264">
        <f t="shared" si="357"/>
      </c>
      <c r="M649" s="158">
        <f t="shared" si="237"/>
      </c>
      <c r="N649" s="161">
        <f t="shared" si="267"/>
      </c>
      <c r="O649" s="161">
        <f t="shared" si="297"/>
      </c>
      <c r="P649" s="161">
        <f t="shared" si="177"/>
      </c>
      <c r="Q649" s="161">
        <f t="shared" si="207"/>
      </c>
      <c r="R649" s="158">
        <f t="shared" si="117"/>
      </c>
      <c r="S649" s="159">
        <f t="shared" si="147"/>
      </c>
      <c r="T649" s="161">
        <f t="shared" si="57"/>
      </c>
      <c r="U649" s="161">
        <f t="shared" si="87"/>
      </c>
      <c r="V649" s="161">
        <f t="shared" si="507"/>
      </c>
      <c r="W649" s="161">
        <f t="shared" si="27"/>
      </c>
      <c r="X649" s="169" t="s">
        <v>107</v>
      </c>
      <c r="Y649" s="163" t="s">
        <v>120</v>
      </c>
      <c r="Z649" s="166">
        <v>33265</v>
      </c>
      <c r="AA649" s="166">
        <v>6310</v>
      </c>
      <c r="AB649" s="166">
        <v>64015</v>
      </c>
      <c r="AC649" s="166">
        <v>146</v>
      </c>
      <c r="AD649" s="166">
        <v>6</v>
      </c>
      <c r="AE649" s="166">
        <v>6407</v>
      </c>
      <c r="AF649" s="166">
        <v>90</v>
      </c>
      <c r="AG649" s="166">
        <v>6</v>
      </c>
      <c r="AH649" s="166">
        <v>5</v>
      </c>
      <c r="AI649" s="167">
        <v>1</v>
      </c>
      <c r="AJ649" s="236"/>
      <c r="AK649" s="236"/>
      <c r="AL649" s="236"/>
      <c r="AM649" s="236"/>
      <c r="AN649" s="236"/>
      <c r="AO649" s="236"/>
    </row>
    <row r="650">
      <c r="A650" s="237"/>
      <c r="B650" s="217" t="s">
        <v>131</v>
      </c>
      <c r="C650" s="193" t="s">
        <v>114</v>
      </c>
      <c r="D650" s="243">
        <v>5821.705999999999</v>
      </c>
      <c r="E650" s="172">
        <v>6</v>
      </c>
      <c r="F650" s="245">
        <f t="shared" si="447"/>
      </c>
      <c r="G650" s="246">
        <v>1904</v>
      </c>
      <c r="H650" s="247">
        <f t="shared" si="477"/>
      </c>
      <c r="I650" s="248">
        <f t="shared" si="387"/>
      </c>
      <c r="J650" s="249">
        <f t="shared" si="417"/>
      </c>
      <c r="K650" s="250">
        <f t="shared" si="327"/>
      </c>
      <c r="L650" s="264">
        <f t="shared" si="357"/>
      </c>
      <c r="M650" s="158">
        <f t="shared" si="237"/>
      </c>
      <c r="N650" s="161">
        <f t="shared" si="267"/>
      </c>
      <c r="O650" s="161">
        <f t="shared" si="297"/>
      </c>
      <c r="P650" s="161">
        <f t="shared" si="177"/>
      </c>
      <c r="Q650" s="161">
        <f t="shared" si="207"/>
      </c>
      <c r="R650" s="158">
        <f t="shared" si="117"/>
      </c>
      <c r="S650" s="159">
        <f t="shared" si="147"/>
      </c>
      <c r="T650" s="161">
        <f t="shared" si="57"/>
      </c>
      <c r="U650" s="161">
        <f t="shared" si="87"/>
      </c>
      <c r="V650" s="161">
        <f t="shared" si="507"/>
      </c>
      <c r="W650" s="161">
        <f t="shared" si="27"/>
      </c>
      <c r="X650" s="169" t="s">
        <v>107</v>
      </c>
      <c r="Y650" s="163" t="s">
        <v>120</v>
      </c>
      <c r="Z650" s="166">
        <v>113742</v>
      </c>
      <c r="AA650" s="166">
        <v>18232</v>
      </c>
      <c r="AB650" s="166">
        <v>319706</v>
      </c>
      <c r="AC650" s="166">
        <v>737</v>
      </c>
      <c r="AD650" s="166">
        <v>5</v>
      </c>
      <c r="AE650" s="166">
        <v>22030</v>
      </c>
      <c r="AF650" s="166">
        <v>181</v>
      </c>
      <c r="AG650" s="166">
        <v>44</v>
      </c>
      <c r="AH650" s="166">
        <v>15</v>
      </c>
      <c r="AI650" s="167">
        <v>0</v>
      </c>
      <c r="AJ650" s="236"/>
      <c r="AK650" s="236"/>
      <c r="AL650" s="236"/>
      <c r="AM650" s="236"/>
      <c r="AN650" s="236"/>
      <c r="AO650" s="236"/>
    </row>
    <row r="651">
      <c r="A651" s="237"/>
      <c r="B651" s="217" t="s">
        <v>131</v>
      </c>
      <c r="C651" s="196" t="s">
        <v>115</v>
      </c>
      <c r="D651" s="243">
        <v>1515.466</v>
      </c>
      <c r="E651" s="172">
        <v>3</v>
      </c>
      <c r="F651" s="154">
        <f t="shared" si="447"/>
      </c>
      <c r="G651" s="148">
        <v>652</v>
      </c>
      <c r="H651" s="156">
        <f t="shared" si="477"/>
      </c>
      <c r="I651" s="157">
        <f t="shared" si="387"/>
      </c>
      <c r="J651" s="158">
        <f t="shared" si="417"/>
      </c>
      <c r="K651" s="159">
        <f t="shared" si="327"/>
      </c>
      <c r="L651" s="265">
        <f t="shared" si="357"/>
      </c>
      <c r="M651" s="252">
        <f t="shared" si="237"/>
      </c>
      <c r="N651" s="253">
        <f t="shared" si="267"/>
      </c>
      <c r="O651" s="253">
        <f t="shared" si="297"/>
      </c>
      <c r="P651" s="253">
        <f t="shared" si="177"/>
      </c>
      <c r="Q651" s="253">
        <f t="shared" si="207"/>
      </c>
      <c r="R651" s="252">
        <f t="shared" si="117"/>
      </c>
      <c r="S651" s="254">
        <f t="shared" si="147"/>
      </c>
      <c r="T651" s="253">
        <f t="shared" si="57"/>
      </c>
      <c r="U651" s="253">
        <f t="shared" si="87"/>
      </c>
      <c r="V651" s="253">
        <f t="shared" si="507"/>
      </c>
      <c r="W651" s="253">
        <f t="shared" si="27"/>
      </c>
      <c r="X651" s="169" t="s">
        <v>107</v>
      </c>
      <c r="Y651" s="163" t="s">
        <v>120</v>
      </c>
      <c r="Z651" s="166">
        <v>39630</v>
      </c>
      <c r="AA651" s="166">
        <v>5982</v>
      </c>
      <c r="AB651" s="166">
        <v>58086</v>
      </c>
      <c r="AC651" s="166">
        <v>80</v>
      </c>
      <c r="AD651" s="166">
        <v>4</v>
      </c>
      <c r="AE651" s="166">
        <v>4732</v>
      </c>
      <c r="AF651" s="166">
        <v>102</v>
      </c>
      <c r="AG651" s="166">
        <v>14</v>
      </c>
      <c r="AH651" s="166">
        <v>8</v>
      </c>
      <c r="AI651" s="167">
        <v>0</v>
      </c>
      <c r="AJ651" s="236"/>
      <c r="AK651" s="236"/>
      <c r="AL651" s="236"/>
      <c r="AM651" s="236"/>
      <c r="AN651" s="236"/>
      <c r="AO651" s="236"/>
    </row>
    <row r="652">
      <c r="A652" s="237"/>
      <c r="B652" s="217" t="s">
        <v>131</v>
      </c>
      <c r="C652" s="196" t="s">
        <v>116</v>
      </c>
      <c r="D652" s="255">
        <v>2069.714</v>
      </c>
      <c r="E652" s="172">
        <v>3</v>
      </c>
      <c r="F652" s="154">
        <f t="shared" si="447"/>
      </c>
      <c r="G652" s="148">
        <v>1213.6000000000022</v>
      </c>
      <c r="H652" s="156">
        <f t="shared" si="477"/>
      </c>
      <c r="I652" s="157">
        <f t="shared" si="387"/>
      </c>
      <c r="J652" s="158">
        <f t="shared" si="417"/>
      </c>
      <c r="K652" s="159">
        <f t="shared" si="327"/>
      </c>
      <c r="L652" s="265">
        <f t="shared" si="357"/>
      </c>
      <c r="M652" s="252">
        <f t="shared" si="237"/>
      </c>
      <c r="N652" s="253">
        <f t="shared" si="267"/>
      </c>
      <c r="O652" s="253">
        <f t="shared" si="297"/>
      </c>
      <c r="P652" s="253">
        <f t="shared" si="177"/>
      </c>
      <c r="Q652" s="253">
        <f t="shared" si="207"/>
      </c>
      <c r="R652" s="252">
        <f t="shared" si="117"/>
      </c>
      <c r="S652" s="254">
        <f t="shared" si="147"/>
      </c>
      <c r="T652" s="253">
        <f t="shared" si="57"/>
      </c>
      <c r="U652" s="253">
        <f t="shared" si="87"/>
      </c>
      <c r="V652" s="253">
        <f t="shared" si="507"/>
      </c>
      <c r="W652" s="253">
        <f t="shared" si="27"/>
      </c>
      <c r="X652" s="169" t="s">
        <v>107</v>
      </c>
      <c r="Y652" s="163" t="s">
        <v>120</v>
      </c>
      <c r="Z652" s="166">
        <v>47279</v>
      </c>
      <c r="AA652" s="166">
        <v>6439</v>
      </c>
      <c r="AB652" s="166">
        <v>85810</v>
      </c>
      <c r="AC652" s="166">
        <v>145</v>
      </c>
      <c r="AD652" s="166">
        <v>2</v>
      </c>
      <c r="AE652" s="166">
        <v>5628</v>
      </c>
      <c r="AF652" s="166">
        <v>144</v>
      </c>
      <c r="AG652" s="166">
        <v>21</v>
      </c>
      <c r="AH652" s="166">
        <v>5</v>
      </c>
      <c r="AI652" s="167">
        <v>1</v>
      </c>
      <c r="AJ652" s="236"/>
      <c r="AK652" s="236"/>
      <c r="AL652" s="236"/>
      <c r="AM652" s="236"/>
      <c r="AN652" s="236"/>
      <c r="AO652" s="236"/>
    </row>
    <row r="653">
      <c r="A653" s="237"/>
      <c r="B653" s="178" t="s">
        <v>112</v>
      </c>
      <c r="C653" s="178"/>
      <c r="D653" s="179">
        <f>SUM(D649:D652)</f>
      </c>
      <c r="E653" s="180">
        <f>SUM(E649:E652)</f>
      </c>
      <c r="F653" s="181">
        <f t="shared" si="447"/>
      </c>
      <c r="G653" s="182">
        <f>SUM(G649:G652)</f>
      </c>
      <c r="H653" s="266">
        <f t="shared" si="477"/>
      </c>
      <c r="I653" s="184">
        <f t="shared" si="387"/>
      </c>
      <c r="J653" s="185">
        <f t="shared" si="417"/>
      </c>
      <c r="K653" s="181">
        <f t="shared" si="327"/>
      </c>
      <c r="L653" s="186">
        <f t="shared" si="357"/>
      </c>
      <c r="M653" s="185">
        <f t="shared" si="237"/>
      </c>
      <c r="N653" s="187">
        <f t="shared" si="267"/>
      </c>
      <c r="O653" s="187">
        <f t="shared" si="297"/>
      </c>
      <c r="P653" s="187">
        <f t="shared" si="177"/>
      </c>
      <c r="Q653" s="187">
        <f t="shared" si="207"/>
      </c>
      <c r="R653" s="185">
        <f t="shared" si="117"/>
      </c>
      <c r="S653" s="181">
        <f t="shared" si="147"/>
      </c>
      <c r="T653" s="187">
        <f t="shared" si="57"/>
      </c>
      <c r="U653" s="187">
        <f t="shared" si="87"/>
      </c>
      <c r="V653" s="187">
        <f t="shared" si="507"/>
      </c>
      <c r="W653" s="187">
        <f t="shared" si="27"/>
      </c>
      <c r="X653" s="187"/>
      <c r="Y653" s="188"/>
      <c r="Z653" s="179">
        <f>SUM(Z649:Z652)</f>
      </c>
      <c r="AA653" s="179">
        <f>SUM(AA649:AA652)</f>
      </c>
      <c r="AB653" s="179">
        <f>SUM(AB649:AB652)</f>
      </c>
      <c r="AC653" s="179">
        <f>SUM(AC649:AC652)</f>
      </c>
      <c r="AD653" s="179">
        <f>SUM(AD649:AD652)</f>
      </c>
      <c r="AE653" s="179">
        <f>SUM(AE649:AE652)</f>
      </c>
      <c r="AF653" s="179">
        <f>SUM(AF649:AF652)</f>
      </c>
      <c r="AG653" s="179">
        <f>SUM(AG649:AG652)</f>
      </c>
      <c r="AH653" s="179">
        <f>SUM(AH649:AH652)</f>
      </c>
      <c r="AI653" s="179">
        <f>SUM(AI649:AI652)</f>
      </c>
      <c r="AJ653" s="236"/>
      <c r="AK653" s="236"/>
      <c r="AL653" s="236"/>
      <c r="AM653" s="236"/>
      <c r="AN653" s="236"/>
      <c r="AO653" s="236"/>
    </row>
    <row r="654">
      <c r="A654" s="237"/>
      <c r="B654" s="217" t="s">
        <v>118</v>
      </c>
      <c r="C654" s="169" t="s">
        <v>117</v>
      </c>
      <c r="D654" s="171">
        <v>3059.03</v>
      </c>
      <c r="E654" s="172">
        <v>9</v>
      </c>
      <c r="F654" s="154">
        <f t="shared" si="447"/>
      </c>
      <c r="G654" s="172">
        <v>3252</v>
      </c>
      <c r="H654" s="156">
        <f t="shared" si="477"/>
      </c>
      <c r="I654" s="157">
        <f t="shared" si="387"/>
      </c>
      <c r="J654" s="158">
        <f t="shared" si="417"/>
      </c>
      <c r="K654" s="159">
        <f t="shared" si="327"/>
      </c>
      <c r="L654" s="265">
        <f t="shared" si="357"/>
      </c>
      <c r="M654" s="252">
        <f t="shared" si="237"/>
      </c>
      <c r="N654" s="253">
        <f t="shared" si="267"/>
      </c>
      <c r="O654" s="253">
        <f t="shared" si="297"/>
      </c>
      <c r="P654" s="253">
        <f t="shared" si="177"/>
      </c>
      <c r="Q654" s="253">
        <f t="shared" si="207"/>
      </c>
      <c r="R654" s="252">
        <f t="shared" si="117"/>
      </c>
      <c r="S654" s="254">
        <f t="shared" si="147"/>
      </c>
      <c r="T654" s="253">
        <f t="shared" si="57"/>
      </c>
      <c r="U654" s="253">
        <f t="shared" si="87"/>
      </c>
      <c r="V654" s="253">
        <f t="shared" si="507"/>
      </c>
      <c r="W654" s="253">
        <f t="shared" si="27"/>
      </c>
      <c r="X654" s="169" t="s">
        <v>142</v>
      </c>
      <c r="Y654" s="163" t="s">
        <v>120</v>
      </c>
      <c r="Z654" s="166">
        <v>69370</v>
      </c>
      <c r="AA654" s="166">
        <v>10151</v>
      </c>
      <c r="AB654" s="166">
        <v>151829</v>
      </c>
      <c r="AC654" s="166">
        <v>362</v>
      </c>
      <c r="AD654" s="166">
        <v>9</v>
      </c>
      <c r="AE654" s="166">
        <v>10435</v>
      </c>
      <c r="AF654" s="166">
        <v>174</v>
      </c>
      <c r="AG654" s="166">
        <v>30</v>
      </c>
      <c r="AH654" s="166">
        <v>8</v>
      </c>
      <c r="AI654" s="167">
        <v>0</v>
      </c>
      <c r="AJ654" s="236"/>
      <c r="AK654" s="236"/>
      <c r="AL654" s="236"/>
      <c r="AM654" s="236"/>
      <c r="AN654" s="236"/>
      <c r="AO654" s="236"/>
    </row>
    <row r="655">
      <c r="A655" s="237"/>
      <c r="B655" s="217" t="s">
        <v>118</v>
      </c>
      <c r="C655" s="196" t="s">
        <v>119</v>
      </c>
      <c r="D655" s="195">
        <v>708.64</v>
      </c>
      <c r="E655" s="172">
        <v>6</v>
      </c>
      <c r="F655" s="154">
        <f t="shared" si="447"/>
      </c>
      <c r="G655" s="172">
        <v>1957.2</v>
      </c>
      <c r="H655" s="156">
        <f t="shared" si="477"/>
      </c>
      <c r="I655" s="157">
        <f t="shared" si="387"/>
      </c>
      <c r="J655" s="158">
        <f t="shared" si="417"/>
      </c>
      <c r="K655" s="159">
        <f t="shared" si="327"/>
      </c>
      <c r="L655" s="265">
        <f t="shared" si="357"/>
      </c>
      <c r="M655" s="252">
        <f t="shared" si="237"/>
      </c>
      <c r="N655" s="253">
        <f t="shared" si="267"/>
      </c>
      <c r="O655" s="253">
        <f t="shared" si="297"/>
      </c>
      <c r="P655" s="253">
        <f t="shared" si="177"/>
      </c>
      <c r="Q655" s="253">
        <f t="shared" si="207"/>
      </c>
      <c r="R655" s="252">
        <f t="shared" si="117"/>
      </c>
      <c r="S655" s="254">
        <f t="shared" si="147"/>
      </c>
      <c r="T655" s="253">
        <f t="shared" si="57"/>
      </c>
      <c r="U655" s="253">
        <f t="shared" si="87"/>
      </c>
      <c r="V655" s="253">
        <f t="shared" si="507"/>
      </c>
      <c r="W655" s="253">
        <f t="shared" si="27"/>
      </c>
      <c r="X655" s="169" t="s">
        <v>142</v>
      </c>
      <c r="Y655" s="162" t="s">
        <v>137</v>
      </c>
      <c r="Z655" s="166">
        <v>28807</v>
      </c>
      <c r="AA655" s="166">
        <v>2936</v>
      </c>
      <c r="AB655" s="166">
        <v>26267</v>
      </c>
      <c r="AC655" s="166">
        <v>95</v>
      </c>
      <c r="AD655" s="166">
        <v>5</v>
      </c>
      <c r="AE655" s="166">
        <v>1819</v>
      </c>
      <c r="AF655" s="166">
        <v>70</v>
      </c>
      <c r="AG655" s="166">
        <v>12</v>
      </c>
      <c r="AH655" s="166">
        <v>1</v>
      </c>
      <c r="AI655" s="167">
        <v>1</v>
      </c>
      <c r="AJ655" s="236"/>
      <c r="AK655" s="236"/>
      <c r="AL655" s="236"/>
      <c r="AM655" s="236"/>
      <c r="AN655" s="236"/>
      <c r="AO655" s="236"/>
    </row>
    <row r="656">
      <c r="A656" s="237"/>
      <c r="B656" s="217" t="s">
        <v>118</v>
      </c>
      <c r="C656" s="196" t="s">
        <v>121</v>
      </c>
      <c r="D656" s="195">
        <v>3022.783</v>
      </c>
      <c r="E656" s="172">
        <v>10</v>
      </c>
      <c r="F656" s="154">
        <f t="shared" si="447"/>
      </c>
      <c r="G656" s="172">
        <v>2836.8</v>
      </c>
      <c r="H656" s="156">
        <f t="shared" si="477"/>
      </c>
      <c r="I656" s="157">
        <f t="shared" si="387"/>
      </c>
      <c r="J656" s="158">
        <f t="shared" si="417"/>
      </c>
      <c r="K656" s="159">
        <f t="shared" si="327"/>
      </c>
      <c r="L656" s="265">
        <f t="shared" si="357"/>
      </c>
      <c r="M656" s="252">
        <f t="shared" si="237"/>
      </c>
      <c r="N656" s="253">
        <f t="shared" si="267"/>
      </c>
      <c r="O656" s="253">
        <f t="shared" si="297"/>
      </c>
      <c r="P656" s="253">
        <f t="shared" si="177"/>
      </c>
      <c r="Q656" s="253">
        <f t="shared" si="207"/>
      </c>
      <c r="R656" s="252">
        <f t="shared" si="117"/>
      </c>
      <c r="S656" s="254">
        <f t="shared" si="147"/>
      </c>
      <c r="T656" s="253">
        <f t="shared" si="57"/>
      </c>
      <c r="U656" s="253">
        <f t="shared" si="87"/>
      </c>
      <c r="V656" s="253">
        <f t="shared" si="507"/>
      </c>
      <c r="W656" s="253">
        <f t="shared" si="27"/>
      </c>
      <c r="X656" s="169" t="s">
        <v>142</v>
      </c>
      <c r="Y656" s="162" t="s">
        <v>137</v>
      </c>
      <c r="Z656" s="166">
        <v>74766</v>
      </c>
      <c r="AA656" s="166">
        <v>11026</v>
      </c>
      <c r="AB656" s="166">
        <v>177194</v>
      </c>
      <c r="AC656" s="166">
        <v>371</v>
      </c>
      <c r="AD656" s="166">
        <v>6</v>
      </c>
      <c r="AE656" s="166">
        <v>12941</v>
      </c>
      <c r="AF656" s="166">
        <v>161</v>
      </c>
      <c r="AG656" s="166">
        <v>36</v>
      </c>
      <c r="AH656" s="166">
        <v>8</v>
      </c>
      <c r="AI656" s="167">
        <v>3</v>
      </c>
      <c r="AJ656" s="236"/>
      <c r="AK656" s="236"/>
      <c r="AL656" s="236"/>
      <c r="AM656" s="236"/>
      <c r="AN656" s="236"/>
      <c r="AO656" s="236"/>
    </row>
    <row r="657">
      <c r="A657" s="237"/>
      <c r="B657" s="217" t="s">
        <v>118</v>
      </c>
      <c r="C657" s="196" t="s">
        <v>122</v>
      </c>
      <c r="D657" s="195">
        <v>2211.456</v>
      </c>
      <c r="E657" s="172">
        <v>4</v>
      </c>
      <c r="F657" s="154">
        <f t="shared" si="447"/>
      </c>
      <c r="G657" s="172">
        <v>1345.2</v>
      </c>
      <c r="H657" s="156">
        <f t="shared" si="477"/>
      </c>
      <c r="I657" s="157">
        <f t="shared" si="387"/>
      </c>
      <c r="J657" s="158">
        <f t="shared" si="417"/>
      </c>
      <c r="K657" s="159">
        <f t="shared" si="327"/>
      </c>
      <c r="L657" s="265">
        <f t="shared" si="357"/>
      </c>
      <c r="M657" s="252">
        <f t="shared" si="237"/>
      </c>
      <c r="N657" s="253">
        <f t="shared" si="267"/>
      </c>
      <c r="O657" s="253">
        <f t="shared" si="297"/>
      </c>
      <c r="P657" s="253">
        <f t="shared" si="177"/>
      </c>
      <c r="Q657" s="253">
        <f t="shared" si="207"/>
      </c>
      <c r="R657" s="252">
        <f t="shared" si="117"/>
      </c>
      <c r="S657" s="254">
        <f t="shared" si="147"/>
      </c>
      <c r="T657" s="253">
        <f t="shared" si="57"/>
      </c>
      <c r="U657" s="253">
        <f t="shared" si="87"/>
      </c>
      <c r="V657" s="253">
        <f t="shared" si="507"/>
      </c>
      <c r="W657" s="253">
        <f t="shared" si="27"/>
      </c>
      <c r="X657" s="169" t="s">
        <v>142</v>
      </c>
      <c r="Y657" s="162" t="s">
        <v>137</v>
      </c>
      <c r="Z657" s="166">
        <v>59061</v>
      </c>
      <c r="AA657" s="166">
        <v>7496</v>
      </c>
      <c r="AB657" s="166">
        <v>114704</v>
      </c>
      <c r="AC657" s="166">
        <v>116</v>
      </c>
      <c r="AD657" s="166">
        <v>4</v>
      </c>
      <c r="AE657" s="166">
        <v>8034</v>
      </c>
      <c r="AF657" s="166">
        <v>109</v>
      </c>
      <c r="AG657" s="166">
        <v>20</v>
      </c>
      <c r="AH657" s="166">
        <v>3</v>
      </c>
      <c r="AI657" s="167">
        <v>0</v>
      </c>
      <c r="AJ657" s="236"/>
      <c r="AK657" s="236"/>
      <c r="AL657" s="236"/>
      <c r="AM657" s="236"/>
      <c r="AN657" s="236"/>
      <c r="AO657" s="236"/>
    </row>
    <row r="658">
      <c r="A658" s="237"/>
      <c r="B658" s="178" t="s">
        <v>112</v>
      </c>
      <c r="C658" s="178"/>
      <c r="D658" s="179">
        <f>SUM(D654:D657)</f>
      </c>
      <c r="E658" s="180">
        <f>SUM(E654:E657)</f>
      </c>
      <c r="F658" s="181">
        <f t="shared" si="447"/>
      </c>
      <c r="G658" s="182">
        <f>SUM(G654:G657)</f>
      </c>
      <c r="H658" s="266">
        <f t="shared" si="477"/>
      </c>
      <c r="I658" s="184">
        <f t="shared" si="387"/>
      </c>
      <c r="J658" s="185">
        <f t="shared" si="417"/>
      </c>
      <c r="K658" s="181">
        <f t="shared" si="327"/>
      </c>
      <c r="L658" s="186">
        <f t="shared" si="357"/>
      </c>
      <c r="M658" s="185">
        <f t="shared" si="237"/>
      </c>
      <c r="N658" s="187">
        <f t="shared" si="267"/>
      </c>
      <c r="O658" s="187">
        <f t="shared" si="297"/>
      </c>
      <c r="P658" s="187">
        <f t="shared" si="177"/>
      </c>
      <c r="Q658" s="187">
        <f t="shared" si="207"/>
      </c>
      <c r="R658" s="185">
        <f t="shared" si="117"/>
      </c>
      <c r="S658" s="181">
        <f t="shared" si="147"/>
      </c>
      <c r="T658" s="187">
        <f t="shared" si="57"/>
      </c>
      <c r="U658" s="187">
        <f t="shared" si="87"/>
      </c>
      <c r="V658" s="187">
        <f t="shared" si="507"/>
      </c>
      <c r="W658" s="187">
        <f t="shared" si="27"/>
      </c>
      <c r="X658" s="187"/>
      <c r="Y658" s="188"/>
      <c r="Z658" s="179">
        <f>SUM(Z654:Z657)</f>
      </c>
      <c r="AA658" s="179">
        <f>SUM(AA654:AA657)</f>
      </c>
      <c r="AB658" s="179">
        <f>SUM(AB654:AB657)</f>
      </c>
      <c r="AC658" s="179">
        <f>SUM(AC654:AC657)</f>
      </c>
      <c r="AD658" s="179">
        <f>SUM(AD654:AD657)</f>
      </c>
      <c r="AE658" s="179">
        <f>SUM(AE654:AE657)</f>
      </c>
      <c r="AF658" s="179">
        <f>SUM(AF654:AF657)</f>
      </c>
      <c r="AG658" s="179">
        <f>SUM(AG654:AG657)</f>
      </c>
      <c r="AH658" s="179">
        <f>SUM(AH654:AH657)</f>
      </c>
      <c r="AI658" s="179">
        <f>SUM(AI654:AI657)</f>
      </c>
      <c r="AJ658" s="236"/>
      <c r="AK658" s="236"/>
      <c r="AL658" s="236"/>
      <c r="AM658" s="236"/>
      <c r="AN658" s="236"/>
      <c r="AO658" s="236"/>
    </row>
    <row r="659">
      <c r="A659" s="237"/>
      <c r="B659" s="218" t="s">
        <v>124</v>
      </c>
      <c r="C659" s="169" t="s">
        <v>123</v>
      </c>
      <c r="D659" s="198">
        <v>651.375</v>
      </c>
      <c r="E659" s="153">
        <v>1</v>
      </c>
      <c r="F659" s="154">
        <f t="shared" si="447"/>
      </c>
      <c r="G659" s="155">
        <v>196</v>
      </c>
      <c r="H659" s="156">
        <f t="shared" si="477"/>
      </c>
      <c r="I659" s="157">
        <f t="shared" si="387"/>
      </c>
      <c r="J659" s="158">
        <f t="shared" si="417"/>
      </c>
      <c r="K659" s="159">
        <f t="shared" si="327"/>
      </c>
      <c r="L659" s="265">
        <f t="shared" si="357"/>
      </c>
      <c r="M659" s="252">
        <f t="shared" si="237"/>
      </c>
      <c r="N659" s="253">
        <f t="shared" si="267"/>
      </c>
      <c r="O659" s="253">
        <f t="shared" si="297"/>
      </c>
      <c r="P659" s="253">
        <f t="shared" si="177"/>
      </c>
      <c r="Q659" s="253">
        <f t="shared" si="207"/>
      </c>
      <c r="R659" s="252">
        <f t="shared" si="117"/>
      </c>
      <c r="S659" s="254">
        <f t="shared" si="147"/>
      </c>
      <c r="T659" s="253">
        <f t="shared" si="57"/>
      </c>
      <c r="U659" s="253">
        <f t="shared" si="87"/>
      </c>
      <c r="V659" s="253">
        <f t="shared" si="507"/>
      </c>
      <c r="W659" s="253">
        <f t="shared" si="27"/>
      </c>
      <c r="X659" s="169" t="s">
        <v>142</v>
      </c>
      <c r="Y659" s="162" t="s">
        <v>137</v>
      </c>
      <c r="Z659" s="166">
        <v>43689</v>
      </c>
      <c r="AA659" s="166">
        <v>3439</v>
      </c>
      <c r="AB659" s="166">
        <v>29211</v>
      </c>
      <c r="AC659" s="199">
        <v>68</v>
      </c>
      <c r="AD659" s="199">
        <v>1</v>
      </c>
      <c r="AE659" s="199">
        <v>1884</v>
      </c>
      <c r="AF659" s="199">
        <v>43</v>
      </c>
      <c r="AG659" s="199">
        <v>11</v>
      </c>
      <c r="AH659" s="199">
        <v>2</v>
      </c>
      <c r="AI659" s="167">
        <v>0</v>
      </c>
      <c r="AJ659" s="236"/>
      <c r="AK659" s="236"/>
      <c r="AL659" s="236"/>
      <c r="AM659" s="236"/>
      <c r="AN659" s="236"/>
      <c r="AO659" s="236"/>
    </row>
    <row r="660">
      <c r="A660" s="237"/>
      <c r="B660" s="218" t="s">
        <v>124</v>
      </c>
      <c r="C660" s="196" t="s">
        <v>125</v>
      </c>
      <c r="D660" s="198">
        <v>3800.391</v>
      </c>
      <c r="E660" s="153">
        <v>10</v>
      </c>
      <c r="F660" s="154">
        <f t="shared" si="447"/>
      </c>
      <c r="G660" s="155">
        <v>3388</v>
      </c>
      <c r="H660" s="156">
        <f t="shared" si="477"/>
      </c>
      <c r="I660" s="157">
        <f t="shared" si="387"/>
      </c>
      <c r="J660" s="158">
        <f t="shared" si="417"/>
      </c>
      <c r="K660" s="159">
        <f t="shared" si="327"/>
      </c>
      <c r="L660" s="265">
        <f t="shared" si="357"/>
      </c>
      <c r="M660" s="252">
        <f t="shared" si="237"/>
      </c>
      <c r="N660" s="253">
        <f t="shared" si="267"/>
      </c>
      <c r="O660" s="253">
        <f t="shared" si="297"/>
      </c>
      <c r="P660" s="253">
        <f t="shared" si="177"/>
      </c>
      <c r="Q660" s="253">
        <f t="shared" si="207"/>
      </c>
      <c r="R660" s="252">
        <f t="shared" si="117"/>
      </c>
      <c r="S660" s="254">
        <f t="shared" si="147"/>
      </c>
      <c r="T660" s="253">
        <f t="shared" si="57"/>
      </c>
      <c r="U660" s="253">
        <f t="shared" si="87"/>
      </c>
      <c r="V660" s="253">
        <f t="shared" si="507"/>
      </c>
      <c r="W660" s="253">
        <f t="shared" si="27"/>
      </c>
      <c r="X660" s="169" t="s">
        <v>142</v>
      </c>
      <c r="Y660" s="162" t="s">
        <v>137</v>
      </c>
      <c r="Z660" s="166">
        <v>126974</v>
      </c>
      <c r="AA660" s="166">
        <v>10100</v>
      </c>
      <c r="AB660" s="166">
        <v>223456</v>
      </c>
      <c r="AC660" s="199">
        <v>486</v>
      </c>
      <c r="AD660" s="199">
        <v>9</v>
      </c>
      <c r="AE660" s="199">
        <v>10487</v>
      </c>
      <c r="AF660" s="199">
        <v>179</v>
      </c>
      <c r="AG660" s="199">
        <v>55</v>
      </c>
      <c r="AH660" s="199">
        <v>8</v>
      </c>
      <c r="AI660" s="167">
        <v>0</v>
      </c>
      <c r="AJ660" s="236"/>
      <c r="AK660" s="236"/>
      <c r="AL660" s="236"/>
      <c r="AM660" s="236"/>
      <c r="AN660" s="236"/>
      <c r="AO660" s="236"/>
    </row>
    <row r="661">
      <c r="A661" s="237"/>
      <c r="B661" s="218" t="s">
        <v>124</v>
      </c>
      <c r="C661" s="196" t="s">
        <v>126</v>
      </c>
      <c r="D661" s="171">
        <v>3546.765</v>
      </c>
      <c r="E661" s="172">
        <v>12</v>
      </c>
      <c r="F661" s="154">
        <f t="shared" si="447"/>
      </c>
      <c r="G661" s="172">
        <v>5071.6</v>
      </c>
      <c r="H661" s="156">
        <f t="shared" si="477"/>
      </c>
      <c r="I661" s="157">
        <f t="shared" si="387"/>
      </c>
      <c r="J661" s="158">
        <f t="shared" si="417"/>
      </c>
      <c r="K661" s="159">
        <f t="shared" si="327"/>
      </c>
      <c r="L661" s="265">
        <f t="shared" si="357"/>
      </c>
      <c r="M661" s="252">
        <f t="shared" si="237"/>
      </c>
      <c r="N661" s="253">
        <f t="shared" si="267"/>
      </c>
      <c r="O661" s="253">
        <f t="shared" si="297"/>
      </c>
      <c r="P661" s="253">
        <f t="shared" si="177"/>
      </c>
      <c r="Q661" s="253">
        <f t="shared" si="207"/>
      </c>
      <c r="R661" s="252">
        <f t="shared" si="117"/>
      </c>
      <c r="S661" s="254">
        <f t="shared" si="147"/>
      </c>
      <c r="T661" s="253">
        <f t="shared" si="57"/>
      </c>
      <c r="U661" s="253">
        <f t="shared" si="87"/>
      </c>
      <c r="V661" s="253">
        <f t="shared" si="507"/>
      </c>
      <c r="W661" s="253">
        <f t="shared" si="27"/>
      </c>
      <c r="X661" s="169" t="s">
        <v>142</v>
      </c>
      <c r="Y661" s="162" t="s">
        <v>137</v>
      </c>
      <c r="Z661" s="166">
        <v>111055</v>
      </c>
      <c r="AA661" s="166">
        <v>12932</v>
      </c>
      <c r="AB661" s="166">
        <v>207727</v>
      </c>
      <c r="AC661" s="166">
        <v>197</v>
      </c>
      <c r="AD661" s="166">
        <v>10</v>
      </c>
      <c r="AE661" s="166">
        <v>11170</v>
      </c>
      <c r="AF661" s="166">
        <v>246</v>
      </c>
      <c r="AG661" s="166">
        <v>41</v>
      </c>
      <c r="AH661" s="166">
        <v>9</v>
      </c>
      <c r="AI661" s="167">
        <v>2</v>
      </c>
      <c r="AJ661" s="236"/>
      <c r="AK661" s="236"/>
      <c r="AL661" s="236"/>
      <c r="AM661" s="236"/>
      <c r="AN661" s="236"/>
      <c r="AO661" s="236"/>
    </row>
    <row r="662">
      <c r="A662" s="237"/>
      <c r="B662" s="218" t="s">
        <v>124</v>
      </c>
      <c r="C662" s="196" t="s">
        <v>127</v>
      </c>
      <c r="D662" s="195">
        <v>714.522</v>
      </c>
      <c r="E662" s="172">
        <v>2</v>
      </c>
      <c r="F662" s="154">
        <f t="shared" si="447"/>
      </c>
      <c r="G662" s="172">
        <v>1024</v>
      </c>
      <c r="H662" s="156">
        <f t="shared" si="477"/>
      </c>
      <c r="I662" s="157">
        <f t="shared" si="387"/>
      </c>
      <c r="J662" s="158">
        <f t="shared" si="417"/>
      </c>
      <c r="K662" s="159">
        <f t="shared" si="327"/>
      </c>
      <c r="L662" s="265">
        <f t="shared" si="357"/>
      </c>
      <c r="M662" s="252">
        <f t="shared" si="237"/>
      </c>
      <c r="N662" s="253">
        <f t="shared" si="267"/>
      </c>
      <c r="O662" s="253">
        <f t="shared" si="297"/>
      </c>
      <c r="P662" s="253">
        <f t="shared" si="177"/>
      </c>
      <c r="Q662" s="253">
        <f t="shared" si="207"/>
      </c>
      <c r="R662" s="252">
        <f t="shared" si="117"/>
      </c>
      <c r="S662" s="254">
        <f t="shared" si="147"/>
      </c>
      <c r="T662" s="253">
        <f t="shared" si="57"/>
      </c>
      <c r="U662" s="253">
        <f t="shared" si="87"/>
      </c>
      <c r="V662" s="253">
        <f t="shared" si="507"/>
      </c>
      <c r="W662" s="253">
        <f t="shared" si="27"/>
      </c>
      <c r="X662" s="169" t="s">
        <v>142</v>
      </c>
      <c r="Y662" s="162" t="s">
        <v>137</v>
      </c>
      <c r="Z662" s="166">
        <v>44986</v>
      </c>
      <c r="AA662" s="166">
        <v>2882</v>
      </c>
      <c r="AB662" s="166">
        <v>25452</v>
      </c>
      <c r="AC662" s="166">
        <v>47</v>
      </c>
      <c r="AD662" s="166">
        <v>3</v>
      </c>
      <c r="AE662" s="166">
        <v>1513</v>
      </c>
      <c r="AF662" s="166">
        <v>53</v>
      </c>
      <c r="AG662" s="166">
        <v>12</v>
      </c>
      <c r="AH662" s="166">
        <v>6</v>
      </c>
      <c r="AI662" s="167">
        <v>0</v>
      </c>
      <c r="AJ662" s="236"/>
      <c r="AK662" s="236"/>
      <c r="AL662" s="236"/>
      <c r="AM662" s="236"/>
      <c r="AN662" s="236"/>
      <c r="AO662" s="236"/>
    </row>
    <row r="663">
      <c r="A663" s="237"/>
      <c r="B663" s="218" t="s">
        <v>124</v>
      </c>
      <c r="C663" s="196" t="s">
        <v>128</v>
      </c>
      <c r="D663" s="195">
        <f>2345.429+1.372</f>
      </c>
      <c r="E663" s="172">
        <v>2</v>
      </c>
      <c r="F663" s="154">
        <f t="shared" si="447"/>
      </c>
      <c r="G663" s="172">
        <v>456</v>
      </c>
      <c r="H663" s="156">
        <f t="shared" si="477"/>
      </c>
      <c r="I663" s="157">
        <f t="shared" si="387"/>
      </c>
      <c r="J663" s="158">
        <f t="shared" si="417"/>
      </c>
      <c r="K663" s="159">
        <f t="shared" si="327"/>
      </c>
      <c r="L663" s="265">
        <f t="shared" si="357"/>
      </c>
      <c r="M663" s="252">
        <f t="shared" si="237"/>
      </c>
      <c r="N663" s="253">
        <f t="shared" si="267"/>
      </c>
      <c r="O663" s="253">
        <f t="shared" si="297"/>
      </c>
      <c r="P663" s="253">
        <f t="shared" si="177"/>
      </c>
      <c r="Q663" s="253">
        <f t="shared" si="207"/>
      </c>
      <c r="R663" s="252">
        <f t="shared" si="117"/>
      </c>
      <c r="S663" s="254">
        <f t="shared" si="147"/>
      </c>
      <c r="T663" s="253">
        <f t="shared" si="57"/>
      </c>
      <c r="U663" s="253">
        <f t="shared" si="87"/>
      </c>
      <c r="V663" s="253">
        <f t="shared" si="507"/>
      </c>
      <c r="W663" s="253">
        <f t="shared" si="27"/>
      </c>
      <c r="X663" s="169" t="s">
        <v>142</v>
      </c>
      <c r="Y663" s="162" t="s">
        <v>137</v>
      </c>
      <c r="Z663" s="166">
        <v>84692</v>
      </c>
      <c r="AA663" s="166">
        <v>5742</v>
      </c>
      <c r="AB663" s="166">
        <v>141050</v>
      </c>
      <c r="AC663" s="166">
        <v>116</v>
      </c>
      <c r="AD663" s="166">
        <v>2</v>
      </c>
      <c r="AE663" s="166">
        <v>6468</v>
      </c>
      <c r="AF663" s="166">
        <v>55</v>
      </c>
      <c r="AG663" s="166">
        <v>34</v>
      </c>
      <c r="AH663" s="166">
        <v>6</v>
      </c>
      <c r="AI663" s="167">
        <v>0</v>
      </c>
      <c r="AJ663" s="236"/>
      <c r="AK663" s="236"/>
      <c r="AL663" s="236"/>
      <c r="AM663" s="236"/>
      <c r="AN663" s="236"/>
      <c r="AO663" s="236"/>
    </row>
    <row r="664">
      <c r="A664" s="237"/>
      <c r="B664" s="178" t="s">
        <v>112</v>
      </c>
      <c r="C664" s="178"/>
      <c r="D664" s="179">
        <f>SUM(D659:D663)</f>
      </c>
      <c r="E664" s="180">
        <f>SUM(E659:E663)</f>
      </c>
      <c r="F664" s="181">
        <f t="shared" si="447"/>
      </c>
      <c r="G664" s="182">
        <f>SUM(G659:G663)</f>
      </c>
      <c r="H664" s="266">
        <f t="shared" si="477"/>
      </c>
      <c r="I664" s="184">
        <f t="shared" si="387"/>
      </c>
      <c r="J664" s="185">
        <f t="shared" si="417"/>
      </c>
      <c r="K664" s="181">
        <f t="shared" si="327"/>
      </c>
      <c r="L664" s="186">
        <f t="shared" si="357"/>
      </c>
      <c r="M664" s="185">
        <f t="shared" si="237"/>
      </c>
      <c r="N664" s="187">
        <f t="shared" si="267"/>
      </c>
      <c r="O664" s="187">
        <f t="shared" si="297"/>
      </c>
      <c r="P664" s="187">
        <f t="shared" si="177"/>
      </c>
      <c r="Q664" s="187">
        <f t="shared" si="207"/>
      </c>
      <c r="R664" s="185">
        <f t="shared" si="117"/>
      </c>
      <c r="S664" s="181">
        <f t="shared" si="147"/>
      </c>
      <c r="T664" s="187">
        <f t="shared" si="57"/>
      </c>
      <c r="U664" s="187">
        <f t="shared" si="87"/>
      </c>
      <c r="V664" s="187">
        <f t="shared" si="507"/>
      </c>
      <c r="W664" s="187">
        <f t="shared" si="27"/>
      </c>
      <c r="X664" s="187"/>
      <c r="Y664" s="188"/>
      <c r="Z664" s="179">
        <f>SUM(Z659:Z663)</f>
      </c>
      <c r="AA664" s="179">
        <f>SUM(AA659:AA663)</f>
      </c>
      <c r="AB664" s="179">
        <f>SUM(AB659:AB663)</f>
      </c>
      <c r="AC664" s="179">
        <f>SUM(AC659:AC663)</f>
      </c>
      <c r="AD664" s="179">
        <f>SUM(AD659:AD663)</f>
      </c>
      <c r="AE664" s="179">
        <f>SUM(AE659:AE663)</f>
      </c>
      <c r="AF664" s="179">
        <f>SUM(AF659:AF663)</f>
      </c>
      <c r="AG664" s="179">
        <f>SUM(AG659:AG663)</f>
      </c>
      <c r="AH664" s="179">
        <f>SUM(AH659:AH663)</f>
      </c>
      <c r="AI664" s="179">
        <f>SUM(AI659:AI663)</f>
      </c>
      <c r="AJ664" s="236"/>
      <c r="AK664" s="236"/>
      <c r="AL664" s="236"/>
      <c r="AM664" s="236"/>
      <c r="AN664" s="236"/>
      <c r="AO664" s="236"/>
    </row>
    <row r="665">
      <c r="A665" s="237"/>
      <c r="B665" s="202" t="s">
        <v>129</v>
      </c>
      <c r="C665" s="202"/>
      <c r="D665" s="203">
        <f>SUM(D664+D648+D653+D658)</f>
      </c>
      <c r="E665" s="204">
        <f>SUM(E664+E648+E653+E658)</f>
      </c>
      <c r="F665" s="205">
        <f t="shared" si="447"/>
      </c>
      <c r="G665" s="206">
        <f>SUM(G664+G648+G653+G658)</f>
      </c>
      <c r="H665" s="267">
        <f t="shared" si="477"/>
      </c>
      <c r="I665" s="208">
        <f t="shared" si="387"/>
      </c>
      <c r="J665" s="209">
        <f t="shared" si="417"/>
      </c>
      <c r="K665" s="205">
        <f t="shared" si="327"/>
      </c>
      <c r="L665" s="210">
        <f t="shared" si="357"/>
      </c>
      <c r="M665" s="210">
        <f t="shared" si="237"/>
      </c>
      <c r="N665" s="211">
        <f t="shared" si="267"/>
      </c>
      <c r="O665" s="211">
        <f t="shared" si="297"/>
      </c>
      <c r="P665" s="211">
        <f t="shared" si="177"/>
      </c>
      <c r="Q665" s="211">
        <f t="shared" si="207"/>
      </c>
      <c r="R665" s="212">
        <f t="shared" si="117"/>
      </c>
      <c r="S665" s="213">
        <f t="shared" si="147"/>
      </c>
      <c r="T665" s="214">
        <f t="shared" si="57"/>
      </c>
      <c r="U665" s="214">
        <f t="shared" si="87"/>
      </c>
      <c r="V665" s="214">
        <f t="shared" si="507"/>
      </c>
      <c r="W665" s="214">
        <f t="shared" si="27"/>
      </c>
      <c r="X665" s="214"/>
      <c r="Y665" s="215"/>
      <c r="Z665" s="216">
        <f>SUM(Z648+Z664+Z653+Z658)</f>
      </c>
      <c r="AA665" s="216">
        <f>SUM(AA648+AA664+AA653+AA658)</f>
      </c>
      <c r="AB665" s="216">
        <f>SUM(AB648+AB664+AB653+AB658)</f>
      </c>
      <c r="AC665" s="216">
        <f>SUM(AC648+AC664+AC653+AC658)</f>
      </c>
      <c r="AD665" s="216">
        <f>SUM(AD648+AD664+AD653+AD658)</f>
      </c>
      <c r="AE665" s="216">
        <f>SUM(AE648+AE664+AE653+AE658)</f>
      </c>
      <c r="AF665" s="216">
        <f>SUM(AF648+AF664+AF653+AF658)</f>
      </c>
      <c r="AG665" s="216">
        <f>SUM(AG648+AG664+AG653+AG658)</f>
      </c>
      <c r="AH665" s="216">
        <f>SUM(AH648+AH664+AH653+AH658)</f>
      </c>
      <c r="AI665" s="216">
        <f>SUM(AI648+AI664+AI653+AI658)</f>
      </c>
      <c r="AJ665" s="236"/>
      <c r="AK665" s="236"/>
      <c r="AL665" s="236"/>
      <c r="AM665" s="236"/>
      <c r="AN665" s="236"/>
      <c r="AO665" s="236"/>
    </row>
    <row r="666">
      <c r="A666" s="220" t="s">
        <v>70</v>
      </c>
      <c r="B666" s="221" t="s">
        <v>71</v>
      </c>
      <c r="C666" s="135" t="s">
        <v>72</v>
      </c>
      <c r="D666" s="222" t="s">
        <v>73</v>
      </c>
      <c r="E666" s="223" t="s">
        <v>74</v>
      </c>
      <c r="F666" s="224" t="s">
        <v>75</v>
      </c>
      <c r="G666" s="225" t="s">
        <v>76</v>
      </c>
      <c r="H666" s="226" t="s">
        <v>77</v>
      </c>
      <c r="I666" s="227" t="s">
        <v>78</v>
      </c>
      <c r="J666" s="228" t="s">
        <v>79</v>
      </c>
      <c r="K666" s="229" t="s">
        <v>80</v>
      </c>
      <c r="L666" s="230" t="s">
        <v>81</v>
      </c>
      <c r="M666" s="230" t="s">
        <v>82</v>
      </c>
      <c r="N666" s="231" t="s">
        <v>83</v>
      </c>
      <c r="O666" s="231" t="s">
        <v>84</v>
      </c>
      <c r="P666" s="231" t="s">
        <v>85</v>
      </c>
      <c r="Q666" s="231" t="s">
        <v>86</v>
      </c>
      <c r="R666" s="232" t="s">
        <v>87</v>
      </c>
      <c r="S666" s="233" t="s">
        <v>88</v>
      </c>
      <c r="T666" s="234" t="s">
        <v>89</v>
      </c>
      <c r="U666" s="234" t="s">
        <v>90</v>
      </c>
      <c r="V666" s="234" t="s">
        <v>91</v>
      </c>
      <c r="W666" s="234" t="s">
        <v>92</v>
      </c>
      <c r="X666" s="235" t="s">
        <v>93</v>
      </c>
      <c r="Y666" s="143" t="s">
        <v>94</v>
      </c>
      <c r="Z666" s="144" t="s">
        <v>95</v>
      </c>
      <c r="AA666" s="144" t="s">
        <v>96</v>
      </c>
      <c r="AB666" s="144" t="s">
        <v>97</v>
      </c>
      <c r="AC666" s="145" t="s">
        <v>98</v>
      </c>
      <c r="AD666" s="145" t="s">
        <v>99</v>
      </c>
      <c r="AE666" s="146" t="s">
        <v>100</v>
      </c>
      <c r="AF666" s="145" t="s">
        <v>101</v>
      </c>
      <c r="AG666" s="145" t="s">
        <v>102</v>
      </c>
      <c r="AH666" s="147" t="s">
        <v>103</v>
      </c>
      <c r="AI666" s="148" t="s">
        <v>104</v>
      </c>
      <c r="AJ666" s="236"/>
      <c r="AK666" s="236"/>
      <c r="AL666" s="236"/>
      <c r="AM666" s="236"/>
      <c r="AN666" s="236"/>
      <c r="AO666" s="236"/>
    </row>
    <row r="667">
      <c r="A667" s="268">
        <v>46294</v>
      </c>
      <c r="B667" s="217" t="s">
        <v>105</v>
      </c>
      <c r="C667" s="238" t="s">
        <v>135</v>
      </c>
      <c r="D667" s="239">
        <v>960.886</v>
      </c>
      <c r="E667" s="153">
        <v>1</v>
      </c>
      <c r="F667" s="154">
        <f t="shared" ref="F667:F689" si="448">D667/E667</f>
      </c>
      <c r="G667" s="240">
        <v>228</v>
      </c>
      <c r="H667" s="156">
        <f t="shared" ref="H667:H689" si="478">AD667</f>
      </c>
      <c r="I667" s="157">
        <f t="shared" ref="I667:I689" si="388">D667/AD667</f>
      </c>
      <c r="J667" s="158">
        <f t="shared" ref="J667:J689" si="418">G667/E667</f>
      </c>
      <c r="K667" s="159">
        <f t="shared" ref="K667:K689" si="328">G667/D667</f>
      </c>
      <c r="L667" s="160">
        <f t="shared" ref="L667:L689" si="358">D667/AB667</f>
      </c>
      <c r="M667" s="158">
        <f t="shared" ref="M667:M689" si="238">D667/AC667</f>
      </c>
      <c r="N667" s="161">
        <f t="shared" ref="N667:N689" si="268">AC667/AB667</f>
      </c>
      <c r="O667" s="161">
        <f t="shared" ref="O667:O689" si="298">AD667/AC667</f>
      </c>
      <c r="P667" s="161">
        <f t="shared" ref="P667:P689" si="178">AA667/Z667</f>
      </c>
      <c r="Q667" s="161">
        <f t="shared" ref="Q667:Q689" si="208">AD667/AA667</f>
      </c>
      <c r="R667" s="158">
        <f t="shared" ref="R667:R689" si="118">D667/Z667*1000</f>
      </c>
      <c r="S667" s="159">
        <f t="shared" ref="S667:S689" si="148">D667/AA667</f>
      </c>
      <c r="T667" s="161">
        <f t="shared" ref="T667:T689" si="58">AE667/AB667</f>
      </c>
      <c r="U667" s="161">
        <f t="shared" ref="U667:U689" si="88">AF667/AB667</f>
      </c>
      <c r="V667" s="161">
        <f t="shared" ref="V667:V689" si="508">AG667/AB667</f>
      </c>
      <c r="W667" s="161">
        <f t="shared" ref="W667:W689" si="28">AH667/AB667</f>
      </c>
      <c r="X667" s="241" t="s">
        <v>107</v>
      </c>
      <c r="Y667" s="163" t="s">
        <v>120</v>
      </c>
      <c r="Z667" s="164">
        <v>30670</v>
      </c>
      <c r="AA667" s="164">
        <v>8745</v>
      </c>
      <c r="AB667" s="164">
        <v>51455</v>
      </c>
      <c r="AC667" s="164">
        <v>148</v>
      </c>
      <c r="AD667" s="166">
        <v>1</v>
      </c>
      <c r="AE667" s="164">
        <v>6113</v>
      </c>
      <c r="AF667" s="166">
        <v>103</v>
      </c>
      <c r="AG667" s="166">
        <v>23</v>
      </c>
      <c r="AH667" s="166">
        <v>3</v>
      </c>
      <c r="AI667" s="167">
        <v>0</v>
      </c>
      <c r="AJ667" s="236"/>
      <c r="AK667" s="236"/>
      <c r="AL667" s="236"/>
      <c r="AM667" s="236"/>
      <c r="AN667" s="236"/>
      <c r="AO667" s="236"/>
    </row>
    <row r="668">
      <c r="A668" s="268"/>
      <c r="B668" s="217" t="s">
        <v>105</v>
      </c>
      <c r="C668" s="238" t="s">
        <v>136</v>
      </c>
      <c r="D668" s="239">
        <v>2262.709</v>
      </c>
      <c r="E668" s="153">
        <v>8</v>
      </c>
      <c r="F668" s="154">
        <f t="shared" si="448"/>
      </c>
      <c r="G668" s="240">
        <v>2349.2</v>
      </c>
      <c r="H668" s="156">
        <f t="shared" si="478"/>
      </c>
      <c r="I668" s="157">
        <f t="shared" si="388"/>
      </c>
      <c r="J668" s="158">
        <f t="shared" si="418"/>
      </c>
      <c r="K668" s="159">
        <f t="shared" si="328"/>
      </c>
      <c r="L668" s="160">
        <f t="shared" si="358"/>
      </c>
      <c r="M668" s="158">
        <f t="shared" si="238"/>
      </c>
      <c r="N668" s="161">
        <f t="shared" si="268"/>
      </c>
      <c r="O668" s="161">
        <f t="shared" si="298"/>
      </c>
      <c r="P668" s="161">
        <f t="shared" si="178"/>
      </c>
      <c r="Q668" s="161">
        <f t="shared" si="208"/>
      </c>
      <c r="R668" s="158">
        <f t="shared" si="118"/>
      </c>
      <c r="S668" s="159">
        <f t="shared" si="148"/>
      </c>
      <c r="T668" s="161">
        <f t="shared" si="58"/>
      </c>
      <c r="U668" s="161">
        <f t="shared" si="88"/>
      </c>
      <c r="V668" s="161">
        <f t="shared" si="508"/>
      </c>
      <c r="W668" s="161">
        <f t="shared" si="28"/>
      </c>
      <c r="X668" s="169" t="s">
        <v>107</v>
      </c>
      <c r="Y668" s="163" t="s">
        <v>120</v>
      </c>
      <c r="Z668" s="166">
        <v>65167</v>
      </c>
      <c r="AA668" s="164">
        <v>15947</v>
      </c>
      <c r="AB668" s="164">
        <v>122991</v>
      </c>
      <c r="AC668" s="164">
        <v>448</v>
      </c>
      <c r="AD668" s="166">
        <v>7</v>
      </c>
      <c r="AE668" s="164">
        <v>12891</v>
      </c>
      <c r="AF668" s="166">
        <v>274</v>
      </c>
      <c r="AG668" s="166">
        <v>38</v>
      </c>
      <c r="AH668" s="166">
        <v>7</v>
      </c>
      <c r="AI668" s="167">
        <v>1</v>
      </c>
      <c r="AJ668" s="236"/>
      <c r="AK668" s="236"/>
      <c r="AL668" s="236"/>
      <c r="AM668" s="236"/>
      <c r="AN668" s="236"/>
      <c r="AO668" s="236"/>
    </row>
    <row r="669">
      <c r="A669" s="268"/>
      <c r="B669" s="217" t="s">
        <v>105</v>
      </c>
      <c r="C669" s="242" t="s">
        <v>106</v>
      </c>
      <c r="D669" s="243">
        <v>3547.055</v>
      </c>
      <c r="E669" s="172">
        <v>6</v>
      </c>
      <c r="F669" s="154">
        <f t="shared" si="448"/>
      </c>
      <c r="G669" s="148">
        <v>3104.000000000001</v>
      </c>
      <c r="H669" s="156">
        <f t="shared" si="478"/>
      </c>
      <c r="I669" s="157">
        <f t="shared" si="388"/>
      </c>
      <c r="J669" s="158">
        <f t="shared" si="418"/>
      </c>
      <c r="K669" s="159">
        <f t="shared" si="328"/>
      </c>
      <c r="L669" s="160">
        <f t="shared" si="358"/>
      </c>
      <c r="M669" s="158">
        <f t="shared" si="238"/>
      </c>
      <c r="N669" s="161">
        <f t="shared" si="268"/>
      </c>
      <c r="O669" s="161">
        <f t="shared" si="298"/>
      </c>
      <c r="P669" s="161">
        <f t="shared" si="178"/>
      </c>
      <c r="Q669" s="161">
        <f t="shared" si="208"/>
      </c>
      <c r="R669" s="158">
        <f t="shared" si="118"/>
      </c>
      <c r="S669" s="159">
        <f t="shared" si="148"/>
      </c>
      <c r="T669" s="161">
        <f t="shared" si="58"/>
      </c>
      <c r="U669" s="161">
        <f t="shared" si="88"/>
      </c>
      <c r="V669" s="161">
        <f t="shared" si="508"/>
      </c>
      <c r="W669" s="161">
        <f t="shared" si="28"/>
      </c>
      <c r="X669" s="169" t="s">
        <v>107</v>
      </c>
      <c r="Y669" s="163" t="s">
        <v>120</v>
      </c>
      <c r="Z669" s="166">
        <v>103473</v>
      </c>
      <c r="AA669" s="166">
        <v>23037</v>
      </c>
      <c r="AB669" s="166">
        <v>228920</v>
      </c>
      <c r="AC669" s="166">
        <v>805</v>
      </c>
      <c r="AD669" s="166">
        <v>6</v>
      </c>
      <c r="AE669" s="166">
        <v>22146</v>
      </c>
      <c r="AF669" s="166">
        <v>371</v>
      </c>
      <c r="AG669" s="166">
        <v>67</v>
      </c>
      <c r="AH669" s="166">
        <v>9</v>
      </c>
      <c r="AI669" s="167">
        <v>0</v>
      </c>
      <c r="AJ669" s="236"/>
      <c r="AK669" s="236"/>
      <c r="AL669" s="236"/>
      <c r="AM669" s="236"/>
      <c r="AN669" s="236"/>
      <c r="AO669" s="236"/>
    </row>
    <row r="670">
      <c r="A670" s="268"/>
      <c r="B670" s="217" t="s">
        <v>105</v>
      </c>
      <c r="C670" s="244" t="s">
        <v>109</v>
      </c>
      <c r="D670" s="243">
        <v>3611.709</v>
      </c>
      <c r="E670" s="172">
        <v>9</v>
      </c>
      <c r="F670" s="245">
        <f t="shared" si="448"/>
      </c>
      <c r="G670" s="246">
        <v>3726.3999999999996</v>
      </c>
      <c r="H670" s="247">
        <f t="shared" si="478"/>
      </c>
      <c r="I670" s="248">
        <f t="shared" si="388"/>
      </c>
      <c r="J670" s="249">
        <f t="shared" si="418"/>
      </c>
      <c r="K670" s="250">
        <f t="shared" si="328"/>
      </c>
      <c r="L670" s="251">
        <f t="shared" si="358"/>
      </c>
      <c r="M670" s="252">
        <f t="shared" si="238"/>
      </c>
      <c r="N670" s="253">
        <f t="shared" si="268"/>
      </c>
      <c r="O670" s="253">
        <f t="shared" si="298"/>
      </c>
      <c r="P670" s="253">
        <f t="shared" si="178"/>
      </c>
      <c r="Q670" s="253">
        <f t="shared" si="208"/>
      </c>
      <c r="R670" s="252">
        <f t="shared" si="118"/>
      </c>
      <c r="S670" s="254">
        <f t="shared" si="148"/>
      </c>
      <c r="T670" s="253">
        <f t="shared" si="58"/>
      </c>
      <c r="U670" s="253">
        <f t="shared" si="88"/>
      </c>
      <c r="V670" s="253">
        <f t="shared" si="508"/>
      </c>
      <c r="W670" s="253">
        <f t="shared" si="28"/>
      </c>
      <c r="X670" s="169" t="s">
        <v>107</v>
      </c>
      <c r="Y670" s="163" t="s">
        <v>120</v>
      </c>
      <c r="Z670" s="164">
        <v>87544</v>
      </c>
      <c r="AA670" s="164">
        <v>20881</v>
      </c>
      <c r="AB670" s="164">
        <v>193597</v>
      </c>
      <c r="AC670" s="164">
        <v>761</v>
      </c>
      <c r="AD670" s="164">
        <v>7</v>
      </c>
      <c r="AE670" s="164">
        <v>18112</v>
      </c>
      <c r="AF670" s="166">
        <v>367</v>
      </c>
      <c r="AG670" s="166">
        <v>50</v>
      </c>
      <c r="AH670" s="166">
        <v>10</v>
      </c>
      <c r="AI670" s="167">
        <v>1</v>
      </c>
      <c r="AJ670" s="236"/>
      <c r="AK670" s="236"/>
      <c r="AL670" s="236"/>
      <c r="AM670" s="236"/>
      <c r="AN670" s="236"/>
      <c r="AO670" s="236"/>
    </row>
    <row r="671">
      <c r="A671" s="268"/>
      <c r="B671" s="217" t="s">
        <v>105</v>
      </c>
      <c r="C671" s="244" t="s">
        <v>110</v>
      </c>
      <c r="D671" s="255">
        <v>3186.235</v>
      </c>
      <c r="E671" s="172">
        <v>11</v>
      </c>
      <c r="F671" s="245">
        <f t="shared" si="448"/>
      </c>
      <c r="G671" s="246">
        <v>4169.200000000001</v>
      </c>
      <c r="H671" s="247">
        <f t="shared" si="478"/>
      </c>
      <c r="I671" s="248">
        <f t="shared" si="388"/>
      </c>
      <c r="J671" s="249">
        <f t="shared" si="418"/>
      </c>
      <c r="K671" s="250">
        <f t="shared" si="328"/>
      </c>
      <c r="L671" s="251">
        <f t="shared" si="358"/>
      </c>
      <c r="M671" s="252">
        <f t="shared" si="238"/>
      </c>
      <c r="N671" s="253">
        <f t="shared" si="268"/>
      </c>
      <c r="O671" s="253">
        <f t="shared" si="298"/>
      </c>
      <c r="P671" s="253">
        <f t="shared" si="178"/>
      </c>
      <c r="Q671" s="253">
        <f t="shared" si="208"/>
      </c>
      <c r="R671" s="252">
        <f t="shared" si="118"/>
      </c>
      <c r="S671" s="254">
        <f t="shared" si="148"/>
      </c>
      <c r="T671" s="253">
        <f t="shared" si="58"/>
      </c>
      <c r="U671" s="253">
        <f t="shared" si="88"/>
      </c>
      <c r="V671" s="253">
        <f t="shared" si="508"/>
      </c>
      <c r="W671" s="253">
        <f t="shared" si="28"/>
      </c>
      <c r="X671" s="169" t="s">
        <v>107</v>
      </c>
      <c r="Y671" s="163" t="s">
        <v>120</v>
      </c>
      <c r="Z671" s="164">
        <v>77382</v>
      </c>
      <c r="AA671" s="164">
        <v>16435</v>
      </c>
      <c r="AB671" s="164">
        <v>176201</v>
      </c>
      <c r="AC671" s="164">
        <v>584</v>
      </c>
      <c r="AD671" s="164">
        <v>6</v>
      </c>
      <c r="AE671" s="164">
        <v>16591</v>
      </c>
      <c r="AF671" s="166">
        <v>301</v>
      </c>
      <c r="AG671" s="166">
        <v>43</v>
      </c>
      <c r="AH671" s="166">
        <v>10</v>
      </c>
      <c r="AI671" s="167">
        <v>1</v>
      </c>
      <c r="AJ671" s="236"/>
      <c r="AK671" s="236"/>
      <c r="AL671" s="236"/>
      <c r="AM671" s="236"/>
      <c r="AN671" s="236"/>
      <c r="AO671" s="236"/>
    </row>
    <row r="672">
      <c r="A672" s="268"/>
      <c r="B672" s="178" t="s">
        <v>112</v>
      </c>
      <c r="C672" s="178"/>
      <c r="D672" s="179">
        <f>SUM(D667:D671)</f>
      </c>
      <c r="E672" s="180">
        <f>SUM(E667:E671)</f>
      </c>
      <c r="F672" s="256">
        <f t="shared" si="448"/>
      </c>
      <c r="G672" s="257">
        <f>SUM(G667:G671)</f>
      </c>
      <c r="H672" s="258">
        <f t="shared" si="478"/>
      </c>
      <c r="I672" s="259">
        <f t="shared" si="388"/>
      </c>
      <c r="J672" s="260">
        <f t="shared" si="418"/>
      </c>
      <c r="K672" s="256">
        <f t="shared" si="328"/>
      </c>
      <c r="L672" s="261">
        <f t="shared" si="358"/>
      </c>
      <c r="M672" s="260">
        <f t="shared" si="238"/>
      </c>
      <c r="N672" s="262">
        <f t="shared" si="268"/>
      </c>
      <c r="O672" s="262">
        <f t="shared" si="298"/>
      </c>
      <c r="P672" s="187">
        <f t="shared" si="178"/>
      </c>
      <c r="Q672" s="187">
        <f t="shared" si="208"/>
      </c>
      <c r="R672" s="185">
        <f t="shared" si="118"/>
      </c>
      <c r="S672" s="181">
        <f t="shared" si="148"/>
      </c>
      <c r="T672" s="187">
        <f t="shared" si="58"/>
      </c>
      <c r="U672" s="187">
        <f t="shared" si="88"/>
      </c>
      <c r="V672" s="187">
        <f t="shared" si="508"/>
      </c>
      <c r="W672" s="187">
        <f t="shared" si="28"/>
      </c>
      <c r="X672" s="187"/>
      <c r="Y672" s="188"/>
      <c r="Z672" s="179">
        <f>SUM(Z667:Z671)</f>
      </c>
      <c r="AA672" s="179">
        <f>SUM(AA667:AA671)</f>
      </c>
      <c r="AB672" s="179">
        <f>SUM(AB667:AB671)</f>
      </c>
      <c r="AC672" s="179">
        <f>SUM(AC667:AC671)</f>
      </c>
      <c r="AD672" s="179">
        <f>SUM(AD667:AD671)</f>
      </c>
      <c r="AE672" s="179">
        <f>SUM(AE667:AE671)</f>
      </c>
      <c r="AF672" s="179">
        <f>SUM(AF667:AF671)</f>
      </c>
      <c r="AG672" s="179">
        <f>SUM(AG667:AG671)</f>
      </c>
      <c r="AH672" s="179">
        <f>SUM(AH667:AH671)</f>
      </c>
      <c r="AI672" s="179">
        <f>SUM(AI667:AI671)</f>
      </c>
      <c r="AJ672" s="236"/>
      <c r="AK672" s="236"/>
      <c r="AL672" s="236"/>
      <c r="AM672" s="236"/>
      <c r="AN672" s="236"/>
      <c r="AO672" s="236"/>
    </row>
    <row r="673">
      <c r="A673" s="268"/>
      <c r="B673" s="217" t="s">
        <v>118</v>
      </c>
      <c r="C673" s="192" t="s">
        <v>111</v>
      </c>
      <c r="D673" s="263">
        <v>3383.686</v>
      </c>
      <c r="E673" s="191">
        <v>16</v>
      </c>
      <c r="F673" s="245">
        <f t="shared" si="448"/>
      </c>
      <c r="G673" s="246">
        <v>6824.4</v>
      </c>
      <c r="H673" s="247">
        <f t="shared" si="478"/>
      </c>
      <c r="I673" s="248">
        <f t="shared" si="388"/>
      </c>
      <c r="J673" s="249">
        <f t="shared" si="418"/>
      </c>
      <c r="K673" s="250">
        <f t="shared" si="328"/>
      </c>
      <c r="L673" s="264">
        <f t="shared" si="358"/>
      </c>
      <c r="M673" s="158">
        <f t="shared" si="238"/>
      </c>
      <c r="N673" s="161">
        <f t="shared" si="268"/>
      </c>
      <c r="O673" s="161">
        <f t="shared" si="298"/>
      </c>
      <c r="P673" s="161">
        <f t="shared" si="178"/>
      </c>
      <c r="Q673" s="161">
        <f t="shared" si="208"/>
      </c>
      <c r="R673" s="158">
        <f t="shared" si="118"/>
      </c>
      <c r="S673" s="159">
        <f t="shared" si="148"/>
      </c>
      <c r="T673" s="161">
        <f t="shared" si="58"/>
      </c>
      <c r="U673" s="161">
        <f t="shared" si="88"/>
      </c>
      <c r="V673" s="161">
        <f t="shared" si="508"/>
      </c>
      <c r="W673" s="161">
        <f t="shared" si="28"/>
      </c>
      <c r="X673" s="169" t="s">
        <v>107</v>
      </c>
      <c r="Y673" s="163" t="s">
        <v>120</v>
      </c>
      <c r="Z673" s="166">
        <v>80394</v>
      </c>
      <c r="AA673" s="166">
        <v>13535</v>
      </c>
      <c r="AB673" s="166">
        <v>188289</v>
      </c>
      <c r="AC673" s="166">
        <v>571</v>
      </c>
      <c r="AD673" s="166">
        <v>12</v>
      </c>
      <c r="AE673" s="166">
        <v>15704</v>
      </c>
      <c r="AF673" s="166">
        <v>172</v>
      </c>
      <c r="AG673" s="166">
        <v>41</v>
      </c>
      <c r="AH673" s="166">
        <v>11</v>
      </c>
      <c r="AI673" s="167">
        <v>3</v>
      </c>
      <c r="AJ673" s="236"/>
      <c r="AK673" s="236"/>
      <c r="AL673" s="236"/>
      <c r="AM673" s="236"/>
      <c r="AN673" s="236"/>
      <c r="AO673" s="236"/>
    </row>
    <row r="674">
      <c r="A674" s="268"/>
      <c r="B674" s="217" t="s">
        <v>118</v>
      </c>
      <c r="C674" s="193" t="s">
        <v>114</v>
      </c>
      <c r="D674" s="243">
        <v>3764.219</v>
      </c>
      <c r="E674" s="172">
        <v>3</v>
      </c>
      <c r="F674" s="245">
        <f t="shared" si="448"/>
      </c>
      <c r="G674" s="246">
        <v>1284</v>
      </c>
      <c r="H674" s="247">
        <f t="shared" si="478"/>
      </c>
      <c r="I674" s="248">
        <f t="shared" si="388"/>
      </c>
      <c r="J674" s="249">
        <f t="shared" si="418"/>
      </c>
      <c r="K674" s="250">
        <f t="shared" si="328"/>
      </c>
      <c r="L674" s="264">
        <f t="shared" si="358"/>
      </c>
      <c r="M674" s="158">
        <f t="shared" si="238"/>
      </c>
      <c r="N674" s="161">
        <f t="shared" si="268"/>
      </c>
      <c r="O674" s="161">
        <f t="shared" si="298"/>
      </c>
      <c r="P674" s="161">
        <f t="shared" si="178"/>
      </c>
      <c r="Q674" s="161">
        <f t="shared" si="208"/>
      </c>
      <c r="R674" s="158">
        <f t="shared" si="118"/>
      </c>
      <c r="S674" s="159">
        <f t="shared" si="148"/>
      </c>
      <c r="T674" s="161">
        <f t="shared" si="58"/>
      </c>
      <c r="U674" s="161">
        <f t="shared" si="88"/>
      </c>
      <c r="V674" s="161">
        <f t="shared" si="508"/>
      </c>
      <c r="W674" s="161">
        <f t="shared" si="28"/>
      </c>
      <c r="X674" s="169" t="s">
        <v>107</v>
      </c>
      <c r="Y674" s="163" t="s">
        <v>120</v>
      </c>
      <c r="Z674" s="166">
        <v>88533</v>
      </c>
      <c r="AA674" s="166">
        <v>8454</v>
      </c>
      <c r="AB674" s="166">
        <v>191400</v>
      </c>
      <c r="AC674" s="166">
        <v>343</v>
      </c>
      <c r="AD674" s="166">
        <v>4</v>
      </c>
      <c r="AE674" s="166">
        <v>11732</v>
      </c>
      <c r="AF674" s="166">
        <v>125</v>
      </c>
      <c r="AG674" s="166">
        <v>24</v>
      </c>
      <c r="AH674" s="166">
        <v>11</v>
      </c>
      <c r="AI674" s="167">
        <v>0</v>
      </c>
      <c r="AJ674" s="236"/>
      <c r="AK674" s="236"/>
      <c r="AL674" s="236"/>
      <c r="AM674" s="236"/>
      <c r="AN674" s="236"/>
      <c r="AO674" s="236"/>
    </row>
    <row r="675">
      <c r="A675" s="268"/>
      <c r="B675" s="217" t="s">
        <v>118</v>
      </c>
      <c r="C675" s="196" t="s">
        <v>115</v>
      </c>
      <c r="D675" s="243">
        <v>1570.405</v>
      </c>
      <c r="E675" s="172">
        <v>7</v>
      </c>
      <c r="F675" s="154">
        <f t="shared" si="448"/>
      </c>
      <c r="G675" s="148">
        <v>3281.4000000000015</v>
      </c>
      <c r="H675" s="156">
        <f t="shared" si="478"/>
      </c>
      <c r="I675" s="157">
        <f t="shared" si="388"/>
      </c>
      <c r="J675" s="158">
        <f t="shared" si="418"/>
      </c>
      <c r="K675" s="159">
        <f t="shared" si="328"/>
      </c>
      <c r="L675" s="265">
        <f t="shared" si="358"/>
      </c>
      <c r="M675" s="252">
        <f t="shared" si="238"/>
      </c>
      <c r="N675" s="253">
        <f t="shared" si="268"/>
      </c>
      <c r="O675" s="253">
        <f t="shared" si="298"/>
      </c>
      <c r="P675" s="253">
        <f t="shared" si="178"/>
      </c>
      <c r="Q675" s="253">
        <f t="shared" si="208"/>
      </c>
      <c r="R675" s="252">
        <f t="shared" si="118"/>
      </c>
      <c r="S675" s="254">
        <f t="shared" si="148"/>
      </c>
      <c r="T675" s="253">
        <f t="shared" si="58"/>
      </c>
      <c r="U675" s="253">
        <f t="shared" si="88"/>
      </c>
      <c r="V675" s="253">
        <f t="shared" si="508"/>
      </c>
      <c r="W675" s="253">
        <f t="shared" si="28"/>
      </c>
      <c r="X675" s="169" t="s">
        <v>107</v>
      </c>
      <c r="Y675" s="163" t="s">
        <v>120</v>
      </c>
      <c r="Z675" s="166">
        <v>39433</v>
      </c>
      <c r="AA675" s="166">
        <v>4861</v>
      </c>
      <c r="AB675" s="166">
        <v>59835</v>
      </c>
      <c r="AC675" s="166">
        <v>40</v>
      </c>
      <c r="AD675" s="166">
        <v>5</v>
      </c>
      <c r="AE675" s="166">
        <v>4003</v>
      </c>
      <c r="AF675" s="166">
        <v>128</v>
      </c>
      <c r="AG675" s="166">
        <v>6</v>
      </c>
      <c r="AH675" s="166">
        <v>6</v>
      </c>
      <c r="AI675" s="167">
        <v>2</v>
      </c>
      <c r="AJ675" s="236"/>
      <c r="AK675" s="236"/>
      <c r="AL675" s="236"/>
      <c r="AM675" s="236"/>
      <c r="AN675" s="236"/>
      <c r="AO675" s="236"/>
    </row>
    <row r="676">
      <c r="A676" s="268"/>
      <c r="B676" s="217" t="s">
        <v>118</v>
      </c>
      <c r="C676" s="196" t="s">
        <v>116</v>
      </c>
      <c r="D676" s="255">
        <v>3013.25</v>
      </c>
      <c r="E676" s="172">
        <v>5</v>
      </c>
      <c r="F676" s="154">
        <f t="shared" si="448"/>
      </c>
      <c r="G676" s="148">
        <v>2280</v>
      </c>
      <c r="H676" s="156">
        <f t="shared" si="478"/>
      </c>
      <c r="I676" s="157">
        <f t="shared" si="388"/>
      </c>
      <c r="J676" s="158">
        <f t="shared" si="418"/>
      </c>
      <c r="K676" s="159">
        <f t="shared" si="328"/>
      </c>
      <c r="L676" s="265">
        <f t="shared" si="358"/>
      </c>
      <c r="M676" s="252">
        <f t="shared" si="238"/>
      </c>
      <c r="N676" s="253">
        <f t="shared" si="268"/>
      </c>
      <c r="O676" s="253">
        <f t="shared" si="298"/>
      </c>
      <c r="P676" s="253">
        <f t="shared" si="178"/>
      </c>
      <c r="Q676" s="253">
        <f t="shared" si="208"/>
      </c>
      <c r="R676" s="252">
        <f t="shared" si="118"/>
      </c>
      <c r="S676" s="254">
        <f t="shared" si="148"/>
      </c>
      <c r="T676" s="253">
        <f t="shared" si="58"/>
      </c>
      <c r="U676" s="253">
        <f t="shared" si="88"/>
      </c>
      <c r="V676" s="253">
        <f t="shared" si="508"/>
      </c>
      <c r="W676" s="253">
        <f t="shared" si="28"/>
      </c>
      <c r="X676" s="169" t="s">
        <v>107</v>
      </c>
      <c r="Y676" s="163" t="s">
        <v>120</v>
      </c>
      <c r="Z676" s="166">
        <v>88410</v>
      </c>
      <c r="AA676" s="166">
        <v>10461</v>
      </c>
      <c r="AB676" s="166">
        <v>147269</v>
      </c>
      <c r="AC676" s="166">
        <v>271</v>
      </c>
      <c r="AD676" s="166">
        <v>4</v>
      </c>
      <c r="AE676" s="166">
        <v>9031</v>
      </c>
      <c r="AF676" s="166">
        <v>188</v>
      </c>
      <c r="AG676" s="166">
        <v>27</v>
      </c>
      <c r="AH676" s="166">
        <v>12</v>
      </c>
      <c r="AI676" s="167">
        <v>1</v>
      </c>
      <c r="AJ676" s="236"/>
      <c r="AK676" s="236"/>
      <c r="AL676" s="236"/>
      <c r="AM676" s="236"/>
      <c r="AN676" s="236"/>
      <c r="AO676" s="236"/>
    </row>
    <row r="677">
      <c r="A677" s="268"/>
      <c r="B677" s="178" t="s">
        <v>112</v>
      </c>
      <c r="C677" s="178"/>
      <c r="D677" s="179">
        <f>SUM(D673:D676)</f>
      </c>
      <c r="E677" s="180">
        <f>SUM(E673:E676)</f>
      </c>
      <c r="F677" s="181">
        <f t="shared" si="448"/>
      </c>
      <c r="G677" s="182">
        <f>SUM(G673:G676)</f>
      </c>
      <c r="H677" s="266">
        <f t="shared" si="478"/>
      </c>
      <c r="I677" s="184">
        <f t="shared" si="388"/>
      </c>
      <c r="J677" s="185">
        <f t="shared" si="418"/>
      </c>
      <c r="K677" s="181">
        <f t="shared" si="328"/>
      </c>
      <c r="L677" s="186">
        <f t="shared" si="358"/>
      </c>
      <c r="M677" s="185">
        <f t="shared" si="238"/>
      </c>
      <c r="N677" s="187">
        <f t="shared" si="268"/>
      </c>
      <c r="O677" s="187">
        <f t="shared" si="298"/>
      </c>
      <c r="P677" s="187">
        <f t="shared" si="178"/>
      </c>
      <c r="Q677" s="187">
        <f t="shared" si="208"/>
      </c>
      <c r="R677" s="185">
        <f t="shared" si="118"/>
      </c>
      <c r="S677" s="181">
        <f t="shared" si="148"/>
      </c>
      <c r="T677" s="187">
        <f t="shared" si="58"/>
      </c>
      <c r="U677" s="187">
        <f t="shared" si="88"/>
      </c>
      <c r="V677" s="187">
        <f t="shared" si="508"/>
      </c>
      <c r="W677" s="187">
        <f t="shared" si="28"/>
      </c>
      <c r="X677" s="187"/>
      <c r="Y677" s="188"/>
      <c r="Z677" s="179">
        <f>SUM(Z673:Z676)</f>
      </c>
      <c r="AA677" s="179">
        <f>SUM(AA673:AA676)</f>
      </c>
      <c r="AB677" s="179">
        <f>SUM(AB673:AB676)</f>
      </c>
      <c r="AC677" s="179">
        <f>SUM(AC673:AC676)</f>
      </c>
      <c r="AD677" s="179">
        <f>SUM(AD673:AD676)</f>
      </c>
      <c r="AE677" s="179">
        <f>SUM(AE673:AE676)</f>
      </c>
      <c r="AF677" s="179">
        <f>SUM(AF673:AF676)</f>
      </c>
      <c r="AG677" s="179">
        <f>SUM(AG673:AG676)</f>
      </c>
      <c r="AH677" s="179">
        <f>SUM(AH673:AH676)</f>
      </c>
      <c r="AI677" s="179">
        <f>SUM(AI673:AI676)</f>
      </c>
      <c r="AJ677" s="236"/>
      <c r="AK677" s="236"/>
      <c r="AL677" s="236"/>
      <c r="AM677" s="236"/>
      <c r="AN677" s="236"/>
      <c r="AO677" s="236"/>
    </row>
    <row r="678">
      <c r="A678" s="268"/>
      <c r="B678" s="218" t="s">
        <v>130</v>
      </c>
      <c r="C678" s="169" t="s">
        <v>117</v>
      </c>
      <c r="D678" s="171">
        <v>5244.592</v>
      </c>
      <c r="E678" s="172">
        <v>11</v>
      </c>
      <c r="F678" s="154">
        <f t="shared" si="448"/>
      </c>
      <c r="G678" s="172">
        <v>3665.2</v>
      </c>
      <c r="H678" s="156">
        <f t="shared" si="478"/>
      </c>
      <c r="I678" s="157">
        <f t="shared" si="388"/>
      </c>
      <c r="J678" s="158">
        <f t="shared" si="418"/>
      </c>
      <c r="K678" s="159">
        <f t="shared" si="328"/>
      </c>
      <c r="L678" s="265">
        <f t="shared" si="358"/>
      </c>
      <c r="M678" s="252">
        <f t="shared" si="238"/>
      </c>
      <c r="N678" s="253">
        <f t="shared" si="268"/>
      </c>
      <c r="O678" s="253">
        <f t="shared" si="298"/>
      </c>
      <c r="P678" s="253">
        <f t="shared" si="178"/>
      </c>
      <c r="Q678" s="253">
        <f t="shared" si="208"/>
      </c>
      <c r="R678" s="252">
        <f t="shared" si="118"/>
      </c>
      <c r="S678" s="254">
        <f t="shared" si="148"/>
      </c>
      <c r="T678" s="253">
        <f t="shared" si="58"/>
      </c>
      <c r="U678" s="253">
        <f t="shared" si="88"/>
      </c>
      <c r="V678" s="253">
        <f t="shared" si="508"/>
      </c>
      <c r="W678" s="253">
        <f t="shared" si="28"/>
      </c>
      <c r="X678" s="169" t="s">
        <v>142</v>
      </c>
      <c r="Y678" s="163" t="s">
        <v>120</v>
      </c>
      <c r="Z678" s="166">
        <v>179528</v>
      </c>
      <c r="AA678" s="166">
        <v>15621</v>
      </c>
      <c r="AB678" s="166">
        <v>269847</v>
      </c>
      <c r="AC678" s="166">
        <v>818</v>
      </c>
      <c r="AD678" s="166">
        <v>9</v>
      </c>
      <c r="AE678" s="166">
        <v>16098</v>
      </c>
      <c r="AF678" s="166">
        <v>253</v>
      </c>
      <c r="AG678" s="166">
        <v>71</v>
      </c>
      <c r="AH678" s="166">
        <v>14</v>
      </c>
      <c r="AI678" s="167">
        <v>2</v>
      </c>
      <c r="AJ678" s="236"/>
      <c r="AK678" s="236"/>
      <c r="AL678" s="236"/>
      <c r="AM678" s="236"/>
      <c r="AN678" s="236"/>
      <c r="AO678" s="236"/>
    </row>
    <row r="679">
      <c r="A679" s="268"/>
      <c r="B679" s="218" t="s">
        <v>130</v>
      </c>
      <c r="C679" s="196" t="s">
        <v>119</v>
      </c>
      <c r="D679" s="195">
        <v>3260.765</v>
      </c>
      <c r="E679" s="172">
        <v>13</v>
      </c>
      <c r="F679" s="154">
        <f t="shared" si="448"/>
      </c>
      <c r="G679" s="172">
        <v>5185.5</v>
      </c>
      <c r="H679" s="156">
        <f t="shared" si="478"/>
      </c>
      <c r="I679" s="157">
        <f t="shared" si="388"/>
      </c>
      <c r="J679" s="158">
        <f t="shared" si="418"/>
      </c>
      <c r="K679" s="159">
        <f t="shared" si="328"/>
      </c>
      <c r="L679" s="265">
        <f t="shared" si="358"/>
      </c>
      <c r="M679" s="252">
        <f t="shared" si="238"/>
      </c>
      <c r="N679" s="253">
        <f t="shared" si="268"/>
      </c>
      <c r="O679" s="253">
        <f t="shared" si="298"/>
      </c>
      <c r="P679" s="253">
        <f t="shared" si="178"/>
      </c>
      <c r="Q679" s="253">
        <f t="shared" si="208"/>
      </c>
      <c r="R679" s="252">
        <f t="shared" si="118"/>
      </c>
      <c r="S679" s="254">
        <f t="shared" si="148"/>
      </c>
      <c r="T679" s="253">
        <f t="shared" si="58"/>
      </c>
      <c r="U679" s="253">
        <f t="shared" si="88"/>
      </c>
      <c r="V679" s="253">
        <f t="shared" si="508"/>
      </c>
      <c r="W679" s="253">
        <f t="shared" si="28"/>
      </c>
      <c r="X679" s="169" t="s">
        <v>142</v>
      </c>
      <c r="Y679" s="162" t="s">
        <v>137</v>
      </c>
      <c r="Z679" s="166">
        <v>186146</v>
      </c>
      <c r="AA679" s="166">
        <v>8044</v>
      </c>
      <c r="AB679" s="166">
        <v>152432</v>
      </c>
      <c r="AC679" s="166">
        <v>471</v>
      </c>
      <c r="AD679" s="166">
        <v>11</v>
      </c>
      <c r="AE679" s="166">
        <v>9529</v>
      </c>
      <c r="AF679" s="166">
        <v>164</v>
      </c>
      <c r="AG679" s="166">
        <v>31</v>
      </c>
      <c r="AH679" s="166">
        <v>11</v>
      </c>
      <c r="AI679" s="167">
        <v>3</v>
      </c>
      <c r="AJ679" s="236"/>
      <c r="AK679" s="236"/>
      <c r="AL679" s="236"/>
      <c r="AM679" s="236"/>
      <c r="AN679" s="236"/>
      <c r="AO679" s="236"/>
    </row>
    <row r="680">
      <c r="A680" s="268"/>
      <c r="B680" s="218" t="s">
        <v>130</v>
      </c>
      <c r="C680" s="196" t="s">
        <v>121</v>
      </c>
      <c r="D680" s="195">
        <v>2982.563</v>
      </c>
      <c r="E680" s="172">
        <v>7</v>
      </c>
      <c r="F680" s="154">
        <f t="shared" si="448"/>
      </c>
      <c r="G680" s="172">
        <v>3075</v>
      </c>
      <c r="H680" s="156">
        <f t="shared" si="478"/>
      </c>
      <c r="I680" s="157">
        <f t="shared" si="388"/>
      </c>
      <c r="J680" s="158">
        <f t="shared" si="418"/>
      </c>
      <c r="K680" s="159">
        <f t="shared" si="328"/>
      </c>
      <c r="L680" s="265">
        <f t="shared" si="358"/>
      </c>
      <c r="M680" s="252">
        <f t="shared" si="238"/>
      </c>
      <c r="N680" s="253">
        <f t="shared" si="268"/>
      </c>
      <c r="O680" s="253">
        <f t="shared" si="298"/>
      </c>
      <c r="P680" s="253">
        <f t="shared" si="178"/>
      </c>
      <c r="Q680" s="253">
        <f t="shared" si="208"/>
      </c>
      <c r="R680" s="252">
        <f t="shared" si="118"/>
      </c>
      <c r="S680" s="254">
        <f t="shared" si="148"/>
      </c>
      <c r="T680" s="253">
        <f t="shared" si="58"/>
      </c>
      <c r="U680" s="253">
        <f t="shared" si="88"/>
      </c>
      <c r="V680" s="253">
        <f t="shared" si="508"/>
      </c>
      <c r="W680" s="253">
        <f t="shared" si="28"/>
      </c>
      <c r="X680" s="169" t="s">
        <v>142</v>
      </c>
      <c r="Y680" s="162" t="s">
        <v>137</v>
      </c>
      <c r="Z680" s="166">
        <v>122595</v>
      </c>
      <c r="AA680" s="166">
        <v>11100</v>
      </c>
      <c r="AB680" s="166">
        <v>139499</v>
      </c>
      <c r="AC680" s="166">
        <v>354</v>
      </c>
      <c r="AD680" s="166">
        <v>7</v>
      </c>
      <c r="AE680" s="166">
        <v>9435</v>
      </c>
      <c r="AF680" s="166">
        <v>146</v>
      </c>
      <c r="AG680" s="166">
        <v>32</v>
      </c>
      <c r="AH680" s="166">
        <v>4</v>
      </c>
      <c r="AI680" s="167">
        <v>1</v>
      </c>
      <c r="AJ680" s="236"/>
      <c r="AK680" s="236"/>
      <c r="AL680" s="236"/>
      <c r="AM680" s="236"/>
      <c r="AN680" s="236"/>
      <c r="AO680" s="236"/>
    </row>
    <row r="681">
      <c r="A681" s="268"/>
      <c r="B681" s="218" t="s">
        <v>130</v>
      </c>
      <c r="C681" s="196" t="s">
        <v>122</v>
      </c>
      <c r="D681" s="195">
        <v>2023.79</v>
      </c>
      <c r="E681" s="172">
        <v>6</v>
      </c>
      <c r="F681" s="154">
        <f t="shared" si="448"/>
      </c>
      <c r="G681" s="172">
        <v>1368</v>
      </c>
      <c r="H681" s="156">
        <f t="shared" si="478"/>
      </c>
      <c r="I681" s="157">
        <f t="shared" si="388"/>
      </c>
      <c r="J681" s="158">
        <f t="shared" si="418"/>
      </c>
      <c r="K681" s="159">
        <f t="shared" si="328"/>
      </c>
      <c r="L681" s="265">
        <f t="shared" si="358"/>
      </c>
      <c r="M681" s="252">
        <f t="shared" si="238"/>
      </c>
      <c r="N681" s="253">
        <f t="shared" si="268"/>
      </c>
      <c r="O681" s="253">
        <f t="shared" si="298"/>
      </c>
      <c r="P681" s="253">
        <f t="shared" si="178"/>
      </c>
      <c r="Q681" s="253">
        <f t="shared" si="208"/>
      </c>
      <c r="R681" s="252">
        <f t="shared" si="118"/>
      </c>
      <c r="S681" s="254">
        <f t="shared" si="148"/>
      </c>
      <c r="T681" s="253">
        <f t="shared" si="58"/>
      </c>
      <c r="U681" s="253">
        <f t="shared" si="88"/>
      </c>
      <c r="V681" s="253">
        <f t="shared" si="508"/>
      </c>
      <c r="W681" s="253">
        <f t="shared" si="28"/>
      </c>
      <c r="X681" s="169" t="s">
        <v>142</v>
      </c>
      <c r="Y681" s="162" t="s">
        <v>137</v>
      </c>
      <c r="Z681" s="166">
        <v>89312</v>
      </c>
      <c r="AA681" s="166">
        <v>5378</v>
      </c>
      <c r="AB681" s="166">
        <v>116203</v>
      </c>
      <c r="AC681" s="166">
        <v>321</v>
      </c>
      <c r="AD681" s="166">
        <v>5</v>
      </c>
      <c r="AE681" s="166">
        <v>6788</v>
      </c>
      <c r="AF681" s="166">
        <v>67</v>
      </c>
      <c r="AG681" s="166">
        <v>18</v>
      </c>
      <c r="AH681" s="166">
        <v>5</v>
      </c>
      <c r="AI681" s="167">
        <v>0</v>
      </c>
      <c r="AJ681" s="236"/>
      <c r="AK681" s="236"/>
      <c r="AL681" s="236"/>
      <c r="AM681" s="236"/>
      <c r="AN681" s="236"/>
      <c r="AO681" s="236"/>
    </row>
    <row r="682">
      <c r="A682" s="268"/>
      <c r="B682" s="178" t="s">
        <v>112</v>
      </c>
      <c r="C682" s="178"/>
      <c r="D682" s="179">
        <f>SUM(D678:D681)</f>
      </c>
      <c r="E682" s="180">
        <f>SUM(E678:E681)</f>
      </c>
      <c r="F682" s="181">
        <f t="shared" si="448"/>
      </c>
      <c r="G682" s="182">
        <f>SUM(G678:G681)</f>
      </c>
      <c r="H682" s="266">
        <f t="shared" si="478"/>
      </c>
      <c r="I682" s="184">
        <f t="shared" si="388"/>
      </c>
      <c r="J682" s="185">
        <f t="shared" si="418"/>
      </c>
      <c r="K682" s="181">
        <f t="shared" si="328"/>
      </c>
      <c r="L682" s="186">
        <f t="shared" si="358"/>
      </c>
      <c r="M682" s="185">
        <f t="shared" si="238"/>
      </c>
      <c r="N682" s="187">
        <f t="shared" si="268"/>
      </c>
      <c r="O682" s="187">
        <f t="shared" si="298"/>
      </c>
      <c r="P682" s="187">
        <f t="shared" si="178"/>
      </c>
      <c r="Q682" s="187">
        <f t="shared" si="208"/>
      </c>
      <c r="R682" s="185">
        <f t="shared" si="118"/>
      </c>
      <c r="S682" s="181">
        <f t="shared" si="148"/>
      </c>
      <c r="T682" s="187">
        <f t="shared" si="58"/>
      </c>
      <c r="U682" s="187">
        <f t="shared" si="88"/>
      </c>
      <c r="V682" s="187">
        <f t="shared" si="508"/>
      </c>
      <c r="W682" s="187">
        <f t="shared" si="28"/>
      </c>
      <c r="X682" s="187"/>
      <c r="Y682" s="188"/>
      <c r="Z682" s="179">
        <f>SUM(Z678:Z681)</f>
      </c>
      <c r="AA682" s="179">
        <f>SUM(AA678:AA681)</f>
      </c>
      <c r="AB682" s="179">
        <f>SUM(AB678:AB681)</f>
      </c>
      <c r="AC682" s="179">
        <f>SUM(AC678:AC681)</f>
      </c>
      <c r="AD682" s="179">
        <f>SUM(AD678:AD681)</f>
      </c>
      <c r="AE682" s="179">
        <f>SUM(AE678:AE681)</f>
      </c>
      <c r="AF682" s="179">
        <f>SUM(AF678:AF681)</f>
      </c>
      <c r="AG682" s="179">
        <f>SUM(AG678:AG681)</f>
      </c>
      <c r="AH682" s="179">
        <f>SUM(AH678:AH681)</f>
      </c>
      <c r="AI682" s="179">
        <f>SUM(AI678:AI681)</f>
      </c>
      <c r="AJ682" s="236"/>
      <c r="AK682" s="236"/>
      <c r="AL682" s="236"/>
      <c r="AM682" s="236"/>
      <c r="AN682" s="236"/>
      <c r="AO682" s="236"/>
    </row>
    <row r="683">
      <c r="A683" s="268"/>
      <c r="B683" s="218" t="s">
        <v>124</v>
      </c>
      <c r="C683" s="169" t="s">
        <v>123</v>
      </c>
      <c r="D683" s="198">
        <v>4660.206</v>
      </c>
      <c r="E683" s="153">
        <v>14</v>
      </c>
      <c r="F683" s="154">
        <f t="shared" si="448"/>
      </c>
      <c r="G683" s="155">
        <v>4246.8</v>
      </c>
      <c r="H683" s="156">
        <f t="shared" si="478"/>
      </c>
      <c r="I683" s="157">
        <f t="shared" si="388"/>
      </c>
      <c r="J683" s="158">
        <f t="shared" si="418"/>
      </c>
      <c r="K683" s="159">
        <f t="shared" si="328"/>
      </c>
      <c r="L683" s="265">
        <f t="shared" si="358"/>
      </c>
      <c r="M683" s="252">
        <f t="shared" si="238"/>
      </c>
      <c r="N683" s="253">
        <f t="shared" si="268"/>
      </c>
      <c r="O683" s="253">
        <f t="shared" si="298"/>
      </c>
      <c r="P683" s="253">
        <f t="shared" si="178"/>
      </c>
      <c r="Q683" s="253">
        <f t="shared" si="208"/>
      </c>
      <c r="R683" s="252">
        <f t="shared" si="118"/>
      </c>
      <c r="S683" s="254">
        <f t="shared" si="148"/>
      </c>
      <c r="T683" s="253">
        <f t="shared" si="58"/>
      </c>
      <c r="U683" s="253">
        <f t="shared" si="88"/>
      </c>
      <c r="V683" s="253">
        <f t="shared" si="508"/>
      </c>
      <c r="W683" s="253">
        <f t="shared" si="28"/>
      </c>
      <c r="X683" s="169" t="s">
        <v>142</v>
      </c>
      <c r="Y683" s="162" t="s">
        <v>137</v>
      </c>
      <c r="Z683" s="166">
        <v>150040</v>
      </c>
      <c r="AA683" s="166">
        <v>16004</v>
      </c>
      <c r="AB683" s="166">
        <v>293708</v>
      </c>
      <c r="AC683" s="199">
        <v>727</v>
      </c>
      <c r="AD683" s="199">
        <v>12</v>
      </c>
      <c r="AE683" s="199">
        <v>15568</v>
      </c>
      <c r="AF683" s="199">
        <v>237</v>
      </c>
      <c r="AG683" s="199">
        <v>53</v>
      </c>
      <c r="AH683" s="199">
        <v>11</v>
      </c>
      <c r="AI683" s="167">
        <v>2</v>
      </c>
      <c r="AJ683" s="236"/>
      <c r="AK683" s="236"/>
      <c r="AL683" s="236"/>
      <c r="AM683" s="236"/>
      <c r="AN683" s="236"/>
      <c r="AO683" s="236"/>
    </row>
    <row r="684">
      <c r="A684" s="268"/>
      <c r="B684" s="218" t="s">
        <v>124</v>
      </c>
      <c r="C684" s="196" t="s">
        <v>125</v>
      </c>
      <c r="D684" s="198">
        <v>5234.467</v>
      </c>
      <c r="E684" s="153">
        <v>13</v>
      </c>
      <c r="F684" s="154">
        <f t="shared" si="448"/>
      </c>
      <c r="G684" s="155">
        <v>6405.6</v>
      </c>
      <c r="H684" s="156">
        <f t="shared" si="478"/>
      </c>
      <c r="I684" s="157">
        <f t="shared" si="388"/>
      </c>
      <c r="J684" s="158">
        <f t="shared" si="418"/>
      </c>
      <c r="K684" s="159">
        <f t="shared" si="328"/>
      </c>
      <c r="L684" s="265">
        <f t="shared" si="358"/>
      </c>
      <c r="M684" s="252">
        <f t="shared" si="238"/>
      </c>
      <c r="N684" s="253">
        <f t="shared" si="268"/>
      </c>
      <c r="O684" s="253">
        <f t="shared" si="298"/>
      </c>
      <c r="P684" s="253">
        <f t="shared" si="178"/>
      </c>
      <c r="Q684" s="253">
        <f t="shared" si="208"/>
      </c>
      <c r="R684" s="252">
        <f t="shared" si="118"/>
      </c>
      <c r="S684" s="254">
        <f t="shared" si="148"/>
      </c>
      <c r="T684" s="253">
        <f t="shared" si="58"/>
      </c>
      <c r="U684" s="253">
        <f t="shared" si="88"/>
      </c>
      <c r="V684" s="253">
        <f t="shared" si="508"/>
      </c>
      <c r="W684" s="253">
        <f t="shared" si="28"/>
      </c>
      <c r="X684" s="169" t="s">
        <v>142</v>
      </c>
      <c r="Y684" s="162" t="s">
        <v>137</v>
      </c>
      <c r="Z684" s="166">
        <v>261199</v>
      </c>
      <c r="AA684" s="166">
        <v>17602</v>
      </c>
      <c r="AB684" s="166">
        <v>273997</v>
      </c>
      <c r="AC684" s="199">
        <v>470</v>
      </c>
      <c r="AD684" s="199">
        <v>12</v>
      </c>
      <c r="AE684" s="199">
        <v>15318</v>
      </c>
      <c r="AF684" s="199">
        <v>225</v>
      </c>
      <c r="AG684" s="199">
        <v>57</v>
      </c>
      <c r="AH684" s="199">
        <v>15</v>
      </c>
      <c r="AI684" s="167">
        <v>0</v>
      </c>
      <c r="AJ684" s="236"/>
      <c r="AK684" s="236"/>
      <c r="AL684" s="236"/>
      <c r="AM684" s="236"/>
      <c r="AN684" s="236"/>
      <c r="AO684" s="236"/>
    </row>
    <row r="685">
      <c r="A685" s="268"/>
      <c r="B685" s="218" t="s">
        <v>124</v>
      </c>
      <c r="C685" s="196" t="s">
        <v>126</v>
      </c>
      <c r="D685" s="171">
        <v>2873.333</v>
      </c>
      <c r="E685" s="172">
        <v>3</v>
      </c>
      <c r="F685" s="154">
        <f t="shared" si="448"/>
      </c>
      <c r="G685" s="172">
        <v>1220</v>
      </c>
      <c r="H685" s="156">
        <f t="shared" si="478"/>
      </c>
      <c r="I685" s="157">
        <f t="shared" si="388"/>
      </c>
      <c r="J685" s="158">
        <f t="shared" si="418"/>
      </c>
      <c r="K685" s="159">
        <f t="shared" si="328"/>
      </c>
      <c r="L685" s="265">
        <f t="shared" si="358"/>
      </c>
      <c r="M685" s="252">
        <f t="shared" si="238"/>
      </c>
      <c r="N685" s="253">
        <f t="shared" si="268"/>
      </c>
      <c r="O685" s="253">
        <f t="shared" si="298"/>
      </c>
      <c r="P685" s="253">
        <f t="shared" si="178"/>
      </c>
      <c r="Q685" s="253">
        <f t="shared" si="208"/>
      </c>
      <c r="R685" s="252">
        <f t="shared" si="118"/>
      </c>
      <c r="S685" s="254">
        <f t="shared" si="148"/>
      </c>
      <c r="T685" s="253">
        <f t="shared" si="58"/>
      </c>
      <c r="U685" s="253">
        <f t="shared" si="88"/>
      </c>
      <c r="V685" s="253">
        <f t="shared" si="508"/>
      </c>
      <c r="W685" s="253">
        <f t="shared" si="28"/>
      </c>
      <c r="X685" s="169" t="s">
        <v>142</v>
      </c>
      <c r="Y685" s="162" t="s">
        <v>137</v>
      </c>
      <c r="Z685" s="166">
        <v>224019</v>
      </c>
      <c r="AA685" s="166">
        <v>8140</v>
      </c>
      <c r="AB685" s="166">
        <v>193132</v>
      </c>
      <c r="AC685" s="166">
        <v>323</v>
      </c>
      <c r="AD685" s="166">
        <v>3</v>
      </c>
      <c r="AE685" s="166">
        <v>8092</v>
      </c>
      <c r="AF685" s="166">
        <v>101</v>
      </c>
      <c r="AG685" s="166">
        <v>35</v>
      </c>
      <c r="AH685" s="166">
        <v>11</v>
      </c>
      <c r="AI685" s="167">
        <v>0</v>
      </c>
      <c r="AJ685" s="236"/>
      <c r="AK685" s="236"/>
      <c r="AL685" s="236"/>
      <c r="AM685" s="236"/>
      <c r="AN685" s="236"/>
      <c r="AO685" s="236"/>
    </row>
    <row r="686">
      <c r="A686" s="268"/>
      <c r="B686" s="218" t="s">
        <v>124</v>
      </c>
      <c r="C686" s="196" t="s">
        <v>127</v>
      </c>
      <c r="D686" s="195">
        <v>631.308</v>
      </c>
      <c r="E686" s="172">
        <v>5</v>
      </c>
      <c r="F686" s="154">
        <f t="shared" si="448"/>
      </c>
      <c r="G686" s="172">
        <v>2116.2</v>
      </c>
      <c r="H686" s="156">
        <f t="shared" si="478"/>
      </c>
      <c r="I686" s="157">
        <f t="shared" si="388"/>
      </c>
      <c r="J686" s="158">
        <f t="shared" si="418"/>
      </c>
      <c r="K686" s="159">
        <f t="shared" si="328"/>
      </c>
      <c r="L686" s="265">
        <f t="shared" si="358"/>
      </c>
      <c r="M686" s="252">
        <f t="shared" si="238"/>
      </c>
      <c r="N686" s="253">
        <f t="shared" si="268"/>
      </c>
      <c r="O686" s="253">
        <f t="shared" si="298"/>
      </c>
      <c r="P686" s="253">
        <f t="shared" si="178"/>
      </c>
      <c r="Q686" s="253">
        <f t="shared" si="208"/>
      </c>
      <c r="R686" s="252">
        <f t="shared" si="118"/>
      </c>
      <c r="S686" s="254">
        <f t="shared" si="148"/>
      </c>
      <c r="T686" s="253">
        <f t="shared" si="58"/>
      </c>
      <c r="U686" s="253">
        <f t="shared" si="88"/>
      </c>
      <c r="V686" s="253">
        <f t="shared" si="508"/>
      </c>
      <c r="W686" s="253">
        <f t="shared" si="28"/>
      </c>
      <c r="X686" s="169" t="s">
        <v>142</v>
      </c>
      <c r="Y686" s="162" t="s">
        <v>137</v>
      </c>
      <c r="Z686" s="166">
        <v>17422</v>
      </c>
      <c r="AA686" s="166">
        <v>2522</v>
      </c>
      <c r="AB686" s="166">
        <v>30367</v>
      </c>
      <c r="AC686" s="166">
        <v>47</v>
      </c>
      <c r="AD686" s="166">
        <v>3</v>
      </c>
      <c r="AE686" s="166">
        <v>1672</v>
      </c>
      <c r="AF686" s="166">
        <v>38</v>
      </c>
      <c r="AG686" s="166">
        <v>9</v>
      </c>
      <c r="AH686" s="166">
        <v>2</v>
      </c>
      <c r="AI686" s="167">
        <v>1</v>
      </c>
      <c r="AJ686" s="236"/>
      <c r="AK686" s="236"/>
      <c r="AL686" s="236"/>
      <c r="AM686" s="236"/>
      <c r="AN686" s="236"/>
      <c r="AO686" s="236"/>
    </row>
    <row r="687">
      <c r="A687" s="268"/>
      <c r="B687" s="218" t="s">
        <v>124</v>
      </c>
      <c r="C687" s="196" t="s">
        <v>128</v>
      </c>
      <c r="D687" s="195">
        <f>2183.095+0.947</f>
      </c>
      <c r="E687" s="172">
        <v>7</v>
      </c>
      <c r="F687" s="154">
        <f t="shared" si="448"/>
      </c>
      <c r="G687" s="172">
        <v>3669.6</v>
      </c>
      <c r="H687" s="156">
        <f t="shared" si="478"/>
      </c>
      <c r="I687" s="157">
        <f t="shared" si="388"/>
      </c>
      <c r="J687" s="158">
        <f t="shared" si="418"/>
      </c>
      <c r="K687" s="159">
        <f t="shared" si="328"/>
      </c>
      <c r="L687" s="265">
        <f t="shared" si="358"/>
      </c>
      <c r="M687" s="252">
        <f t="shared" si="238"/>
      </c>
      <c r="N687" s="253">
        <f t="shared" si="268"/>
      </c>
      <c r="O687" s="253">
        <f t="shared" si="298"/>
      </c>
      <c r="P687" s="253">
        <f t="shared" si="178"/>
      </c>
      <c r="Q687" s="253">
        <f t="shared" si="208"/>
      </c>
      <c r="R687" s="252">
        <f t="shared" si="118"/>
      </c>
      <c r="S687" s="254">
        <f t="shared" si="148"/>
      </c>
      <c r="T687" s="253">
        <f t="shared" si="58"/>
      </c>
      <c r="U687" s="253">
        <f t="shared" si="88"/>
      </c>
      <c r="V687" s="253">
        <f t="shared" si="508"/>
      </c>
      <c r="W687" s="253">
        <f t="shared" si="28"/>
      </c>
      <c r="X687" s="169" t="s">
        <v>142</v>
      </c>
      <c r="Y687" s="162" t="s">
        <v>137</v>
      </c>
      <c r="Z687" s="166">
        <v>90757</v>
      </c>
      <c r="AA687" s="166">
        <v>6863</v>
      </c>
      <c r="AB687" s="166">
        <v>148495</v>
      </c>
      <c r="AC687" s="166">
        <v>268</v>
      </c>
      <c r="AD687" s="166">
        <v>4</v>
      </c>
      <c r="AE687" s="166">
        <v>7818</v>
      </c>
      <c r="AF687" s="166">
        <v>64</v>
      </c>
      <c r="AG687" s="166">
        <v>17</v>
      </c>
      <c r="AH687" s="166">
        <v>4</v>
      </c>
      <c r="AI687" s="167">
        <v>1</v>
      </c>
      <c r="AJ687" s="236"/>
      <c r="AK687" s="236"/>
      <c r="AL687" s="236"/>
      <c r="AM687" s="236"/>
      <c r="AN687" s="236"/>
      <c r="AO687" s="236"/>
    </row>
    <row r="688">
      <c r="A688" s="268"/>
      <c r="B688" s="178" t="s">
        <v>112</v>
      </c>
      <c r="C688" s="178"/>
      <c r="D688" s="179">
        <f>SUM(D683:D687)</f>
      </c>
      <c r="E688" s="180">
        <f>SUM(E683:E687)</f>
      </c>
      <c r="F688" s="181">
        <f t="shared" si="448"/>
      </c>
      <c r="G688" s="182">
        <f>SUM(G683:G687)</f>
      </c>
      <c r="H688" s="266">
        <f t="shared" si="478"/>
      </c>
      <c r="I688" s="184">
        <f t="shared" si="388"/>
      </c>
      <c r="J688" s="185">
        <f t="shared" si="418"/>
      </c>
      <c r="K688" s="181">
        <f t="shared" si="328"/>
      </c>
      <c r="L688" s="186">
        <f t="shared" si="358"/>
      </c>
      <c r="M688" s="185">
        <f t="shared" si="238"/>
      </c>
      <c r="N688" s="187">
        <f t="shared" si="268"/>
      </c>
      <c r="O688" s="187">
        <f t="shared" si="298"/>
      </c>
      <c r="P688" s="187">
        <f t="shared" si="178"/>
      </c>
      <c r="Q688" s="187">
        <f t="shared" si="208"/>
      </c>
      <c r="R688" s="185">
        <f t="shared" si="118"/>
      </c>
      <c r="S688" s="181">
        <f t="shared" si="148"/>
      </c>
      <c r="T688" s="187">
        <f t="shared" si="58"/>
      </c>
      <c r="U688" s="187">
        <f t="shared" si="88"/>
      </c>
      <c r="V688" s="187">
        <f t="shared" si="508"/>
      </c>
      <c r="W688" s="187">
        <f t="shared" si="28"/>
      </c>
      <c r="X688" s="187"/>
      <c r="Y688" s="188"/>
      <c r="Z688" s="179">
        <f>SUM(Z683:Z687)</f>
      </c>
      <c r="AA688" s="179">
        <f>SUM(AA683:AA687)</f>
      </c>
      <c r="AB688" s="179">
        <f>SUM(AB683:AB687)</f>
      </c>
      <c r="AC688" s="179">
        <f>SUM(AC683:AC687)</f>
      </c>
      <c r="AD688" s="179">
        <f>SUM(AD683:AD687)</f>
      </c>
      <c r="AE688" s="179">
        <f>SUM(AE683:AE687)</f>
      </c>
      <c r="AF688" s="179">
        <f>SUM(AF683:AF687)</f>
      </c>
      <c r="AG688" s="179">
        <f>SUM(AG683:AG687)</f>
      </c>
      <c r="AH688" s="179">
        <f>SUM(AH683:AH687)</f>
      </c>
      <c r="AI688" s="179">
        <f>SUM(AI683:AI687)</f>
      </c>
      <c r="AJ688" s="236"/>
      <c r="AK688" s="236"/>
      <c r="AL688" s="236"/>
      <c r="AM688" s="236"/>
      <c r="AN688" s="236"/>
      <c r="AO688" s="236"/>
    </row>
    <row r="689">
      <c r="A689" s="268"/>
      <c r="B689" s="202" t="s">
        <v>129</v>
      </c>
      <c r="C689" s="202"/>
      <c r="D689" s="203">
        <f>SUM(D688+D672+D677+D682)</f>
      </c>
      <c r="E689" s="204">
        <f>SUM(E688+E672+E677+E682)</f>
      </c>
      <c r="F689" s="205">
        <f t="shared" si="448"/>
      </c>
      <c r="G689" s="206">
        <f>SUM(G688+G672+G677+G682)</f>
      </c>
      <c r="H689" s="267">
        <f t="shared" si="478"/>
      </c>
      <c r="I689" s="208">
        <f t="shared" si="388"/>
      </c>
      <c r="J689" s="209">
        <f t="shared" si="418"/>
      </c>
      <c r="K689" s="205">
        <f t="shared" si="328"/>
      </c>
      <c r="L689" s="210">
        <f t="shared" si="358"/>
      </c>
      <c r="M689" s="210">
        <f t="shared" si="238"/>
      </c>
      <c r="N689" s="211">
        <f t="shared" si="268"/>
      </c>
      <c r="O689" s="211">
        <f t="shared" si="298"/>
      </c>
      <c r="P689" s="211">
        <f t="shared" si="178"/>
      </c>
      <c r="Q689" s="211">
        <f t="shared" si="208"/>
      </c>
      <c r="R689" s="212">
        <f t="shared" si="118"/>
      </c>
      <c r="S689" s="213">
        <f t="shared" si="148"/>
      </c>
      <c r="T689" s="214">
        <f t="shared" si="58"/>
      </c>
      <c r="U689" s="214">
        <f t="shared" si="88"/>
      </c>
      <c r="V689" s="214">
        <f t="shared" si="508"/>
      </c>
      <c r="W689" s="214">
        <f t="shared" si="28"/>
      </c>
      <c r="X689" s="214"/>
      <c r="Y689" s="215"/>
      <c r="Z689" s="216">
        <f>SUM(Z672+Z688+Z677+Z682)</f>
      </c>
      <c r="AA689" s="216">
        <f>SUM(AA672+AA688+AA677+AA682)</f>
      </c>
      <c r="AB689" s="216">
        <f>SUM(AB672+AB688+AB677+AB682)</f>
      </c>
      <c r="AC689" s="216">
        <f>SUM(AC672+AC688+AC677+AC682)</f>
      </c>
      <c r="AD689" s="216">
        <f>SUM(AD672+AD688+AD677+AD682)</f>
      </c>
      <c r="AE689" s="216">
        <f>SUM(AE672+AE688+AE677+AE682)</f>
      </c>
      <c r="AF689" s="216">
        <f>SUM(AF672+AF688+AF677+AF682)</f>
      </c>
      <c r="AG689" s="216">
        <f>SUM(AG672+AG688+AG677+AG682)</f>
      </c>
      <c r="AH689" s="216">
        <f>SUM(AH672+AH688+AH677+AH682)</f>
      </c>
      <c r="AI689" s="216">
        <f>SUM(AI672+AI688+AI677+AI682)</f>
      </c>
      <c r="AJ689" s="236"/>
      <c r="AK689" s="236"/>
      <c r="AL689" s="236"/>
      <c r="AM689" s="236"/>
      <c r="AN689" s="236"/>
      <c r="AO689" s="236"/>
    </row>
    <row r="690">
      <c r="A690" s="220" t="s">
        <v>70</v>
      </c>
      <c r="B690" s="221" t="s">
        <v>71</v>
      </c>
      <c r="C690" s="135" t="s">
        <v>72</v>
      </c>
      <c r="D690" s="222" t="s">
        <v>73</v>
      </c>
      <c r="E690" s="223" t="s">
        <v>74</v>
      </c>
      <c r="F690" s="224" t="s">
        <v>75</v>
      </c>
      <c r="G690" s="225" t="s">
        <v>76</v>
      </c>
      <c r="H690" s="226" t="s">
        <v>77</v>
      </c>
      <c r="I690" s="227" t="s">
        <v>78</v>
      </c>
      <c r="J690" s="228" t="s">
        <v>79</v>
      </c>
      <c r="K690" s="229" t="s">
        <v>80</v>
      </c>
      <c r="L690" s="230" t="s">
        <v>81</v>
      </c>
      <c r="M690" s="230" t="s">
        <v>82</v>
      </c>
      <c r="N690" s="231" t="s">
        <v>83</v>
      </c>
      <c r="O690" s="231" t="s">
        <v>84</v>
      </c>
      <c r="P690" s="231" t="s">
        <v>85</v>
      </c>
      <c r="Q690" s="231" t="s">
        <v>86</v>
      </c>
      <c r="R690" s="232" t="s">
        <v>87</v>
      </c>
      <c r="S690" s="233" t="s">
        <v>88</v>
      </c>
      <c r="T690" s="234" t="s">
        <v>89</v>
      </c>
      <c r="U690" s="234" t="s">
        <v>90</v>
      </c>
      <c r="V690" s="234" t="s">
        <v>91</v>
      </c>
      <c r="W690" s="234" t="s">
        <v>92</v>
      </c>
      <c r="X690" s="235" t="s">
        <v>93</v>
      </c>
      <c r="Y690" s="143" t="s">
        <v>94</v>
      </c>
      <c r="Z690" s="144" t="s">
        <v>95</v>
      </c>
      <c r="AA690" s="144" t="s">
        <v>96</v>
      </c>
      <c r="AB690" s="144" t="s">
        <v>97</v>
      </c>
      <c r="AC690" s="145" t="s">
        <v>98</v>
      </c>
      <c r="AD690" s="145" t="s">
        <v>99</v>
      </c>
      <c r="AE690" s="146" t="s">
        <v>100</v>
      </c>
      <c r="AF690" s="145" t="s">
        <v>101</v>
      </c>
      <c r="AG690" s="145" t="s">
        <v>102</v>
      </c>
      <c r="AH690" s="147" t="s">
        <v>103</v>
      </c>
      <c r="AI690" s="148" t="s">
        <v>104</v>
      </c>
      <c r="AJ690" s="236"/>
      <c r="AK690" s="236"/>
      <c r="AL690" s="236"/>
      <c r="AM690" s="236"/>
      <c r="AN690" s="236"/>
      <c r="AO690" s="236"/>
    </row>
    <row r="691">
      <c r="A691" s="268">
        <v>46295</v>
      </c>
      <c r="B691" s="217" t="s">
        <v>105</v>
      </c>
      <c r="C691" s="238" t="s">
        <v>135</v>
      </c>
      <c r="D691" s="239">
        <v>509.832</v>
      </c>
      <c r="E691" s="153">
        <v>0</v>
      </c>
      <c r="F691" s="154">
        <f t="shared" ref="F691:F713" si="449">D691/E691</f>
      </c>
      <c r="G691" s="155">
        <v>0</v>
      </c>
      <c r="H691" s="156">
        <f t="shared" ref="H691:H713" si="479">AD691</f>
      </c>
      <c r="I691" s="157">
        <f t="shared" ref="I691:I713" si="389">D691/AD691</f>
      </c>
      <c r="J691" s="158">
        <f t="shared" ref="J691:J713" si="419">G691/E691</f>
      </c>
      <c r="K691" s="159">
        <f t="shared" ref="K691:K713" si="329">G691/D691</f>
      </c>
      <c r="L691" s="160">
        <f t="shared" ref="L691:L713" si="359">D691/AB691</f>
      </c>
      <c r="M691" s="158">
        <f t="shared" ref="M691:M713" si="239">D691/AC691</f>
      </c>
      <c r="N691" s="161">
        <f t="shared" ref="N691:N713" si="269">AC691/AB691</f>
      </c>
      <c r="O691" s="161">
        <f t="shared" ref="O691:O713" si="299">AD691/AC691</f>
      </c>
      <c r="P691" s="161">
        <f t="shared" ref="P691:P713" si="179">AA691/Z691</f>
      </c>
      <c r="Q691" s="161">
        <f t="shared" ref="Q691:Q713" si="209">AD691/AA691</f>
      </c>
      <c r="R691" s="158">
        <f t="shared" ref="R691:R713" si="119">D691/Z691*1000</f>
      </c>
      <c r="S691" s="159">
        <f t="shared" ref="S691:S713" si="149">D691/AA691</f>
      </c>
      <c r="T691" s="161">
        <f t="shared" ref="T691:T713" si="59">AE691/AB691</f>
      </c>
      <c r="U691" s="161">
        <f t="shared" ref="U691:U713" si="89">AF691/AB691</f>
      </c>
      <c r="V691" s="161">
        <f t="shared" ref="V691:V713" si="509">AG691/AB691</f>
      </c>
      <c r="W691" s="161">
        <f t="shared" ref="W691:W713" si="29">AH691/AB691</f>
      </c>
      <c r="X691" s="241" t="s">
        <v>107</v>
      </c>
      <c r="Y691" s="163" t="s">
        <v>132</v>
      </c>
      <c r="Z691" s="164">
        <v>16119</v>
      </c>
      <c r="AA691" s="164">
        <v>5192</v>
      </c>
      <c r="AB691" s="164">
        <v>23399</v>
      </c>
      <c r="AC691" s="164">
        <v>138</v>
      </c>
      <c r="AD691" s="166">
        <v>0</v>
      </c>
      <c r="AE691" s="164">
        <v>3110</v>
      </c>
      <c r="AF691" s="166">
        <v>47</v>
      </c>
      <c r="AG691" s="166">
        <v>10</v>
      </c>
      <c r="AH691" s="166">
        <v>1</v>
      </c>
      <c r="AI691" s="167">
        <v>0</v>
      </c>
      <c r="AJ691" s="236"/>
      <c r="AK691" s="236"/>
      <c r="AL691" s="236"/>
      <c r="AM691" s="236"/>
      <c r="AN691" s="236"/>
      <c r="AO691" s="236"/>
    </row>
    <row r="692">
      <c r="A692" s="268"/>
      <c r="B692" s="217" t="s">
        <v>105</v>
      </c>
      <c r="C692" s="238" t="s">
        <v>136</v>
      </c>
      <c r="D692" s="239">
        <v>434.16700000000003</v>
      </c>
      <c r="E692" s="153">
        <v>1</v>
      </c>
      <c r="F692" s="154">
        <f t="shared" si="449"/>
      </c>
      <c r="G692" s="155">
        <v>196</v>
      </c>
      <c r="H692" s="156">
        <f t="shared" si="479"/>
      </c>
      <c r="I692" s="157">
        <f t="shared" si="389"/>
      </c>
      <c r="J692" s="158">
        <f t="shared" si="419"/>
      </c>
      <c r="K692" s="159">
        <f t="shared" si="329"/>
      </c>
      <c r="L692" s="160">
        <f t="shared" si="359"/>
      </c>
      <c r="M692" s="158">
        <f t="shared" si="239"/>
      </c>
      <c r="N692" s="161">
        <f t="shared" si="269"/>
      </c>
      <c r="O692" s="161">
        <f t="shared" si="299"/>
      </c>
      <c r="P692" s="161">
        <f t="shared" si="179"/>
      </c>
      <c r="Q692" s="161">
        <f t="shared" si="209"/>
      </c>
      <c r="R692" s="158">
        <f t="shared" si="119"/>
      </c>
      <c r="S692" s="159">
        <f t="shared" si="149"/>
      </c>
      <c r="T692" s="161">
        <f t="shared" si="59"/>
      </c>
      <c r="U692" s="161">
        <f t="shared" si="89"/>
      </c>
      <c r="V692" s="161">
        <f t="shared" si="509"/>
      </c>
      <c r="W692" s="161">
        <f t="shared" si="29"/>
      </c>
      <c r="X692" s="169" t="s">
        <v>107</v>
      </c>
      <c r="Y692" s="163" t="s">
        <v>132</v>
      </c>
      <c r="Z692" s="166">
        <v>13615</v>
      </c>
      <c r="AA692" s="164">
        <v>4072</v>
      </c>
      <c r="AB692" s="164">
        <v>19659</v>
      </c>
      <c r="AC692" s="164">
        <v>96</v>
      </c>
      <c r="AD692" s="166">
        <v>1</v>
      </c>
      <c r="AE692" s="164">
        <v>2525</v>
      </c>
      <c r="AF692" s="166">
        <v>50</v>
      </c>
      <c r="AG692" s="166">
        <v>6</v>
      </c>
      <c r="AH692" s="166">
        <v>4</v>
      </c>
      <c r="AI692" s="167">
        <v>0</v>
      </c>
      <c r="AJ692" s="236"/>
      <c r="AK692" s="236"/>
      <c r="AL692" s="236"/>
      <c r="AM692" s="236"/>
      <c r="AN692" s="236"/>
      <c r="AO692" s="236"/>
    </row>
    <row r="693">
      <c r="A693" s="268"/>
      <c r="B693" s="217" t="s">
        <v>105</v>
      </c>
      <c r="C693" s="242" t="s">
        <v>106</v>
      </c>
      <c r="D693" s="243">
        <v>768.615</v>
      </c>
      <c r="E693" s="172">
        <v>5</v>
      </c>
      <c r="F693" s="154">
        <f t="shared" si="449"/>
      </c>
      <c r="G693" s="148">
        <v>1140</v>
      </c>
      <c r="H693" s="156">
        <f t="shared" si="479"/>
      </c>
      <c r="I693" s="157">
        <f t="shared" si="389"/>
      </c>
      <c r="J693" s="158">
        <f t="shared" si="419"/>
      </c>
      <c r="K693" s="159">
        <f t="shared" si="329"/>
      </c>
      <c r="L693" s="160">
        <f t="shared" si="359"/>
      </c>
      <c r="M693" s="158">
        <f t="shared" si="239"/>
      </c>
      <c r="N693" s="161">
        <f t="shared" si="269"/>
      </c>
      <c r="O693" s="161">
        <f t="shared" si="299"/>
      </c>
      <c r="P693" s="161">
        <f t="shared" si="179"/>
      </c>
      <c r="Q693" s="161">
        <f t="shared" si="209"/>
      </c>
      <c r="R693" s="158">
        <f t="shared" si="119"/>
      </c>
      <c r="S693" s="159">
        <f t="shared" si="149"/>
      </c>
      <c r="T693" s="161">
        <f t="shared" si="59"/>
      </c>
      <c r="U693" s="161">
        <f t="shared" si="89"/>
      </c>
      <c r="V693" s="161">
        <f t="shared" si="509"/>
      </c>
      <c r="W693" s="161">
        <f t="shared" si="29"/>
      </c>
      <c r="X693" s="169" t="s">
        <v>107</v>
      </c>
      <c r="Y693" s="163" t="s">
        <v>132</v>
      </c>
      <c r="Z693" s="166">
        <v>16589</v>
      </c>
      <c r="AA693" s="166">
        <v>4283</v>
      </c>
      <c r="AB693" s="166">
        <v>29767</v>
      </c>
      <c r="AC693" s="166">
        <v>141</v>
      </c>
      <c r="AD693" s="166">
        <v>5</v>
      </c>
      <c r="AE693" s="166">
        <v>2936</v>
      </c>
      <c r="AF693" s="166">
        <v>96</v>
      </c>
      <c r="AG693" s="166">
        <v>4</v>
      </c>
      <c r="AH693" s="166">
        <v>4</v>
      </c>
      <c r="AI693" s="167">
        <v>0</v>
      </c>
      <c r="AJ693" s="236"/>
      <c r="AK693" s="236"/>
      <c r="AL693" s="236"/>
      <c r="AM693" s="236"/>
      <c r="AN693" s="236"/>
      <c r="AO693" s="236"/>
    </row>
    <row r="694">
      <c r="A694" s="268"/>
      <c r="B694" s="217" t="s">
        <v>105</v>
      </c>
      <c r="C694" s="244" t="s">
        <v>109</v>
      </c>
      <c r="D694" s="243">
        <v>7236.1449999999995</v>
      </c>
      <c r="E694" s="172">
        <v>12</v>
      </c>
      <c r="F694" s="245">
        <f t="shared" si="449"/>
      </c>
      <c r="G694" s="246">
        <v>4980</v>
      </c>
      <c r="H694" s="247">
        <f t="shared" si="479"/>
      </c>
      <c r="I694" s="248">
        <f t="shared" si="389"/>
      </c>
      <c r="J694" s="249">
        <f t="shared" si="419"/>
      </c>
      <c r="K694" s="250">
        <f t="shared" si="329"/>
      </c>
      <c r="L694" s="251">
        <f t="shared" si="359"/>
      </c>
      <c r="M694" s="252">
        <f t="shared" si="239"/>
      </c>
      <c r="N694" s="253">
        <f t="shared" si="269"/>
      </c>
      <c r="O694" s="253">
        <f t="shared" si="299"/>
      </c>
      <c r="P694" s="253">
        <f t="shared" si="179"/>
      </c>
      <c r="Q694" s="253">
        <f t="shared" si="209"/>
      </c>
      <c r="R694" s="252">
        <f t="shared" si="119"/>
      </c>
      <c r="S694" s="254">
        <f t="shared" si="149"/>
      </c>
      <c r="T694" s="253">
        <f t="shared" si="59"/>
      </c>
      <c r="U694" s="253">
        <f t="shared" si="89"/>
      </c>
      <c r="V694" s="253">
        <f t="shared" si="509"/>
      </c>
      <c r="W694" s="253">
        <f t="shared" si="29"/>
      </c>
      <c r="X694" s="169" t="s">
        <v>107</v>
      </c>
      <c r="Y694" s="163" t="s">
        <v>132</v>
      </c>
      <c r="Z694" s="164">
        <v>154579</v>
      </c>
      <c r="AA694" s="164">
        <v>27901</v>
      </c>
      <c r="AB694" s="164">
        <v>379664</v>
      </c>
      <c r="AC694" s="164">
        <v>1078</v>
      </c>
      <c r="AD694" s="164">
        <v>11</v>
      </c>
      <c r="AE694" s="164">
        <v>30961</v>
      </c>
      <c r="AF694" s="166">
        <v>380</v>
      </c>
      <c r="AG694" s="166">
        <v>95</v>
      </c>
      <c r="AH694" s="166">
        <v>17</v>
      </c>
      <c r="AI694" s="167">
        <v>0</v>
      </c>
      <c r="AJ694" s="236"/>
      <c r="AK694" s="236"/>
      <c r="AL694" s="236"/>
      <c r="AM694" s="236"/>
      <c r="AN694" s="236"/>
      <c r="AO694" s="236"/>
    </row>
    <row r="695">
      <c r="A695" s="268"/>
      <c r="B695" s="217" t="s">
        <v>105</v>
      </c>
      <c r="C695" s="244" t="s">
        <v>110</v>
      </c>
      <c r="D695" s="255">
        <v>2500.076</v>
      </c>
      <c r="E695" s="172">
        <v>13</v>
      </c>
      <c r="F695" s="245">
        <f t="shared" si="449"/>
      </c>
      <c r="G695" s="246">
        <v>4693.5999999999985</v>
      </c>
      <c r="H695" s="247">
        <f t="shared" si="479"/>
      </c>
      <c r="I695" s="248">
        <f t="shared" si="389"/>
      </c>
      <c r="J695" s="249">
        <f t="shared" si="419"/>
      </c>
      <c r="K695" s="250">
        <f t="shared" si="329"/>
      </c>
      <c r="L695" s="251">
        <f t="shared" si="359"/>
      </c>
      <c r="M695" s="252">
        <f t="shared" si="239"/>
      </c>
      <c r="N695" s="253">
        <f t="shared" si="269"/>
      </c>
      <c r="O695" s="253">
        <f t="shared" si="299"/>
      </c>
      <c r="P695" s="253">
        <f t="shared" si="179"/>
      </c>
      <c r="Q695" s="253">
        <f t="shared" si="209"/>
      </c>
      <c r="R695" s="252">
        <f t="shared" si="119"/>
      </c>
      <c r="S695" s="254">
        <f t="shared" si="149"/>
      </c>
      <c r="T695" s="253">
        <f t="shared" si="59"/>
      </c>
      <c r="U695" s="253">
        <f t="shared" si="89"/>
      </c>
      <c r="V695" s="253">
        <f t="shared" si="509"/>
      </c>
      <c r="W695" s="253">
        <f t="shared" si="29"/>
      </c>
      <c r="X695" s="169" t="s">
        <v>107</v>
      </c>
      <c r="Y695" s="163" t="s">
        <v>132</v>
      </c>
      <c r="Z695" s="164">
        <v>50388</v>
      </c>
      <c r="AA695" s="164">
        <v>9229</v>
      </c>
      <c r="AB695" s="164">
        <v>111206</v>
      </c>
      <c r="AC695" s="164">
        <v>245</v>
      </c>
      <c r="AD695" s="164">
        <v>10</v>
      </c>
      <c r="AE695" s="164">
        <v>10576</v>
      </c>
      <c r="AF695" s="166">
        <v>216</v>
      </c>
      <c r="AG695" s="166">
        <v>32</v>
      </c>
      <c r="AH695" s="166">
        <v>3</v>
      </c>
      <c r="AI695" s="167">
        <v>1</v>
      </c>
      <c r="AJ695" s="236"/>
      <c r="AK695" s="236"/>
      <c r="AL695" s="236"/>
      <c r="AM695" s="236"/>
      <c r="AN695" s="236"/>
      <c r="AO695" s="236"/>
    </row>
    <row r="696">
      <c r="A696" s="268"/>
      <c r="B696" s="178" t="s">
        <v>112</v>
      </c>
      <c r="C696" s="178"/>
      <c r="D696" s="179">
        <f>SUM(D691:D695)</f>
      </c>
      <c r="E696" s="180">
        <f>SUM(E691:E695)</f>
      </c>
      <c r="F696" s="256">
        <f t="shared" si="449"/>
      </c>
      <c r="G696" s="257">
        <f>SUM(G691:G695)</f>
      </c>
      <c r="H696" s="258">
        <f t="shared" si="479"/>
      </c>
      <c r="I696" s="259">
        <f t="shared" si="389"/>
      </c>
      <c r="J696" s="260">
        <f t="shared" si="419"/>
      </c>
      <c r="K696" s="256">
        <f t="shared" si="329"/>
      </c>
      <c r="L696" s="261">
        <f t="shared" si="359"/>
      </c>
      <c r="M696" s="260">
        <f t="shared" si="239"/>
      </c>
      <c r="N696" s="262">
        <f t="shared" si="269"/>
      </c>
      <c r="O696" s="262">
        <f t="shared" si="299"/>
      </c>
      <c r="P696" s="187">
        <f t="shared" si="179"/>
      </c>
      <c r="Q696" s="187">
        <f t="shared" si="209"/>
      </c>
      <c r="R696" s="185">
        <f t="shared" si="119"/>
      </c>
      <c r="S696" s="181">
        <f t="shared" si="149"/>
      </c>
      <c r="T696" s="187">
        <f t="shared" si="59"/>
      </c>
      <c r="U696" s="187">
        <f t="shared" si="89"/>
      </c>
      <c r="V696" s="187">
        <f t="shared" si="509"/>
      </c>
      <c r="W696" s="187">
        <f t="shared" si="29"/>
      </c>
      <c r="X696" s="187"/>
      <c r="Y696" s="188"/>
      <c r="Z696" s="179">
        <f>SUM(Z691:Z695)</f>
      </c>
      <c r="AA696" s="179">
        <f>SUM(AA691:AA695)</f>
      </c>
      <c r="AB696" s="179">
        <f>SUM(AB691:AB695)</f>
      </c>
      <c r="AC696" s="179">
        <f>SUM(AC691:AC695)</f>
      </c>
      <c r="AD696" s="179">
        <f>SUM(AD691:AD695)</f>
      </c>
      <c r="AE696" s="179">
        <f>SUM(AE691:AE695)</f>
      </c>
      <c r="AF696" s="179">
        <f>SUM(AF691:AF695)</f>
      </c>
      <c r="AG696" s="179">
        <f>SUM(AG691:AG695)</f>
      </c>
      <c r="AH696" s="179">
        <f>SUM(AH691:AH695)</f>
      </c>
      <c r="AI696" s="179">
        <f>SUM(AI691:AI695)</f>
      </c>
      <c r="AJ696" s="236"/>
      <c r="AK696" s="236"/>
      <c r="AL696" s="236"/>
      <c r="AM696" s="236"/>
      <c r="AN696" s="236"/>
      <c r="AO696" s="236"/>
    </row>
    <row r="697">
      <c r="A697" s="268"/>
      <c r="B697" s="218" t="s">
        <v>130</v>
      </c>
      <c r="C697" s="192" t="s">
        <v>111</v>
      </c>
      <c r="D697" s="263">
        <v>3886.031</v>
      </c>
      <c r="E697" s="191">
        <v>8</v>
      </c>
      <c r="F697" s="245">
        <f t="shared" si="449"/>
      </c>
      <c r="G697" s="246">
        <v>2381.2000000000007</v>
      </c>
      <c r="H697" s="247">
        <f t="shared" si="479"/>
      </c>
      <c r="I697" s="248">
        <f t="shared" si="389"/>
      </c>
      <c r="J697" s="249">
        <f t="shared" si="419"/>
      </c>
      <c r="K697" s="250">
        <f t="shared" si="329"/>
      </c>
      <c r="L697" s="264">
        <f t="shared" si="359"/>
      </c>
      <c r="M697" s="158">
        <f t="shared" si="239"/>
      </c>
      <c r="N697" s="161">
        <f t="shared" si="269"/>
      </c>
      <c r="O697" s="161">
        <f t="shared" si="299"/>
      </c>
      <c r="P697" s="161">
        <f t="shared" si="179"/>
      </c>
      <c r="Q697" s="161">
        <f t="shared" si="209"/>
      </c>
      <c r="R697" s="158">
        <f t="shared" si="119"/>
      </c>
      <c r="S697" s="159">
        <f t="shared" si="149"/>
      </c>
      <c r="T697" s="161">
        <f t="shared" si="59"/>
      </c>
      <c r="U697" s="161">
        <f t="shared" si="89"/>
      </c>
      <c r="V697" s="161">
        <f t="shared" si="509"/>
      </c>
      <c r="W697" s="161">
        <f t="shared" si="29"/>
      </c>
      <c r="X697" s="169" t="s">
        <v>107</v>
      </c>
      <c r="Y697" s="163" t="s">
        <v>132</v>
      </c>
      <c r="Z697" s="166">
        <v>92140</v>
      </c>
      <c r="AA697" s="166">
        <v>14820</v>
      </c>
      <c r="AB697" s="166">
        <v>203898</v>
      </c>
      <c r="AC697" s="166">
        <v>492</v>
      </c>
      <c r="AD697" s="166">
        <v>9</v>
      </c>
      <c r="AE697" s="166">
        <v>16821</v>
      </c>
      <c r="AF697" s="166">
        <v>161</v>
      </c>
      <c r="AG697" s="166">
        <v>33</v>
      </c>
      <c r="AH697" s="166">
        <v>9</v>
      </c>
      <c r="AI697" s="167">
        <v>1</v>
      </c>
      <c r="AJ697" s="236"/>
      <c r="AK697" s="236"/>
      <c r="AL697" s="236"/>
      <c r="AM697" s="236"/>
      <c r="AN697" s="236"/>
      <c r="AO697" s="236"/>
    </row>
    <row r="698">
      <c r="A698" s="268"/>
      <c r="B698" s="218" t="s">
        <v>130</v>
      </c>
      <c r="C698" s="193" t="s">
        <v>114</v>
      </c>
      <c r="D698" s="243">
        <v>5487.948</v>
      </c>
      <c r="E698" s="172">
        <v>5</v>
      </c>
      <c r="F698" s="245">
        <f t="shared" si="449"/>
      </c>
      <c r="G698" s="246">
        <v>3061.2000000000007</v>
      </c>
      <c r="H698" s="247">
        <f t="shared" si="479"/>
      </c>
      <c r="I698" s="248">
        <f t="shared" si="389"/>
      </c>
      <c r="J698" s="249">
        <f t="shared" si="419"/>
      </c>
      <c r="K698" s="250">
        <f t="shared" si="329"/>
      </c>
      <c r="L698" s="264">
        <f t="shared" si="359"/>
      </c>
      <c r="M698" s="158">
        <f t="shared" si="239"/>
      </c>
      <c r="N698" s="161">
        <f t="shared" si="269"/>
      </c>
      <c r="O698" s="161">
        <f t="shared" si="299"/>
      </c>
      <c r="P698" s="161">
        <f t="shared" si="179"/>
      </c>
      <c r="Q698" s="161">
        <f t="shared" si="209"/>
      </c>
      <c r="R698" s="158">
        <f t="shared" si="119"/>
      </c>
      <c r="S698" s="159">
        <f t="shared" si="149"/>
      </c>
      <c r="T698" s="161">
        <f t="shared" si="59"/>
      </c>
      <c r="U698" s="161">
        <f t="shared" si="89"/>
      </c>
      <c r="V698" s="161">
        <f t="shared" si="509"/>
      </c>
      <c r="W698" s="161">
        <f t="shared" si="29"/>
      </c>
      <c r="X698" s="169" t="s">
        <v>107</v>
      </c>
      <c r="Y698" s="163" t="s">
        <v>132</v>
      </c>
      <c r="Z698" s="166">
        <v>200153</v>
      </c>
      <c r="AA698" s="166">
        <v>16768</v>
      </c>
      <c r="AB698" s="166">
        <v>335458</v>
      </c>
      <c r="AC698" s="166">
        <v>571</v>
      </c>
      <c r="AD698" s="166">
        <v>5</v>
      </c>
      <c r="AE698" s="166">
        <v>22945</v>
      </c>
      <c r="AF698" s="166">
        <v>208</v>
      </c>
      <c r="AG698" s="166">
        <v>43</v>
      </c>
      <c r="AH698" s="166">
        <v>13</v>
      </c>
      <c r="AI698" s="167">
        <v>1</v>
      </c>
      <c r="AJ698" s="236"/>
      <c r="AK698" s="236"/>
      <c r="AL698" s="236"/>
      <c r="AM698" s="236"/>
      <c r="AN698" s="236"/>
      <c r="AO698" s="236"/>
    </row>
    <row r="699">
      <c r="A699" s="268"/>
      <c r="B699" s="218" t="s">
        <v>130</v>
      </c>
      <c r="C699" s="196" t="s">
        <v>115</v>
      </c>
      <c r="D699" s="243">
        <v>961.281</v>
      </c>
      <c r="E699" s="172">
        <v>7</v>
      </c>
      <c r="F699" s="154">
        <f t="shared" si="449"/>
      </c>
      <c r="G699" s="148">
        <v>3385.199999999997</v>
      </c>
      <c r="H699" s="156">
        <f t="shared" si="479"/>
      </c>
      <c r="I699" s="157">
        <f t="shared" si="389"/>
      </c>
      <c r="J699" s="158">
        <f t="shared" si="419"/>
      </c>
      <c r="K699" s="159">
        <f t="shared" si="329"/>
      </c>
      <c r="L699" s="265">
        <f t="shared" si="359"/>
      </c>
      <c r="M699" s="252">
        <f t="shared" si="239"/>
      </c>
      <c r="N699" s="253">
        <f t="shared" si="269"/>
      </c>
      <c r="O699" s="253">
        <f t="shared" si="299"/>
      </c>
      <c r="P699" s="253">
        <f t="shared" si="179"/>
      </c>
      <c r="Q699" s="253">
        <f t="shared" si="209"/>
      </c>
      <c r="R699" s="252">
        <f t="shared" si="119"/>
      </c>
      <c r="S699" s="254">
        <f t="shared" si="149"/>
      </c>
      <c r="T699" s="253">
        <f t="shared" si="59"/>
      </c>
      <c r="U699" s="253">
        <f t="shared" si="89"/>
      </c>
      <c r="V699" s="253">
        <f t="shared" si="509"/>
      </c>
      <c r="W699" s="253">
        <f t="shared" si="29"/>
      </c>
      <c r="X699" s="169" t="s">
        <v>107</v>
      </c>
      <c r="Y699" s="163" t="s">
        <v>132</v>
      </c>
      <c r="Z699" s="166">
        <v>69293</v>
      </c>
      <c r="AA699" s="166">
        <v>2477</v>
      </c>
      <c r="AB699" s="166">
        <v>18301</v>
      </c>
      <c r="AC699" s="166">
        <v>60</v>
      </c>
      <c r="AD699" s="166">
        <v>7</v>
      </c>
      <c r="AE699" s="166">
        <v>1280</v>
      </c>
      <c r="AF699" s="166">
        <v>63</v>
      </c>
      <c r="AG699" s="166">
        <v>6</v>
      </c>
      <c r="AH699" s="166">
        <v>3</v>
      </c>
      <c r="AI699" s="167">
        <v>1</v>
      </c>
      <c r="AJ699" s="236"/>
      <c r="AK699" s="236"/>
      <c r="AL699" s="236"/>
      <c r="AM699" s="236"/>
      <c r="AN699" s="236"/>
      <c r="AO699" s="236"/>
    </row>
    <row r="700">
      <c r="A700" s="268"/>
      <c r="B700" s="218" t="s">
        <v>130</v>
      </c>
      <c r="C700" s="196" t="s">
        <v>116</v>
      </c>
      <c r="D700" s="255">
        <v>2708.6310000000003</v>
      </c>
      <c r="E700" s="172">
        <v>13</v>
      </c>
      <c r="F700" s="154">
        <f t="shared" si="449"/>
      </c>
      <c r="G700" s="148">
        <v>4667.200000000004</v>
      </c>
      <c r="H700" s="156">
        <f t="shared" si="479"/>
      </c>
      <c r="I700" s="157">
        <f t="shared" si="389"/>
      </c>
      <c r="J700" s="158">
        <f t="shared" si="419"/>
      </c>
      <c r="K700" s="159">
        <f t="shared" si="329"/>
      </c>
      <c r="L700" s="265">
        <f t="shared" si="359"/>
      </c>
      <c r="M700" s="252">
        <f t="shared" si="239"/>
      </c>
      <c r="N700" s="253">
        <f t="shared" si="269"/>
      </c>
      <c r="O700" s="253">
        <f t="shared" si="299"/>
      </c>
      <c r="P700" s="253">
        <f t="shared" si="179"/>
      </c>
      <c r="Q700" s="253">
        <f t="shared" si="209"/>
      </c>
      <c r="R700" s="252">
        <f t="shared" si="119"/>
      </c>
      <c r="S700" s="254">
        <f t="shared" si="149"/>
      </c>
      <c r="T700" s="253">
        <f t="shared" si="59"/>
      </c>
      <c r="U700" s="253">
        <f t="shared" si="89"/>
      </c>
      <c r="V700" s="253">
        <f t="shared" si="509"/>
      </c>
      <c r="W700" s="253">
        <f t="shared" si="29"/>
      </c>
      <c r="X700" s="169" t="s">
        <v>107</v>
      </c>
      <c r="Y700" s="163" t="s">
        <v>132</v>
      </c>
      <c r="Z700" s="166">
        <v>139914</v>
      </c>
      <c r="AA700" s="166">
        <v>6907</v>
      </c>
      <c r="AB700" s="166">
        <v>99785</v>
      </c>
      <c r="AC700" s="166">
        <v>133</v>
      </c>
      <c r="AD700" s="166">
        <v>8</v>
      </c>
      <c r="AE700" s="166">
        <v>6140</v>
      </c>
      <c r="AF700" s="166">
        <v>185</v>
      </c>
      <c r="AG700" s="166">
        <v>17</v>
      </c>
      <c r="AH700" s="166">
        <v>1</v>
      </c>
      <c r="AI700" s="167">
        <v>3</v>
      </c>
      <c r="AJ700" s="236"/>
      <c r="AK700" s="236"/>
      <c r="AL700" s="236"/>
      <c r="AM700" s="236"/>
      <c r="AN700" s="236"/>
      <c r="AO700" s="236"/>
    </row>
    <row r="701">
      <c r="A701" s="268"/>
      <c r="B701" s="178" t="s">
        <v>112</v>
      </c>
      <c r="C701" s="178"/>
      <c r="D701" s="179">
        <f>SUM(D697:D700)</f>
      </c>
      <c r="E701" s="180">
        <f>SUM(E697:E700)</f>
      </c>
      <c r="F701" s="181">
        <f t="shared" si="449"/>
      </c>
      <c r="G701" s="182">
        <f>SUM(G697:G700)</f>
      </c>
      <c r="H701" s="266">
        <f t="shared" si="479"/>
      </c>
      <c r="I701" s="184">
        <f t="shared" si="389"/>
      </c>
      <c r="J701" s="185">
        <f t="shared" si="419"/>
      </c>
      <c r="K701" s="181">
        <f t="shared" si="329"/>
      </c>
      <c r="L701" s="186">
        <f t="shared" si="359"/>
      </c>
      <c r="M701" s="185">
        <f t="shared" si="239"/>
      </c>
      <c r="N701" s="187">
        <f t="shared" si="269"/>
      </c>
      <c r="O701" s="187">
        <f t="shared" si="299"/>
      </c>
      <c r="P701" s="187">
        <f t="shared" si="179"/>
      </c>
      <c r="Q701" s="187">
        <f t="shared" si="209"/>
      </c>
      <c r="R701" s="185">
        <f t="shared" si="119"/>
      </c>
      <c r="S701" s="181">
        <f t="shared" si="149"/>
      </c>
      <c r="T701" s="187">
        <f t="shared" si="59"/>
      </c>
      <c r="U701" s="187">
        <f t="shared" si="89"/>
      </c>
      <c r="V701" s="187">
        <f t="shared" si="509"/>
      </c>
      <c r="W701" s="187">
        <f t="shared" si="29"/>
      </c>
      <c r="X701" s="187"/>
      <c r="Y701" s="188"/>
      <c r="Z701" s="179">
        <f>SUM(Z697:Z700)</f>
      </c>
      <c r="AA701" s="179">
        <f>SUM(AA697:AA700)</f>
      </c>
      <c r="AB701" s="179">
        <f>SUM(AB697:AB700)</f>
      </c>
      <c r="AC701" s="179">
        <f>SUM(AC697:AC700)</f>
      </c>
      <c r="AD701" s="179">
        <f>SUM(AD697:AD700)</f>
      </c>
      <c r="AE701" s="179">
        <f>SUM(AE697:AE700)</f>
      </c>
      <c r="AF701" s="179">
        <f>SUM(AF697:AF700)</f>
      </c>
      <c r="AG701" s="179">
        <f>SUM(AG697:AG700)</f>
      </c>
      <c r="AH701" s="179">
        <f>SUM(AH697:AH700)</f>
      </c>
      <c r="AI701" s="179">
        <f>SUM(AI697:AI700)</f>
      </c>
      <c r="AJ701" s="236"/>
      <c r="AK701" s="236"/>
      <c r="AL701" s="236"/>
      <c r="AM701" s="236"/>
      <c r="AN701" s="236"/>
      <c r="AO701" s="236"/>
    </row>
    <row r="702">
      <c r="A702" s="268"/>
      <c r="B702" s="218" t="s">
        <v>131</v>
      </c>
      <c r="C702" s="169" t="s">
        <v>117</v>
      </c>
      <c r="D702" s="171">
        <v>3149.33</v>
      </c>
      <c r="E702" s="172">
        <v>6</v>
      </c>
      <c r="F702" s="154">
        <f t="shared" si="449"/>
      </c>
      <c r="G702" s="172">
        <v>1957.2</v>
      </c>
      <c r="H702" s="156">
        <f t="shared" si="479"/>
      </c>
      <c r="I702" s="157">
        <f t="shared" si="389"/>
      </c>
      <c r="J702" s="158">
        <f t="shared" si="419"/>
      </c>
      <c r="K702" s="159">
        <f t="shared" si="329"/>
      </c>
      <c r="L702" s="265">
        <f t="shared" si="359"/>
      </c>
      <c r="M702" s="252">
        <f t="shared" si="239"/>
      </c>
      <c r="N702" s="253">
        <f t="shared" si="269"/>
      </c>
      <c r="O702" s="253">
        <f t="shared" si="299"/>
      </c>
      <c r="P702" s="253">
        <f t="shared" si="179"/>
      </c>
      <c r="Q702" s="253">
        <f t="shared" si="209"/>
      </c>
      <c r="R702" s="252">
        <f t="shared" si="119"/>
      </c>
      <c r="S702" s="254">
        <f t="shared" si="149"/>
      </c>
      <c r="T702" s="253">
        <f t="shared" si="59"/>
      </c>
      <c r="U702" s="253">
        <f t="shared" si="89"/>
      </c>
      <c r="V702" s="253">
        <f t="shared" si="509"/>
      </c>
      <c r="W702" s="253">
        <f t="shared" si="29"/>
      </c>
      <c r="X702" s="169" t="s">
        <v>142</v>
      </c>
      <c r="Y702" s="163" t="s">
        <v>132</v>
      </c>
      <c r="Z702" s="166">
        <v>131021</v>
      </c>
      <c r="AA702" s="166">
        <v>8975</v>
      </c>
      <c r="AB702" s="166">
        <v>134725</v>
      </c>
      <c r="AC702" s="166">
        <v>399</v>
      </c>
      <c r="AD702" s="166">
        <v>7</v>
      </c>
      <c r="AE702" s="166">
        <v>9427</v>
      </c>
      <c r="AF702" s="166">
        <v>165</v>
      </c>
      <c r="AG702" s="166">
        <v>27</v>
      </c>
      <c r="AH702" s="166">
        <v>7</v>
      </c>
      <c r="AI702" s="167">
        <v>0</v>
      </c>
      <c r="AJ702" s="236"/>
      <c r="AK702" s="236"/>
      <c r="AL702" s="236"/>
    </row>
    <row r="703">
      <c r="A703" s="268"/>
      <c r="B703" s="218" t="s">
        <v>131</v>
      </c>
      <c r="C703" s="196" t="s">
        <v>119</v>
      </c>
      <c r="D703" s="195">
        <v>404.825</v>
      </c>
      <c r="E703" s="172">
        <v>6</v>
      </c>
      <c r="F703" s="154">
        <f t="shared" si="449"/>
      </c>
      <c r="G703" s="172">
        <v>3097.6</v>
      </c>
      <c r="H703" s="156">
        <f t="shared" si="479"/>
      </c>
      <c r="I703" s="157">
        <f t="shared" si="389"/>
      </c>
      <c r="J703" s="158">
        <f t="shared" si="419"/>
      </c>
      <c r="K703" s="159">
        <f t="shared" si="329"/>
      </c>
      <c r="L703" s="265">
        <f t="shared" si="359"/>
      </c>
      <c r="M703" s="252">
        <f t="shared" si="239"/>
      </c>
      <c r="N703" s="253">
        <f t="shared" si="269"/>
      </c>
      <c r="O703" s="253">
        <f t="shared" si="299"/>
      </c>
      <c r="P703" s="253">
        <f t="shared" si="179"/>
      </c>
      <c r="Q703" s="253">
        <f t="shared" si="209"/>
      </c>
      <c r="R703" s="252">
        <f t="shared" si="119"/>
      </c>
      <c r="S703" s="254">
        <f t="shared" si="149"/>
      </c>
      <c r="T703" s="253">
        <f t="shared" si="59"/>
      </c>
      <c r="U703" s="253">
        <f t="shared" si="89"/>
      </c>
      <c r="V703" s="253">
        <f t="shared" si="509"/>
      </c>
      <c r="W703" s="253">
        <f t="shared" si="29"/>
      </c>
      <c r="X703" s="169" t="s">
        <v>142</v>
      </c>
      <c r="Y703" s="162" t="s">
        <v>137</v>
      </c>
      <c r="Z703" s="166">
        <v>9931</v>
      </c>
      <c r="AA703" s="166">
        <v>1797</v>
      </c>
      <c r="AB703" s="166">
        <v>13846</v>
      </c>
      <c r="AC703" s="166">
        <v>57</v>
      </c>
      <c r="AD703" s="166">
        <v>6</v>
      </c>
      <c r="AE703" s="166">
        <v>1107</v>
      </c>
      <c r="AF703" s="166">
        <v>48</v>
      </c>
      <c r="AG703" s="166">
        <v>5</v>
      </c>
      <c r="AH703" s="166">
        <v>1</v>
      </c>
      <c r="AI703" s="167">
        <v>1</v>
      </c>
      <c r="AJ703" s="236"/>
      <c r="AK703" s="236"/>
      <c r="AL703" s="236"/>
    </row>
    <row r="704">
      <c r="A704" s="268"/>
      <c r="B704" s="218" t="s">
        <v>131</v>
      </c>
      <c r="C704" s="196" t="s">
        <v>121</v>
      </c>
      <c r="D704" s="195">
        <v>2384.439</v>
      </c>
      <c r="E704" s="172">
        <v>4</v>
      </c>
      <c r="F704" s="154">
        <f t="shared" si="449"/>
      </c>
      <c r="G704" s="172">
        <v>2673.6</v>
      </c>
      <c r="H704" s="156">
        <f t="shared" si="479"/>
      </c>
      <c r="I704" s="157">
        <f t="shared" si="389"/>
      </c>
      <c r="J704" s="158">
        <f t="shared" si="419"/>
      </c>
      <c r="K704" s="159">
        <f t="shared" si="329"/>
      </c>
      <c r="L704" s="265">
        <f t="shared" si="359"/>
      </c>
      <c r="M704" s="252">
        <f t="shared" si="239"/>
      </c>
      <c r="N704" s="253">
        <f t="shared" si="269"/>
      </c>
      <c r="O704" s="253">
        <f t="shared" si="299"/>
      </c>
      <c r="P704" s="253">
        <f t="shared" si="179"/>
      </c>
      <c r="Q704" s="253">
        <f t="shared" si="209"/>
      </c>
      <c r="R704" s="252">
        <f t="shared" si="119"/>
      </c>
      <c r="S704" s="254">
        <f t="shared" si="149"/>
      </c>
      <c r="T704" s="253">
        <f t="shared" si="59"/>
      </c>
      <c r="U704" s="253">
        <f t="shared" si="89"/>
      </c>
      <c r="V704" s="253">
        <f t="shared" si="509"/>
      </c>
      <c r="W704" s="253">
        <f t="shared" si="29"/>
      </c>
      <c r="X704" s="169" t="s">
        <v>142</v>
      </c>
      <c r="Y704" s="162" t="s">
        <v>137</v>
      </c>
      <c r="Z704" s="166">
        <v>56354</v>
      </c>
      <c r="AA704" s="166">
        <v>7025</v>
      </c>
      <c r="AB704" s="166">
        <v>121315</v>
      </c>
      <c r="AC704" s="166">
        <v>197</v>
      </c>
      <c r="AD704" s="166">
        <v>3</v>
      </c>
      <c r="AE704" s="166">
        <v>8351</v>
      </c>
      <c r="AF704" s="166">
        <v>94</v>
      </c>
      <c r="AG704" s="166">
        <v>16</v>
      </c>
      <c r="AH704" s="166">
        <v>7</v>
      </c>
      <c r="AI704" s="167">
        <v>1</v>
      </c>
      <c r="AJ704" s="236"/>
      <c r="AK704" s="236"/>
      <c r="AL704" s="236"/>
    </row>
    <row r="705">
      <c r="A705" s="268"/>
      <c r="B705" s="218" t="s">
        <v>131</v>
      </c>
      <c r="C705" s="196" t="s">
        <v>122</v>
      </c>
      <c r="D705" s="195">
        <v>3809.951</v>
      </c>
      <c r="E705" s="172">
        <v>3</v>
      </c>
      <c r="F705" s="154">
        <f t="shared" si="449"/>
      </c>
      <c r="G705" s="172">
        <v>1252</v>
      </c>
      <c r="H705" s="156">
        <f t="shared" si="479"/>
      </c>
      <c r="I705" s="157">
        <f t="shared" si="389"/>
      </c>
      <c r="J705" s="158">
        <f t="shared" si="419"/>
      </c>
      <c r="K705" s="159">
        <f t="shared" si="329"/>
      </c>
      <c r="L705" s="265">
        <f t="shared" si="359"/>
      </c>
      <c r="M705" s="252">
        <f t="shared" si="239"/>
      </c>
      <c r="N705" s="253">
        <f t="shared" si="269"/>
      </c>
      <c r="O705" s="253">
        <f t="shared" si="299"/>
      </c>
      <c r="P705" s="253">
        <f t="shared" si="179"/>
      </c>
      <c r="Q705" s="253">
        <f t="shared" si="209"/>
      </c>
      <c r="R705" s="252">
        <f t="shared" si="119"/>
      </c>
      <c r="S705" s="254">
        <f t="shared" si="149"/>
      </c>
      <c r="T705" s="253">
        <f t="shared" si="59"/>
      </c>
      <c r="U705" s="253">
        <f t="shared" si="89"/>
      </c>
      <c r="V705" s="253">
        <f t="shared" si="509"/>
      </c>
      <c r="W705" s="253">
        <f t="shared" si="29"/>
      </c>
      <c r="X705" s="169" t="s">
        <v>142</v>
      </c>
      <c r="Y705" s="162" t="s">
        <v>137</v>
      </c>
      <c r="Z705" s="166">
        <v>117748</v>
      </c>
      <c r="AA705" s="166">
        <v>10018</v>
      </c>
      <c r="AB705" s="166">
        <v>204989</v>
      </c>
      <c r="AC705" s="166">
        <v>538</v>
      </c>
      <c r="AD705" s="166">
        <v>3</v>
      </c>
      <c r="AE705" s="166">
        <v>13697</v>
      </c>
      <c r="AF705" s="166">
        <v>123</v>
      </c>
      <c r="AG705" s="166">
        <v>25</v>
      </c>
      <c r="AH705" s="166">
        <v>5</v>
      </c>
      <c r="AI705" s="167">
        <v>0</v>
      </c>
      <c r="AJ705" s="236"/>
      <c r="AK705" s="236"/>
      <c r="AL705" s="236"/>
    </row>
    <row r="706">
      <c r="A706" s="268"/>
      <c r="B706" s="178" t="s">
        <v>112</v>
      </c>
      <c r="C706" s="178"/>
      <c r="D706" s="179">
        <f>SUM(D702:D705)</f>
      </c>
      <c r="E706" s="180">
        <f>SUM(E702:E705)</f>
      </c>
      <c r="F706" s="181">
        <f t="shared" si="449"/>
      </c>
      <c r="G706" s="182">
        <f>SUM(G702:G705)</f>
      </c>
      <c r="H706" s="266">
        <f t="shared" si="479"/>
      </c>
      <c r="I706" s="184">
        <f t="shared" si="389"/>
      </c>
      <c r="J706" s="185">
        <f t="shared" si="419"/>
      </c>
      <c r="K706" s="181">
        <f t="shared" si="329"/>
      </c>
      <c r="L706" s="186">
        <f t="shared" si="359"/>
      </c>
      <c r="M706" s="185">
        <f t="shared" si="239"/>
      </c>
      <c r="N706" s="187">
        <f t="shared" si="269"/>
      </c>
      <c r="O706" s="187">
        <f t="shared" si="299"/>
      </c>
      <c r="P706" s="187">
        <f t="shared" si="179"/>
      </c>
      <c r="Q706" s="187">
        <f t="shared" si="209"/>
      </c>
      <c r="R706" s="185">
        <f t="shared" si="119"/>
      </c>
      <c r="S706" s="181">
        <f t="shared" si="149"/>
      </c>
      <c r="T706" s="187">
        <f t="shared" si="59"/>
      </c>
      <c r="U706" s="187">
        <f t="shared" si="89"/>
      </c>
      <c r="V706" s="187">
        <f t="shared" si="509"/>
      </c>
      <c r="W706" s="187">
        <f t="shared" si="29"/>
      </c>
      <c r="X706" s="187"/>
      <c r="Y706" s="188"/>
      <c r="Z706" s="179">
        <f>SUM(Z702:Z705)</f>
      </c>
      <c r="AA706" s="179">
        <f>SUM(AA702:AA705)</f>
      </c>
      <c r="AB706" s="179">
        <f>SUM(AB702:AB705)</f>
      </c>
      <c r="AC706" s="179">
        <f>SUM(AC702:AC705)</f>
      </c>
      <c r="AD706" s="179">
        <f>SUM(AD702:AD705)</f>
      </c>
      <c r="AE706" s="179">
        <f>SUM(AE702:AE705)</f>
      </c>
      <c r="AF706" s="179">
        <f>SUM(AF702:AF705)</f>
      </c>
      <c r="AG706" s="179">
        <f>SUM(AG702:AG705)</f>
      </c>
      <c r="AH706" s="179">
        <f>SUM(AH702:AH705)</f>
      </c>
      <c r="AI706" s="179">
        <f>SUM(AI702:AI705)</f>
      </c>
      <c r="AJ706" s="236"/>
      <c r="AK706" s="236"/>
      <c r="AL706" s="236"/>
    </row>
    <row r="707">
      <c r="A707" s="268"/>
      <c r="B707" s="218" t="s">
        <v>118</v>
      </c>
      <c r="C707" s="169" t="s">
        <v>123</v>
      </c>
      <c r="D707" s="198">
        <v>1480.183</v>
      </c>
      <c r="E707" s="153">
        <v>12</v>
      </c>
      <c r="F707" s="154">
        <f t="shared" si="449"/>
      </c>
      <c r="G707" s="155">
        <v>3833.2</v>
      </c>
      <c r="H707" s="156">
        <f t="shared" si="479"/>
      </c>
      <c r="I707" s="157">
        <f t="shared" si="389"/>
      </c>
      <c r="J707" s="158">
        <f t="shared" si="419"/>
      </c>
      <c r="K707" s="159">
        <f t="shared" si="329"/>
      </c>
      <c r="L707" s="265">
        <f t="shared" si="359"/>
      </c>
      <c r="M707" s="252">
        <f t="shared" si="239"/>
      </c>
      <c r="N707" s="253">
        <f t="shared" si="269"/>
      </c>
      <c r="O707" s="253">
        <f t="shared" si="299"/>
      </c>
      <c r="P707" s="253">
        <f t="shared" si="179"/>
      </c>
      <c r="Q707" s="253">
        <f t="shared" si="209"/>
      </c>
      <c r="R707" s="252">
        <f t="shared" si="119"/>
      </c>
      <c r="S707" s="254">
        <f t="shared" si="149"/>
      </c>
      <c r="T707" s="253">
        <f t="shared" si="59"/>
      </c>
      <c r="U707" s="253">
        <f t="shared" si="89"/>
      </c>
      <c r="V707" s="253">
        <f t="shared" si="509"/>
      </c>
      <c r="W707" s="253">
        <f t="shared" si="29"/>
      </c>
      <c r="X707" s="169" t="s">
        <v>142</v>
      </c>
      <c r="Y707" s="162" t="s">
        <v>137</v>
      </c>
      <c r="Z707" s="166">
        <v>64851</v>
      </c>
      <c r="AA707" s="166">
        <v>4084</v>
      </c>
      <c r="AB707" s="166">
        <v>51984</v>
      </c>
      <c r="AC707" s="199">
        <v>117</v>
      </c>
      <c r="AD707" s="199">
        <v>9</v>
      </c>
      <c r="AE707" s="199">
        <v>2913</v>
      </c>
      <c r="AF707" s="199">
        <v>76</v>
      </c>
      <c r="AG707" s="199">
        <v>26</v>
      </c>
      <c r="AH707" s="199">
        <v>4</v>
      </c>
      <c r="AI707" s="167">
        <v>2</v>
      </c>
      <c r="AJ707" s="236"/>
      <c r="AK707" s="236"/>
      <c r="AL707" s="236"/>
    </row>
    <row r="708">
      <c r="A708" s="268"/>
      <c r="B708" s="218" t="s">
        <v>118</v>
      </c>
      <c r="C708" s="196" t="s">
        <v>125</v>
      </c>
      <c r="D708" s="198">
        <v>4796.036</v>
      </c>
      <c r="E708" s="153">
        <v>11</v>
      </c>
      <c r="F708" s="154">
        <f t="shared" si="449"/>
      </c>
      <c r="G708" s="155">
        <v>4212</v>
      </c>
      <c r="H708" s="156">
        <f t="shared" si="479"/>
      </c>
      <c r="I708" s="157">
        <f t="shared" si="389"/>
      </c>
      <c r="J708" s="158">
        <f t="shared" si="419"/>
      </c>
      <c r="K708" s="159">
        <f t="shared" si="329"/>
      </c>
      <c r="L708" s="265">
        <f t="shared" si="359"/>
      </c>
      <c r="M708" s="252">
        <f t="shared" si="239"/>
      </c>
      <c r="N708" s="253">
        <f t="shared" si="269"/>
      </c>
      <c r="O708" s="253">
        <f t="shared" si="299"/>
      </c>
      <c r="P708" s="253">
        <f t="shared" si="179"/>
      </c>
      <c r="Q708" s="253">
        <f t="shared" si="209"/>
      </c>
      <c r="R708" s="252">
        <f t="shared" si="119"/>
      </c>
      <c r="S708" s="254">
        <f t="shared" si="149"/>
      </c>
      <c r="T708" s="253">
        <f t="shared" si="59"/>
      </c>
      <c r="U708" s="253">
        <f t="shared" si="89"/>
      </c>
      <c r="V708" s="253">
        <f t="shared" si="509"/>
      </c>
      <c r="W708" s="253">
        <f t="shared" si="29"/>
      </c>
      <c r="X708" s="169" t="s">
        <v>142</v>
      </c>
      <c r="Y708" s="162" t="s">
        <v>137</v>
      </c>
      <c r="Z708" s="166">
        <v>190676</v>
      </c>
      <c r="AA708" s="166">
        <v>14015</v>
      </c>
      <c r="AB708" s="166">
        <v>247844</v>
      </c>
      <c r="AC708" s="199">
        <v>464</v>
      </c>
      <c r="AD708" s="199">
        <v>11</v>
      </c>
      <c r="AE708" s="199">
        <v>12397</v>
      </c>
      <c r="AF708" s="199">
        <v>223</v>
      </c>
      <c r="AG708" s="199">
        <v>41</v>
      </c>
      <c r="AH708" s="199">
        <v>5</v>
      </c>
      <c r="AI708" s="167">
        <v>0</v>
      </c>
      <c r="AJ708" s="236"/>
      <c r="AK708" s="236"/>
      <c r="AL708" s="236"/>
    </row>
    <row r="709">
      <c r="A709" s="268"/>
      <c r="B709" s="218" t="s">
        <v>118</v>
      </c>
      <c r="C709" s="196" t="s">
        <v>126</v>
      </c>
      <c r="D709" s="171">
        <v>5345.722</v>
      </c>
      <c r="E709" s="172">
        <v>9</v>
      </c>
      <c r="F709" s="154">
        <f t="shared" si="449"/>
      </c>
      <c r="G709" s="172">
        <v>3820</v>
      </c>
      <c r="H709" s="156">
        <f t="shared" si="479"/>
      </c>
      <c r="I709" s="157">
        <f t="shared" si="389"/>
      </c>
      <c r="J709" s="158">
        <f t="shared" si="419"/>
      </c>
      <c r="K709" s="159">
        <f t="shared" si="329"/>
      </c>
      <c r="L709" s="265">
        <f t="shared" si="359"/>
      </c>
      <c r="M709" s="252">
        <f t="shared" si="239"/>
      </c>
      <c r="N709" s="253">
        <f t="shared" si="269"/>
      </c>
      <c r="O709" s="253">
        <f t="shared" si="299"/>
      </c>
      <c r="P709" s="253">
        <f t="shared" si="179"/>
      </c>
      <c r="Q709" s="253">
        <f t="shared" si="209"/>
      </c>
      <c r="R709" s="252">
        <f t="shared" si="119"/>
      </c>
      <c r="S709" s="254">
        <f t="shared" si="149"/>
      </c>
      <c r="T709" s="253">
        <f t="shared" si="59"/>
      </c>
      <c r="U709" s="253">
        <f t="shared" si="89"/>
      </c>
      <c r="V709" s="253">
        <f t="shared" si="509"/>
      </c>
      <c r="W709" s="253">
        <f t="shared" si="29"/>
      </c>
      <c r="X709" s="169" t="s">
        <v>142</v>
      </c>
      <c r="Y709" s="162" t="s">
        <v>137</v>
      </c>
      <c r="Z709" s="166">
        <v>324639</v>
      </c>
      <c r="AA709" s="166">
        <v>11975</v>
      </c>
      <c r="AB709" s="166">
        <v>254565</v>
      </c>
      <c r="AC709" s="166">
        <v>456</v>
      </c>
      <c r="AD709" s="166">
        <v>9</v>
      </c>
      <c r="AE709" s="166">
        <v>12078</v>
      </c>
      <c r="AF709" s="166">
        <v>146</v>
      </c>
      <c r="AG709" s="166">
        <v>43</v>
      </c>
      <c r="AH709" s="166">
        <v>9</v>
      </c>
      <c r="AI709" s="167">
        <v>0</v>
      </c>
      <c r="AJ709" s="236"/>
      <c r="AK709" s="236"/>
      <c r="AL709" s="236"/>
    </row>
    <row r="710">
      <c r="A710" s="268"/>
      <c r="B710" s="218" t="s">
        <v>118</v>
      </c>
      <c r="C710" s="196" t="s">
        <v>127</v>
      </c>
      <c r="D710" s="195">
        <v>3539.373</v>
      </c>
      <c r="E710" s="172">
        <v>11</v>
      </c>
      <c r="F710" s="154">
        <f t="shared" si="449"/>
      </c>
      <c r="G710" s="172">
        <v>3591.5</v>
      </c>
      <c r="H710" s="156">
        <f t="shared" si="479"/>
      </c>
      <c r="I710" s="157">
        <f t="shared" si="389"/>
      </c>
      <c r="J710" s="158">
        <f t="shared" si="419"/>
      </c>
      <c r="K710" s="159">
        <f t="shared" si="329"/>
      </c>
      <c r="L710" s="265">
        <f t="shared" si="359"/>
      </c>
      <c r="M710" s="252">
        <f t="shared" si="239"/>
      </c>
      <c r="N710" s="253">
        <f t="shared" si="269"/>
      </c>
      <c r="O710" s="253">
        <f t="shared" si="299"/>
      </c>
      <c r="P710" s="253">
        <f t="shared" si="179"/>
      </c>
      <c r="Q710" s="253">
        <f t="shared" si="209"/>
      </c>
      <c r="R710" s="252">
        <f t="shared" si="119"/>
      </c>
      <c r="S710" s="254">
        <f t="shared" si="149"/>
      </c>
      <c r="T710" s="253">
        <f t="shared" si="59"/>
      </c>
      <c r="U710" s="253">
        <f t="shared" si="89"/>
      </c>
      <c r="V710" s="253">
        <f t="shared" si="509"/>
      </c>
      <c r="W710" s="253">
        <f t="shared" si="29"/>
      </c>
      <c r="X710" s="169" t="s">
        <v>142</v>
      </c>
      <c r="Y710" s="162" t="s">
        <v>137</v>
      </c>
      <c r="Z710" s="166">
        <v>383580</v>
      </c>
      <c r="AA710" s="166">
        <v>6909</v>
      </c>
      <c r="AB710" s="166">
        <v>50868</v>
      </c>
      <c r="AC710" s="166">
        <v>120</v>
      </c>
      <c r="AD710" s="166">
        <v>9</v>
      </c>
      <c r="AE710" s="166">
        <v>2986</v>
      </c>
      <c r="AF710" s="166">
        <v>101</v>
      </c>
      <c r="AG710" s="166">
        <v>21</v>
      </c>
      <c r="AH710" s="166">
        <v>6</v>
      </c>
      <c r="AI710" s="167">
        <v>2</v>
      </c>
      <c r="AJ710" s="236"/>
      <c r="AK710" s="236"/>
      <c r="AL710" s="236"/>
    </row>
    <row r="711">
      <c r="A711" s="268"/>
      <c r="B711" s="218" t="s">
        <v>118</v>
      </c>
      <c r="C711" s="196" t="s">
        <v>128</v>
      </c>
      <c r="D711" s="269">
        <f>2588.237+0.59</f>
      </c>
      <c r="E711" s="172">
        <v>5</v>
      </c>
      <c r="F711" s="154">
        <f t="shared" si="449"/>
      </c>
      <c r="G711" s="172">
        <v>3540</v>
      </c>
      <c r="H711" s="156">
        <f t="shared" si="479"/>
      </c>
      <c r="I711" s="157">
        <f t="shared" si="389"/>
      </c>
      <c r="J711" s="158">
        <f t="shared" si="419"/>
      </c>
      <c r="K711" s="159">
        <f t="shared" si="329"/>
      </c>
      <c r="L711" s="265">
        <f t="shared" si="359"/>
      </c>
      <c r="M711" s="252">
        <f t="shared" si="239"/>
      </c>
      <c r="N711" s="253">
        <f t="shared" si="269"/>
      </c>
      <c r="O711" s="253">
        <f t="shared" si="299"/>
      </c>
      <c r="P711" s="253">
        <f t="shared" si="179"/>
      </c>
      <c r="Q711" s="253">
        <f t="shared" si="209"/>
      </c>
      <c r="R711" s="252">
        <f t="shared" si="119"/>
      </c>
      <c r="S711" s="254">
        <f t="shared" si="149"/>
      </c>
      <c r="T711" s="253">
        <f t="shared" si="59"/>
      </c>
      <c r="U711" s="253">
        <f t="shared" si="89"/>
      </c>
      <c r="V711" s="253">
        <f t="shared" si="509"/>
      </c>
      <c r="W711" s="253">
        <f t="shared" si="29"/>
      </c>
      <c r="X711" s="169" t="s">
        <v>142</v>
      </c>
      <c r="Y711" s="162" t="s">
        <v>137</v>
      </c>
      <c r="Z711" s="166">
        <v>64454</v>
      </c>
      <c r="AA711" s="166">
        <v>6837</v>
      </c>
      <c r="AB711" s="166">
        <v>159453</v>
      </c>
      <c r="AC711" s="166">
        <v>271</v>
      </c>
      <c r="AD711" s="166">
        <v>5</v>
      </c>
      <c r="AE711" s="166">
        <v>7624</v>
      </c>
      <c r="AF711" s="166">
        <v>95</v>
      </c>
      <c r="AG711" s="166">
        <v>26</v>
      </c>
      <c r="AH711" s="166">
        <v>16</v>
      </c>
      <c r="AI711" s="167">
        <v>0</v>
      </c>
      <c r="AJ711" s="236"/>
      <c r="AK711" s="236"/>
      <c r="AL711" s="236"/>
    </row>
    <row r="712">
      <c r="A712" s="268"/>
      <c r="B712" s="178" t="s">
        <v>112</v>
      </c>
      <c r="C712" s="178"/>
      <c r="D712" s="179">
        <f>SUM(D707:D711)</f>
      </c>
      <c r="E712" s="180">
        <f>SUM(E707:E711)</f>
      </c>
      <c r="F712" s="181">
        <f t="shared" si="449"/>
      </c>
      <c r="G712" s="182">
        <f>SUM(G707:G711)</f>
      </c>
      <c r="H712" s="266">
        <f t="shared" si="479"/>
      </c>
      <c r="I712" s="184">
        <f t="shared" si="389"/>
      </c>
      <c r="J712" s="185">
        <f t="shared" si="419"/>
      </c>
      <c r="K712" s="181">
        <f t="shared" si="329"/>
      </c>
      <c r="L712" s="186">
        <f t="shared" si="359"/>
      </c>
      <c r="M712" s="185">
        <f t="shared" si="239"/>
      </c>
      <c r="N712" s="187">
        <f t="shared" si="269"/>
      </c>
      <c r="O712" s="187">
        <f t="shared" si="299"/>
      </c>
      <c r="P712" s="187">
        <f t="shared" si="179"/>
      </c>
      <c r="Q712" s="187">
        <f t="shared" si="209"/>
      </c>
      <c r="R712" s="185">
        <f t="shared" si="119"/>
      </c>
      <c r="S712" s="181">
        <f t="shared" si="149"/>
      </c>
      <c r="T712" s="187">
        <f t="shared" si="59"/>
      </c>
      <c r="U712" s="187">
        <f t="shared" si="89"/>
      </c>
      <c r="V712" s="187">
        <f t="shared" si="509"/>
      </c>
      <c r="W712" s="187">
        <f t="shared" si="29"/>
      </c>
      <c r="X712" s="187"/>
      <c r="Y712" s="188"/>
      <c r="Z712" s="179">
        <f>SUM(Z707:Z711)</f>
      </c>
      <c r="AA712" s="179">
        <f>SUM(AA707:AA711)</f>
      </c>
      <c r="AB712" s="179">
        <f>SUM(AB707:AB711)</f>
      </c>
      <c r="AC712" s="179">
        <f>SUM(AC707:AC711)</f>
      </c>
      <c r="AD712" s="179">
        <f>SUM(AD707:AD711)</f>
      </c>
      <c r="AE712" s="179">
        <f>SUM(AE707:AE711)</f>
      </c>
      <c r="AF712" s="179">
        <f>SUM(AF707:AF711)</f>
      </c>
      <c r="AG712" s="179">
        <f>SUM(AG707:AG711)</f>
      </c>
      <c r="AH712" s="179">
        <f>SUM(AH707:AH711)</f>
      </c>
      <c r="AI712" s="179">
        <f>SUM(AI707:AI711)</f>
      </c>
      <c r="AJ712" s="236"/>
      <c r="AK712" s="236"/>
      <c r="AL712" s="236"/>
    </row>
    <row r="713">
      <c r="A713" s="268"/>
      <c r="B713" s="202" t="s">
        <v>129</v>
      </c>
      <c r="C713" s="202"/>
      <c r="D713" s="203">
        <f>SUM(D712+D696+D701+D706)</f>
      </c>
      <c r="E713" s="204">
        <f>SUM(E712+E696+E701+E706)</f>
      </c>
      <c r="F713" s="205">
        <f t="shared" si="449"/>
      </c>
      <c r="G713" s="206">
        <f>SUM(G712+G696+G701+G706)</f>
      </c>
      <c r="H713" s="267">
        <f t="shared" si="479"/>
      </c>
      <c r="I713" s="208">
        <f t="shared" si="389"/>
      </c>
      <c r="J713" s="209">
        <f t="shared" si="419"/>
      </c>
      <c r="K713" s="205">
        <f t="shared" si="329"/>
      </c>
      <c r="L713" s="210">
        <f t="shared" si="359"/>
      </c>
      <c r="M713" s="210">
        <f t="shared" si="239"/>
      </c>
      <c r="N713" s="211">
        <f t="shared" si="269"/>
      </c>
      <c r="O713" s="211">
        <f t="shared" si="299"/>
      </c>
      <c r="P713" s="211">
        <f t="shared" si="179"/>
      </c>
      <c r="Q713" s="211">
        <f t="shared" si="209"/>
      </c>
      <c r="R713" s="212">
        <f t="shared" si="119"/>
      </c>
      <c r="S713" s="213">
        <f t="shared" si="149"/>
      </c>
      <c r="T713" s="214">
        <f t="shared" si="59"/>
      </c>
      <c r="U713" s="214">
        <f t="shared" si="89"/>
      </c>
      <c r="V713" s="214">
        <f t="shared" si="509"/>
      </c>
      <c r="W713" s="214">
        <f t="shared" si="29"/>
      </c>
      <c r="X713" s="214"/>
      <c r="Y713" s="215"/>
      <c r="Z713" s="216">
        <f>SUM(Z696+Z712+Z701+Z706)</f>
      </c>
      <c r="AA713" s="216">
        <f>SUM(AA696+AA712+AA701+AA706)</f>
      </c>
      <c r="AB713" s="216">
        <f>SUM(AB696+AB712+AB701+AB706)</f>
      </c>
      <c r="AC713" s="216">
        <f>SUM(AC696+AC712+AC701+AC706)</f>
      </c>
      <c r="AD713" s="216">
        <f>SUM(AD696+AD712+AD701+AD706)</f>
      </c>
      <c r="AE713" s="216">
        <f>SUM(AE696+AE712+AE701+AE706)</f>
      </c>
      <c r="AF713" s="216">
        <f>SUM(AF696+AF712+AF701+AF706)</f>
      </c>
      <c r="AG713" s="216">
        <f>SUM(AG696+AG712+AG701+AG706)</f>
      </c>
      <c r="AH713" s="216">
        <f>SUM(AH696+AH712+AH701+AH706)</f>
      </c>
      <c r="AI713" s="216">
        <f>SUM(AI696+AI712+AI701+AI706)</f>
      </c>
      <c r="AJ713" s="236"/>
      <c r="AK713" s="236"/>
      <c r="AL713" s="236"/>
    </row>
    <row r="714">
      <c r="A714" s="270"/>
      <c r="B714" s="271"/>
      <c r="C714" s="271"/>
      <c r="D714" s="272"/>
      <c r="E714" s="273"/>
      <c r="F714" s="274"/>
      <c r="G714" s="272"/>
      <c r="H714" s="275"/>
      <c r="I714" s="276"/>
      <c r="J714" s="277"/>
      <c r="K714" s="274"/>
      <c r="L714" s="278"/>
      <c r="M714" s="278"/>
      <c r="N714" s="279"/>
      <c r="O714" s="279"/>
      <c r="P714" s="279"/>
      <c r="Q714" s="279"/>
      <c r="R714" s="280"/>
      <c r="S714" s="281"/>
      <c r="T714" s="282"/>
      <c r="U714" s="282"/>
      <c r="V714" s="282"/>
      <c r="W714" s="282"/>
      <c r="X714" s="282"/>
      <c r="Y714" s="283"/>
      <c r="Z714" s="284"/>
      <c r="AA714" s="284"/>
      <c r="AB714" s="284"/>
      <c r="AC714" s="284"/>
      <c r="AD714" s="284"/>
      <c r="AE714" s="284"/>
      <c r="AF714" s="284"/>
      <c r="AG714" s="284"/>
      <c r="AH714" s="284"/>
      <c r="AI714" s="276"/>
      <c r="AJ714" s="236"/>
      <c r="AK714" s="236"/>
      <c r="AL714" s="236"/>
    </row>
    <row r="715">
      <c r="A715" s="285"/>
      <c r="B715" s="286"/>
      <c r="C715" s="286"/>
      <c r="D715" s="272"/>
      <c r="E715" s="236">
        <f>E716-E713</f>
      </c>
      <c r="F715" s="236"/>
      <c r="G715" s="284">
        <f>G716-G713</f>
      </c>
      <c r="H715" s="284"/>
      <c r="I715" s="287"/>
      <c r="J715" s="284"/>
      <c r="K715" s="288"/>
      <c r="L715" s="284"/>
      <c r="M715" s="284"/>
      <c r="N715" s="284"/>
      <c r="O715" s="284"/>
      <c r="P715" s="279"/>
      <c r="Q715" s="279"/>
      <c r="R715" s="280"/>
      <c r="S715" s="281"/>
      <c r="T715" s="282"/>
      <c r="U715" s="282"/>
      <c r="V715" s="282"/>
      <c r="W715" s="282"/>
      <c r="X715" s="282"/>
      <c r="Y715" s="283"/>
      <c r="Z715" s="289"/>
      <c r="AA715" s="289"/>
      <c r="AB715" s="289"/>
      <c r="AC715" s="289"/>
      <c r="AD715" s="289"/>
      <c r="AE715" s="289"/>
      <c r="AF715" s="289"/>
      <c r="AG715" s="289"/>
      <c r="AH715" s="290"/>
      <c r="AI715" s="289"/>
      <c r="AJ715" s="236"/>
      <c r="AK715" s="236"/>
      <c r="AL715" s="236"/>
    </row>
    <row r="716">
      <c r="A716" s="285"/>
      <c r="B716" s="286"/>
      <c r="C716" s="286"/>
      <c r="D716" s="272"/>
      <c r="E716" s="291" cm="1">
        <f t="array" ref="E716:E716">IMPORTRANGE("https://meimeiwangluo.feishu.cn/sheets/CIpWsYvjKhxKJGt54epcdpaqnMc","'Sheet1'!D1")</f>
      </c>
      <c r="F716" s="236"/>
      <c r="G716" s="292" cm="1">
        <f t="array" ref="G716:G716">IMPORTRANGE("https://meimeiwangluo.feishu.cn/sheets/CIpWsYvjKhxKJGt54epcdpaqnMc","'Sheet1'!E1")</f>
      </c>
      <c r="H716" s="236"/>
      <c r="I716" s="236"/>
      <c r="J716" s="236"/>
      <c r="K716" s="236"/>
      <c r="L716" s="236"/>
      <c r="M716" s="236"/>
      <c r="N716" s="236"/>
      <c r="O716" s="236"/>
      <c r="P716" s="279"/>
      <c r="Q716" s="279"/>
      <c r="R716" s="280"/>
      <c r="S716" s="281"/>
      <c r="T716" s="282"/>
      <c r="U716" s="282"/>
      <c r="V716" s="282"/>
      <c r="W716" s="282"/>
      <c r="X716" s="282"/>
      <c r="Y716" s="283"/>
      <c r="Z716" s="289"/>
      <c r="AA716" s="289"/>
      <c r="AB716" s="289"/>
      <c r="AC716" s="289"/>
      <c r="AD716" s="289"/>
      <c r="AE716" s="289"/>
      <c r="AF716" s="289"/>
      <c r="AG716" s="289"/>
      <c r="AH716" s="290"/>
      <c r="AI716" s="276"/>
      <c r="AJ716" s="236"/>
      <c r="AK716" s="236"/>
      <c r="AL716" s="236"/>
    </row>
    <row r="717">
      <c r="A717" s="285"/>
      <c r="B717" s="286"/>
      <c r="C717" s="286"/>
      <c r="D717" s="272"/>
      <c r="E717" s="291" t="s">
        <v>143</v>
      </c>
      <c r="F717" s="236"/>
      <c r="G717" s="236"/>
      <c r="H717" s="236"/>
      <c r="I717" s="236"/>
      <c r="J717" s="236"/>
      <c r="K717" s="236"/>
      <c r="L717" s="236"/>
      <c r="M717" s="236"/>
      <c r="N717" s="236"/>
      <c r="O717" s="236"/>
      <c r="P717" s="279"/>
      <c r="Q717" s="279"/>
      <c r="R717" s="280"/>
      <c r="S717" s="281"/>
      <c r="T717" s="282"/>
      <c r="U717" s="282"/>
      <c r="V717" s="282"/>
      <c r="W717" s="282"/>
      <c r="X717" s="282"/>
      <c r="Y717" s="283"/>
      <c r="Z717" s="289"/>
      <c r="AA717" s="289"/>
      <c r="AB717" s="289"/>
      <c r="AC717" s="289"/>
      <c r="AD717" s="289"/>
      <c r="AE717" s="289"/>
      <c r="AF717" s="289"/>
      <c r="AG717" s="289"/>
      <c r="AH717" s="290"/>
      <c r="AI717" s="276"/>
      <c r="AJ717" s="236"/>
      <c r="AK717" s="236"/>
      <c r="AL717" s="236"/>
    </row>
    <row r="718">
      <c r="A718" s="285"/>
      <c r="B718" s="286"/>
      <c r="C718" s="286"/>
      <c r="D718" s="272"/>
      <c r="E718" s="236"/>
      <c r="F718" s="293">
        <v>787.233</v>
      </c>
      <c r="G718" s="294">
        <v>10393</v>
      </c>
      <c r="H718" s="294">
        <v>1598</v>
      </c>
      <c r="I718" s="294">
        <v>29033</v>
      </c>
      <c r="J718" s="294">
        <v>0</v>
      </c>
      <c r="K718" s="294">
        <v>2</v>
      </c>
      <c r="L718" s="294">
        <v>1565</v>
      </c>
      <c r="M718" s="295">
        <v>33</v>
      </c>
      <c r="N718" s="295">
        <v>6</v>
      </c>
      <c r="O718" s="295">
        <v>3</v>
      </c>
      <c r="P718" s="296"/>
      <c r="Q718" s="279"/>
      <c r="R718" s="280"/>
      <c r="S718" s="281"/>
      <c r="T718" s="282"/>
      <c r="U718" s="282"/>
      <c r="V718" s="282"/>
      <c r="W718" s="282"/>
      <c r="X718" s="282"/>
      <c r="Y718" s="283"/>
      <c r="Z718" s="297"/>
      <c r="AA718" s="297"/>
      <c r="AB718" s="297"/>
      <c r="AC718" s="297"/>
      <c r="AD718" s="297"/>
      <c r="AE718" s="297"/>
      <c r="AF718" s="289"/>
      <c r="AG718" s="289"/>
      <c r="AH718" s="298"/>
      <c r="AI718" s="276"/>
      <c r="AJ718" s="236"/>
      <c r="AK718" s="236"/>
      <c r="AL718" s="236"/>
    </row>
    <row r="719">
      <c r="A719" s="285"/>
      <c r="B719" s="286"/>
      <c r="C719" s="286"/>
      <c r="D719" s="299"/>
      <c r="E719" s="236"/>
      <c r="F719" s="293">
        <v>1.575</v>
      </c>
      <c r="G719" s="294">
        <v>119</v>
      </c>
      <c r="H719" s="294">
        <v>9</v>
      </c>
      <c r="I719" s="294">
        <v>136</v>
      </c>
      <c r="J719" s="294">
        <v>0</v>
      </c>
      <c r="K719" s="294">
        <v>0</v>
      </c>
      <c r="L719" s="294">
        <v>9</v>
      </c>
      <c r="M719" s="295">
        <v>0</v>
      </c>
      <c r="N719" s="295">
        <v>0</v>
      </c>
      <c r="O719" s="295">
        <v>0</v>
      </c>
      <c r="P719" s="300"/>
      <c r="Q719" s="279"/>
      <c r="R719" s="280"/>
      <c r="S719" s="281"/>
      <c r="T719" s="282"/>
      <c r="U719" s="282"/>
      <c r="V719" s="282"/>
      <c r="W719" s="282"/>
      <c r="X719" s="282"/>
      <c r="Y719" s="283"/>
      <c r="Z719" s="297"/>
      <c r="AA719" s="297"/>
      <c r="AB719" s="297"/>
      <c r="AC719" s="297"/>
      <c r="AD719" s="297"/>
      <c r="AE719" s="297"/>
      <c r="AF719" s="289"/>
      <c r="AG719" s="289"/>
      <c r="AH719" s="298"/>
      <c r="AI719" s="276"/>
      <c r="AJ719" s="236"/>
      <c r="AK719" s="236"/>
      <c r="AL719" s="236"/>
    </row>
    <row r="720">
      <c r="A720" s="285"/>
      <c r="B720" s="286"/>
      <c r="C720" s="286"/>
      <c r="D720" s="299"/>
      <c r="E720" s="236"/>
      <c r="F720" s="293">
        <v>1775.868</v>
      </c>
      <c r="G720" s="294">
        <v>43485</v>
      </c>
      <c r="H720" s="294">
        <v>5040</v>
      </c>
      <c r="I720" s="294">
        <v>130103</v>
      </c>
      <c r="J720" s="293">
        <v>271</v>
      </c>
      <c r="K720" s="293">
        <v>1</v>
      </c>
      <c r="L720" s="294">
        <v>6049</v>
      </c>
      <c r="M720" s="293">
        <v>59</v>
      </c>
      <c r="N720" s="293">
        <v>17</v>
      </c>
      <c r="O720" s="293">
        <v>12</v>
      </c>
      <c r="P720" s="300"/>
      <c r="Q720" s="279"/>
      <c r="R720" s="280"/>
      <c r="S720" s="281"/>
      <c r="T720" s="282"/>
      <c r="U720" s="282"/>
      <c r="V720" s="282"/>
      <c r="W720" s="282"/>
      <c r="X720" s="282"/>
      <c r="Y720" s="283"/>
      <c r="Z720" s="276"/>
      <c r="AA720" s="276"/>
      <c r="AB720" s="276"/>
      <c r="AC720" s="276"/>
      <c r="AD720" s="276"/>
      <c r="AE720" s="276"/>
      <c r="AF720" s="276"/>
      <c r="AG720" s="276"/>
      <c r="AH720" s="276"/>
      <c r="AI720" s="276"/>
      <c r="AJ720" s="236"/>
      <c r="AK720" s="236"/>
      <c r="AL720" s="236"/>
    </row>
    <row r="721">
      <c r="A721" s="285"/>
      <c r="B721" s="286"/>
      <c r="C721" s="286"/>
      <c r="D721" s="299"/>
      <c r="E721" s="236"/>
      <c r="F721" s="293">
        <v>23.561</v>
      </c>
      <c r="G721" s="294">
        <v>10457</v>
      </c>
      <c r="H721" s="294">
        <v>190</v>
      </c>
      <c r="I721" s="294">
        <v>181</v>
      </c>
      <c r="J721" s="294">
        <v>0</v>
      </c>
      <c r="K721" s="294">
        <v>2</v>
      </c>
      <c r="L721" s="294">
        <v>1</v>
      </c>
      <c r="M721" s="295">
        <v>3</v>
      </c>
      <c r="N721" s="295">
        <v>3</v>
      </c>
      <c r="O721" s="295">
        <v>1</v>
      </c>
      <c r="P721" s="296"/>
      <c r="Q721" s="279"/>
      <c r="R721" s="280"/>
      <c r="S721" s="281"/>
      <c r="T721" s="282"/>
      <c r="U721" s="282"/>
      <c r="V721" s="282"/>
      <c r="W721" s="282"/>
      <c r="X721" s="282"/>
      <c r="Y721" s="283"/>
      <c r="Z721" s="276"/>
      <c r="AA721" s="276"/>
      <c r="AB721" s="276"/>
      <c r="AC721" s="276"/>
      <c r="AD721" s="276"/>
      <c r="AE721" s="276"/>
      <c r="AF721" s="276"/>
      <c r="AG721" s="276"/>
      <c r="AH721" s="276"/>
      <c r="AI721" s="276"/>
      <c r="AJ721" s="236"/>
      <c r="AK721" s="236"/>
      <c r="AL721" s="236"/>
    </row>
    <row r="722">
      <c r="A722" s="285"/>
      <c r="B722" s="286"/>
      <c r="C722" s="286"/>
      <c r="D722" s="299"/>
      <c r="E722" s="236"/>
      <c r="F722" s="301"/>
      <c r="G722" s="302"/>
      <c r="H722" s="302"/>
      <c r="I722" s="302"/>
      <c r="J722" s="302"/>
      <c r="K722" s="302"/>
      <c r="L722" s="302"/>
      <c r="M722" s="303"/>
      <c r="N722" s="303"/>
      <c r="O722" s="303"/>
      <c r="P722" s="296"/>
      <c r="Q722" s="296"/>
      <c r="R722" s="280"/>
      <c r="S722" s="281"/>
      <c r="T722" s="282"/>
      <c r="U722" s="282"/>
      <c r="V722" s="282"/>
      <c r="W722" s="282"/>
      <c r="X722" s="282"/>
      <c r="Y722" s="283"/>
      <c r="Z722" s="276"/>
      <c r="AA722" s="276"/>
      <c r="AB722" s="276"/>
      <c r="AC722" s="276"/>
      <c r="AD722" s="276"/>
      <c r="AE722" s="276"/>
      <c r="AF722" s="276"/>
      <c r="AG722" s="276"/>
      <c r="AH722" s="276"/>
      <c r="AI722" s="276"/>
      <c r="AJ722" s="236"/>
      <c r="AK722" s="236"/>
      <c r="AL722" s="236"/>
    </row>
    <row r="723">
      <c r="A723" s="285"/>
      <c r="B723" s="286"/>
      <c r="C723" s="286"/>
      <c r="D723" s="304"/>
      <c r="E723" s="305"/>
      <c r="F723" s="306">
        <f>SUM(F718:F722)</f>
      </c>
      <c r="G723" s="292">
        <f>SUM(G718:G722)</f>
      </c>
      <c r="H723" s="292">
        <f>SUM(H718:H722)</f>
      </c>
      <c r="I723" s="292">
        <f>SUM(I718:I722)</f>
      </c>
      <c r="J723" s="292">
        <f>SUM(J718:J722)</f>
      </c>
      <c r="K723" s="292">
        <f>SUM(K718:K722)</f>
      </c>
      <c r="L723" s="292">
        <f>SUM(L718:L722)</f>
      </c>
      <c r="M723" s="292">
        <f>SUM(M718:M722)</f>
      </c>
      <c r="N723" s="292">
        <f>SUM(N718:N722)</f>
      </c>
      <c r="O723" s="292">
        <f>SUM(O718:O722)</f>
      </c>
      <c r="P723" s="279"/>
      <c r="Q723" s="279"/>
      <c r="R723" s="280"/>
      <c r="S723" s="281"/>
      <c r="T723" s="282"/>
      <c r="U723" s="282"/>
      <c r="V723" s="282"/>
      <c r="W723" s="282"/>
      <c r="X723" s="282"/>
      <c r="Y723" s="283"/>
      <c r="Z723" s="276"/>
      <c r="AA723" s="276"/>
      <c r="AB723" s="276"/>
      <c r="AC723" s="276"/>
      <c r="AD723" s="276"/>
      <c r="AE723" s="276"/>
      <c r="AF723" s="276"/>
      <c r="AG723" s="276"/>
      <c r="AH723" s="276"/>
      <c r="AI723" s="276"/>
      <c r="AJ723" s="236"/>
      <c r="AK723" s="236"/>
      <c r="AL723" s="236"/>
    </row>
    <row r="724">
      <c r="A724" s="285"/>
      <c r="B724" s="286"/>
      <c r="C724" s="286"/>
      <c r="D724" s="307"/>
      <c r="E724" s="236"/>
      <c r="F724" s="308" t="s">
        <v>144</v>
      </c>
      <c r="G724" s="309" t="s">
        <v>95</v>
      </c>
      <c r="H724" s="309" t="s">
        <v>96</v>
      </c>
      <c r="I724" s="309" t="s">
        <v>97</v>
      </c>
      <c r="J724" s="309" t="s">
        <v>98</v>
      </c>
      <c r="K724" s="309" t="s">
        <v>99</v>
      </c>
      <c r="L724" s="309" t="s">
        <v>100</v>
      </c>
      <c r="M724" s="309" t="s">
        <v>101</v>
      </c>
      <c r="N724" s="309" t="s">
        <v>102</v>
      </c>
      <c r="O724" s="309" t="s">
        <v>103</v>
      </c>
      <c r="P724" s="279"/>
      <c r="Q724" s="279"/>
      <c r="R724" s="280"/>
      <c r="S724" s="281"/>
      <c r="T724" s="282"/>
      <c r="U724" s="282"/>
      <c r="V724" s="282"/>
      <c r="W724" s="282"/>
      <c r="X724" s="282"/>
      <c r="Y724" s="283"/>
      <c r="Z724" s="276"/>
      <c r="AA724" s="276"/>
      <c r="AB724" s="276"/>
      <c r="AC724" s="276"/>
      <c r="AD724" s="276"/>
      <c r="AE724" s="276"/>
      <c r="AF724" s="276"/>
      <c r="AG724" s="276"/>
      <c r="AH724" s="276"/>
      <c r="AI724" s="276"/>
      <c r="AJ724" s="236"/>
      <c r="AK724" s="236"/>
      <c r="AL724" s="236"/>
    </row>
    <row r="725">
      <c r="A725" s="285"/>
      <c r="B725" s="286"/>
      <c r="C725" s="286"/>
      <c r="D725" s="272"/>
      <c r="E725" s="236"/>
      <c r="F725" s="236"/>
      <c r="G725" s="236"/>
      <c r="H725" s="236"/>
      <c r="I725" s="236"/>
      <c r="J725" s="236"/>
      <c r="K725" s="236"/>
      <c r="L725" s="236"/>
      <c r="M725" s="236"/>
      <c r="N725" s="236"/>
      <c r="O725" s="236"/>
      <c r="P725" s="279"/>
      <c r="Q725" s="279"/>
      <c r="R725" s="280"/>
      <c r="S725" s="281"/>
      <c r="T725" s="282"/>
      <c r="U725" s="282"/>
      <c r="V725" s="282"/>
      <c r="W725" s="282"/>
      <c r="X725" s="282"/>
      <c r="Y725" s="283"/>
      <c r="Z725" s="276"/>
      <c r="AA725" s="276"/>
      <c r="AB725" s="276"/>
      <c r="AC725" s="276"/>
      <c r="AD725" s="276"/>
      <c r="AE725" s="276"/>
      <c r="AF725" s="276"/>
      <c r="AG725" s="276"/>
      <c r="AH725" s="276"/>
      <c r="AI725" s="276"/>
      <c r="AJ725" s="236"/>
      <c r="AK725" s="236"/>
      <c r="AL725" s="236"/>
    </row>
    <row r="726">
      <c r="A726" s="310"/>
      <c r="B726" s="311"/>
      <c r="C726" s="311"/>
      <c r="D726" s="312"/>
      <c r="P726" s="313"/>
      <c r="Q726" s="313"/>
      <c r="R726" s="314"/>
      <c r="S726" s="315"/>
      <c r="T726" s="316"/>
      <c r="U726" s="316"/>
      <c r="V726" s="316"/>
      <c r="W726" s="316"/>
      <c r="X726" s="316"/>
      <c r="Y726" s="317"/>
      <c r="Z726" s="318"/>
      <c r="AA726" s="318"/>
      <c r="AB726" s="318"/>
      <c r="AC726" s="318"/>
      <c r="AD726" s="318"/>
      <c r="AE726" s="318"/>
      <c r="AF726" s="318"/>
      <c r="AG726" s="318"/>
      <c r="AH726" s="318"/>
      <c r="AI726" s="318"/>
    </row>
    <row r="727">
      <c r="A727" s="310"/>
      <c r="B727" s="311"/>
      <c r="C727" s="311"/>
      <c r="D727" s="312"/>
      <c r="P727" s="313"/>
      <c r="Q727" s="313"/>
      <c r="R727" s="314"/>
      <c r="S727" s="315"/>
      <c r="T727" s="316"/>
      <c r="U727" s="316"/>
      <c r="V727" s="316"/>
      <c r="W727" s="316"/>
      <c r="X727" s="316"/>
      <c r="Y727" s="317"/>
      <c r="Z727" s="318"/>
      <c r="AA727" s="318"/>
      <c r="AB727" s="318"/>
      <c r="AC727" s="318"/>
      <c r="AD727" s="318"/>
      <c r="AE727" s="318"/>
      <c r="AF727" s="318"/>
      <c r="AG727" s="318"/>
      <c r="AH727" s="318"/>
      <c r="AI727" s="318"/>
    </row>
    <row r="728">
      <c r="A728" s="310"/>
      <c r="B728" s="311"/>
      <c r="C728" s="311"/>
      <c r="D728" s="312"/>
      <c r="P728" s="313"/>
      <c r="Q728" s="313"/>
      <c r="R728" s="314"/>
      <c r="S728" s="315"/>
      <c r="T728" s="316"/>
      <c r="U728" s="316"/>
      <c r="V728" s="316"/>
      <c r="W728" s="316"/>
      <c r="X728" s="316"/>
      <c r="Y728" s="317"/>
      <c r="Z728" s="318"/>
      <c r="AA728" s="318"/>
      <c r="AB728" s="318"/>
      <c r="AC728" s="318"/>
      <c r="AD728" s="318"/>
      <c r="AE728" s="318"/>
      <c r="AF728" s="318"/>
      <c r="AG728" s="318"/>
      <c r="AH728" s="318"/>
      <c r="AI728" s="318"/>
    </row>
    <row r="729">
      <c r="A729" s="310"/>
      <c r="B729" s="311"/>
      <c r="C729" s="311"/>
      <c r="D729" s="312"/>
      <c r="P729" s="313"/>
      <c r="Q729" s="313"/>
      <c r="R729" s="314"/>
      <c r="S729" s="315"/>
      <c r="T729" s="316"/>
      <c r="U729" s="316"/>
      <c r="V729" s="316"/>
      <c r="W729" s="316"/>
      <c r="X729" s="316"/>
      <c r="Y729" s="317"/>
      <c r="Z729" s="318"/>
      <c r="AA729" s="318"/>
      <c r="AB729" s="318"/>
      <c r="AC729" s="318"/>
      <c r="AD729" s="318"/>
      <c r="AE729" s="318"/>
      <c r="AF729" s="318"/>
      <c r="AG729" s="318"/>
      <c r="AH729" s="318"/>
      <c r="AI729" s="318"/>
    </row>
    <row r="730">
      <c r="A730" s="310"/>
      <c r="B730" s="311"/>
      <c r="C730" s="311"/>
      <c r="D730" s="312"/>
      <c r="P730" s="313"/>
      <c r="Q730" s="313"/>
      <c r="R730" s="314"/>
      <c r="S730" s="315"/>
      <c r="T730" s="316"/>
      <c r="U730" s="316"/>
      <c r="V730" s="316"/>
      <c r="W730" s="316"/>
      <c r="X730" s="316"/>
      <c r="Y730" s="317"/>
      <c r="Z730" s="318"/>
      <c r="AA730" s="318"/>
      <c r="AB730" s="318"/>
      <c r="AC730" s="318"/>
      <c r="AD730" s="318"/>
      <c r="AE730" s="318"/>
      <c r="AF730" s="318"/>
      <c r="AG730" s="318"/>
      <c r="AH730" s="318"/>
      <c r="AI730" s="318"/>
    </row>
    <row r="731">
      <c r="A731" s="310"/>
      <c r="B731" s="311"/>
      <c r="C731" s="311"/>
      <c r="D731" s="312"/>
      <c r="P731" s="313"/>
      <c r="Q731" s="313"/>
      <c r="R731" s="314"/>
      <c r="S731" s="315"/>
      <c r="T731" s="316"/>
      <c r="U731" s="316"/>
      <c r="V731" s="316"/>
      <c r="W731" s="316"/>
      <c r="X731" s="316"/>
      <c r="Y731" s="317"/>
      <c r="Z731" s="318"/>
      <c r="AA731" s="318"/>
      <c r="AB731" s="318"/>
      <c r="AC731" s="318"/>
      <c r="AD731" s="318"/>
      <c r="AE731" s="318"/>
      <c r="AF731" s="318"/>
      <c r="AG731" s="318"/>
      <c r="AH731" s="318"/>
      <c r="AI731" s="318"/>
    </row>
    <row r="732">
      <c r="A732" s="310"/>
      <c r="B732" s="311"/>
      <c r="C732" s="311"/>
      <c r="D732" s="312"/>
      <c r="P732" s="313"/>
      <c r="Q732" s="313"/>
      <c r="R732" s="314"/>
      <c r="S732" s="315"/>
      <c r="T732" s="316"/>
      <c r="U732" s="316"/>
      <c r="V732" s="316"/>
      <c r="W732" s="316"/>
      <c r="X732" s="316"/>
      <c r="Y732" s="317"/>
      <c r="Z732" s="318"/>
      <c r="AA732" s="318"/>
      <c r="AB732" s="318"/>
      <c r="AC732" s="318"/>
      <c r="AD732" s="318"/>
      <c r="AE732" s="318"/>
      <c r="AF732" s="318"/>
      <c r="AG732" s="318"/>
      <c r="AH732" s="318"/>
      <c r="AI732" s="318"/>
    </row>
    <row r="733">
      <c r="A733" s="310"/>
      <c r="B733" s="311"/>
      <c r="C733" s="311"/>
      <c r="D733" s="312"/>
      <c r="P733" s="313"/>
      <c r="Q733" s="313"/>
      <c r="R733" s="314"/>
      <c r="S733" s="315"/>
      <c r="T733" s="316"/>
      <c r="U733" s="316"/>
      <c r="V733" s="316"/>
      <c r="W733" s="316"/>
      <c r="X733" s="316"/>
      <c r="Y733" s="317"/>
      <c r="Z733" s="318"/>
      <c r="AA733" s="318"/>
      <c r="AB733" s="318"/>
      <c r="AC733" s="318"/>
      <c r="AD733" s="318"/>
      <c r="AE733" s="318"/>
      <c r="AF733" s="318"/>
      <c r="AG733" s="318"/>
      <c r="AH733" s="318"/>
      <c r="AI733" s="318"/>
    </row>
    <row r="734">
      <c r="A734" s="310"/>
      <c r="B734" s="311"/>
      <c r="C734" s="311"/>
      <c r="D734" s="312"/>
      <c r="P734" s="313"/>
      <c r="Q734" s="313"/>
      <c r="R734" s="314"/>
      <c r="S734" s="315"/>
      <c r="T734" s="316"/>
      <c r="U734" s="316"/>
      <c r="V734" s="316"/>
      <c r="W734" s="316"/>
      <c r="X734" s="316"/>
      <c r="Y734" s="317"/>
      <c r="Z734" s="318"/>
      <c r="AA734" s="318"/>
      <c r="AB734" s="318"/>
      <c r="AC734" s="318"/>
      <c r="AD734" s="318"/>
      <c r="AE734" s="318"/>
      <c r="AF734" s="318"/>
      <c r="AG734" s="318"/>
      <c r="AH734" s="318"/>
      <c r="AI734" s="318"/>
    </row>
    <row r="735">
      <c r="A735" s="310"/>
      <c r="B735" s="311"/>
      <c r="C735" s="311"/>
      <c r="D735" s="312"/>
      <c r="P735" s="313"/>
      <c r="Q735" s="313"/>
      <c r="R735" s="314"/>
      <c r="S735" s="315"/>
      <c r="T735" s="316"/>
      <c r="U735" s="316"/>
      <c r="V735" s="316"/>
      <c r="W735" s="316"/>
      <c r="X735" s="316"/>
      <c r="Y735" s="317"/>
      <c r="Z735" s="318"/>
      <c r="AA735" s="318"/>
      <c r="AB735" s="318"/>
      <c r="AC735" s="318"/>
      <c r="AD735" s="318"/>
      <c r="AE735" s="318"/>
      <c r="AF735" s="318"/>
      <c r="AG735" s="318"/>
      <c r="AH735" s="318"/>
      <c r="AI735" s="318"/>
    </row>
    <row r="736">
      <c r="A736" s="310"/>
      <c r="B736" s="311"/>
      <c r="C736" s="311"/>
      <c r="D736" s="312"/>
      <c r="P736" s="313"/>
      <c r="Q736" s="313"/>
      <c r="R736" s="314"/>
      <c r="S736" s="315"/>
      <c r="T736" s="316"/>
      <c r="U736" s="316"/>
      <c r="V736" s="316"/>
      <c r="W736" s="316"/>
      <c r="X736" s="316"/>
      <c r="Y736" s="317"/>
      <c r="Z736" s="318"/>
      <c r="AA736" s="318"/>
      <c r="AB736" s="318"/>
      <c r="AC736" s="318"/>
      <c r="AD736" s="318"/>
      <c r="AE736" s="318"/>
      <c r="AF736" s="318"/>
      <c r="AG736" s="318"/>
      <c r="AH736" s="318"/>
      <c r="AI736" s="318"/>
    </row>
    <row r="737">
      <c r="A737" s="310"/>
      <c r="B737" s="311"/>
      <c r="C737" s="311"/>
      <c r="D737" s="312"/>
      <c r="P737" s="313"/>
      <c r="Q737" s="313"/>
      <c r="R737" s="314"/>
      <c r="S737" s="315"/>
      <c r="T737" s="316"/>
      <c r="U737" s="316"/>
      <c r="V737" s="316"/>
      <c r="W737" s="316"/>
      <c r="X737" s="316"/>
      <c r="Y737" s="317"/>
      <c r="Z737" s="318"/>
      <c r="AA737" s="318"/>
      <c r="AB737" s="318"/>
      <c r="AC737" s="318"/>
      <c r="AD737" s="318"/>
      <c r="AE737" s="318"/>
      <c r="AF737" s="318"/>
      <c r="AG737" s="318"/>
      <c r="AH737" s="318"/>
      <c r="AI737" s="318"/>
    </row>
    <row r="738">
      <c r="A738" s="310"/>
      <c r="B738" s="311"/>
      <c r="C738" s="311"/>
      <c r="D738" s="312"/>
      <c r="P738" s="313"/>
      <c r="Q738" s="313"/>
      <c r="R738" s="314"/>
      <c r="S738" s="315"/>
      <c r="T738" s="316"/>
      <c r="U738" s="316"/>
      <c r="V738" s="316"/>
      <c r="W738" s="316"/>
      <c r="X738" s="316"/>
      <c r="Y738" s="317"/>
      <c r="Z738" s="318"/>
      <c r="AA738" s="318"/>
      <c r="AB738" s="318"/>
      <c r="AC738" s="318"/>
      <c r="AD738" s="318"/>
      <c r="AE738" s="318"/>
      <c r="AF738" s="318"/>
      <c r="AG738" s="318"/>
      <c r="AH738" s="318"/>
      <c r="AI738" s="318"/>
    </row>
    <row r="739">
      <c r="A739" s="310"/>
      <c r="B739" s="311"/>
      <c r="C739" s="311"/>
      <c r="D739" s="312"/>
      <c r="P739" s="313"/>
      <c r="Q739" s="313"/>
      <c r="R739" s="314"/>
      <c r="S739" s="315"/>
      <c r="T739" s="316"/>
      <c r="U739" s="316"/>
      <c r="V739" s="316"/>
      <c r="W739" s="316"/>
      <c r="X739" s="316"/>
      <c r="Y739" s="317"/>
      <c r="Z739" s="318"/>
      <c r="AA739" s="318"/>
      <c r="AB739" s="318"/>
      <c r="AC739" s="318"/>
      <c r="AD739" s="318"/>
      <c r="AE739" s="318"/>
      <c r="AF739" s="318"/>
      <c r="AG739" s="318"/>
      <c r="AH739" s="318"/>
      <c r="AI739" s="318"/>
    </row>
    <row r="740">
      <c r="A740" s="310"/>
      <c r="B740" s="311"/>
      <c r="C740" s="311"/>
      <c r="D740" s="312"/>
      <c r="P740" s="313"/>
      <c r="Q740" s="313"/>
      <c r="R740" s="314"/>
      <c r="S740" s="315"/>
      <c r="T740" s="316"/>
      <c r="U740" s="316"/>
      <c r="V740" s="316"/>
      <c r="W740" s="316"/>
      <c r="X740" s="316"/>
      <c r="Y740" s="317"/>
      <c r="Z740" s="318"/>
      <c r="AA740" s="318"/>
      <c r="AB740" s="318"/>
      <c r="AC740" s="318"/>
      <c r="AD740" s="318"/>
      <c r="AE740" s="318"/>
      <c r="AF740" s="318"/>
      <c r="AG740" s="318"/>
      <c r="AH740" s="318"/>
      <c r="AI740" s="318"/>
    </row>
    <row r="741">
      <c r="A741" s="310"/>
      <c r="B741" s="311"/>
      <c r="C741" s="311"/>
      <c r="D741" s="312"/>
      <c r="P741" s="313"/>
      <c r="Q741" s="313"/>
      <c r="R741" s="314"/>
      <c r="S741" s="315"/>
      <c r="T741" s="316"/>
      <c r="U741" s="316"/>
      <c r="V741" s="316"/>
      <c r="W741" s="316"/>
      <c r="X741" s="316"/>
      <c r="Y741" s="317"/>
      <c r="Z741" s="318"/>
      <c r="AA741" s="318"/>
      <c r="AB741" s="318"/>
      <c r="AC741" s="318"/>
      <c r="AD741" s="318"/>
      <c r="AE741" s="318"/>
      <c r="AF741" s="318"/>
      <c r="AG741" s="318"/>
      <c r="AH741" s="318"/>
      <c r="AI741" s="318"/>
    </row>
    <row r="742">
      <c r="A742" s="310"/>
      <c r="B742" s="311"/>
      <c r="C742" s="311"/>
      <c r="D742" s="312"/>
      <c r="P742" s="313"/>
      <c r="Q742" s="313"/>
      <c r="R742" s="314"/>
      <c r="S742" s="315"/>
      <c r="T742" s="316"/>
      <c r="U742" s="316"/>
      <c r="V742" s="316"/>
      <c r="W742" s="316"/>
      <c r="X742" s="316"/>
      <c r="Y742" s="317"/>
      <c r="Z742" s="318"/>
      <c r="AA742" s="318"/>
      <c r="AB742" s="318"/>
      <c r="AC742" s="318"/>
      <c r="AD742" s="318"/>
      <c r="AE742" s="318"/>
      <c r="AF742" s="318"/>
      <c r="AG742" s="318"/>
      <c r="AH742" s="318"/>
      <c r="AI742" s="318"/>
    </row>
    <row r="743">
      <c r="A743" s="310"/>
      <c r="B743" s="311"/>
      <c r="C743" s="311"/>
      <c r="D743" s="312"/>
      <c r="P743" s="313"/>
      <c r="Q743" s="313"/>
      <c r="R743" s="314"/>
      <c r="S743" s="315"/>
      <c r="T743" s="316"/>
      <c r="U743" s="316"/>
      <c r="V743" s="316"/>
      <c r="W743" s="316"/>
      <c r="X743" s="316"/>
      <c r="Y743" s="317"/>
      <c r="Z743" s="318"/>
      <c r="AA743" s="318"/>
      <c r="AB743" s="318"/>
      <c r="AC743" s="318"/>
      <c r="AD743" s="318"/>
      <c r="AE743" s="318"/>
      <c r="AF743" s="318"/>
      <c r="AG743" s="318"/>
      <c r="AH743" s="318"/>
      <c r="AI743" s="318"/>
    </row>
    <row r="744">
      <c r="A744" s="310"/>
      <c r="B744" s="311"/>
      <c r="C744" s="311"/>
      <c r="D744" s="312"/>
      <c r="P744" s="313"/>
      <c r="Q744" s="313"/>
      <c r="R744" s="314"/>
      <c r="S744" s="315"/>
      <c r="T744" s="316"/>
      <c r="U744" s="316"/>
      <c r="V744" s="316"/>
      <c r="W744" s="316"/>
      <c r="X744" s="316"/>
      <c r="Y744" s="317"/>
      <c r="Z744" s="318"/>
      <c r="AA744" s="318"/>
      <c r="AB744" s="318"/>
      <c r="AC744" s="318"/>
      <c r="AD744" s="318"/>
      <c r="AE744" s="318"/>
      <c r="AF744" s="318"/>
      <c r="AG744" s="318"/>
      <c r="AH744" s="318"/>
      <c r="AI744" s="318"/>
    </row>
    <row r="745">
      <c r="A745" s="310"/>
      <c r="B745" s="311"/>
      <c r="C745" s="311"/>
      <c r="D745" s="312"/>
      <c r="P745" s="313"/>
      <c r="Q745" s="313"/>
      <c r="R745" s="314"/>
      <c r="S745" s="315"/>
      <c r="T745" s="316"/>
      <c r="U745" s="316"/>
      <c r="V745" s="316"/>
      <c r="W745" s="316"/>
      <c r="X745" s="316"/>
      <c r="Y745" s="317"/>
      <c r="Z745" s="318"/>
      <c r="AA745" s="318"/>
      <c r="AB745" s="318"/>
      <c r="AC745" s="318"/>
      <c r="AD745" s="318"/>
      <c r="AE745" s="318"/>
      <c r="AF745" s="318"/>
      <c r="AG745" s="318"/>
      <c r="AH745" s="318"/>
      <c r="AI745" s="318"/>
    </row>
    <row r="746">
      <c r="A746" s="310"/>
      <c r="B746" s="311"/>
      <c r="C746" s="311"/>
      <c r="D746" s="312"/>
      <c r="P746" s="313"/>
      <c r="Q746" s="313"/>
      <c r="R746" s="314"/>
      <c r="S746" s="315"/>
      <c r="T746" s="316"/>
      <c r="U746" s="316"/>
      <c r="V746" s="316"/>
      <c r="W746" s="316"/>
      <c r="X746" s="316"/>
      <c r="Y746" s="317"/>
      <c r="Z746" s="318"/>
      <c r="AA746" s="318"/>
      <c r="AB746" s="318"/>
      <c r="AC746" s="318"/>
      <c r="AD746" s="318"/>
      <c r="AE746" s="318"/>
      <c r="AF746" s="318"/>
      <c r="AG746" s="318"/>
      <c r="AH746" s="318"/>
      <c r="AI746" s="318"/>
    </row>
    <row r="747">
      <c r="A747" s="310"/>
      <c r="B747" s="311"/>
      <c r="C747" s="311"/>
      <c r="D747" s="312"/>
      <c r="P747" s="313"/>
      <c r="Q747" s="313"/>
      <c r="R747" s="314"/>
      <c r="S747" s="315"/>
      <c r="T747" s="316"/>
      <c r="U747" s="316"/>
      <c r="V747" s="316"/>
      <c r="W747" s="316"/>
      <c r="X747" s="316"/>
      <c r="Y747" s="317"/>
      <c r="Z747" s="318"/>
      <c r="AA747" s="318"/>
      <c r="AB747" s="318"/>
      <c r="AC747" s="318"/>
      <c r="AD747" s="318"/>
      <c r="AE747" s="318"/>
      <c r="AF747" s="318"/>
      <c r="AG747" s="318"/>
      <c r="AH747" s="318"/>
      <c r="AI747" s="318"/>
    </row>
    <row r="748">
      <c r="A748" s="310"/>
      <c r="B748" s="311"/>
      <c r="C748" s="311"/>
      <c r="D748" s="312"/>
      <c r="P748" s="313"/>
      <c r="Q748" s="313"/>
      <c r="R748" s="314"/>
      <c r="S748" s="315"/>
      <c r="T748" s="316"/>
      <c r="U748" s="316"/>
      <c r="V748" s="316"/>
      <c r="W748" s="316"/>
      <c r="X748" s="316"/>
      <c r="Y748" s="317"/>
      <c r="Z748" s="318"/>
      <c r="AA748" s="318"/>
      <c r="AB748" s="318"/>
      <c r="AC748" s="318"/>
      <c r="AD748" s="318"/>
      <c r="AE748" s="318"/>
      <c r="AF748" s="318"/>
      <c r="AG748" s="318"/>
      <c r="AH748" s="318"/>
      <c r="AI748" s="318"/>
    </row>
    <row r="749">
      <c r="A749" s="310"/>
      <c r="B749" s="311"/>
      <c r="C749" s="311"/>
      <c r="D749" s="312"/>
      <c r="P749" s="313"/>
      <c r="Q749" s="313"/>
      <c r="R749" s="314"/>
      <c r="S749" s="315"/>
      <c r="T749" s="316"/>
      <c r="U749" s="316"/>
      <c r="V749" s="316"/>
      <c r="W749" s="316"/>
      <c r="X749" s="316"/>
      <c r="Y749" s="317"/>
      <c r="Z749" s="318"/>
      <c r="AA749" s="318"/>
      <c r="AB749" s="318"/>
      <c r="AC749" s="318"/>
      <c r="AD749" s="318"/>
      <c r="AE749" s="318"/>
      <c r="AF749" s="318"/>
      <c r="AG749" s="318"/>
      <c r="AH749" s="318"/>
      <c r="AI749" s="318"/>
    </row>
    <row r="750">
      <c r="A750" s="310"/>
      <c r="B750" s="311"/>
      <c r="C750" s="311"/>
      <c r="D750" s="312"/>
      <c r="P750" s="313"/>
      <c r="Q750" s="313"/>
      <c r="R750" s="314"/>
      <c r="S750" s="315"/>
      <c r="T750" s="316"/>
      <c r="U750" s="316"/>
      <c r="V750" s="316"/>
      <c r="W750" s="316"/>
      <c r="X750" s="316"/>
      <c r="Y750" s="317"/>
      <c r="Z750" s="318"/>
      <c r="AA750" s="318"/>
      <c r="AB750" s="318"/>
      <c r="AC750" s="318"/>
      <c r="AD750" s="318"/>
      <c r="AE750" s="318"/>
      <c r="AF750" s="318"/>
      <c r="AG750" s="318"/>
      <c r="AH750" s="318"/>
      <c r="AI750" s="318"/>
    </row>
    <row r="751">
      <c r="A751" s="310"/>
      <c r="B751" s="311"/>
      <c r="C751" s="311"/>
      <c r="D751" s="312"/>
      <c r="P751" s="313"/>
      <c r="Q751" s="313"/>
      <c r="R751" s="314"/>
      <c r="S751" s="315"/>
      <c r="T751" s="316"/>
      <c r="U751" s="316"/>
      <c r="V751" s="316"/>
      <c r="W751" s="316"/>
      <c r="X751" s="316"/>
      <c r="Y751" s="317"/>
      <c r="Z751" s="318"/>
      <c r="AA751" s="318"/>
      <c r="AB751" s="318"/>
      <c r="AC751" s="318"/>
      <c r="AD751" s="318"/>
      <c r="AE751" s="318"/>
      <c r="AF751" s="318"/>
      <c r="AG751" s="318"/>
      <c r="AH751" s="318"/>
      <c r="AI751" s="318"/>
    </row>
    <row r="752">
      <c r="A752" s="310"/>
      <c r="B752" s="311"/>
      <c r="C752" s="311"/>
      <c r="D752" s="312"/>
      <c r="P752" s="313"/>
      <c r="Q752" s="313"/>
      <c r="R752" s="314"/>
      <c r="S752" s="315"/>
      <c r="T752" s="316"/>
      <c r="U752" s="316"/>
      <c r="V752" s="316"/>
      <c r="W752" s="316"/>
      <c r="X752" s="316"/>
      <c r="Y752" s="317"/>
      <c r="Z752" s="318"/>
      <c r="AA752" s="318"/>
      <c r="AB752" s="318"/>
      <c r="AC752" s="318"/>
      <c r="AD752" s="318"/>
      <c r="AE752" s="318"/>
      <c r="AF752" s="318"/>
      <c r="AG752" s="318"/>
      <c r="AH752" s="318"/>
      <c r="AI752" s="318"/>
    </row>
    <row r="753">
      <c r="A753" s="310"/>
      <c r="B753" s="311"/>
      <c r="C753" s="311"/>
      <c r="D753" s="312"/>
      <c r="P753" s="313"/>
      <c r="Q753" s="313"/>
      <c r="R753" s="314"/>
      <c r="S753" s="315"/>
      <c r="T753" s="316"/>
      <c r="U753" s="316"/>
      <c r="V753" s="316"/>
      <c r="W753" s="316"/>
      <c r="X753" s="316"/>
      <c r="Y753" s="317"/>
      <c r="Z753" s="318"/>
      <c r="AA753" s="318"/>
      <c r="AB753" s="318"/>
      <c r="AC753" s="318"/>
      <c r="AD753" s="318"/>
      <c r="AE753" s="318"/>
      <c r="AF753" s="318"/>
      <c r="AG753" s="318"/>
      <c r="AH753" s="318"/>
      <c r="AI753" s="318"/>
    </row>
    <row r="754">
      <c r="A754" s="310"/>
      <c r="B754" s="311"/>
      <c r="C754" s="311"/>
      <c r="D754" s="312"/>
      <c r="P754" s="313"/>
      <c r="Q754" s="313"/>
      <c r="R754" s="314"/>
      <c r="S754" s="315"/>
      <c r="T754" s="316"/>
      <c r="U754" s="316"/>
      <c r="V754" s="316"/>
      <c r="W754" s="316"/>
      <c r="X754" s="316"/>
      <c r="Y754" s="317"/>
      <c r="Z754" s="318"/>
      <c r="AA754" s="318"/>
      <c r="AB754" s="318"/>
      <c r="AC754" s="318"/>
      <c r="AD754" s="318"/>
      <c r="AE754" s="318"/>
      <c r="AF754" s="318"/>
      <c r="AG754" s="318"/>
      <c r="AH754" s="318"/>
      <c r="AI754" s="318"/>
    </row>
    <row r="755">
      <c r="A755" s="310"/>
      <c r="B755" s="311"/>
      <c r="C755" s="311"/>
      <c r="D755" s="312"/>
      <c r="P755" s="313"/>
      <c r="Q755" s="313"/>
      <c r="R755" s="314"/>
      <c r="S755" s="315"/>
      <c r="T755" s="316"/>
      <c r="U755" s="316"/>
      <c r="V755" s="316"/>
      <c r="W755" s="316"/>
      <c r="X755" s="316"/>
      <c r="Y755" s="317"/>
      <c r="Z755" s="318"/>
      <c r="AA755" s="318"/>
      <c r="AB755" s="318"/>
      <c r="AC755" s="318"/>
      <c r="AD755" s="318"/>
      <c r="AE755" s="318"/>
      <c r="AF755" s="318"/>
      <c r="AG755" s="318"/>
      <c r="AH755" s="318"/>
      <c r="AI755" s="318"/>
    </row>
    <row r="756">
      <c r="A756" s="310"/>
      <c r="B756" s="311"/>
      <c r="C756" s="311"/>
      <c r="D756" s="312"/>
      <c r="P756" s="313"/>
      <c r="Q756" s="313"/>
      <c r="R756" s="314"/>
      <c r="S756" s="315"/>
      <c r="T756" s="316"/>
      <c r="U756" s="316"/>
      <c r="V756" s="316"/>
      <c r="W756" s="316"/>
      <c r="X756" s="316"/>
      <c r="Y756" s="317"/>
      <c r="Z756" s="318"/>
      <c r="AA756" s="318"/>
      <c r="AB756" s="318"/>
      <c r="AC756" s="318"/>
      <c r="AD756" s="318"/>
      <c r="AE756" s="318"/>
      <c r="AF756" s="318"/>
      <c r="AG756" s="318"/>
      <c r="AH756" s="318"/>
      <c r="AI756" s="318"/>
    </row>
    <row r="757">
      <c r="A757" s="310"/>
      <c r="B757" s="311"/>
      <c r="C757" s="311"/>
      <c r="D757" s="312"/>
      <c r="P757" s="313"/>
      <c r="Q757" s="313"/>
      <c r="R757" s="314"/>
      <c r="S757" s="315"/>
      <c r="T757" s="316"/>
      <c r="U757" s="316"/>
      <c r="V757" s="316"/>
      <c r="W757" s="316"/>
      <c r="X757" s="316"/>
      <c r="Y757" s="317"/>
      <c r="Z757" s="318"/>
      <c r="AA757" s="318"/>
      <c r="AB757" s="318"/>
      <c r="AC757" s="318"/>
      <c r="AD757" s="318"/>
      <c r="AE757" s="318"/>
      <c r="AF757" s="318"/>
      <c r="AG757" s="318"/>
      <c r="AH757" s="318"/>
      <c r="AI757" s="318"/>
    </row>
    <row r="758">
      <c r="A758" s="310"/>
      <c r="B758" s="311"/>
      <c r="C758" s="311"/>
      <c r="D758" s="312"/>
      <c r="P758" s="313"/>
      <c r="Q758" s="313"/>
      <c r="R758" s="314"/>
      <c r="S758" s="315"/>
      <c r="T758" s="316"/>
      <c r="U758" s="316"/>
      <c r="V758" s="316"/>
      <c r="W758" s="316"/>
      <c r="X758" s="316"/>
      <c r="Y758" s="317"/>
      <c r="Z758" s="318"/>
      <c r="AA758" s="318"/>
      <c r="AB758" s="318"/>
      <c r="AC758" s="318"/>
      <c r="AD758" s="318"/>
      <c r="AE758" s="318"/>
      <c r="AF758" s="318"/>
      <c r="AG758" s="318"/>
      <c r="AH758" s="318"/>
      <c r="AI758" s="318"/>
    </row>
    <row r="759">
      <c r="A759" s="310"/>
      <c r="B759" s="311"/>
      <c r="C759" s="311"/>
      <c r="D759" s="312"/>
      <c r="P759" s="313"/>
      <c r="Q759" s="313"/>
      <c r="R759" s="314"/>
      <c r="S759" s="315"/>
      <c r="T759" s="316"/>
      <c r="U759" s="316"/>
      <c r="V759" s="316"/>
      <c r="W759" s="316"/>
      <c r="X759" s="316"/>
      <c r="Y759" s="317"/>
      <c r="Z759" s="318"/>
      <c r="AA759" s="318"/>
      <c r="AB759" s="318"/>
      <c r="AC759" s="318"/>
      <c r="AD759" s="318"/>
      <c r="AE759" s="318"/>
      <c r="AF759" s="318"/>
      <c r="AG759" s="318"/>
      <c r="AH759" s="318"/>
      <c r="AI759" s="318"/>
    </row>
    <row r="760">
      <c r="A760" s="310"/>
      <c r="B760" s="311"/>
      <c r="C760" s="311"/>
      <c r="D760" s="312"/>
      <c r="P760" s="313"/>
      <c r="Q760" s="313"/>
      <c r="R760" s="314"/>
      <c r="S760" s="315"/>
      <c r="T760" s="316"/>
      <c r="U760" s="316"/>
      <c r="V760" s="316"/>
      <c r="W760" s="316"/>
      <c r="X760" s="316"/>
      <c r="Y760" s="317"/>
      <c r="Z760" s="318"/>
      <c r="AA760" s="318"/>
      <c r="AB760" s="318"/>
      <c r="AC760" s="318"/>
      <c r="AD760" s="318"/>
      <c r="AE760" s="318"/>
      <c r="AF760" s="318"/>
      <c r="AG760" s="318"/>
      <c r="AH760" s="318"/>
      <c r="AI760" s="318"/>
    </row>
    <row r="761">
      <c r="A761" s="310"/>
      <c r="B761" s="311"/>
      <c r="C761" s="311"/>
      <c r="D761" s="312"/>
      <c r="P761" s="313"/>
      <c r="Q761" s="313"/>
      <c r="R761" s="314"/>
      <c r="S761" s="315"/>
      <c r="T761" s="316"/>
      <c r="U761" s="316"/>
      <c r="V761" s="316"/>
      <c r="W761" s="316"/>
      <c r="X761" s="316"/>
      <c r="Y761" s="317"/>
      <c r="Z761" s="318"/>
      <c r="AA761" s="318"/>
      <c r="AB761" s="318"/>
      <c r="AC761" s="318"/>
      <c r="AD761" s="318"/>
      <c r="AE761" s="318"/>
      <c r="AF761" s="318"/>
      <c r="AG761" s="318"/>
      <c r="AH761" s="318"/>
      <c r="AI761" s="318"/>
    </row>
    <row r="762">
      <c r="A762" s="310"/>
      <c r="B762" s="311"/>
      <c r="C762" s="311"/>
      <c r="D762" s="312"/>
      <c r="P762" s="313"/>
      <c r="Q762" s="313"/>
      <c r="R762" s="314"/>
      <c r="S762" s="315"/>
      <c r="T762" s="316"/>
      <c r="U762" s="316"/>
      <c r="V762" s="316"/>
      <c r="W762" s="316"/>
      <c r="X762" s="316"/>
      <c r="Y762" s="317"/>
      <c r="Z762" s="318"/>
      <c r="AA762" s="318"/>
      <c r="AB762" s="318"/>
      <c r="AC762" s="318"/>
      <c r="AD762" s="318"/>
      <c r="AE762" s="318"/>
      <c r="AF762" s="318"/>
      <c r="AG762" s="318"/>
      <c r="AH762" s="318"/>
      <c r="AI762" s="318"/>
    </row>
    <row r="763">
      <c r="A763" s="310"/>
      <c r="B763" s="311"/>
      <c r="C763" s="311"/>
      <c r="D763" s="312"/>
      <c r="P763" s="313"/>
      <c r="Q763" s="313"/>
      <c r="R763" s="314"/>
      <c r="S763" s="315"/>
      <c r="T763" s="316"/>
      <c r="U763" s="316"/>
      <c r="V763" s="316"/>
      <c r="W763" s="316"/>
      <c r="X763" s="316"/>
      <c r="Y763" s="317"/>
      <c r="Z763" s="318"/>
      <c r="AA763" s="318"/>
      <c r="AB763" s="318"/>
      <c r="AC763" s="318"/>
      <c r="AD763" s="318"/>
      <c r="AE763" s="318"/>
      <c r="AF763" s="318"/>
      <c r="AG763" s="318"/>
      <c r="AH763" s="318"/>
      <c r="AI763" s="318"/>
    </row>
    <row r="764">
      <c r="A764" s="310"/>
      <c r="B764" s="311"/>
      <c r="C764" s="311"/>
      <c r="D764" s="312"/>
      <c r="P764" s="313"/>
      <c r="Q764" s="313"/>
      <c r="R764" s="314"/>
      <c r="S764" s="315"/>
      <c r="T764" s="316"/>
      <c r="U764" s="316"/>
      <c r="V764" s="316"/>
      <c r="W764" s="316"/>
      <c r="X764" s="316"/>
      <c r="Y764" s="317"/>
      <c r="Z764" s="318"/>
      <c r="AA764" s="318"/>
      <c r="AB764" s="318"/>
      <c r="AC764" s="318"/>
      <c r="AD764" s="318"/>
      <c r="AE764" s="318"/>
      <c r="AF764" s="318"/>
      <c r="AG764" s="318"/>
      <c r="AH764" s="318"/>
      <c r="AI764" s="318"/>
    </row>
    <row r="765">
      <c r="A765" s="310"/>
      <c r="B765" s="311"/>
      <c r="C765" s="311"/>
      <c r="D765" s="312"/>
      <c r="P765" s="313"/>
      <c r="Q765" s="313"/>
      <c r="R765" s="314"/>
      <c r="S765" s="315"/>
      <c r="T765" s="316"/>
      <c r="U765" s="316"/>
      <c r="V765" s="316"/>
      <c r="W765" s="316"/>
      <c r="X765" s="316"/>
      <c r="Y765" s="317"/>
      <c r="Z765" s="318"/>
      <c r="AA765" s="318"/>
      <c r="AB765" s="318"/>
      <c r="AC765" s="318"/>
      <c r="AD765" s="318"/>
      <c r="AE765" s="318"/>
      <c r="AF765" s="318"/>
      <c r="AG765" s="318"/>
      <c r="AH765" s="318"/>
      <c r="AI765" s="318"/>
    </row>
    <row r="766">
      <c r="A766" s="310"/>
      <c r="B766" s="311"/>
      <c r="C766" s="311"/>
      <c r="D766" s="312"/>
      <c r="P766" s="313"/>
      <c r="Q766" s="313"/>
      <c r="R766" s="314"/>
      <c r="S766" s="315"/>
      <c r="T766" s="316"/>
      <c r="U766" s="316"/>
      <c r="V766" s="316"/>
      <c r="W766" s="316"/>
      <c r="X766" s="316"/>
      <c r="Y766" s="317"/>
      <c r="Z766" s="318"/>
      <c r="AA766" s="318"/>
      <c r="AB766" s="318"/>
      <c r="AC766" s="318"/>
      <c r="AD766" s="318"/>
      <c r="AE766" s="318"/>
      <c r="AF766" s="318"/>
      <c r="AG766" s="318"/>
      <c r="AH766" s="318"/>
      <c r="AI766" s="318"/>
    </row>
    <row r="767">
      <c r="A767" s="310"/>
      <c r="B767" s="311"/>
      <c r="C767" s="311"/>
      <c r="D767" s="312"/>
      <c r="P767" s="313"/>
      <c r="Q767" s="313"/>
      <c r="R767" s="314"/>
      <c r="S767" s="315"/>
      <c r="T767" s="316"/>
      <c r="U767" s="316"/>
      <c r="V767" s="316"/>
      <c r="W767" s="316"/>
      <c r="X767" s="316"/>
      <c r="Y767" s="317"/>
      <c r="Z767" s="318"/>
      <c r="AA767" s="318"/>
      <c r="AB767" s="318"/>
      <c r="AC767" s="318"/>
      <c r="AD767" s="318"/>
      <c r="AE767" s="318"/>
      <c r="AF767" s="318"/>
      <c r="AG767" s="318"/>
      <c r="AH767" s="318"/>
      <c r="AI767" s="318"/>
    </row>
    <row r="768">
      <c r="A768" s="310"/>
      <c r="B768" s="311"/>
      <c r="C768" s="311"/>
      <c r="D768" s="312"/>
      <c r="P768" s="313"/>
      <c r="Q768" s="313"/>
      <c r="R768" s="314"/>
      <c r="S768" s="315"/>
      <c r="T768" s="316"/>
      <c r="U768" s="316"/>
      <c r="V768" s="316"/>
      <c r="W768" s="316"/>
      <c r="X768" s="316"/>
      <c r="Y768" s="317"/>
      <c r="Z768" s="318"/>
      <c r="AA768" s="318"/>
      <c r="AB768" s="318"/>
      <c r="AC768" s="318"/>
      <c r="AD768" s="318"/>
      <c r="AE768" s="318"/>
      <c r="AF768" s="318"/>
      <c r="AG768" s="318"/>
      <c r="AH768" s="318"/>
      <c r="AI768" s="318"/>
    </row>
    <row r="769">
      <c r="A769" s="310"/>
      <c r="B769" s="311"/>
      <c r="C769" s="311"/>
      <c r="D769" s="312"/>
      <c r="P769" s="313"/>
      <c r="Q769" s="313"/>
      <c r="R769" s="314"/>
      <c r="S769" s="315"/>
      <c r="T769" s="316"/>
      <c r="U769" s="316"/>
      <c r="V769" s="316"/>
      <c r="W769" s="316"/>
      <c r="X769" s="316"/>
      <c r="Y769" s="317"/>
      <c r="Z769" s="318"/>
      <c r="AA769" s="318"/>
      <c r="AB769" s="318"/>
      <c r="AC769" s="318"/>
      <c r="AD769" s="318"/>
      <c r="AE769" s="318"/>
      <c r="AF769" s="318"/>
      <c r="AG769" s="318"/>
      <c r="AH769" s="318"/>
      <c r="AI769" s="318"/>
    </row>
    <row r="770">
      <c r="A770" s="310"/>
      <c r="B770" s="311"/>
      <c r="C770" s="311"/>
      <c r="D770" s="312"/>
      <c r="P770" s="313"/>
      <c r="Q770" s="313"/>
      <c r="R770" s="314"/>
      <c r="S770" s="315"/>
      <c r="T770" s="316"/>
      <c r="U770" s="316"/>
      <c r="V770" s="316"/>
      <c r="W770" s="316"/>
      <c r="X770" s="316"/>
      <c r="Y770" s="317"/>
      <c r="Z770" s="318"/>
      <c r="AA770" s="318"/>
      <c r="AB770" s="318"/>
      <c r="AC770" s="318"/>
      <c r="AD770" s="318"/>
      <c r="AE770" s="318"/>
      <c r="AF770" s="318"/>
      <c r="AG770" s="318"/>
      <c r="AH770" s="318"/>
      <c r="AI770" s="318"/>
    </row>
    <row r="771">
      <c r="A771" s="310"/>
      <c r="B771" s="311"/>
      <c r="C771" s="311"/>
      <c r="D771" s="312"/>
      <c r="P771" s="313"/>
      <c r="Q771" s="313"/>
      <c r="R771" s="314"/>
      <c r="S771" s="315"/>
      <c r="T771" s="316"/>
      <c r="U771" s="316"/>
      <c r="V771" s="316"/>
      <c r="W771" s="316"/>
      <c r="X771" s="316"/>
      <c r="Y771" s="317"/>
      <c r="Z771" s="318"/>
      <c r="AA771" s="318"/>
      <c r="AB771" s="318"/>
      <c r="AC771" s="318"/>
      <c r="AD771" s="318"/>
      <c r="AE771" s="318"/>
      <c r="AF771" s="318"/>
      <c r="AG771" s="318"/>
      <c r="AH771" s="318"/>
      <c r="AI771" s="318"/>
    </row>
    <row r="772">
      <c r="A772" s="310"/>
      <c r="B772" s="311"/>
      <c r="C772" s="311"/>
      <c r="D772" s="312"/>
      <c r="P772" s="313"/>
      <c r="Q772" s="313"/>
      <c r="R772" s="314"/>
      <c r="S772" s="315"/>
      <c r="T772" s="316"/>
      <c r="U772" s="316"/>
      <c r="V772" s="316"/>
      <c r="W772" s="316"/>
      <c r="X772" s="316"/>
      <c r="Y772" s="317"/>
      <c r="Z772" s="318"/>
      <c r="AA772" s="318"/>
      <c r="AB772" s="318"/>
      <c r="AC772" s="318"/>
      <c r="AD772" s="318"/>
      <c r="AE772" s="318"/>
      <c r="AF772" s="318"/>
      <c r="AG772" s="318"/>
      <c r="AH772" s="318"/>
      <c r="AI772" s="318"/>
    </row>
    <row r="773">
      <c r="A773" s="310"/>
      <c r="B773" s="311"/>
      <c r="C773" s="311"/>
      <c r="D773" s="312"/>
      <c r="P773" s="313"/>
      <c r="Q773" s="313"/>
      <c r="R773" s="314"/>
      <c r="S773" s="315"/>
      <c r="T773" s="316"/>
      <c r="U773" s="316"/>
      <c r="V773" s="316"/>
      <c r="W773" s="316"/>
      <c r="X773" s="316"/>
      <c r="Y773" s="317"/>
      <c r="Z773" s="318"/>
      <c r="AA773" s="318"/>
      <c r="AB773" s="318"/>
      <c r="AC773" s="318"/>
      <c r="AD773" s="318"/>
      <c r="AE773" s="318"/>
      <c r="AF773" s="318"/>
      <c r="AG773" s="318"/>
      <c r="AH773" s="318"/>
      <c r="AI773" s="318"/>
    </row>
    <row r="774">
      <c r="A774" s="310"/>
      <c r="B774" s="311"/>
      <c r="C774" s="311"/>
      <c r="D774" s="312"/>
      <c r="P774" s="313"/>
      <c r="Q774" s="313"/>
      <c r="R774" s="314"/>
      <c r="S774" s="315"/>
      <c r="T774" s="316"/>
      <c r="U774" s="316"/>
      <c r="V774" s="316"/>
      <c r="W774" s="316"/>
      <c r="X774" s="316"/>
      <c r="Y774" s="317"/>
      <c r="Z774" s="318"/>
      <c r="AA774" s="318"/>
      <c r="AB774" s="318"/>
      <c r="AC774" s="318"/>
      <c r="AD774" s="318"/>
      <c r="AE774" s="318"/>
      <c r="AF774" s="318"/>
      <c r="AG774" s="318"/>
      <c r="AH774" s="318"/>
      <c r="AI774" s="318"/>
    </row>
    <row r="775">
      <c r="A775" s="310"/>
      <c r="B775" s="311"/>
      <c r="C775" s="311"/>
      <c r="D775" s="312"/>
      <c r="P775" s="313"/>
      <c r="Q775" s="313"/>
      <c r="R775" s="314"/>
      <c r="S775" s="315"/>
      <c r="T775" s="316"/>
      <c r="U775" s="316"/>
      <c r="V775" s="316"/>
      <c r="W775" s="316"/>
      <c r="X775" s="316"/>
      <c r="Y775" s="317"/>
      <c r="Z775" s="318"/>
      <c r="AA775" s="318"/>
      <c r="AB775" s="318"/>
      <c r="AC775" s="318"/>
      <c r="AD775" s="318"/>
      <c r="AE775" s="318"/>
      <c r="AF775" s="318"/>
      <c r="AG775" s="318"/>
      <c r="AH775" s="318"/>
      <c r="AI775" s="318"/>
    </row>
    <row r="776">
      <c r="A776" s="310"/>
      <c r="B776" s="311"/>
      <c r="C776" s="311"/>
      <c r="D776" s="312"/>
      <c r="P776" s="313"/>
      <c r="Q776" s="313"/>
      <c r="R776" s="314"/>
      <c r="S776" s="315"/>
      <c r="T776" s="316"/>
      <c r="U776" s="316"/>
      <c r="V776" s="316"/>
      <c r="W776" s="316"/>
      <c r="X776" s="316"/>
      <c r="Y776" s="317"/>
      <c r="Z776" s="318"/>
      <c r="AA776" s="318"/>
      <c r="AB776" s="318"/>
      <c r="AC776" s="318"/>
      <c r="AD776" s="318"/>
      <c r="AE776" s="318"/>
      <c r="AF776" s="318"/>
      <c r="AG776" s="318"/>
      <c r="AH776" s="318"/>
      <c r="AI776" s="318"/>
    </row>
    <row r="777">
      <c r="A777" s="310"/>
      <c r="B777" s="311"/>
      <c r="C777" s="311"/>
      <c r="D777" s="312"/>
      <c r="P777" s="313"/>
      <c r="Q777" s="313"/>
      <c r="R777" s="314"/>
      <c r="S777" s="315"/>
      <c r="T777" s="316"/>
      <c r="U777" s="316"/>
      <c r="V777" s="316"/>
      <c r="W777" s="316"/>
      <c r="X777" s="316"/>
      <c r="Y777" s="317"/>
      <c r="Z777" s="318"/>
      <c r="AA777" s="318"/>
      <c r="AB777" s="318"/>
      <c r="AC777" s="318"/>
      <c r="AD777" s="318"/>
      <c r="AE777" s="318"/>
      <c r="AF777" s="318"/>
      <c r="AG777" s="318"/>
      <c r="AH777" s="318"/>
      <c r="AI777" s="318"/>
    </row>
    <row r="778">
      <c r="A778" s="310"/>
      <c r="B778" s="311"/>
      <c r="C778" s="311"/>
      <c r="D778" s="312"/>
      <c r="P778" s="313"/>
      <c r="Q778" s="313"/>
      <c r="R778" s="314"/>
      <c r="S778" s="315"/>
      <c r="T778" s="316"/>
      <c r="U778" s="316"/>
      <c r="V778" s="316"/>
      <c r="W778" s="316"/>
      <c r="X778" s="316"/>
      <c r="Y778" s="317"/>
      <c r="Z778" s="318"/>
      <c r="AA778" s="318"/>
      <c r="AB778" s="318"/>
      <c r="AC778" s="318"/>
      <c r="AD778" s="318"/>
      <c r="AE778" s="318"/>
      <c r="AF778" s="318"/>
      <c r="AG778" s="318"/>
      <c r="AH778" s="318"/>
      <c r="AI778" s="318"/>
    </row>
    <row r="779">
      <c r="A779" s="310"/>
      <c r="B779" s="311"/>
      <c r="C779" s="311"/>
      <c r="D779" s="312"/>
      <c r="P779" s="313"/>
      <c r="Q779" s="313"/>
      <c r="R779" s="314"/>
      <c r="S779" s="315"/>
      <c r="T779" s="316"/>
      <c r="U779" s="316"/>
      <c r="V779" s="316"/>
      <c r="W779" s="316"/>
      <c r="X779" s="316"/>
      <c r="Y779" s="317"/>
      <c r="Z779" s="318"/>
      <c r="AA779" s="318"/>
      <c r="AB779" s="318"/>
      <c r="AC779" s="318"/>
      <c r="AD779" s="318"/>
      <c r="AE779" s="318"/>
      <c r="AF779" s="318"/>
      <c r="AG779" s="318"/>
      <c r="AH779" s="318"/>
      <c r="AI779" s="318"/>
    </row>
    <row r="780">
      <c r="A780" s="310"/>
      <c r="B780" s="311"/>
      <c r="C780" s="311"/>
      <c r="D780" s="312"/>
      <c r="P780" s="313"/>
      <c r="Q780" s="313"/>
      <c r="R780" s="314"/>
      <c r="S780" s="315"/>
      <c r="T780" s="316"/>
      <c r="U780" s="316"/>
      <c r="V780" s="316"/>
      <c r="W780" s="316"/>
      <c r="X780" s="316"/>
      <c r="Y780" s="317"/>
      <c r="Z780" s="318"/>
      <c r="AA780" s="318"/>
      <c r="AB780" s="318"/>
      <c r="AC780" s="318"/>
      <c r="AD780" s="318"/>
      <c r="AE780" s="318"/>
      <c r="AF780" s="318"/>
      <c r="AG780" s="318"/>
      <c r="AH780" s="318"/>
      <c r="AI780" s="318"/>
    </row>
    <row r="781">
      <c r="A781" s="310"/>
      <c r="B781" s="311"/>
      <c r="C781" s="311"/>
      <c r="D781" s="312"/>
      <c r="P781" s="313"/>
      <c r="Q781" s="313"/>
      <c r="R781" s="314"/>
      <c r="S781" s="315"/>
      <c r="T781" s="316"/>
      <c r="U781" s="316"/>
      <c r="V781" s="316"/>
      <c r="W781" s="316"/>
      <c r="X781" s="316"/>
      <c r="Y781" s="317"/>
      <c r="Z781" s="318"/>
      <c r="AA781" s="318"/>
      <c r="AB781" s="318"/>
      <c r="AC781" s="318"/>
      <c r="AD781" s="318"/>
      <c r="AE781" s="318"/>
      <c r="AF781" s="318"/>
      <c r="AG781" s="318"/>
      <c r="AH781" s="318"/>
      <c r="AI781" s="318"/>
    </row>
    <row r="782">
      <c r="A782" s="310"/>
      <c r="B782" s="311"/>
      <c r="C782" s="311"/>
      <c r="D782" s="312"/>
      <c r="P782" s="313"/>
      <c r="Q782" s="313"/>
      <c r="R782" s="314"/>
      <c r="S782" s="315"/>
      <c r="T782" s="316"/>
      <c r="U782" s="316"/>
      <c r="V782" s="316"/>
      <c r="W782" s="316"/>
      <c r="X782" s="316"/>
      <c r="Y782" s="317"/>
      <c r="Z782" s="318"/>
      <c r="AA782" s="318"/>
      <c r="AB782" s="318"/>
      <c r="AC782" s="318"/>
      <c r="AD782" s="318"/>
      <c r="AE782" s="318"/>
      <c r="AF782" s="318"/>
      <c r="AG782" s="318"/>
      <c r="AH782" s="318"/>
      <c r="AI782" s="318"/>
    </row>
    <row r="783">
      <c r="A783" s="310"/>
      <c r="B783" s="311"/>
      <c r="C783" s="311"/>
      <c r="D783" s="312"/>
      <c r="P783" s="313"/>
      <c r="Q783" s="313"/>
      <c r="R783" s="314"/>
      <c r="S783" s="315"/>
      <c r="T783" s="316"/>
      <c r="U783" s="316"/>
      <c r="V783" s="316"/>
      <c r="W783" s="316"/>
      <c r="X783" s="316"/>
      <c r="Y783" s="317"/>
      <c r="Z783" s="318"/>
      <c r="AA783" s="318"/>
      <c r="AB783" s="318"/>
      <c r="AC783" s="318"/>
      <c r="AD783" s="318"/>
      <c r="AE783" s="318"/>
      <c r="AF783" s="318"/>
      <c r="AG783" s="318"/>
      <c r="AH783" s="318"/>
      <c r="AI783" s="318"/>
    </row>
    <row r="784">
      <c r="A784" s="310"/>
      <c r="B784" s="311"/>
      <c r="C784" s="311"/>
      <c r="D784" s="312"/>
      <c r="P784" s="313"/>
      <c r="Q784" s="313"/>
      <c r="R784" s="314"/>
      <c r="S784" s="315"/>
      <c r="T784" s="316"/>
      <c r="U784" s="316"/>
      <c r="V784" s="316"/>
      <c r="W784" s="316"/>
      <c r="X784" s="316"/>
      <c r="Y784" s="317"/>
      <c r="Z784" s="318"/>
      <c r="AA784" s="318"/>
      <c r="AB784" s="318"/>
      <c r="AC784" s="318"/>
      <c r="AD784" s="318"/>
      <c r="AE784" s="318"/>
      <c r="AF784" s="318"/>
      <c r="AG784" s="318"/>
      <c r="AH784" s="318"/>
      <c r="AI784" s="318"/>
    </row>
    <row r="785">
      <c r="A785" s="310"/>
      <c r="B785" s="311"/>
      <c r="C785" s="311"/>
      <c r="D785" s="312"/>
      <c r="P785" s="313"/>
      <c r="Q785" s="313"/>
      <c r="R785" s="314"/>
      <c r="S785" s="315"/>
      <c r="T785" s="316"/>
      <c r="U785" s="316"/>
      <c r="V785" s="316"/>
      <c r="W785" s="316"/>
      <c r="X785" s="316"/>
      <c r="Y785" s="317"/>
      <c r="Z785" s="318"/>
      <c r="AA785" s="318"/>
      <c r="AB785" s="318"/>
      <c r="AC785" s="318"/>
      <c r="AD785" s="318"/>
      <c r="AE785" s="318"/>
      <c r="AF785" s="318"/>
      <c r="AG785" s="318"/>
      <c r="AH785" s="318"/>
      <c r="AI785" s="318"/>
    </row>
    <row r="786">
      <c r="A786" s="310"/>
      <c r="B786" s="311"/>
      <c r="C786" s="311"/>
      <c r="D786" s="312"/>
      <c r="P786" s="313"/>
      <c r="Q786" s="313"/>
      <c r="R786" s="314"/>
      <c r="S786" s="315"/>
      <c r="T786" s="316"/>
      <c r="U786" s="316"/>
      <c r="V786" s="316"/>
      <c r="W786" s="316"/>
      <c r="X786" s="316"/>
      <c r="Y786" s="317"/>
      <c r="Z786" s="318"/>
      <c r="AA786" s="318"/>
      <c r="AB786" s="318"/>
      <c r="AC786" s="318"/>
      <c r="AD786" s="318"/>
      <c r="AE786" s="318"/>
      <c r="AF786" s="318"/>
      <c r="AG786" s="318"/>
      <c r="AH786" s="318"/>
      <c r="AI786" s="318"/>
    </row>
    <row r="787">
      <c r="A787" s="310"/>
      <c r="B787" s="311"/>
      <c r="C787" s="311"/>
      <c r="D787" s="312"/>
      <c r="P787" s="313"/>
      <c r="Q787" s="313"/>
      <c r="R787" s="314"/>
      <c r="S787" s="315"/>
      <c r="T787" s="316"/>
      <c r="U787" s="316"/>
      <c r="V787" s="316"/>
      <c r="W787" s="316"/>
      <c r="X787" s="316"/>
      <c r="Y787" s="317"/>
      <c r="Z787" s="318"/>
      <c r="AA787" s="318"/>
      <c r="AB787" s="318"/>
      <c r="AC787" s="318"/>
      <c r="AD787" s="318"/>
      <c r="AE787" s="318"/>
      <c r="AF787" s="318"/>
      <c r="AG787" s="318"/>
      <c r="AH787" s="318"/>
      <c r="AI787" s="318"/>
    </row>
    <row r="788">
      <c r="A788" s="310"/>
      <c r="B788" s="311"/>
      <c r="C788" s="311"/>
      <c r="D788" s="312"/>
      <c r="P788" s="313"/>
      <c r="Q788" s="313"/>
      <c r="R788" s="314"/>
      <c r="S788" s="315"/>
      <c r="T788" s="316"/>
      <c r="U788" s="316"/>
      <c r="V788" s="316"/>
      <c r="W788" s="316"/>
      <c r="X788" s="316"/>
      <c r="Y788" s="317"/>
      <c r="Z788" s="318"/>
      <c r="AA788" s="318"/>
      <c r="AB788" s="318"/>
      <c r="AC788" s="318"/>
      <c r="AD788" s="318"/>
      <c r="AE788" s="318"/>
      <c r="AF788" s="318"/>
      <c r="AG788" s="318"/>
      <c r="AH788" s="318"/>
      <c r="AI788" s="318"/>
    </row>
    <row r="789">
      <c r="A789" s="310"/>
      <c r="B789" s="311"/>
      <c r="C789" s="311"/>
      <c r="D789" s="312"/>
      <c r="P789" s="313"/>
      <c r="Q789" s="313"/>
      <c r="R789" s="314"/>
      <c r="S789" s="315"/>
      <c r="T789" s="316"/>
      <c r="U789" s="316"/>
      <c r="V789" s="316"/>
      <c r="W789" s="316"/>
      <c r="X789" s="316"/>
      <c r="Y789" s="317"/>
      <c r="Z789" s="318"/>
      <c r="AA789" s="318"/>
      <c r="AB789" s="318"/>
      <c r="AC789" s="318"/>
      <c r="AD789" s="318"/>
      <c r="AE789" s="318"/>
      <c r="AF789" s="318"/>
      <c r="AG789" s="318"/>
      <c r="AH789" s="318"/>
      <c r="AI789" s="318"/>
    </row>
    <row r="790">
      <c r="A790" s="310"/>
      <c r="B790" s="311"/>
      <c r="C790" s="311"/>
      <c r="D790" s="312"/>
      <c r="P790" s="313"/>
      <c r="Q790" s="313"/>
      <c r="R790" s="314"/>
      <c r="S790" s="315"/>
      <c r="T790" s="316"/>
      <c r="U790" s="316"/>
      <c r="V790" s="316"/>
      <c r="W790" s="316"/>
      <c r="X790" s="316"/>
      <c r="Y790" s="317"/>
      <c r="Z790" s="318"/>
      <c r="AA790" s="318"/>
      <c r="AB790" s="318"/>
      <c r="AC790" s="318"/>
      <c r="AD790" s="318"/>
      <c r="AE790" s="318"/>
      <c r="AF790" s="318"/>
      <c r="AG790" s="318"/>
      <c r="AH790" s="318"/>
      <c r="AI790" s="318"/>
    </row>
    <row r="791">
      <c r="A791" s="310"/>
      <c r="B791" s="311"/>
      <c r="C791" s="311"/>
      <c r="D791" s="312"/>
      <c r="P791" s="313"/>
      <c r="Q791" s="313"/>
      <c r="R791" s="314"/>
      <c r="S791" s="315"/>
      <c r="T791" s="316"/>
      <c r="U791" s="316"/>
      <c r="V791" s="316"/>
      <c r="W791" s="316"/>
      <c r="X791" s="316"/>
      <c r="Y791" s="317"/>
      <c r="Z791" s="318"/>
      <c r="AA791" s="318"/>
      <c r="AB791" s="318"/>
      <c r="AC791" s="318"/>
      <c r="AD791" s="318"/>
      <c r="AE791" s="318"/>
      <c r="AF791" s="318"/>
      <c r="AG791" s="318"/>
      <c r="AH791" s="318"/>
      <c r="AI791" s="318"/>
    </row>
    <row r="792">
      <c r="A792" s="310"/>
      <c r="B792" s="311"/>
      <c r="C792" s="311"/>
      <c r="D792" s="312"/>
      <c r="P792" s="313"/>
      <c r="Q792" s="313"/>
      <c r="R792" s="314"/>
      <c r="S792" s="315"/>
      <c r="T792" s="316"/>
      <c r="U792" s="316"/>
      <c r="V792" s="316"/>
      <c r="W792" s="316"/>
      <c r="X792" s="316"/>
      <c r="Y792" s="317"/>
      <c r="Z792" s="318"/>
      <c r="AA792" s="318"/>
      <c r="AB792" s="318"/>
      <c r="AC792" s="318"/>
      <c r="AD792" s="318"/>
      <c r="AE792" s="318"/>
      <c r="AF792" s="318"/>
      <c r="AG792" s="318"/>
      <c r="AH792" s="318"/>
      <c r="AI792" s="318"/>
    </row>
    <row r="793">
      <c r="A793" s="310"/>
      <c r="B793" s="311"/>
      <c r="C793" s="311"/>
      <c r="D793" s="312"/>
      <c r="P793" s="313"/>
      <c r="Q793" s="313"/>
      <c r="R793" s="314"/>
      <c r="S793" s="315"/>
      <c r="T793" s="316"/>
      <c r="U793" s="316"/>
      <c r="V793" s="316"/>
      <c r="W793" s="316"/>
      <c r="X793" s="316"/>
      <c r="Y793" s="317"/>
      <c r="Z793" s="318"/>
      <c r="AA793" s="318"/>
      <c r="AB793" s="318"/>
      <c r="AC793" s="318"/>
      <c r="AD793" s="318"/>
      <c r="AE793" s="318"/>
      <c r="AF793" s="318"/>
      <c r="AG793" s="318"/>
      <c r="AH793" s="318"/>
      <c r="AI793" s="318"/>
    </row>
    <row r="794">
      <c r="A794" s="310"/>
      <c r="B794" s="311"/>
      <c r="C794" s="311"/>
      <c r="D794" s="312"/>
      <c r="P794" s="313"/>
      <c r="Q794" s="313"/>
      <c r="R794" s="314"/>
      <c r="S794" s="315"/>
      <c r="T794" s="316"/>
      <c r="U794" s="316"/>
      <c r="V794" s="316"/>
      <c r="W794" s="316"/>
      <c r="X794" s="316"/>
      <c r="Y794" s="317"/>
      <c r="Z794" s="318"/>
      <c r="AA794" s="318"/>
      <c r="AB794" s="318"/>
      <c r="AC794" s="318"/>
      <c r="AD794" s="318"/>
      <c r="AE794" s="318"/>
      <c r="AF794" s="318"/>
      <c r="AG794" s="318"/>
      <c r="AH794" s="318"/>
      <c r="AI794" s="318"/>
    </row>
    <row r="795">
      <c r="A795" s="310"/>
      <c r="B795" s="311"/>
      <c r="C795" s="311"/>
      <c r="D795" s="312"/>
      <c r="P795" s="313"/>
      <c r="Q795" s="313"/>
      <c r="R795" s="314"/>
      <c r="S795" s="315"/>
      <c r="T795" s="316"/>
      <c r="U795" s="316"/>
      <c r="V795" s="316"/>
      <c r="W795" s="316"/>
      <c r="X795" s="316"/>
      <c r="Y795" s="317"/>
      <c r="Z795" s="318"/>
      <c r="AA795" s="318"/>
      <c r="AB795" s="318"/>
      <c r="AC795" s="318"/>
      <c r="AD795" s="318"/>
      <c r="AE795" s="318"/>
      <c r="AF795" s="318"/>
      <c r="AG795" s="318"/>
      <c r="AH795" s="318"/>
      <c r="AI795" s="318"/>
    </row>
    <row r="796">
      <c r="A796" s="310"/>
      <c r="B796" s="311"/>
      <c r="C796" s="311"/>
      <c r="D796" s="312"/>
      <c r="P796" s="313"/>
      <c r="Q796" s="313"/>
      <c r="R796" s="314"/>
      <c r="S796" s="315"/>
      <c r="T796" s="316"/>
      <c r="U796" s="316"/>
      <c r="V796" s="316"/>
      <c r="W796" s="316"/>
      <c r="X796" s="316"/>
      <c r="Y796" s="317"/>
      <c r="Z796" s="318"/>
      <c r="AA796" s="318"/>
      <c r="AB796" s="318"/>
      <c r="AC796" s="318"/>
      <c r="AD796" s="318"/>
      <c r="AE796" s="318"/>
      <c r="AF796" s="318"/>
      <c r="AG796" s="318"/>
      <c r="AH796" s="318"/>
      <c r="AI796" s="318"/>
    </row>
    <row r="797">
      <c r="A797" s="310"/>
      <c r="B797" s="311"/>
      <c r="C797" s="311"/>
      <c r="D797" s="312"/>
      <c r="P797" s="313"/>
      <c r="Q797" s="313"/>
      <c r="R797" s="314"/>
      <c r="S797" s="315"/>
      <c r="T797" s="316"/>
      <c r="U797" s="316"/>
      <c r="V797" s="316"/>
      <c r="W797" s="316"/>
      <c r="X797" s="316"/>
      <c r="Y797" s="317"/>
      <c r="Z797" s="318"/>
      <c r="AA797" s="318"/>
      <c r="AB797" s="318"/>
      <c r="AC797" s="318"/>
      <c r="AD797" s="318"/>
      <c r="AE797" s="318"/>
      <c r="AF797" s="318"/>
      <c r="AG797" s="318"/>
      <c r="AH797" s="318"/>
      <c r="AI797" s="318"/>
    </row>
    <row r="798">
      <c r="A798" s="310"/>
      <c r="B798" s="311"/>
      <c r="C798" s="311"/>
      <c r="D798" s="312"/>
      <c r="P798" s="313"/>
      <c r="Q798" s="313"/>
      <c r="R798" s="314"/>
      <c r="S798" s="315"/>
      <c r="T798" s="316"/>
      <c r="U798" s="316"/>
      <c r="V798" s="316"/>
      <c r="W798" s="316"/>
      <c r="X798" s="316"/>
      <c r="Y798" s="317"/>
      <c r="Z798" s="318"/>
      <c r="AA798" s="318"/>
      <c r="AB798" s="318"/>
      <c r="AC798" s="318"/>
      <c r="AD798" s="318"/>
      <c r="AE798" s="318"/>
      <c r="AF798" s="318"/>
      <c r="AG798" s="318"/>
      <c r="AH798" s="318"/>
      <c r="AI798" s="318"/>
    </row>
    <row r="799">
      <c r="A799" s="310"/>
      <c r="B799" s="311"/>
      <c r="C799" s="311"/>
      <c r="D799" s="312"/>
      <c r="P799" s="313"/>
      <c r="Q799" s="313"/>
      <c r="R799" s="314"/>
      <c r="S799" s="315"/>
      <c r="T799" s="316"/>
      <c r="U799" s="316"/>
      <c r="V799" s="316"/>
      <c r="W799" s="316"/>
      <c r="X799" s="316"/>
      <c r="Y799" s="317"/>
      <c r="Z799" s="318"/>
      <c r="AA799" s="318"/>
      <c r="AB799" s="318"/>
      <c r="AC799" s="318"/>
      <c r="AD799" s="318"/>
      <c r="AE799" s="318"/>
      <c r="AF799" s="318"/>
      <c r="AG799" s="318"/>
      <c r="AH799" s="318"/>
      <c r="AI799" s="318"/>
    </row>
    <row r="800">
      <c r="A800" s="310"/>
      <c r="B800" s="311"/>
      <c r="C800" s="311"/>
      <c r="D800" s="312"/>
      <c r="P800" s="313"/>
      <c r="Q800" s="313"/>
      <c r="R800" s="314"/>
      <c r="S800" s="315"/>
      <c r="T800" s="316"/>
      <c r="U800" s="316"/>
      <c r="V800" s="316"/>
      <c r="W800" s="316"/>
      <c r="X800" s="316"/>
      <c r="Y800" s="317"/>
      <c r="Z800" s="318"/>
      <c r="AA800" s="318"/>
      <c r="AB800" s="318"/>
      <c r="AC800" s="318"/>
      <c r="AD800" s="318"/>
      <c r="AE800" s="318"/>
      <c r="AF800" s="318"/>
      <c r="AG800" s="318"/>
      <c r="AH800" s="318"/>
      <c r="AI800" s="318"/>
    </row>
    <row r="801">
      <c r="A801" s="310"/>
      <c r="B801" s="311"/>
      <c r="C801" s="311"/>
      <c r="D801" s="312"/>
      <c r="P801" s="313"/>
      <c r="Q801" s="313"/>
      <c r="R801" s="314"/>
      <c r="S801" s="315"/>
      <c r="T801" s="316"/>
      <c r="U801" s="316"/>
      <c r="V801" s="316"/>
      <c r="W801" s="316"/>
      <c r="X801" s="316"/>
      <c r="Y801" s="317"/>
      <c r="Z801" s="318"/>
      <c r="AA801" s="318"/>
      <c r="AB801" s="318"/>
      <c r="AC801" s="318"/>
      <c r="AD801" s="318"/>
      <c r="AE801" s="318"/>
      <c r="AF801" s="318"/>
      <c r="AG801" s="318"/>
      <c r="AH801" s="318"/>
      <c r="AI801" s="318"/>
    </row>
    <row r="802">
      <c r="A802" s="310"/>
      <c r="B802" s="311"/>
      <c r="C802" s="311"/>
      <c r="D802" s="312"/>
      <c r="P802" s="313"/>
      <c r="Q802" s="313"/>
      <c r="R802" s="314"/>
      <c r="S802" s="315"/>
      <c r="T802" s="316"/>
      <c r="U802" s="316"/>
      <c r="V802" s="316"/>
      <c r="W802" s="316"/>
      <c r="X802" s="316"/>
      <c r="Y802" s="317"/>
      <c r="Z802" s="318"/>
      <c r="AA802" s="318"/>
      <c r="AB802" s="318"/>
      <c r="AC802" s="318"/>
      <c r="AD802" s="318"/>
      <c r="AE802" s="318"/>
      <c r="AF802" s="318"/>
      <c r="AG802" s="318"/>
      <c r="AH802" s="318"/>
      <c r="AI802" s="318"/>
    </row>
    <row r="803">
      <c r="A803" s="310"/>
      <c r="B803" s="311"/>
      <c r="C803" s="311"/>
      <c r="D803" s="312"/>
      <c r="P803" s="313"/>
      <c r="Q803" s="313"/>
      <c r="R803" s="314"/>
      <c r="S803" s="315"/>
      <c r="T803" s="316"/>
      <c r="U803" s="316"/>
      <c r="V803" s="316"/>
      <c r="W803" s="316"/>
      <c r="X803" s="316"/>
      <c r="Y803" s="317"/>
      <c r="Z803" s="318"/>
      <c r="AA803" s="318"/>
      <c r="AB803" s="318"/>
      <c r="AC803" s="318"/>
      <c r="AD803" s="318"/>
      <c r="AE803" s="318"/>
      <c r="AF803" s="318"/>
      <c r="AG803" s="318"/>
      <c r="AH803" s="318"/>
      <c r="AI803" s="318"/>
    </row>
    <row r="804">
      <c r="A804" s="310"/>
      <c r="B804" s="311"/>
      <c r="C804" s="311"/>
      <c r="D804" s="312"/>
      <c r="P804" s="313"/>
      <c r="Q804" s="313"/>
      <c r="R804" s="314"/>
      <c r="S804" s="315"/>
      <c r="T804" s="316"/>
      <c r="U804" s="316"/>
      <c r="V804" s="316"/>
      <c r="W804" s="316"/>
      <c r="X804" s="316"/>
      <c r="Y804" s="317"/>
      <c r="Z804" s="318"/>
      <c r="AA804" s="318"/>
      <c r="AB804" s="318"/>
      <c r="AC804" s="318"/>
      <c r="AD804" s="318"/>
      <c r="AE804" s="318"/>
      <c r="AF804" s="318"/>
      <c r="AG804" s="318"/>
      <c r="AH804" s="318"/>
      <c r="AI804" s="318"/>
    </row>
    <row r="805">
      <c r="A805" s="310"/>
      <c r="B805" s="311"/>
      <c r="C805" s="311"/>
      <c r="D805" s="312"/>
      <c r="P805" s="313"/>
      <c r="Q805" s="313"/>
      <c r="R805" s="314"/>
      <c r="S805" s="315"/>
      <c r="T805" s="316"/>
      <c r="U805" s="316"/>
      <c r="V805" s="316"/>
      <c r="W805" s="316"/>
      <c r="X805" s="316"/>
      <c r="Y805" s="317"/>
      <c r="Z805" s="318"/>
      <c r="AA805" s="318"/>
      <c r="AB805" s="318"/>
      <c r="AC805" s="318"/>
      <c r="AD805" s="318"/>
      <c r="AE805" s="318"/>
      <c r="AF805" s="318"/>
      <c r="AG805" s="318"/>
      <c r="AH805" s="318"/>
      <c r="AI805" s="318"/>
    </row>
    <row r="806">
      <c r="A806" s="310"/>
      <c r="B806" s="311"/>
      <c r="C806" s="311"/>
      <c r="D806" s="312"/>
      <c r="P806" s="313"/>
      <c r="Q806" s="313"/>
      <c r="R806" s="314"/>
      <c r="S806" s="315"/>
      <c r="T806" s="316"/>
      <c r="U806" s="316"/>
      <c r="V806" s="316"/>
      <c r="W806" s="316"/>
      <c r="X806" s="316"/>
      <c r="Y806" s="317"/>
      <c r="Z806" s="318"/>
      <c r="AA806" s="318"/>
      <c r="AB806" s="318"/>
      <c r="AC806" s="318"/>
      <c r="AD806" s="318"/>
      <c r="AE806" s="318"/>
      <c r="AF806" s="318"/>
      <c r="AG806" s="318"/>
      <c r="AH806" s="318"/>
      <c r="AI806" s="318"/>
    </row>
    <row r="807">
      <c r="A807" s="310"/>
      <c r="B807" s="311"/>
      <c r="C807" s="311"/>
      <c r="D807" s="312"/>
      <c r="P807" s="313"/>
      <c r="Q807" s="313"/>
      <c r="R807" s="314"/>
      <c r="S807" s="315"/>
      <c r="T807" s="316"/>
      <c r="U807" s="316"/>
      <c r="V807" s="316"/>
      <c r="W807" s="316"/>
      <c r="X807" s="316"/>
      <c r="Y807" s="317"/>
      <c r="Z807" s="318"/>
      <c r="AA807" s="318"/>
      <c r="AB807" s="318"/>
      <c r="AC807" s="318"/>
      <c r="AD807" s="318"/>
      <c r="AE807" s="318"/>
      <c r="AF807" s="318"/>
      <c r="AG807" s="318"/>
      <c r="AH807" s="318"/>
      <c r="AI807" s="318"/>
    </row>
    <row r="808">
      <c r="A808" s="310"/>
      <c r="B808" s="311"/>
      <c r="C808" s="311"/>
      <c r="D808" s="312"/>
      <c r="P808" s="313"/>
      <c r="Q808" s="313"/>
      <c r="R808" s="314"/>
      <c r="S808" s="315"/>
      <c r="T808" s="316"/>
      <c r="U808" s="316"/>
      <c r="V808" s="316"/>
      <c r="W808" s="316"/>
      <c r="X808" s="316"/>
      <c r="Y808" s="317"/>
      <c r="Z808" s="318"/>
      <c r="AA808" s="318"/>
      <c r="AB808" s="318"/>
      <c r="AC808" s="318"/>
      <c r="AD808" s="318"/>
      <c r="AE808" s="318"/>
      <c r="AF808" s="318"/>
      <c r="AG808" s="318"/>
      <c r="AH808" s="318"/>
      <c r="AI808" s="318"/>
    </row>
    <row r="809">
      <c r="A809" s="310"/>
      <c r="B809" s="311"/>
      <c r="C809" s="311"/>
      <c r="D809" s="312"/>
      <c r="P809" s="313"/>
      <c r="Q809" s="313"/>
      <c r="R809" s="314"/>
      <c r="S809" s="315"/>
      <c r="T809" s="316"/>
      <c r="U809" s="316"/>
      <c r="V809" s="316"/>
      <c r="W809" s="316"/>
      <c r="X809" s="316"/>
      <c r="Y809" s="317"/>
      <c r="Z809" s="318"/>
      <c r="AA809" s="318"/>
      <c r="AB809" s="318"/>
      <c r="AC809" s="318"/>
      <c r="AD809" s="318"/>
      <c r="AE809" s="318"/>
      <c r="AF809" s="318"/>
      <c r="AG809" s="318"/>
      <c r="AH809" s="318"/>
      <c r="AI809" s="318"/>
    </row>
    <row r="810">
      <c r="A810" s="310"/>
      <c r="B810" s="311"/>
      <c r="C810" s="311"/>
      <c r="D810" s="312"/>
      <c r="P810" s="313"/>
      <c r="Q810" s="313"/>
      <c r="R810" s="314"/>
      <c r="S810" s="315"/>
      <c r="T810" s="316"/>
      <c r="U810" s="316"/>
      <c r="V810" s="316"/>
      <c r="W810" s="316"/>
      <c r="X810" s="316"/>
      <c r="Y810" s="317"/>
      <c r="Z810" s="318"/>
      <c r="AA810" s="318"/>
      <c r="AB810" s="318"/>
      <c r="AC810" s="318"/>
      <c r="AD810" s="318"/>
      <c r="AE810" s="318"/>
      <c r="AF810" s="318"/>
      <c r="AG810" s="318"/>
      <c r="AH810" s="318"/>
      <c r="AI810" s="318"/>
    </row>
    <row r="811">
      <c r="A811" s="310"/>
      <c r="B811" s="311"/>
      <c r="C811" s="311"/>
      <c r="D811" s="312"/>
      <c r="P811" s="313"/>
      <c r="Q811" s="313"/>
      <c r="R811" s="314"/>
      <c r="S811" s="315"/>
      <c r="T811" s="316"/>
      <c r="U811" s="316"/>
      <c r="V811" s="316"/>
      <c r="W811" s="316"/>
      <c r="X811" s="316"/>
      <c r="Y811" s="317"/>
      <c r="Z811" s="318"/>
      <c r="AA811" s="318"/>
      <c r="AB811" s="318"/>
      <c r="AC811" s="318"/>
      <c r="AD811" s="318"/>
      <c r="AE811" s="318"/>
      <c r="AF811" s="318"/>
      <c r="AG811" s="318"/>
      <c r="AH811" s="318"/>
      <c r="AI811" s="318"/>
    </row>
    <row r="812">
      <c r="A812" s="310"/>
      <c r="B812" s="311"/>
      <c r="C812" s="311"/>
      <c r="D812" s="312"/>
      <c r="P812" s="313"/>
      <c r="Q812" s="313"/>
      <c r="R812" s="314"/>
      <c r="S812" s="315"/>
      <c r="T812" s="316"/>
      <c r="U812" s="316"/>
      <c r="V812" s="316"/>
      <c r="W812" s="316"/>
      <c r="X812" s="316"/>
      <c r="Y812" s="317"/>
      <c r="Z812" s="318"/>
      <c r="AA812" s="318"/>
      <c r="AB812" s="318"/>
      <c r="AC812" s="318"/>
      <c r="AD812" s="318"/>
      <c r="AE812" s="318"/>
      <c r="AF812" s="318"/>
      <c r="AG812" s="318"/>
      <c r="AH812" s="318"/>
      <c r="AI812" s="318"/>
    </row>
    <row r="813">
      <c r="A813" s="310"/>
      <c r="B813" s="311"/>
      <c r="C813" s="311"/>
      <c r="D813" s="312"/>
      <c r="P813" s="313"/>
      <c r="Q813" s="313"/>
      <c r="R813" s="314"/>
      <c r="S813" s="315"/>
      <c r="T813" s="316"/>
      <c r="U813" s="316"/>
      <c r="V813" s="316"/>
      <c r="W813" s="316"/>
      <c r="X813" s="316"/>
      <c r="Y813" s="317"/>
      <c r="Z813" s="318"/>
      <c r="AA813" s="318"/>
      <c r="AB813" s="318"/>
      <c r="AC813" s="318"/>
      <c r="AD813" s="318"/>
      <c r="AE813" s="318"/>
      <c r="AF813" s="318"/>
      <c r="AG813" s="318"/>
      <c r="AH813" s="318"/>
      <c r="AI813" s="318"/>
    </row>
    <row r="814">
      <c r="A814" s="310"/>
      <c r="B814" s="311"/>
      <c r="C814" s="311"/>
      <c r="D814" s="312"/>
      <c r="P814" s="313"/>
      <c r="Q814" s="313"/>
      <c r="R814" s="314"/>
      <c r="S814" s="315"/>
      <c r="T814" s="316"/>
      <c r="U814" s="316"/>
      <c r="V814" s="316"/>
      <c r="W814" s="316"/>
      <c r="X814" s="316"/>
      <c r="Y814" s="317"/>
      <c r="Z814" s="318"/>
      <c r="AA814" s="318"/>
      <c r="AB814" s="318"/>
      <c r="AC814" s="318"/>
      <c r="AD814" s="318"/>
      <c r="AE814" s="318"/>
      <c r="AF814" s="318"/>
      <c r="AG814" s="318"/>
      <c r="AH814" s="318"/>
      <c r="AI814" s="318"/>
    </row>
    <row r="815">
      <c r="A815" s="310"/>
      <c r="B815" s="311"/>
      <c r="C815" s="311"/>
      <c r="D815" s="312"/>
      <c r="P815" s="313"/>
      <c r="Q815" s="313"/>
      <c r="R815" s="314"/>
      <c r="S815" s="315"/>
      <c r="T815" s="316"/>
      <c r="U815" s="316"/>
      <c r="V815" s="316"/>
      <c r="W815" s="316"/>
      <c r="X815" s="316"/>
      <c r="Y815" s="317"/>
      <c r="Z815" s="318"/>
      <c r="AA815" s="318"/>
      <c r="AB815" s="318"/>
      <c r="AC815" s="318"/>
      <c r="AD815" s="318"/>
      <c r="AE815" s="318"/>
      <c r="AF815" s="318"/>
      <c r="AG815" s="318"/>
      <c r="AH815" s="318"/>
      <c r="AI815" s="318"/>
    </row>
    <row r="816">
      <c r="A816" s="310"/>
      <c r="B816" s="311"/>
      <c r="C816" s="311"/>
      <c r="D816" s="312"/>
      <c r="P816" s="313"/>
      <c r="Q816" s="313"/>
      <c r="R816" s="314"/>
      <c r="S816" s="315"/>
      <c r="T816" s="316"/>
      <c r="U816" s="316"/>
      <c r="V816" s="316"/>
      <c r="W816" s="316"/>
      <c r="X816" s="316"/>
      <c r="Y816" s="317"/>
      <c r="Z816" s="318"/>
      <c r="AA816" s="318"/>
      <c r="AB816" s="318"/>
      <c r="AC816" s="318"/>
      <c r="AD816" s="318"/>
      <c r="AE816" s="318"/>
      <c r="AF816" s="318"/>
      <c r="AG816" s="318"/>
      <c r="AH816" s="318"/>
      <c r="AI816" s="318"/>
    </row>
    <row r="817">
      <c r="A817" s="310"/>
      <c r="B817" s="311"/>
      <c r="C817" s="311"/>
      <c r="D817" s="312"/>
      <c r="P817" s="313"/>
      <c r="Q817" s="313"/>
      <c r="R817" s="314"/>
      <c r="S817" s="315"/>
      <c r="T817" s="316"/>
      <c r="U817" s="316"/>
      <c r="V817" s="316"/>
      <c r="W817" s="316"/>
      <c r="X817" s="316"/>
      <c r="Y817" s="317"/>
      <c r="Z817" s="318"/>
      <c r="AA817" s="318"/>
      <c r="AB817" s="318"/>
      <c r="AC817" s="318"/>
      <c r="AD817" s="318"/>
      <c r="AE817" s="318"/>
      <c r="AF817" s="318"/>
      <c r="AG817" s="318"/>
      <c r="AH817" s="318"/>
      <c r="AI817" s="318"/>
    </row>
    <row r="818">
      <c r="A818" s="310"/>
      <c r="B818" s="311"/>
      <c r="C818" s="311"/>
      <c r="D818" s="312"/>
      <c r="P818" s="313"/>
      <c r="Q818" s="313"/>
      <c r="R818" s="314"/>
      <c r="S818" s="315"/>
      <c r="T818" s="316"/>
      <c r="U818" s="316"/>
      <c r="V818" s="316"/>
      <c r="W818" s="316"/>
      <c r="X818" s="316"/>
      <c r="Y818" s="317"/>
      <c r="Z818" s="318"/>
      <c r="AA818" s="318"/>
      <c r="AB818" s="318"/>
      <c r="AC818" s="318"/>
      <c r="AD818" s="318"/>
      <c r="AE818" s="318"/>
      <c r="AF818" s="318"/>
      <c r="AG818" s="318"/>
      <c r="AH818" s="318"/>
      <c r="AI818" s="318"/>
    </row>
    <row r="819">
      <c r="A819" s="310"/>
      <c r="B819" s="311"/>
      <c r="C819" s="311"/>
      <c r="D819" s="312"/>
      <c r="P819" s="313"/>
      <c r="Q819" s="313"/>
      <c r="R819" s="314"/>
      <c r="S819" s="315"/>
      <c r="T819" s="316"/>
      <c r="U819" s="316"/>
      <c r="V819" s="316"/>
      <c r="W819" s="316"/>
      <c r="X819" s="316"/>
      <c r="Y819" s="317"/>
      <c r="Z819" s="318"/>
      <c r="AA819" s="318"/>
      <c r="AB819" s="318"/>
      <c r="AC819" s="318"/>
      <c r="AD819" s="318"/>
      <c r="AE819" s="318"/>
      <c r="AF819" s="318"/>
      <c r="AG819" s="318"/>
      <c r="AH819" s="318"/>
      <c r="AI819" s="318"/>
    </row>
    <row r="820">
      <c r="A820" s="310"/>
      <c r="B820" s="311"/>
      <c r="C820" s="311"/>
      <c r="D820" s="312"/>
      <c r="P820" s="313"/>
      <c r="Q820" s="313"/>
      <c r="R820" s="314"/>
      <c r="S820" s="315"/>
      <c r="T820" s="316"/>
      <c r="U820" s="316"/>
      <c r="V820" s="316"/>
      <c r="W820" s="316"/>
      <c r="X820" s="316"/>
      <c r="Y820" s="317"/>
      <c r="Z820" s="318"/>
      <c r="AA820" s="318"/>
      <c r="AB820" s="318"/>
      <c r="AC820" s="318"/>
      <c r="AD820" s="318"/>
      <c r="AE820" s="318"/>
      <c r="AF820" s="318"/>
      <c r="AG820" s="318"/>
      <c r="AH820" s="318"/>
      <c r="AI820" s="318"/>
    </row>
    <row r="821">
      <c r="A821" s="310"/>
      <c r="B821" s="311"/>
      <c r="C821" s="311"/>
      <c r="D821" s="312"/>
      <c r="P821" s="313"/>
      <c r="Q821" s="313"/>
      <c r="R821" s="314"/>
      <c r="S821" s="315"/>
      <c r="T821" s="316"/>
      <c r="U821" s="316"/>
      <c r="V821" s="316"/>
      <c r="W821" s="316"/>
      <c r="X821" s="316"/>
      <c r="Y821" s="317"/>
      <c r="Z821" s="318"/>
      <c r="AA821" s="318"/>
      <c r="AB821" s="318"/>
      <c r="AC821" s="318"/>
      <c r="AD821" s="318"/>
      <c r="AE821" s="318"/>
      <c r="AF821" s="318"/>
      <c r="AG821" s="318"/>
      <c r="AH821" s="318"/>
      <c r="AI821" s="318"/>
    </row>
    <row r="822">
      <c r="A822" s="310"/>
      <c r="B822" s="311"/>
      <c r="C822" s="311"/>
      <c r="D822" s="312"/>
      <c r="P822" s="313"/>
      <c r="Q822" s="313"/>
      <c r="R822" s="314"/>
      <c r="S822" s="315"/>
      <c r="T822" s="316"/>
      <c r="U822" s="316"/>
      <c r="V822" s="316"/>
      <c r="W822" s="316"/>
      <c r="X822" s="316"/>
      <c r="Y822" s="317"/>
      <c r="Z822" s="318"/>
      <c r="AA822" s="318"/>
      <c r="AB822" s="318"/>
      <c r="AC822" s="318"/>
      <c r="AD822" s="318"/>
      <c r="AE822" s="318"/>
      <c r="AF822" s="318"/>
      <c r="AG822" s="318"/>
      <c r="AH822" s="318"/>
      <c r="AI822" s="318"/>
    </row>
    <row r="823">
      <c r="A823" s="310"/>
      <c r="B823" s="311"/>
      <c r="C823" s="311"/>
      <c r="D823" s="312"/>
      <c r="P823" s="313"/>
      <c r="Q823" s="313"/>
      <c r="R823" s="314"/>
      <c r="S823" s="315"/>
      <c r="T823" s="316"/>
      <c r="U823" s="316"/>
      <c r="V823" s="316"/>
      <c r="W823" s="316"/>
      <c r="X823" s="316"/>
      <c r="Y823" s="317"/>
      <c r="Z823" s="318"/>
      <c r="AA823" s="318"/>
      <c r="AB823" s="318"/>
      <c r="AC823" s="318"/>
      <c r="AD823" s="318"/>
      <c r="AE823" s="318"/>
      <c r="AF823" s="318"/>
      <c r="AG823" s="318"/>
      <c r="AH823" s="318"/>
      <c r="AI823" s="318"/>
    </row>
    <row r="824">
      <c r="A824" s="310"/>
      <c r="B824" s="311"/>
      <c r="C824" s="311"/>
      <c r="D824" s="312"/>
      <c r="P824" s="313"/>
      <c r="Q824" s="313"/>
      <c r="R824" s="314"/>
      <c r="S824" s="315"/>
      <c r="T824" s="316"/>
      <c r="U824" s="316"/>
      <c r="V824" s="316"/>
      <c r="W824" s="316"/>
      <c r="X824" s="316"/>
      <c r="Y824" s="317"/>
      <c r="Z824" s="318"/>
      <c r="AA824" s="318"/>
      <c r="AB824" s="318"/>
      <c r="AC824" s="318"/>
      <c r="AD824" s="318"/>
      <c r="AE824" s="318"/>
      <c r="AF824" s="318"/>
      <c r="AG824" s="318"/>
      <c r="AH824" s="318"/>
      <c r="AI824" s="318"/>
    </row>
    <row r="825">
      <c r="A825" s="310"/>
      <c r="B825" s="311"/>
      <c r="C825" s="311"/>
      <c r="D825" s="312"/>
      <c r="P825" s="313"/>
      <c r="Q825" s="313"/>
      <c r="R825" s="314"/>
      <c r="S825" s="315"/>
      <c r="T825" s="316"/>
      <c r="U825" s="316"/>
      <c r="V825" s="316"/>
      <c r="W825" s="316"/>
      <c r="X825" s="316"/>
      <c r="Y825" s="317"/>
      <c r="Z825" s="318"/>
      <c r="AA825" s="318"/>
      <c r="AB825" s="318"/>
      <c r="AC825" s="318"/>
      <c r="AD825" s="318"/>
      <c r="AE825" s="318"/>
      <c r="AF825" s="318"/>
      <c r="AG825" s="318"/>
      <c r="AH825" s="318"/>
      <c r="AI825" s="318"/>
    </row>
    <row r="826">
      <c r="A826" s="310"/>
      <c r="B826" s="311"/>
      <c r="C826" s="311"/>
      <c r="D826" s="312"/>
      <c r="P826" s="313"/>
      <c r="Q826" s="313"/>
      <c r="R826" s="314"/>
      <c r="S826" s="315"/>
      <c r="T826" s="316"/>
      <c r="U826" s="316"/>
      <c r="V826" s="316"/>
      <c r="W826" s="316"/>
      <c r="X826" s="316"/>
      <c r="Y826" s="317"/>
      <c r="Z826" s="318"/>
      <c r="AA826" s="318"/>
      <c r="AB826" s="318"/>
      <c r="AC826" s="318"/>
      <c r="AD826" s="318"/>
      <c r="AE826" s="318"/>
      <c r="AF826" s="318"/>
      <c r="AG826" s="318"/>
      <c r="AH826" s="318"/>
      <c r="AI826" s="318"/>
    </row>
    <row r="827">
      <c r="A827" s="310"/>
      <c r="B827" s="311"/>
      <c r="C827" s="311"/>
      <c r="D827" s="312"/>
      <c r="P827" s="313"/>
      <c r="Q827" s="313"/>
      <c r="R827" s="314"/>
      <c r="S827" s="315"/>
      <c r="T827" s="316"/>
      <c r="U827" s="316"/>
      <c r="V827" s="316"/>
      <c r="W827" s="316"/>
      <c r="X827" s="316"/>
      <c r="Y827" s="317"/>
      <c r="Z827" s="318"/>
      <c r="AA827" s="318"/>
      <c r="AB827" s="318"/>
      <c r="AC827" s="318"/>
      <c r="AD827" s="318"/>
      <c r="AE827" s="318"/>
      <c r="AF827" s="318"/>
      <c r="AG827" s="318"/>
      <c r="AH827" s="318"/>
      <c r="AI827" s="318"/>
    </row>
    <row r="828">
      <c r="A828" s="310"/>
      <c r="B828" s="311"/>
      <c r="C828" s="311"/>
      <c r="D828" s="312"/>
      <c r="P828" s="313"/>
      <c r="Q828" s="313"/>
      <c r="R828" s="314"/>
      <c r="S828" s="315"/>
      <c r="T828" s="316"/>
      <c r="U828" s="316"/>
      <c r="V828" s="316"/>
      <c r="W828" s="316"/>
      <c r="X828" s="316"/>
      <c r="Y828" s="317"/>
      <c r="Z828" s="318"/>
      <c r="AA828" s="318"/>
      <c r="AB828" s="318"/>
      <c r="AC828" s="318"/>
      <c r="AD828" s="318"/>
      <c r="AE828" s="318"/>
      <c r="AF828" s="318"/>
      <c r="AG828" s="318"/>
      <c r="AH828" s="318"/>
      <c r="AI828" s="318"/>
    </row>
    <row r="829">
      <c r="A829" s="310"/>
      <c r="B829" s="311"/>
      <c r="C829" s="311"/>
      <c r="D829" s="312"/>
      <c r="P829" s="313"/>
      <c r="Q829" s="313"/>
      <c r="R829" s="314"/>
      <c r="S829" s="315"/>
      <c r="T829" s="316"/>
      <c r="U829" s="316"/>
      <c r="V829" s="316"/>
      <c r="W829" s="316"/>
      <c r="X829" s="316"/>
      <c r="Y829" s="317"/>
      <c r="Z829" s="318"/>
      <c r="AA829" s="318"/>
      <c r="AB829" s="318"/>
      <c r="AC829" s="318"/>
      <c r="AD829" s="318"/>
      <c r="AE829" s="318"/>
      <c r="AF829" s="318"/>
      <c r="AG829" s="318"/>
      <c r="AH829" s="318"/>
      <c r="AI829" s="318"/>
    </row>
    <row r="830">
      <c r="A830" s="310"/>
      <c r="B830" s="311"/>
      <c r="C830" s="311"/>
      <c r="D830" s="312"/>
      <c r="P830" s="313"/>
      <c r="Q830" s="313"/>
      <c r="R830" s="314"/>
      <c r="S830" s="315"/>
      <c r="T830" s="316"/>
      <c r="U830" s="316"/>
      <c r="V830" s="316"/>
      <c r="W830" s="316"/>
      <c r="X830" s="316"/>
      <c r="Y830" s="317"/>
      <c r="Z830" s="318"/>
      <c r="AA830" s="318"/>
      <c r="AB830" s="318"/>
      <c r="AC830" s="318"/>
      <c r="AD830" s="318"/>
      <c r="AE830" s="318"/>
      <c r="AF830" s="318"/>
      <c r="AG830" s="318"/>
      <c r="AH830" s="318"/>
      <c r="AI830" s="318"/>
    </row>
    <row r="831">
      <c r="A831" s="310"/>
      <c r="B831" s="311"/>
      <c r="C831" s="311"/>
      <c r="D831" s="312"/>
      <c r="P831" s="313"/>
      <c r="Q831" s="313"/>
      <c r="R831" s="314"/>
      <c r="S831" s="315"/>
      <c r="T831" s="316"/>
      <c r="U831" s="316"/>
      <c r="V831" s="316"/>
      <c r="W831" s="316"/>
      <c r="X831" s="316"/>
      <c r="Y831" s="317"/>
      <c r="Z831" s="318"/>
      <c r="AA831" s="318"/>
      <c r="AB831" s="318"/>
      <c r="AC831" s="318"/>
      <c r="AD831" s="318"/>
      <c r="AE831" s="318"/>
      <c r="AF831" s="318"/>
      <c r="AG831" s="318"/>
      <c r="AH831" s="318"/>
      <c r="AI831" s="318"/>
    </row>
    <row r="832">
      <c r="A832" s="310"/>
      <c r="B832" s="311"/>
      <c r="C832" s="311"/>
      <c r="D832" s="312"/>
      <c r="P832" s="313"/>
      <c r="Q832" s="313"/>
      <c r="R832" s="314"/>
      <c r="S832" s="315"/>
      <c r="T832" s="316"/>
      <c r="U832" s="316"/>
      <c r="V832" s="316"/>
      <c r="W832" s="316"/>
      <c r="X832" s="316"/>
      <c r="Y832" s="317"/>
      <c r="Z832" s="318"/>
      <c r="AA832" s="318"/>
      <c r="AB832" s="318"/>
      <c r="AC832" s="318"/>
      <c r="AD832" s="318"/>
      <c r="AE832" s="318"/>
      <c r="AF832" s="318"/>
      <c r="AG832" s="318"/>
      <c r="AH832" s="318"/>
      <c r="AI832" s="318"/>
    </row>
    <row r="833">
      <c r="A833" s="310"/>
      <c r="B833" s="311"/>
      <c r="C833" s="311"/>
      <c r="D833" s="312"/>
      <c r="P833" s="313"/>
      <c r="Q833" s="313"/>
      <c r="R833" s="314"/>
      <c r="S833" s="315"/>
      <c r="T833" s="316"/>
      <c r="U833" s="316"/>
      <c r="V833" s="316"/>
      <c r="W833" s="316"/>
      <c r="X833" s="316"/>
      <c r="Y833" s="317"/>
      <c r="Z833" s="318"/>
      <c r="AA833" s="318"/>
      <c r="AB833" s="318"/>
      <c r="AC833" s="318"/>
      <c r="AD833" s="318"/>
      <c r="AE833" s="318"/>
      <c r="AF833" s="318"/>
      <c r="AG833" s="318"/>
      <c r="AH833" s="318"/>
      <c r="AI833" s="318"/>
    </row>
    <row r="834">
      <c r="A834" s="310"/>
      <c r="B834" s="311"/>
      <c r="C834" s="311"/>
      <c r="D834" s="312"/>
      <c r="P834" s="313"/>
      <c r="Q834" s="313"/>
      <c r="R834" s="314"/>
      <c r="S834" s="315"/>
      <c r="T834" s="316"/>
      <c r="U834" s="316"/>
      <c r="V834" s="316"/>
      <c r="W834" s="316"/>
      <c r="X834" s="316"/>
      <c r="Y834" s="317"/>
      <c r="Z834" s="318"/>
      <c r="AA834" s="318"/>
      <c r="AB834" s="318"/>
      <c r="AC834" s="318"/>
      <c r="AD834" s="318"/>
      <c r="AE834" s="318"/>
      <c r="AF834" s="318"/>
      <c r="AG834" s="318"/>
      <c r="AH834" s="318"/>
      <c r="AI834" s="318"/>
    </row>
    <row r="835">
      <c r="A835" s="310"/>
      <c r="B835" s="311"/>
      <c r="C835" s="311"/>
      <c r="D835" s="312"/>
      <c r="P835" s="313"/>
      <c r="Q835" s="313"/>
      <c r="R835" s="314"/>
      <c r="S835" s="315"/>
      <c r="T835" s="316"/>
      <c r="U835" s="316"/>
      <c r="V835" s="316"/>
      <c r="W835" s="316"/>
      <c r="X835" s="316"/>
      <c r="Y835" s="317"/>
      <c r="Z835" s="318"/>
      <c r="AA835" s="318"/>
      <c r="AB835" s="318"/>
      <c r="AC835" s="318"/>
      <c r="AD835" s="318"/>
      <c r="AE835" s="318"/>
      <c r="AF835" s="318"/>
      <c r="AG835" s="318"/>
      <c r="AH835" s="318"/>
      <c r="AI835" s="318"/>
    </row>
    <row r="836">
      <c r="A836" s="310"/>
      <c r="B836" s="311"/>
      <c r="C836" s="311"/>
      <c r="D836" s="312"/>
      <c r="P836" s="313"/>
      <c r="Q836" s="313"/>
      <c r="R836" s="314"/>
      <c r="S836" s="315"/>
      <c r="T836" s="316"/>
      <c r="U836" s="316"/>
      <c r="V836" s="316"/>
      <c r="W836" s="316"/>
      <c r="X836" s="316"/>
      <c r="Y836" s="317"/>
      <c r="Z836" s="318"/>
      <c r="AA836" s="318"/>
      <c r="AB836" s="318"/>
      <c r="AC836" s="318"/>
      <c r="AD836" s="318"/>
      <c r="AE836" s="318"/>
      <c r="AF836" s="318"/>
      <c r="AG836" s="318"/>
      <c r="AH836" s="318"/>
      <c r="AI836" s="318"/>
    </row>
    <row r="837">
      <c r="A837" s="310"/>
      <c r="B837" s="311"/>
      <c r="C837" s="311"/>
      <c r="D837" s="312"/>
      <c r="P837" s="313"/>
      <c r="Q837" s="313"/>
      <c r="R837" s="314"/>
      <c r="S837" s="315"/>
      <c r="T837" s="316"/>
      <c r="U837" s="316"/>
      <c r="V837" s="316"/>
      <c r="W837" s="316"/>
      <c r="X837" s="316"/>
      <c r="Y837" s="317"/>
      <c r="Z837" s="318"/>
      <c r="AA837" s="318"/>
      <c r="AB837" s="318"/>
      <c r="AC837" s="318"/>
      <c r="AD837" s="318"/>
      <c r="AE837" s="318"/>
      <c r="AF837" s="318"/>
      <c r="AG837" s="318"/>
      <c r="AH837" s="318"/>
      <c r="AI837" s="318"/>
    </row>
    <row r="838">
      <c r="A838" s="310"/>
      <c r="B838" s="311"/>
      <c r="C838" s="311"/>
      <c r="D838" s="312"/>
      <c r="P838" s="313"/>
      <c r="Q838" s="313"/>
      <c r="R838" s="314"/>
      <c r="S838" s="315"/>
      <c r="T838" s="316"/>
      <c r="U838" s="316"/>
      <c r="V838" s="316"/>
      <c r="W838" s="316"/>
      <c r="X838" s="316"/>
      <c r="Y838" s="317"/>
      <c r="Z838" s="318"/>
      <c r="AA838" s="318"/>
      <c r="AB838" s="318"/>
      <c r="AC838" s="318"/>
      <c r="AD838" s="318"/>
      <c r="AE838" s="318"/>
      <c r="AF838" s="318"/>
      <c r="AG838" s="318"/>
      <c r="AH838" s="318"/>
      <c r="AI838" s="318"/>
    </row>
    <row r="839">
      <c r="A839" s="310"/>
      <c r="B839" s="311"/>
      <c r="C839" s="311"/>
      <c r="D839" s="312"/>
      <c r="P839" s="313"/>
      <c r="Q839" s="313"/>
      <c r="R839" s="314"/>
      <c r="S839" s="315"/>
      <c r="T839" s="316"/>
      <c r="U839" s="316"/>
      <c r="V839" s="316"/>
      <c r="W839" s="316"/>
      <c r="X839" s="316"/>
      <c r="Y839" s="317"/>
      <c r="Z839" s="318"/>
      <c r="AA839" s="318"/>
      <c r="AB839" s="318"/>
      <c r="AC839" s="318"/>
      <c r="AD839" s="318"/>
      <c r="AE839" s="318"/>
      <c r="AF839" s="318"/>
      <c r="AG839" s="318"/>
      <c r="AH839" s="318"/>
      <c r="AI839" s="318"/>
    </row>
    <row r="840">
      <c r="A840" s="310"/>
      <c r="B840" s="311"/>
      <c r="C840" s="311"/>
      <c r="D840" s="312"/>
      <c r="P840" s="313"/>
      <c r="Q840" s="313"/>
      <c r="R840" s="314"/>
      <c r="S840" s="315"/>
      <c r="T840" s="316"/>
      <c r="U840" s="316"/>
      <c r="V840" s="316"/>
      <c r="W840" s="316"/>
      <c r="X840" s="316"/>
      <c r="Y840" s="317"/>
      <c r="Z840" s="318"/>
      <c r="AA840" s="318"/>
      <c r="AB840" s="318"/>
      <c r="AC840" s="318"/>
      <c r="AD840" s="318"/>
      <c r="AE840" s="318"/>
      <c r="AF840" s="318"/>
      <c r="AG840" s="318"/>
      <c r="AH840" s="318"/>
      <c r="AI840" s="318"/>
    </row>
    <row r="841">
      <c r="A841" s="310"/>
      <c r="B841" s="311"/>
      <c r="C841" s="311"/>
      <c r="D841" s="312"/>
      <c r="P841" s="313"/>
      <c r="Q841" s="313"/>
      <c r="R841" s="314"/>
      <c r="S841" s="315"/>
      <c r="T841" s="316"/>
      <c r="U841" s="316"/>
      <c r="V841" s="316"/>
      <c r="W841" s="316"/>
      <c r="X841" s="316"/>
      <c r="Y841" s="317"/>
      <c r="Z841" s="318"/>
      <c r="AA841" s="318"/>
      <c r="AB841" s="318"/>
      <c r="AC841" s="318"/>
      <c r="AD841" s="318"/>
      <c r="AE841" s="318"/>
      <c r="AF841" s="318"/>
      <c r="AG841" s="318"/>
      <c r="AH841" s="318"/>
      <c r="AI841" s="318"/>
    </row>
    <row r="842">
      <c r="A842" s="310"/>
      <c r="B842" s="311"/>
      <c r="C842" s="311"/>
      <c r="D842" s="312"/>
      <c r="P842" s="313"/>
      <c r="Q842" s="313"/>
      <c r="R842" s="314"/>
      <c r="S842" s="315"/>
      <c r="T842" s="316"/>
      <c r="U842" s="316"/>
      <c r="V842" s="316"/>
      <c r="W842" s="316"/>
      <c r="X842" s="316"/>
      <c r="Y842" s="317"/>
      <c r="Z842" s="318"/>
      <c r="AA842" s="318"/>
      <c r="AB842" s="318"/>
      <c r="AC842" s="318"/>
      <c r="AD842" s="318"/>
      <c r="AE842" s="318"/>
      <c r="AF842" s="318"/>
      <c r="AG842" s="318"/>
      <c r="AH842" s="318"/>
      <c r="AI842" s="318"/>
    </row>
    <row r="843">
      <c r="A843" s="310"/>
      <c r="B843" s="311"/>
      <c r="C843" s="311"/>
      <c r="D843" s="312"/>
      <c r="P843" s="313"/>
      <c r="Q843" s="313"/>
      <c r="R843" s="314"/>
      <c r="S843" s="315"/>
      <c r="T843" s="316"/>
      <c r="U843" s="316"/>
      <c r="V843" s="316"/>
      <c r="W843" s="316"/>
      <c r="X843" s="316"/>
      <c r="Y843" s="317"/>
      <c r="Z843" s="318"/>
      <c r="AA843" s="318"/>
      <c r="AB843" s="318"/>
      <c r="AC843" s="318"/>
      <c r="AD843" s="318"/>
      <c r="AE843" s="318"/>
      <c r="AF843" s="318"/>
      <c r="AG843" s="318"/>
      <c r="AH843" s="318"/>
      <c r="AI843" s="318"/>
    </row>
    <row r="844">
      <c r="A844" s="310"/>
      <c r="B844" s="311"/>
      <c r="C844" s="311"/>
      <c r="D844" s="312"/>
      <c r="P844" s="313"/>
      <c r="Q844" s="313"/>
      <c r="R844" s="314"/>
      <c r="S844" s="315"/>
      <c r="T844" s="316"/>
      <c r="U844" s="316"/>
      <c r="V844" s="316"/>
      <c r="W844" s="316"/>
      <c r="X844" s="316"/>
      <c r="Y844" s="317"/>
      <c r="Z844" s="318"/>
      <c r="AA844" s="318"/>
      <c r="AB844" s="318"/>
      <c r="AC844" s="318"/>
      <c r="AD844" s="318"/>
      <c r="AE844" s="318"/>
      <c r="AF844" s="318"/>
      <c r="AG844" s="318"/>
      <c r="AH844" s="318"/>
      <c r="AI844" s="318"/>
    </row>
    <row r="845">
      <c r="A845" s="310"/>
      <c r="B845" s="311"/>
      <c r="C845" s="311"/>
      <c r="D845" s="312"/>
      <c r="P845" s="313"/>
      <c r="Q845" s="313"/>
      <c r="R845" s="314"/>
      <c r="S845" s="315"/>
      <c r="T845" s="316"/>
      <c r="U845" s="316"/>
      <c r="V845" s="316"/>
      <c r="W845" s="316"/>
      <c r="X845" s="316"/>
      <c r="Y845" s="317"/>
      <c r="Z845" s="318"/>
      <c r="AA845" s="318"/>
      <c r="AB845" s="318"/>
      <c r="AC845" s="318"/>
      <c r="AD845" s="318"/>
      <c r="AE845" s="318"/>
      <c r="AF845" s="318"/>
      <c r="AG845" s="318"/>
      <c r="AH845" s="318"/>
      <c r="AI845" s="318"/>
    </row>
    <row r="846">
      <c r="A846" s="310"/>
      <c r="B846" s="311"/>
      <c r="C846" s="311"/>
      <c r="D846" s="312"/>
      <c r="P846" s="313"/>
      <c r="Q846" s="313"/>
      <c r="R846" s="314"/>
      <c r="S846" s="315"/>
      <c r="T846" s="316"/>
      <c r="U846" s="316"/>
      <c r="V846" s="316"/>
      <c r="W846" s="316"/>
      <c r="X846" s="316"/>
      <c r="Y846" s="317"/>
      <c r="Z846" s="318"/>
      <c r="AA846" s="318"/>
      <c r="AB846" s="318"/>
      <c r="AC846" s="318"/>
      <c r="AD846" s="318"/>
      <c r="AE846" s="318"/>
      <c r="AF846" s="318"/>
      <c r="AG846" s="318"/>
      <c r="AH846" s="318"/>
      <c r="AI846" s="318"/>
    </row>
    <row r="847">
      <c r="A847" s="310"/>
      <c r="B847" s="311"/>
      <c r="C847" s="311"/>
      <c r="D847" s="312"/>
      <c r="P847" s="313"/>
      <c r="Q847" s="313"/>
      <c r="R847" s="314"/>
      <c r="S847" s="315"/>
      <c r="T847" s="316"/>
      <c r="U847" s="316"/>
      <c r="V847" s="316"/>
      <c r="W847" s="316"/>
      <c r="X847" s="316"/>
      <c r="Y847" s="317"/>
      <c r="Z847" s="318"/>
      <c r="AA847" s="318"/>
      <c r="AB847" s="318"/>
      <c r="AC847" s="318"/>
      <c r="AD847" s="318"/>
      <c r="AE847" s="318"/>
      <c r="AF847" s="318"/>
      <c r="AG847" s="318"/>
      <c r="AH847" s="318"/>
      <c r="AI847" s="318"/>
    </row>
    <row r="848">
      <c r="A848" s="310"/>
      <c r="B848" s="311"/>
      <c r="C848" s="311"/>
      <c r="D848" s="312"/>
      <c r="P848" s="313"/>
      <c r="Q848" s="313"/>
      <c r="R848" s="314"/>
      <c r="S848" s="315"/>
      <c r="T848" s="316"/>
      <c r="U848" s="316"/>
      <c r="V848" s="316"/>
      <c r="W848" s="316"/>
      <c r="X848" s="316"/>
      <c r="Y848" s="317"/>
      <c r="Z848" s="318"/>
      <c r="AA848" s="318"/>
      <c r="AB848" s="318"/>
      <c r="AC848" s="318"/>
      <c r="AD848" s="318"/>
      <c r="AE848" s="318"/>
      <c r="AF848" s="318"/>
      <c r="AG848" s="318"/>
      <c r="AH848" s="318"/>
      <c r="AI848" s="318"/>
    </row>
    <row r="849">
      <c r="A849" s="310"/>
      <c r="B849" s="311"/>
      <c r="C849" s="311"/>
      <c r="D849" s="312"/>
      <c r="P849" s="313"/>
      <c r="Q849" s="313"/>
      <c r="R849" s="314"/>
      <c r="S849" s="315"/>
      <c r="T849" s="316"/>
      <c r="U849" s="316"/>
      <c r="V849" s="316"/>
      <c r="W849" s="316"/>
      <c r="X849" s="316"/>
      <c r="Y849" s="317"/>
      <c r="Z849" s="318"/>
      <c r="AA849" s="318"/>
      <c r="AB849" s="318"/>
      <c r="AC849" s="318"/>
      <c r="AD849" s="318"/>
      <c r="AE849" s="318"/>
      <c r="AF849" s="318"/>
      <c r="AG849" s="318"/>
      <c r="AH849" s="318"/>
      <c r="AI849" s="318"/>
    </row>
    <row r="850">
      <c r="A850" s="310"/>
      <c r="B850" s="311"/>
      <c r="C850" s="311"/>
      <c r="D850" s="312"/>
      <c r="P850" s="313"/>
      <c r="Q850" s="313"/>
      <c r="R850" s="314"/>
      <c r="S850" s="315"/>
      <c r="T850" s="316"/>
      <c r="U850" s="316"/>
      <c r="V850" s="316"/>
      <c r="W850" s="316"/>
      <c r="X850" s="316"/>
      <c r="Y850" s="317"/>
      <c r="Z850" s="318"/>
      <c r="AA850" s="318"/>
      <c r="AB850" s="318"/>
      <c r="AC850" s="318"/>
      <c r="AD850" s="318"/>
      <c r="AE850" s="318"/>
      <c r="AF850" s="318"/>
      <c r="AG850" s="318"/>
      <c r="AH850" s="318"/>
      <c r="AI850" s="318"/>
    </row>
    <row r="851">
      <c r="A851" s="310"/>
      <c r="B851" s="311"/>
      <c r="C851" s="311"/>
      <c r="D851" s="312"/>
      <c r="P851" s="313"/>
      <c r="Q851" s="313"/>
      <c r="R851" s="314"/>
      <c r="S851" s="315"/>
      <c r="T851" s="316"/>
      <c r="U851" s="316"/>
      <c r="V851" s="316"/>
      <c r="W851" s="316"/>
      <c r="X851" s="316"/>
      <c r="Y851" s="317"/>
      <c r="Z851" s="318"/>
      <c r="AA851" s="318"/>
      <c r="AB851" s="318"/>
      <c r="AC851" s="318"/>
      <c r="AD851" s="318"/>
      <c r="AE851" s="318"/>
      <c r="AF851" s="318"/>
      <c r="AG851" s="318"/>
      <c r="AH851" s="318"/>
      <c r="AI851" s="318"/>
    </row>
    <row r="852">
      <c r="A852" s="310"/>
      <c r="B852" s="311"/>
      <c r="C852" s="311"/>
      <c r="D852" s="312"/>
      <c r="P852" s="313"/>
      <c r="Q852" s="313"/>
      <c r="R852" s="314"/>
      <c r="S852" s="315"/>
      <c r="T852" s="316"/>
      <c r="U852" s="316"/>
      <c r="V852" s="316"/>
      <c r="W852" s="316"/>
      <c r="X852" s="316"/>
      <c r="Y852" s="317"/>
      <c r="Z852" s="318"/>
      <c r="AA852" s="318"/>
      <c r="AB852" s="318"/>
      <c r="AC852" s="318"/>
      <c r="AD852" s="318"/>
      <c r="AE852" s="318"/>
      <c r="AF852" s="318"/>
      <c r="AG852" s="318"/>
      <c r="AH852" s="318"/>
      <c r="AI852" s="318"/>
    </row>
    <row r="853">
      <c r="A853" s="310"/>
      <c r="B853" s="311"/>
      <c r="C853" s="311"/>
      <c r="D853" s="312"/>
      <c r="P853" s="313"/>
      <c r="Q853" s="313"/>
      <c r="R853" s="314"/>
      <c r="S853" s="315"/>
      <c r="T853" s="316"/>
      <c r="U853" s="316"/>
      <c r="V853" s="316"/>
      <c r="W853" s="316"/>
      <c r="X853" s="316"/>
      <c r="Y853" s="317"/>
      <c r="Z853" s="318"/>
      <c r="AA853" s="318"/>
      <c r="AB853" s="318"/>
      <c r="AC853" s="318"/>
      <c r="AD853" s="318"/>
      <c r="AE853" s="318"/>
      <c r="AF853" s="318"/>
      <c r="AG853" s="318"/>
      <c r="AH853" s="318"/>
      <c r="AI853" s="318"/>
    </row>
    <row r="854">
      <c r="A854" s="310"/>
      <c r="B854" s="311"/>
      <c r="C854" s="311"/>
      <c r="D854" s="312"/>
      <c r="P854" s="313"/>
      <c r="Q854" s="313"/>
      <c r="R854" s="314"/>
      <c r="S854" s="315"/>
      <c r="T854" s="316"/>
      <c r="U854" s="316"/>
      <c r="V854" s="316"/>
      <c r="W854" s="316"/>
      <c r="X854" s="316"/>
      <c r="Y854" s="317"/>
      <c r="Z854" s="318"/>
      <c r="AA854" s="318"/>
      <c r="AB854" s="318"/>
      <c r="AC854" s="318"/>
      <c r="AD854" s="318"/>
      <c r="AE854" s="318"/>
      <c r="AF854" s="318"/>
      <c r="AG854" s="318"/>
      <c r="AH854" s="318"/>
      <c r="AI854" s="318"/>
    </row>
    <row r="855">
      <c r="A855" s="310"/>
      <c r="B855" s="311"/>
      <c r="C855" s="311"/>
      <c r="D855" s="312"/>
      <c r="P855" s="313"/>
      <c r="Q855" s="313"/>
      <c r="R855" s="314"/>
      <c r="S855" s="315"/>
      <c r="T855" s="316"/>
      <c r="U855" s="316"/>
      <c r="V855" s="316"/>
      <c r="W855" s="316"/>
      <c r="X855" s="316"/>
      <c r="Y855" s="317"/>
      <c r="Z855" s="318"/>
      <c r="AA855" s="318"/>
      <c r="AB855" s="318"/>
      <c r="AC855" s="318"/>
      <c r="AD855" s="318"/>
      <c r="AE855" s="318"/>
      <c r="AF855" s="318"/>
      <c r="AG855" s="318"/>
      <c r="AH855" s="318"/>
      <c r="AI855" s="318"/>
    </row>
    <row r="856">
      <c r="A856" s="310"/>
      <c r="B856" s="311"/>
      <c r="C856" s="311"/>
      <c r="D856" s="312"/>
      <c r="P856" s="313"/>
      <c r="Q856" s="313"/>
      <c r="R856" s="314"/>
      <c r="S856" s="315"/>
      <c r="T856" s="316"/>
      <c r="U856" s="316"/>
      <c r="V856" s="316"/>
      <c r="W856" s="316"/>
      <c r="X856" s="316"/>
      <c r="Y856" s="317"/>
      <c r="Z856" s="318"/>
      <c r="AA856" s="318"/>
      <c r="AB856" s="318"/>
      <c r="AC856" s="318"/>
      <c r="AD856" s="318"/>
      <c r="AE856" s="318"/>
      <c r="AF856" s="318"/>
      <c r="AG856" s="318"/>
      <c r="AH856" s="318"/>
      <c r="AI856" s="318"/>
    </row>
    <row r="857">
      <c r="A857" s="310"/>
      <c r="B857" s="311"/>
      <c r="C857" s="311"/>
      <c r="D857" s="312"/>
      <c r="P857" s="313"/>
      <c r="Q857" s="313"/>
      <c r="R857" s="314"/>
      <c r="S857" s="315"/>
      <c r="T857" s="316"/>
      <c r="U857" s="316"/>
      <c r="V857" s="316"/>
      <c r="W857" s="316"/>
      <c r="X857" s="316"/>
      <c r="Y857" s="317"/>
      <c r="Z857" s="318"/>
      <c r="AA857" s="318"/>
      <c r="AB857" s="318"/>
      <c r="AC857" s="318"/>
      <c r="AD857" s="318"/>
      <c r="AE857" s="318"/>
      <c r="AF857" s="318"/>
      <c r="AG857" s="318"/>
      <c r="AH857" s="318"/>
      <c r="AI857" s="318"/>
    </row>
    <row r="858">
      <c r="A858" s="310"/>
      <c r="B858" s="311"/>
      <c r="C858" s="311"/>
      <c r="D858" s="312"/>
      <c r="P858" s="313"/>
      <c r="Q858" s="313"/>
      <c r="R858" s="314"/>
      <c r="S858" s="315"/>
      <c r="T858" s="316"/>
      <c r="U858" s="316"/>
      <c r="V858" s="316"/>
      <c r="W858" s="316"/>
      <c r="X858" s="316"/>
      <c r="Y858" s="317"/>
      <c r="Z858" s="318"/>
      <c r="AA858" s="318"/>
      <c r="AB858" s="318"/>
      <c r="AC858" s="318"/>
      <c r="AD858" s="318"/>
      <c r="AE858" s="318"/>
      <c r="AF858" s="318"/>
      <c r="AG858" s="318"/>
      <c r="AH858" s="318"/>
      <c r="AI858" s="318"/>
    </row>
    <row r="859">
      <c r="A859" s="310"/>
      <c r="B859" s="311"/>
      <c r="C859" s="311"/>
      <c r="D859" s="312"/>
      <c r="P859" s="313"/>
      <c r="Q859" s="313"/>
      <c r="R859" s="314"/>
      <c r="S859" s="315"/>
      <c r="T859" s="316"/>
      <c r="U859" s="316"/>
      <c r="V859" s="316"/>
      <c r="W859" s="316"/>
      <c r="X859" s="316"/>
      <c r="Y859" s="317"/>
      <c r="Z859" s="318"/>
      <c r="AA859" s="318"/>
      <c r="AB859" s="318"/>
      <c r="AC859" s="318"/>
      <c r="AD859" s="318"/>
      <c r="AE859" s="318"/>
      <c r="AF859" s="318"/>
      <c r="AG859" s="318"/>
      <c r="AH859" s="318"/>
      <c r="AI859" s="318"/>
    </row>
  </sheetData>
  <mergeCells>
    <mergeCell ref="A499:A521"/>
    <mergeCell ref="B504:C504"/>
    <mergeCell ref="B509:C509"/>
    <mergeCell ref="B514:C514"/>
    <mergeCell ref="B520:C520"/>
    <mergeCell ref="B521:C521"/>
    <mergeCell ref="A355:A377"/>
    <mergeCell ref="B360:C360"/>
    <mergeCell ref="B365:C365"/>
    <mergeCell ref="B370:C370"/>
    <mergeCell ref="B376:C376"/>
    <mergeCell ref="B377:C377"/>
    <mergeCell ref="B162:C162"/>
    <mergeCell ref="B177:C177"/>
    <mergeCell ref="B176:C176"/>
    <mergeCell ref="B171:C171"/>
    <mergeCell ref="B166:C166"/>
    <mergeCell ref="A156:A177"/>
    <mergeCell ref="B154:C154"/>
    <mergeCell ref="B153:C153"/>
    <mergeCell ref="B148:C148"/>
    <mergeCell ref="B143:C143"/>
    <mergeCell ref="B138:C138"/>
    <mergeCell ref="A134:A154"/>
    <mergeCell ref="B132:C132"/>
    <mergeCell ref="B131:C131"/>
    <mergeCell ref="B126:C126"/>
    <mergeCell ref="B121:C121"/>
    <mergeCell ref="B116:C116"/>
    <mergeCell ref="A112:A132"/>
    <mergeCell ref="B110:C110"/>
    <mergeCell ref="B109:C109"/>
    <mergeCell ref="B104:C104"/>
    <mergeCell ref="B99:C99"/>
    <mergeCell ref="B94:C94"/>
    <mergeCell ref="A90:A110"/>
    <mergeCell ref="A68:A88"/>
    <mergeCell ref="B72:C72"/>
    <mergeCell ref="B77:C77"/>
    <mergeCell ref="B82:C82"/>
    <mergeCell ref="B87:C87"/>
    <mergeCell ref="B88:C88"/>
    <mergeCell ref="A46:A66"/>
    <mergeCell ref="B50:C50"/>
    <mergeCell ref="B55:C55"/>
    <mergeCell ref="B60:C60"/>
    <mergeCell ref="B65:C65"/>
    <mergeCell ref="B66:C66"/>
    <mergeCell ref="A24:A44"/>
    <mergeCell ref="B28:C28"/>
    <mergeCell ref="B33:C33"/>
    <mergeCell ref="B38:C38"/>
    <mergeCell ref="B43:C43"/>
    <mergeCell ref="B44:C44"/>
    <mergeCell ref="A2:A22"/>
    <mergeCell ref="B6:C6"/>
    <mergeCell ref="B11:C11"/>
    <mergeCell ref="B16:C16"/>
    <mergeCell ref="B21:C21"/>
    <mergeCell ref="B22:C22"/>
    <mergeCell ref="A179:A199"/>
    <mergeCell ref="B183:C183"/>
    <mergeCell ref="B188:C188"/>
    <mergeCell ref="B193:C193"/>
    <mergeCell ref="B198:C198"/>
    <mergeCell ref="B199:C199"/>
    <mergeCell ref="A201:A221"/>
    <mergeCell ref="B205:C205"/>
    <mergeCell ref="B210:C210"/>
    <mergeCell ref="B215:C215"/>
    <mergeCell ref="B220:C220"/>
    <mergeCell ref="B221:C221"/>
    <mergeCell ref="B227:C227"/>
    <mergeCell ref="B232:C232"/>
    <mergeCell ref="B248:C248"/>
    <mergeCell ref="B247:C247"/>
    <mergeCell ref="B242:C242"/>
    <mergeCell ref="A223:A248"/>
    <mergeCell ref="B237:C237"/>
    <mergeCell ref="A250:A275"/>
    <mergeCell ref="B254:C254"/>
    <mergeCell ref="B259:C259"/>
    <mergeCell ref="B264:C264"/>
    <mergeCell ref="B269:C269"/>
    <mergeCell ref="B274:C274"/>
    <mergeCell ref="B275:C275"/>
    <mergeCell ref="A277:A302"/>
    <mergeCell ref="B281:C281"/>
    <mergeCell ref="B286:C286"/>
    <mergeCell ref="B291:C291"/>
    <mergeCell ref="B296:C296"/>
    <mergeCell ref="B301:C301"/>
    <mergeCell ref="B302:C302"/>
    <mergeCell ref="A304:A329"/>
    <mergeCell ref="B308:C308"/>
    <mergeCell ref="B313:C313"/>
    <mergeCell ref="B318:C318"/>
    <mergeCell ref="B323:C323"/>
    <mergeCell ref="B328:C328"/>
    <mergeCell ref="B329:C329"/>
    <mergeCell ref="B335:C335"/>
    <mergeCell ref="B340:C340"/>
    <mergeCell ref="B346:C346"/>
    <mergeCell ref="A331:A353"/>
    <mergeCell ref="B352:C352"/>
    <mergeCell ref="B353:C353"/>
    <mergeCell ref="A379:A401"/>
    <mergeCell ref="B384:C384"/>
    <mergeCell ref="B389:C389"/>
    <mergeCell ref="B394:C394"/>
    <mergeCell ref="B400:C400"/>
    <mergeCell ref="B401:C401"/>
    <mergeCell ref="A403:A425"/>
    <mergeCell ref="B408:C408"/>
    <mergeCell ref="B413:C413"/>
    <mergeCell ref="B418:C418"/>
    <mergeCell ref="B424:C424"/>
    <mergeCell ref="B425:C425"/>
    <mergeCell ref="A427:A449"/>
    <mergeCell ref="B432:C432"/>
    <mergeCell ref="B437:C437"/>
    <mergeCell ref="B442:C442"/>
    <mergeCell ref="B448:C448"/>
    <mergeCell ref="B449:C449"/>
    <mergeCell ref="A451:A473"/>
    <mergeCell ref="B456:C456"/>
    <mergeCell ref="B461:C461"/>
    <mergeCell ref="B466:C466"/>
    <mergeCell ref="B472:C472"/>
    <mergeCell ref="B473:C473"/>
    <mergeCell ref="B479:C479"/>
    <mergeCell ref="B484:C484"/>
    <mergeCell ref="B497:C497"/>
    <mergeCell ref="B496:C496"/>
    <mergeCell ref="B490:C490"/>
    <mergeCell ref="A475:A497"/>
    <mergeCell ref="A523:A545"/>
    <mergeCell ref="B528:C528"/>
    <mergeCell ref="B533:C533"/>
    <mergeCell ref="B538:C538"/>
    <mergeCell ref="B544:C544"/>
    <mergeCell ref="B545:C545"/>
    <mergeCell ref="A547:A569"/>
    <mergeCell ref="B552:C552"/>
    <mergeCell ref="B557:C557"/>
    <mergeCell ref="B562:C562"/>
    <mergeCell ref="B568:C568"/>
    <mergeCell ref="B569:C569"/>
    <mergeCell ref="A571:A593"/>
    <mergeCell ref="B576:C576"/>
    <mergeCell ref="B581:C581"/>
    <mergeCell ref="B586:C586"/>
    <mergeCell ref="B592:C592"/>
    <mergeCell ref="B593:C593"/>
    <mergeCell ref="A595:A617"/>
    <mergeCell ref="B600:C600"/>
    <mergeCell ref="B605:C605"/>
    <mergeCell ref="B610:C610"/>
    <mergeCell ref="B616:C616"/>
    <mergeCell ref="B617:C617"/>
    <mergeCell ref="A619:A641"/>
    <mergeCell ref="B624:C624"/>
    <mergeCell ref="B629:C629"/>
    <mergeCell ref="B634:C634"/>
    <mergeCell ref="B640:C640"/>
    <mergeCell ref="B641:C641"/>
    <mergeCell ref="A643:A665"/>
    <mergeCell ref="B648:C648"/>
    <mergeCell ref="B653:C653"/>
    <mergeCell ref="B658:C658"/>
    <mergeCell ref="B664:C664"/>
    <mergeCell ref="B665:C665"/>
    <mergeCell ref="A667:A689"/>
    <mergeCell ref="B672:C672"/>
    <mergeCell ref="B677:C677"/>
    <mergeCell ref="B682:C682"/>
    <mergeCell ref="B688:C688"/>
    <mergeCell ref="B689:C689"/>
    <mergeCell ref="A691:A713"/>
    <mergeCell ref="B696:C696"/>
    <mergeCell ref="B701:C701"/>
    <mergeCell ref="B706:C706"/>
    <mergeCell ref="B712:C712"/>
    <mergeCell ref="B713:C713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F302" xSplit="5" ySplit="301"/>
    </sheetView>
  </sheetViews>
  <sheetFormatPr defaultRowHeight="16"/>
  <cols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  <col collapsed="false" customWidth="true" hidden="false" max="16" min="16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24" min="24" style="0" width="11.211267605633802"/>
  </cols>
  <sheetData>
    <row r="1">
      <c r="A1" s="319" t="s">
        <v>145</v>
      </c>
      <c r="B1" s="320" t="s">
        <v>146</v>
      </c>
      <c r="C1" s="321" t="s">
        <v>147</v>
      </c>
      <c r="D1" s="322" t="s">
        <v>148</v>
      </c>
      <c r="E1" s="323" t="s">
        <v>149</v>
      </c>
      <c r="F1" s="324" t="s">
        <v>150</v>
      </c>
      <c r="G1" s="324" t="s">
        <v>151</v>
      </c>
      <c r="H1" s="325" t="s">
        <v>152</v>
      </c>
      <c r="I1" s="325" t="s">
        <v>153</v>
      </c>
      <c r="J1" s="325" t="s">
        <v>154</v>
      </c>
      <c r="K1" s="326" t="s">
        <v>155</v>
      </c>
      <c r="L1" s="326" t="s">
        <v>156</v>
      </c>
      <c r="M1" s="326" t="s">
        <v>157</v>
      </c>
      <c r="N1" s="326" t="s">
        <v>158</v>
      </c>
      <c r="O1" s="326" t="s">
        <v>159</v>
      </c>
      <c r="P1" s="326" t="s">
        <v>160</v>
      </c>
      <c r="Q1" s="326" t="s">
        <v>161</v>
      </c>
      <c r="R1" s="326" t="s">
        <v>162</v>
      </c>
      <c r="S1" s="327" t="s">
        <v>163</v>
      </c>
      <c r="T1" s="327" t="s">
        <v>164</v>
      </c>
      <c r="U1" s="327" t="s">
        <v>165</v>
      </c>
      <c r="V1" s="327" t="s">
        <v>166</v>
      </c>
      <c r="W1" s="328" t="s">
        <v>167</v>
      </c>
      <c r="X1" s="328" t="s">
        <v>168</v>
      </c>
      <c r="Y1" s="329" t="s">
        <v>169</v>
      </c>
      <c r="Z1" s="329" t="s">
        <v>170</v>
      </c>
      <c r="AA1" s="329" t="s">
        <v>171</v>
      </c>
      <c r="AB1" s="330" t="s">
        <v>172</v>
      </c>
      <c r="AC1" s="330" t="s">
        <v>173</v>
      </c>
      <c r="AD1" s="331" t="s">
        <v>174</v>
      </c>
      <c r="AE1" s="330" t="s">
        <v>175</v>
      </c>
      <c r="AF1" s="330" t="s">
        <v>176</v>
      </c>
      <c r="AG1" s="332" t="s">
        <v>177</v>
      </c>
      <c r="AH1" s="333" t="s">
        <v>178</v>
      </c>
    </row>
    <row r="2">
      <c r="A2" s="334">
        <v>46235</v>
      </c>
      <c r="B2" s="335" t="s">
        <v>179</v>
      </c>
      <c r="C2" s="336" t="s">
        <v>180</v>
      </c>
      <c r="D2" s="337">
        <v>2514.779</v>
      </c>
      <c r="E2" s="338">
        <v>5</v>
      </c>
      <c r="F2" s="339">
        <v>1023.5</v>
      </c>
      <c r="G2" s="340">
        <f t="shared" ref="G2:G278" si="300">D2/AC2</f>
      </c>
      <c r="H2" s="341">
        <f t="shared" ref="H2:H278" si="318">F2/E2</f>
      </c>
      <c r="I2" s="342">
        <f t="shared" ref="I2:I278" si="0">D2/E2</f>
      </c>
      <c r="J2" s="343">
        <f t="shared" ref="J2:J278" si="17">F2/D2</f>
      </c>
      <c r="K2" s="344">
        <f t="shared" ref="K2:K16" si="138">D2/AA2</f>
      </c>
      <c r="L2" s="341">
        <f t="shared" ref="L2:L278" si="171">D2/AB2</f>
      </c>
      <c r="M2" s="345">
        <f t="shared" ref="M2:M16" si="203">AB2/AA2</f>
      </c>
      <c r="N2" s="345">
        <f t="shared" ref="N2:N278" si="221">AC2/AB2</f>
      </c>
      <c r="O2" s="345">
        <f t="shared" ref="O2:O278" si="268">Z2/Y2</f>
      </c>
      <c r="P2" s="345">
        <f t="shared" ref="P2:P278" si="85">AC2/Z2</f>
      </c>
      <c r="Q2" s="341">
        <f t="shared" ref="Q2:Q278" si="117">D2/Y2*1000</f>
      </c>
      <c r="R2" s="343">
        <f t="shared" ref="R2:R278" si="119">D2/Z2</f>
      </c>
      <c r="S2" s="345">
        <f t="shared" ref="S2:S278" si="121">AD2/AA2</f>
      </c>
      <c r="T2" s="345">
        <f t="shared" ref="T2:T278" si="34">AE2/AA2</f>
      </c>
      <c r="U2" s="345">
        <f t="shared" ref="U2:U278" si="51">AF2/AA2</f>
      </c>
      <c r="V2" s="345">
        <f t="shared" ref="V2:V278" si="68">AG2/AA2</f>
      </c>
      <c r="W2" s="346" t="s">
        <v>181</v>
      </c>
      <c r="X2" s="347" t="s">
        <v>182</v>
      </c>
      <c r="Y2" s="348">
        <v>146835</v>
      </c>
      <c r="Z2" s="348">
        <v>7230</v>
      </c>
      <c r="AA2" s="348">
        <v>133184</v>
      </c>
      <c r="AB2" s="348">
        <v>1434</v>
      </c>
      <c r="AC2" s="349">
        <v>4</v>
      </c>
      <c r="AD2" s="348">
        <v>31930</v>
      </c>
      <c r="AE2" s="350">
        <v>452</v>
      </c>
      <c r="AF2" s="350">
        <v>225</v>
      </c>
      <c r="AG2" s="350">
        <v>17</v>
      </c>
      <c r="AH2" s="349">
        <v>2</v>
      </c>
    </row>
    <row r="3">
      <c r="A3" s="334"/>
      <c r="B3" s="335" t="s">
        <v>179</v>
      </c>
      <c r="C3" s="336" t="s">
        <v>183</v>
      </c>
      <c r="D3" s="337">
        <v>1709.109</v>
      </c>
      <c r="E3" s="338">
        <v>8</v>
      </c>
      <c r="F3" s="339">
        <v>2318.3</v>
      </c>
      <c r="G3" s="340">
        <f t="shared" si="300"/>
      </c>
      <c r="H3" s="341">
        <f t="shared" si="318"/>
      </c>
      <c r="I3" s="342">
        <f t="shared" si="0"/>
      </c>
      <c r="J3" s="343">
        <f t="shared" si="17"/>
      </c>
      <c r="K3" s="344">
        <f t="shared" si="138"/>
      </c>
      <c r="L3" s="341">
        <f t="shared" si="171"/>
      </c>
      <c r="M3" s="345">
        <f t="shared" si="203"/>
      </c>
      <c r="N3" s="345">
        <f t="shared" si="221"/>
      </c>
      <c r="O3" s="345">
        <f t="shared" si="268"/>
      </c>
      <c r="P3" s="345">
        <f t="shared" si="85"/>
      </c>
      <c r="Q3" s="341">
        <f t="shared" si="117"/>
      </c>
      <c r="R3" s="343">
        <f t="shared" si="119"/>
      </c>
      <c r="S3" s="345">
        <f t="shared" si="121"/>
      </c>
      <c r="T3" s="345">
        <f t="shared" si="34"/>
      </c>
      <c r="U3" s="345">
        <f t="shared" si="51"/>
      </c>
      <c r="V3" s="345">
        <f t="shared" si="68"/>
      </c>
      <c r="W3" s="346" t="s">
        <v>181</v>
      </c>
      <c r="X3" s="347" t="s">
        <v>182</v>
      </c>
      <c r="Y3" s="349">
        <v>145990</v>
      </c>
      <c r="Z3" s="348">
        <v>6744</v>
      </c>
      <c r="AA3" s="348">
        <v>124739</v>
      </c>
      <c r="AB3" s="348">
        <v>957</v>
      </c>
      <c r="AC3" s="350">
        <v>6</v>
      </c>
      <c r="AD3" s="348">
        <v>25195</v>
      </c>
      <c r="AE3" s="350">
        <v>410</v>
      </c>
      <c r="AF3" s="350">
        <v>165</v>
      </c>
      <c r="AG3" s="349">
        <v>20</v>
      </c>
      <c r="AH3" s="349">
        <v>1</v>
      </c>
    </row>
    <row r="4">
      <c r="A4" s="334"/>
      <c r="B4" s="335" t="s">
        <v>179</v>
      </c>
      <c r="C4" s="351" t="s">
        <v>184</v>
      </c>
      <c r="D4" s="352">
        <v>2100.172</v>
      </c>
      <c r="E4" s="338">
        <v>4</v>
      </c>
      <c r="F4" s="339">
        <v>848</v>
      </c>
      <c r="G4" s="340">
        <f t="shared" si="300"/>
      </c>
      <c r="H4" s="341">
        <f t="shared" si="318"/>
      </c>
      <c r="I4" s="342">
        <f t="shared" si="0"/>
      </c>
      <c r="J4" s="343">
        <f t="shared" si="17"/>
      </c>
      <c r="K4" s="344">
        <f t="shared" si="138"/>
      </c>
      <c r="L4" s="341">
        <f t="shared" si="171"/>
      </c>
      <c r="M4" s="345">
        <f t="shared" si="203"/>
      </c>
      <c r="N4" s="345">
        <f t="shared" si="221"/>
      </c>
      <c r="O4" s="345">
        <f t="shared" si="268"/>
      </c>
      <c r="P4" s="345">
        <f t="shared" si="85"/>
      </c>
      <c r="Q4" s="341">
        <f t="shared" si="117"/>
      </c>
      <c r="R4" s="343">
        <f t="shared" si="119"/>
      </c>
      <c r="S4" s="345">
        <f t="shared" si="121"/>
      </c>
      <c r="T4" s="345">
        <f t="shared" si="34"/>
      </c>
      <c r="U4" s="345">
        <f t="shared" si="51"/>
      </c>
      <c r="V4" s="345">
        <f t="shared" si="68"/>
      </c>
      <c r="W4" s="346" t="s">
        <v>181</v>
      </c>
      <c r="X4" s="347" t="s">
        <v>182</v>
      </c>
      <c r="Y4" s="350">
        <v>234413</v>
      </c>
      <c r="Z4" s="348">
        <v>9467</v>
      </c>
      <c r="AA4" s="348">
        <v>173323</v>
      </c>
      <c r="AB4" s="348">
        <v>1323</v>
      </c>
      <c r="AC4" s="350">
        <v>5</v>
      </c>
      <c r="AD4" s="348">
        <v>28977</v>
      </c>
      <c r="AE4" s="350">
        <v>425</v>
      </c>
      <c r="AF4" s="350">
        <v>200</v>
      </c>
      <c r="AG4" s="350">
        <v>33</v>
      </c>
      <c r="AH4" s="349">
        <v>0</v>
      </c>
    </row>
    <row r="5">
      <c r="A5" s="334"/>
      <c r="B5" s="335" t="s">
        <v>179</v>
      </c>
      <c r="C5" s="353" t="s">
        <v>185</v>
      </c>
      <c r="D5" s="354">
        <v>1961.414</v>
      </c>
      <c r="E5" s="355">
        <v>5</v>
      </c>
      <c r="F5" s="339">
        <v>1729.2</v>
      </c>
      <c r="G5" s="340">
        <f t="shared" si="300"/>
      </c>
      <c r="H5" s="341">
        <f t="shared" si="318"/>
      </c>
      <c r="I5" s="342">
        <f t="shared" si="0"/>
      </c>
      <c r="J5" s="343">
        <f t="shared" si="17"/>
      </c>
      <c r="K5" s="344">
        <f t="shared" si="138"/>
      </c>
      <c r="L5" s="341">
        <f t="shared" si="171"/>
      </c>
      <c r="M5" s="345">
        <f t="shared" si="203"/>
      </c>
      <c r="N5" s="345">
        <f t="shared" si="221"/>
      </c>
      <c r="O5" s="345">
        <f t="shared" si="268"/>
      </c>
      <c r="P5" s="345">
        <f t="shared" si="85"/>
      </c>
      <c r="Q5" s="341">
        <f t="shared" si="117"/>
      </c>
      <c r="R5" s="343">
        <f t="shared" si="119"/>
      </c>
      <c r="S5" s="345">
        <f t="shared" si="121"/>
      </c>
      <c r="T5" s="345">
        <f t="shared" si="34"/>
      </c>
      <c r="U5" s="345">
        <f t="shared" si="51"/>
      </c>
      <c r="V5" s="345">
        <f t="shared" si="68"/>
      </c>
      <c r="W5" s="340" t="s">
        <v>181</v>
      </c>
      <c r="X5" s="347" t="s">
        <v>182</v>
      </c>
      <c r="Y5" s="350">
        <v>231427</v>
      </c>
      <c r="Z5" s="350">
        <v>11922</v>
      </c>
      <c r="AA5" s="350">
        <v>170844</v>
      </c>
      <c r="AB5" s="350">
        <v>1353</v>
      </c>
      <c r="AC5" s="350">
        <v>5</v>
      </c>
      <c r="AD5" s="350">
        <v>22810</v>
      </c>
      <c r="AE5" s="350">
        <v>390</v>
      </c>
      <c r="AF5" s="350">
        <v>228</v>
      </c>
      <c r="AG5" s="349">
        <v>31</v>
      </c>
      <c r="AH5" s="349">
        <v>2</v>
      </c>
    </row>
    <row r="6">
      <c r="A6" s="334"/>
      <c r="B6" s="335" t="s">
        <v>179</v>
      </c>
      <c r="C6" s="356" t="s">
        <v>186</v>
      </c>
      <c r="D6" s="357">
        <v>2101.681</v>
      </c>
      <c r="E6" s="358">
        <v>4</v>
      </c>
      <c r="F6" s="359">
        <v>1512</v>
      </c>
      <c r="G6" s="340">
        <f t="shared" si="300"/>
      </c>
      <c r="H6" s="341">
        <f t="shared" si="318"/>
      </c>
      <c r="I6" s="342">
        <f t="shared" si="0"/>
      </c>
      <c r="J6" s="343">
        <f t="shared" si="17"/>
      </c>
      <c r="K6" s="344">
        <f t="shared" si="138"/>
      </c>
      <c r="L6" s="341">
        <f t="shared" si="171"/>
      </c>
      <c r="M6" s="345">
        <f t="shared" si="203"/>
      </c>
      <c r="N6" s="345">
        <f t="shared" si="221"/>
      </c>
      <c r="O6" s="345">
        <f t="shared" si="268"/>
      </c>
      <c r="P6" s="345">
        <f t="shared" si="85"/>
      </c>
      <c r="Q6" s="341">
        <f t="shared" si="117"/>
      </c>
      <c r="R6" s="343">
        <f t="shared" si="119"/>
      </c>
      <c r="S6" s="345">
        <f t="shared" si="121"/>
      </c>
      <c r="T6" s="345">
        <f t="shared" si="34"/>
      </c>
      <c r="U6" s="345">
        <f t="shared" si="51"/>
      </c>
      <c r="V6" s="345">
        <f t="shared" si="68"/>
      </c>
      <c r="W6" s="360" t="s">
        <v>181</v>
      </c>
      <c r="X6" s="347" t="s">
        <v>182</v>
      </c>
      <c r="Y6" s="350">
        <v>274849</v>
      </c>
      <c r="Z6" s="350">
        <v>16050</v>
      </c>
      <c r="AA6" s="350">
        <v>202209</v>
      </c>
      <c r="AB6" s="350">
        <v>1307</v>
      </c>
      <c r="AC6" s="350">
        <v>4</v>
      </c>
      <c r="AD6" s="350">
        <v>23341</v>
      </c>
      <c r="AE6" s="350">
        <v>403</v>
      </c>
      <c r="AF6" s="350">
        <v>239</v>
      </c>
      <c r="AG6" s="349">
        <v>23</v>
      </c>
      <c r="AH6" s="349">
        <v>0</v>
      </c>
    </row>
    <row r="7">
      <c r="A7" s="334"/>
      <c r="B7" s="361" t="s">
        <v>187</v>
      </c>
      <c r="C7" s="361"/>
      <c r="D7" s="362">
        <f>SUM(D2:D6)</f>
      </c>
      <c r="E7" s="363">
        <f>SUM(E2:E6)</f>
      </c>
      <c r="F7" s="362">
        <f>SUM(F2:F6)</f>
      </c>
      <c r="G7" s="362">
        <f t="shared" si="300"/>
      </c>
      <c r="H7" s="364">
        <f t="shared" si="318"/>
      </c>
      <c r="I7" s="365">
        <f t="shared" si="0"/>
      </c>
      <c r="J7" s="366">
        <f t="shared" si="17"/>
      </c>
      <c r="K7" s="367">
        <f t="shared" si="138"/>
      </c>
      <c r="L7" s="364">
        <f t="shared" si="171"/>
      </c>
      <c r="M7" s="368">
        <f t="shared" si="203"/>
      </c>
      <c r="N7" s="368">
        <f t="shared" si="221"/>
      </c>
      <c r="O7" s="368">
        <f t="shared" si="268"/>
      </c>
      <c r="P7" s="368">
        <f t="shared" si="85"/>
      </c>
      <c r="Q7" s="364">
        <f t="shared" si="117"/>
      </c>
      <c r="R7" s="366">
        <f t="shared" si="119"/>
      </c>
      <c r="S7" s="368">
        <f t="shared" si="121"/>
      </c>
      <c r="T7" s="368">
        <f t="shared" si="34"/>
      </c>
      <c r="U7" s="368">
        <f t="shared" si="51"/>
      </c>
      <c r="V7" s="368">
        <f t="shared" si="68"/>
      </c>
      <c r="W7" s="368"/>
      <c r="X7" s="369"/>
      <c r="Y7" s="362">
        <f>SUM(Y2:Y6)</f>
      </c>
      <c r="Z7" s="362">
        <f>SUM(Z2:Z6)</f>
      </c>
      <c r="AA7" s="362">
        <f>SUM(AA2:AA6)</f>
      </c>
      <c r="AB7" s="362">
        <f>SUM(AB2:AB6)</f>
      </c>
      <c r="AC7" s="362">
        <f>SUM(AC2:AC6)</f>
      </c>
      <c r="AD7" s="362">
        <f>SUM(AD2:AD6)</f>
      </c>
      <c r="AE7" s="362">
        <f>SUM(AE2:AE6)</f>
      </c>
      <c r="AF7" s="362">
        <f>SUM(AF2:AF6)</f>
      </c>
      <c r="AG7" s="362">
        <f>SUM(AG2:AG6)</f>
      </c>
      <c r="AH7" s="362">
        <f>SUM(AH2:AH6)</f>
      </c>
    </row>
    <row r="8">
      <c r="A8" s="334"/>
      <c r="B8" s="335" t="s">
        <v>188</v>
      </c>
      <c r="C8" s="370" t="s">
        <v>189</v>
      </c>
      <c r="D8" s="371">
        <v>1954.871</v>
      </c>
      <c r="E8" s="338">
        <v>3</v>
      </c>
      <c r="F8" s="339">
        <v>610.3</v>
      </c>
      <c r="G8" s="340">
        <f t="shared" si="300"/>
      </c>
      <c r="H8" s="341">
        <f t="shared" si="318"/>
      </c>
      <c r="I8" s="342">
        <f t="shared" si="0"/>
      </c>
      <c r="J8" s="343">
        <f t="shared" si="17"/>
      </c>
      <c r="K8" s="344">
        <f t="shared" si="138"/>
      </c>
      <c r="L8" s="341">
        <f t="shared" si="171"/>
      </c>
      <c r="M8" s="345">
        <f t="shared" si="203"/>
      </c>
      <c r="N8" s="345">
        <f t="shared" si="221"/>
      </c>
      <c r="O8" s="345">
        <f t="shared" si="268"/>
      </c>
      <c r="P8" s="345">
        <f t="shared" si="85"/>
      </c>
      <c r="Q8" s="341">
        <f t="shared" si="117"/>
      </c>
      <c r="R8" s="343">
        <f t="shared" si="119"/>
      </c>
      <c r="S8" s="345">
        <f t="shared" si="121"/>
      </c>
      <c r="T8" s="345">
        <f t="shared" si="34"/>
      </c>
      <c r="U8" s="345">
        <f t="shared" si="51"/>
      </c>
      <c r="V8" s="345">
        <f t="shared" si="68"/>
      </c>
      <c r="W8" s="360" t="s">
        <v>181</v>
      </c>
      <c r="X8" s="347" t="s">
        <v>182</v>
      </c>
      <c r="Y8" s="348">
        <v>267389</v>
      </c>
      <c r="Z8" s="348">
        <v>17705</v>
      </c>
      <c r="AA8" s="348">
        <v>190629</v>
      </c>
      <c r="AB8" s="350">
        <v>1520</v>
      </c>
      <c r="AC8" s="350">
        <v>2</v>
      </c>
      <c r="AD8" s="348">
        <v>18865</v>
      </c>
      <c r="AE8" s="350">
        <v>379</v>
      </c>
      <c r="AF8" s="350">
        <v>269</v>
      </c>
      <c r="AG8" s="350">
        <v>40</v>
      </c>
      <c r="AH8" s="349">
        <v>1</v>
      </c>
    </row>
    <row r="9">
      <c r="A9" s="334"/>
      <c r="B9" s="335" t="s">
        <v>188</v>
      </c>
      <c r="C9" s="372" t="s">
        <v>190</v>
      </c>
      <c r="D9" s="371">
        <v>2631.665</v>
      </c>
      <c r="E9" s="358">
        <v>6</v>
      </c>
      <c r="F9" s="359">
        <v>1968</v>
      </c>
      <c r="G9" s="340">
        <f t="shared" si="300"/>
      </c>
      <c r="H9" s="341">
        <f t="shared" si="318"/>
      </c>
      <c r="I9" s="342">
        <f t="shared" si="0"/>
      </c>
      <c r="J9" s="343">
        <f t="shared" si="17"/>
      </c>
      <c r="K9" s="344">
        <f t="shared" si="138"/>
      </c>
      <c r="L9" s="341">
        <f t="shared" si="171"/>
      </c>
      <c r="M9" s="345">
        <f t="shared" si="203"/>
      </c>
      <c r="N9" s="345">
        <f t="shared" si="221"/>
      </c>
      <c r="O9" s="345">
        <f t="shared" si="268"/>
      </c>
      <c r="P9" s="345">
        <f t="shared" si="85"/>
      </c>
      <c r="Q9" s="341">
        <f t="shared" si="117"/>
      </c>
      <c r="R9" s="343">
        <f t="shared" si="119"/>
      </c>
      <c r="S9" s="345">
        <f t="shared" si="121"/>
      </c>
      <c r="T9" s="345">
        <f t="shared" si="34"/>
      </c>
      <c r="U9" s="345">
        <f t="shared" si="51"/>
      </c>
      <c r="V9" s="345">
        <f t="shared" si="68"/>
      </c>
      <c r="W9" s="360" t="s">
        <v>181</v>
      </c>
      <c r="X9" s="347" t="s">
        <v>182</v>
      </c>
      <c r="Y9" s="350">
        <v>336279</v>
      </c>
      <c r="Z9" s="350">
        <v>25658</v>
      </c>
      <c r="AA9" s="350">
        <v>266840</v>
      </c>
      <c r="AB9" s="350">
        <v>1756</v>
      </c>
      <c r="AC9" s="350">
        <v>6</v>
      </c>
      <c r="AD9" s="350">
        <v>28784</v>
      </c>
      <c r="AE9" s="350">
        <v>604</v>
      </c>
      <c r="AF9" s="350">
        <v>420</v>
      </c>
      <c r="AG9" s="350">
        <v>36</v>
      </c>
      <c r="AH9" s="349">
        <v>0</v>
      </c>
    </row>
    <row r="10">
      <c r="A10" s="334"/>
      <c r="B10" s="335" t="s">
        <v>188</v>
      </c>
      <c r="C10" s="373" t="s">
        <v>191</v>
      </c>
      <c r="D10" s="371">
        <v>2769.3160000000003</v>
      </c>
      <c r="E10" s="358">
        <v>8</v>
      </c>
      <c r="F10" s="359">
        <v>1792</v>
      </c>
      <c r="G10" s="340">
        <f t="shared" si="300"/>
      </c>
      <c r="H10" s="341">
        <f t="shared" si="318"/>
      </c>
      <c r="I10" s="342">
        <f t="shared" si="0"/>
      </c>
      <c r="J10" s="343">
        <f t="shared" si="17"/>
      </c>
      <c r="K10" s="344">
        <f t="shared" si="138"/>
      </c>
      <c r="L10" s="341">
        <f t="shared" si="171"/>
      </c>
      <c r="M10" s="345">
        <f t="shared" si="203"/>
      </c>
      <c r="N10" s="345">
        <f t="shared" si="221"/>
      </c>
      <c r="O10" s="345">
        <f t="shared" si="268"/>
      </c>
      <c r="P10" s="345">
        <f t="shared" si="85"/>
      </c>
      <c r="Q10" s="341">
        <f t="shared" si="117"/>
      </c>
      <c r="R10" s="343">
        <f t="shared" si="119"/>
      </c>
      <c r="S10" s="345">
        <f t="shared" si="121"/>
      </c>
      <c r="T10" s="345">
        <f t="shared" si="34"/>
      </c>
      <c r="U10" s="345">
        <f t="shared" si="51"/>
      </c>
      <c r="V10" s="345">
        <f t="shared" si="68"/>
      </c>
      <c r="W10" s="360" t="s">
        <v>181</v>
      </c>
      <c r="X10" s="347" t="s">
        <v>182</v>
      </c>
      <c r="Y10" s="350">
        <v>347220</v>
      </c>
      <c r="Z10" s="350">
        <v>15320</v>
      </c>
      <c r="AA10" s="350">
        <v>266958</v>
      </c>
      <c r="AB10" s="350">
        <v>1740</v>
      </c>
      <c r="AC10" s="350">
        <v>8</v>
      </c>
      <c r="AD10" s="350">
        <v>32566</v>
      </c>
      <c r="AE10" s="350">
        <v>557</v>
      </c>
      <c r="AF10" s="350">
        <v>342</v>
      </c>
      <c r="AG10" s="349">
        <v>42</v>
      </c>
      <c r="AH10" s="349">
        <v>0</v>
      </c>
    </row>
    <row r="11">
      <c r="A11" s="334"/>
      <c r="B11" s="335" t="s">
        <v>188</v>
      </c>
      <c r="C11" s="374" t="s">
        <v>192</v>
      </c>
      <c r="D11" s="371">
        <v>3021.295</v>
      </c>
      <c r="E11" s="358">
        <v>15</v>
      </c>
      <c r="F11" s="359">
        <v>7904.600000000002</v>
      </c>
      <c r="G11" s="340">
        <f t="shared" si="300"/>
      </c>
      <c r="H11" s="341">
        <f t="shared" si="318"/>
      </c>
      <c r="I11" s="342">
        <f t="shared" si="0"/>
      </c>
      <c r="J11" s="343">
        <f t="shared" si="17"/>
      </c>
      <c r="K11" s="344">
        <f t="shared" si="138"/>
      </c>
      <c r="L11" s="341">
        <f t="shared" si="171"/>
      </c>
      <c r="M11" s="345">
        <f t="shared" si="203"/>
      </c>
      <c r="N11" s="345">
        <f t="shared" si="221"/>
      </c>
      <c r="O11" s="345">
        <f t="shared" si="268"/>
      </c>
      <c r="P11" s="345">
        <f t="shared" si="85"/>
      </c>
      <c r="Q11" s="341">
        <f t="shared" si="117"/>
      </c>
      <c r="R11" s="343">
        <f t="shared" si="119"/>
      </c>
      <c r="S11" s="345">
        <f t="shared" si="121"/>
      </c>
      <c r="T11" s="345">
        <f t="shared" si="34"/>
      </c>
      <c r="U11" s="345">
        <f t="shared" si="51"/>
      </c>
      <c r="V11" s="345">
        <f t="shared" si="68"/>
      </c>
      <c r="W11" s="360" t="s">
        <v>181</v>
      </c>
      <c r="X11" s="347" t="s">
        <v>193</v>
      </c>
      <c r="Y11" s="350">
        <v>365709</v>
      </c>
      <c r="Z11" s="350">
        <v>11289</v>
      </c>
      <c r="AA11" s="350">
        <v>298493</v>
      </c>
      <c r="AB11" s="350">
        <v>1921</v>
      </c>
      <c r="AC11" s="350">
        <v>9</v>
      </c>
      <c r="AD11" s="350">
        <v>38654</v>
      </c>
      <c r="AE11" s="350">
        <v>678</v>
      </c>
      <c r="AF11" s="350">
        <v>322</v>
      </c>
      <c r="AG11" s="349">
        <v>31</v>
      </c>
      <c r="AH11" s="349">
        <v>6</v>
      </c>
    </row>
    <row r="12">
      <c r="A12" s="334"/>
      <c r="B12" s="335" t="s">
        <v>188</v>
      </c>
      <c r="C12" s="375" t="s">
        <v>194</v>
      </c>
      <c r="D12" s="371">
        <v>2955.267</v>
      </c>
      <c r="E12" s="358">
        <v>10</v>
      </c>
      <c r="F12" s="359">
        <v>4013.199999999997</v>
      </c>
      <c r="G12" s="340">
        <f t="shared" si="300"/>
      </c>
      <c r="H12" s="341">
        <f t="shared" si="318"/>
      </c>
      <c r="I12" s="342">
        <f t="shared" si="0"/>
      </c>
      <c r="J12" s="343">
        <f t="shared" si="17"/>
      </c>
      <c r="K12" s="344">
        <f t="shared" si="138"/>
      </c>
      <c r="L12" s="341">
        <f t="shared" si="171"/>
      </c>
      <c r="M12" s="345">
        <f t="shared" si="203"/>
      </c>
      <c r="N12" s="345">
        <f t="shared" si="221"/>
      </c>
      <c r="O12" s="345">
        <f t="shared" si="268"/>
      </c>
      <c r="P12" s="345">
        <f t="shared" si="85"/>
      </c>
      <c r="Q12" s="341">
        <f t="shared" si="117"/>
      </c>
      <c r="R12" s="343">
        <f t="shared" si="119"/>
      </c>
      <c r="S12" s="345">
        <f t="shared" si="121"/>
      </c>
      <c r="T12" s="345">
        <f t="shared" si="34"/>
      </c>
      <c r="U12" s="345">
        <f t="shared" si="51"/>
      </c>
      <c r="V12" s="345">
        <f t="shared" si="68"/>
      </c>
      <c r="W12" s="360" t="s">
        <v>181</v>
      </c>
      <c r="X12" s="347" t="s">
        <v>193</v>
      </c>
      <c r="Y12" s="350">
        <v>361495</v>
      </c>
      <c r="Z12" s="350">
        <v>12413</v>
      </c>
      <c r="AA12" s="350">
        <v>321157</v>
      </c>
      <c r="AB12" s="350">
        <v>1863</v>
      </c>
      <c r="AC12" s="350">
        <v>8</v>
      </c>
      <c r="AD12" s="350">
        <v>42167</v>
      </c>
      <c r="AE12" s="350">
        <v>693</v>
      </c>
      <c r="AF12" s="350">
        <v>308</v>
      </c>
      <c r="AG12" s="349">
        <v>28</v>
      </c>
      <c r="AH12" s="349">
        <v>1</v>
      </c>
    </row>
    <row r="13">
      <c r="A13" s="334"/>
      <c r="B13" s="361" t="s">
        <v>187</v>
      </c>
      <c r="C13" s="361"/>
      <c r="D13" s="362">
        <f>SUM(D8:D12)</f>
      </c>
      <c r="E13" s="362">
        <f>SUM(E8:E12)</f>
      </c>
      <c r="F13" s="362">
        <f>SUM(F8:F12)</f>
      </c>
      <c r="G13" s="362">
        <f t="shared" si="300"/>
      </c>
      <c r="H13" s="364">
        <f t="shared" si="318"/>
      </c>
      <c r="I13" s="365">
        <f t="shared" si="0"/>
      </c>
      <c r="J13" s="366">
        <f t="shared" si="17"/>
      </c>
      <c r="K13" s="367">
        <f t="shared" si="138"/>
      </c>
      <c r="L13" s="364">
        <f t="shared" si="171"/>
      </c>
      <c r="M13" s="368">
        <f t="shared" si="203"/>
      </c>
      <c r="N13" s="368">
        <f t="shared" si="221"/>
      </c>
      <c r="O13" s="368">
        <f t="shared" si="268"/>
      </c>
      <c r="P13" s="368">
        <f t="shared" si="85"/>
      </c>
      <c r="Q13" s="364">
        <f t="shared" si="117"/>
      </c>
      <c r="R13" s="366">
        <f t="shared" si="119"/>
      </c>
      <c r="S13" s="368">
        <f t="shared" si="121"/>
      </c>
      <c r="T13" s="368">
        <f t="shared" si="34"/>
      </c>
      <c r="U13" s="368">
        <f t="shared" si="51"/>
      </c>
      <c r="V13" s="368">
        <f t="shared" si="68"/>
      </c>
      <c r="W13" s="368"/>
      <c r="X13" s="369"/>
      <c r="Y13" s="362">
        <f>SUM(Y8:Y12)</f>
      </c>
      <c r="Z13" s="362">
        <f>SUM(Z8:Z12)</f>
      </c>
      <c r="AA13" s="362">
        <f>SUM(AA8:AA12)</f>
      </c>
      <c r="AB13" s="362">
        <f>SUM(AB8:AB12)</f>
      </c>
      <c r="AC13" s="362">
        <f>SUM(AC8:AC12)</f>
      </c>
      <c r="AD13" s="362">
        <f>SUM(AD8:AD12)</f>
      </c>
      <c r="AE13" s="362">
        <f>SUM(AE8:AE12)</f>
      </c>
      <c r="AF13" s="362">
        <f>SUM(AF8:AF12)</f>
      </c>
      <c r="AG13" s="362">
        <f>SUM(AG8:AG12)</f>
      </c>
      <c r="AH13" s="362">
        <f>SUM(AH8:AH12)</f>
      </c>
    </row>
    <row r="14">
      <c r="A14" s="334"/>
      <c r="B14" s="376" t="s">
        <v>195</v>
      </c>
      <c r="C14" s="373" t="s">
        <v>196</v>
      </c>
      <c r="D14" s="377">
        <v>2865.75</v>
      </c>
      <c r="E14" s="378">
        <v>5</v>
      </c>
      <c r="F14" s="359">
        <v>1108</v>
      </c>
      <c r="G14" s="340">
        <f t="shared" si="300"/>
      </c>
      <c r="H14" s="341">
        <f t="shared" si="318"/>
      </c>
      <c r="I14" s="342">
        <f t="shared" si="0"/>
      </c>
      <c r="J14" s="343">
        <f t="shared" si="17"/>
      </c>
      <c r="K14" s="344">
        <f t="shared" si="138"/>
      </c>
      <c r="L14" s="341">
        <f t="shared" si="171"/>
      </c>
      <c r="M14" s="345">
        <f t="shared" si="203"/>
      </c>
      <c r="N14" s="345">
        <f t="shared" si="221"/>
      </c>
      <c r="O14" s="345">
        <f t="shared" si="268"/>
      </c>
      <c r="P14" s="345">
        <f t="shared" si="85"/>
      </c>
      <c r="Q14" s="341">
        <f t="shared" si="117"/>
      </c>
      <c r="R14" s="343">
        <f t="shared" si="119"/>
      </c>
      <c r="S14" s="345">
        <f t="shared" si="121"/>
      </c>
      <c r="T14" s="345">
        <f t="shared" si="34"/>
      </c>
      <c r="U14" s="345">
        <f t="shared" si="51"/>
      </c>
      <c r="V14" s="345">
        <f t="shared" si="68"/>
      </c>
      <c r="W14" s="360" t="s">
        <v>181</v>
      </c>
      <c r="X14" s="347" t="s">
        <v>193</v>
      </c>
      <c r="Y14" s="350">
        <v>326576</v>
      </c>
      <c r="Z14" s="350">
        <v>9116</v>
      </c>
      <c r="AA14" s="350">
        <v>274085</v>
      </c>
      <c r="AB14" s="350">
        <v>1698</v>
      </c>
      <c r="AC14" s="350">
        <v>5</v>
      </c>
      <c r="AD14" s="350">
        <v>37838</v>
      </c>
      <c r="AE14" s="350">
        <v>599</v>
      </c>
      <c r="AF14" s="350">
        <v>266</v>
      </c>
      <c r="AG14" s="350">
        <v>28</v>
      </c>
      <c r="AH14" s="349">
        <v>0</v>
      </c>
    </row>
    <row r="15">
      <c r="A15" s="334"/>
      <c r="B15" s="376" t="s">
        <v>195</v>
      </c>
      <c r="C15" s="373" t="s">
        <v>197</v>
      </c>
      <c r="D15" s="377">
        <v>2605.4469999999997</v>
      </c>
      <c r="E15" s="378">
        <v>7</v>
      </c>
      <c r="F15" s="359">
        <v>2153.2000000000007</v>
      </c>
      <c r="G15" s="340">
        <f t="shared" si="300"/>
      </c>
      <c r="H15" s="341">
        <f t="shared" si="318"/>
      </c>
      <c r="I15" s="342">
        <f t="shared" si="0"/>
      </c>
      <c r="J15" s="343">
        <f t="shared" si="17"/>
      </c>
      <c r="K15" s="344">
        <f t="shared" si="138"/>
      </c>
      <c r="L15" s="341">
        <f t="shared" si="171"/>
      </c>
      <c r="M15" s="345">
        <f t="shared" si="203"/>
      </c>
      <c r="N15" s="345">
        <f t="shared" si="221"/>
      </c>
      <c r="O15" s="345">
        <f t="shared" si="268"/>
      </c>
      <c r="P15" s="345">
        <f t="shared" si="85"/>
      </c>
      <c r="Q15" s="341">
        <f t="shared" si="117"/>
      </c>
      <c r="R15" s="343">
        <f t="shared" si="119"/>
      </c>
      <c r="S15" s="345">
        <f t="shared" si="121"/>
      </c>
      <c r="T15" s="345">
        <f t="shared" si="34"/>
      </c>
      <c r="U15" s="345">
        <f t="shared" si="51"/>
      </c>
      <c r="V15" s="345">
        <f t="shared" si="68"/>
      </c>
      <c r="W15" s="360" t="s">
        <v>181</v>
      </c>
      <c r="X15" s="347" t="s">
        <v>193</v>
      </c>
      <c r="Y15" s="350">
        <v>346963</v>
      </c>
      <c r="Z15" s="350">
        <v>7512</v>
      </c>
      <c r="AA15" s="350">
        <v>316233</v>
      </c>
      <c r="AB15" s="350">
        <v>1522</v>
      </c>
      <c r="AC15" s="350">
        <v>7</v>
      </c>
      <c r="AD15" s="350">
        <v>36586</v>
      </c>
      <c r="AE15" s="350">
        <v>485</v>
      </c>
      <c r="AF15" s="350">
        <v>275</v>
      </c>
      <c r="AG15" s="349">
        <v>23</v>
      </c>
      <c r="AH15" s="349">
        <v>1</v>
      </c>
    </row>
    <row r="16">
      <c r="A16" s="334"/>
      <c r="B16" s="376" t="s">
        <v>195</v>
      </c>
      <c r="C16" s="374" t="s">
        <v>198</v>
      </c>
      <c r="D16" s="377">
        <v>2747.4750000000004</v>
      </c>
      <c r="E16" s="378">
        <v>10</v>
      </c>
      <c r="F16" s="359">
        <v>4485.600000000002</v>
      </c>
      <c r="G16" s="340">
        <f t="shared" si="300"/>
      </c>
      <c r="H16" s="341">
        <f t="shared" si="318"/>
      </c>
      <c r="I16" s="342">
        <f t="shared" si="0"/>
      </c>
      <c r="J16" s="343">
        <f t="shared" si="17"/>
      </c>
      <c r="K16" s="344">
        <f t="shared" si="138"/>
      </c>
      <c r="L16" s="341">
        <f t="shared" si="171"/>
      </c>
      <c r="M16" s="345">
        <f t="shared" si="203"/>
      </c>
      <c r="N16" s="345">
        <f t="shared" si="221"/>
      </c>
      <c r="O16" s="345">
        <f t="shared" si="268"/>
      </c>
      <c r="P16" s="345">
        <f t="shared" si="85"/>
      </c>
      <c r="Q16" s="341">
        <f t="shared" si="117"/>
      </c>
      <c r="R16" s="343">
        <f t="shared" si="119"/>
      </c>
      <c r="S16" s="345">
        <f t="shared" si="121"/>
      </c>
      <c r="T16" s="345">
        <f t="shared" si="34"/>
      </c>
      <c r="U16" s="345">
        <f t="shared" si="51"/>
      </c>
      <c r="V16" s="345">
        <f t="shared" si="68"/>
      </c>
      <c r="W16" s="360" t="s">
        <v>181</v>
      </c>
      <c r="X16" s="347" t="s">
        <v>193</v>
      </c>
      <c r="Y16" s="350">
        <v>398237</v>
      </c>
      <c r="Z16" s="350">
        <v>8942</v>
      </c>
      <c r="AA16" s="350">
        <v>404286</v>
      </c>
      <c r="AB16" s="350">
        <v>1750</v>
      </c>
      <c r="AC16" s="350">
        <v>9</v>
      </c>
      <c r="AD16" s="350">
        <v>42748</v>
      </c>
      <c r="AE16" s="350">
        <v>633</v>
      </c>
      <c r="AF16" s="350">
        <v>337</v>
      </c>
      <c r="AG16" s="349">
        <v>25</v>
      </c>
      <c r="AH16" s="349">
        <v>1</v>
      </c>
    </row>
    <row r="17">
      <c r="A17" s="334"/>
      <c r="B17" s="376" t="s">
        <v>195</v>
      </c>
      <c r="C17" s="373" t="s">
        <v>199</v>
      </c>
      <c r="D17" s="379">
        <v>3772.1280000000006</v>
      </c>
      <c r="E17" s="338">
        <v>18</v>
      </c>
      <c r="F17" s="339">
        <v>5447.5999999999985</v>
      </c>
      <c r="G17" s="340">
        <f t="shared" si="300"/>
      </c>
      <c r="H17" s="341">
        <f t="shared" si="318"/>
      </c>
      <c r="I17" s="380">
        <f t="shared" si="0"/>
      </c>
      <c r="J17" s="381">
        <f t="shared" si="17"/>
      </c>
      <c r="K17" s="382">
        <f t="shared" ref="K17:K18" si="302">D17/AB17</f>
      </c>
      <c r="L17" s="383">
        <f t="shared" si="171"/>
      </c>
      <c r="M17" s="384">
        <f t="shared" ref="M17:M18" si="320">AC17/AB17</f>
      </c>
      <c r="N17" s="384">
        <f t="shared" si="221"/>
      </c>
      <c r="O17" s="384">
        <f t="shared" si="268"/>
      </c>
      <c r="P17" s="384">
        <f t="shared" si="85"/>
      </c>
      <c r="Q17" s="383">
        <f t="shared" si="117"/>
      </c>
      <c r="R17" s="381">
        <f t="shared" si="119"/>
      </c>
      <c r="S17" s="384">
        <f t="shared" si="121"/>
      </c>
      <c r="T17" s="384">
        <f t="shared" si="34"/>
      </c>
      <c r="U17" s="384">
        <f t="shared" si="51"/>
      </c>
      <c r="V17" s="384">
        <f t="shared" si="68"/>
      </c>
      <c r="W17" s="360" t="s">
        <v>181</v>
      </c>
      <c r="X17" s="347" t="s">
        <v>193</v>
      </c>
      <c r="Y17" s="350">
        <v>521636</v>
      </c>
      <c r="Z17" s="350">
        <v>11385</v>
      </c>
      <c r="AA17" s="350">
        <v>588803</v>
      </c>
      <c r="AB17" s="385">
        <v>2396</v>
      </c>
      <c r="AC17" s="385">
        <v>10</v>
      </c>
      <c r="AD17" s="385">
        <v>50854</v>
      </c>
      <c r="AE17" s="385">
        <v>741</v>
      </c>
      <c r="AF17" s="385">
        <v>376</v>
      </c>
      <c r="AG17" s="385">
        <v>41</v>
      </c>
      <c r="AH17" s="349">
        <v>6</v>
      </c>
    </row>
    <row r="18">
      <c r="A18" s="334"/>
      <c r="B18" s="376" t="s">
        <v>195</v>
      </c>
      <c r="C18" s="386" t="s">
        <v>200</v>
      </c>
      <c r="D18" s="377">
        <v>3115.4509999999937</v>
      </c>
      <c r="E18" s="378">
        <v>9</v>
      </c>
      <c r="F18" s="359">
        <v>2941.5</v>
      </c>
      <c r="G18" s="340">
        <f t="shared" si="300"/>
      </c>
      <c r="H18" s="341">
        <f t="shared" si="318"/>
      </c>
      <c r="I18" s="380">
        <f t="shared" si="0"/>
      </c>
      <c r="J18" s="381">
        <f t="shared" si="17"/>
      </c>
      <c r="K18" s="382">
        <f t="shared" si="302"/>
      </c>
      <c r="L18" s="383">
        <f t="shared" si="171"/>
      </c>
      <c r="M18" s="384">
        <f t="shared" si="320"/>
      </c>
      <c r="N18" s="384">
        <f t="shared" si="221"/>
      </c>
      <c r="O18" s="384">
        <f t="shared" si="268"/>
      </c>
      <c r="P18" s="384">
        <f t="shared" si="85"/>
      </c>
      <c r="Q18" s="383">
        <f t="shared" si="117"/>
      </c>
      <c r="R18" s="381">
        <f t="shared" si="119"/>
      </c>
      <c r="S18" s="384">
        <f t="shared" si="121"/>
      </c>
      <c r="T18" s="384">
        <f t="shared" si="34"/>
      </c>
      <c r="U18" s="384">
        <f t="shared" si="51"/>
      </c>
      <c r="V18" s="384">
        <f t="shared" si="68"/>
      </c>
      <c r="W18" s="360" t="s">
        <v>181</v>
      </c>
      <c r="X18" s="347" t="s">
        <v>193</v>
      </c>
      <c r="Y18" s="350">
        <v>408708</v>
      </c>
      <c r="Z18" s="350">
        <v>10444</v>
      </c>
      <c r="AA18" s="350">
        <v>438805</v>
      </c>
      <c r="AB18" s="350">
        <v>2001</v>
      </c>
      <c r="AC18" s="350">
        <v>7</v>
      </c>
      <c r="AD18" s="350">
        <v>44275</v>
      </c>
      <c r="AE18" s="350">
        <v>577</v>
      </c>
      <c r="AF18" s="350">
        <v>392</v>
      </c>
      <c r="AG18" s="349">
        <v>62</v>
      </c>
      <c r="AH18" s="349">
        <v>3</v>
      </c>
    </row>
    <row r="19">
      <c r="A19" s="334"/>
      <c r="B19" s="387" t="s">
        <v>187</v>
      </c>
      <c r="C19" s="387"/>
      <c r="D19" s="362">
        <f>SUM(D14:D18)</f>
      </c>
      <c r="E19" s="362">
        <f>SUM(E14:E18)</f>
      </c>
      <c r="F19" s="362">
        <f>SUM(F14:F18)</f>
      </c>
      <c r="G19" s="362">
        <f t="shared" si="300"/>
      </c>
      <c r="H19" s="364">
        <f t="shared" si="318"/>
      </c>
      <c r="I19" s="365">
        <f t="shared" si="0"/>
      </c>
      <c r="J19" s="366">
        <f t="shared" si="17"/>
      </c>
      <c r="K19" s="367">
        <f t="shared" ref="K19:K35" si="139">D19/AA19</f>
      </c>
      <c r="L19" s="364">
        <f t="shared" si="171"/>
      </c>
      <c r="M19" s="368">
        <f t="shared" ref="M19:M35" si="204">AB19/AA19</f>
      </c>
      <c r="N19" s="368">
        <f t="shared" si="221"/>
      </c>
      <c r="O19" s="368">
        <f t="shared" si="268"/>
      </c>
      <c r="P19" s="368">
        <f t="shared" si="85"/>
      </c>
      <c r="Q19" s="364">
        <f t="shared" si="117"/>
      </c>
      <c r="R19" s="366">
        <f t="shared" si="119"/>
      </c>
      <c r="S19" s="368">
        <f t="shared" si="121"/>
      </c>
      <c r="T19" s="368">
        <f t="shared" si="34"/>
      </c>
      <c r="U19" s="368">
        <f t="shared" si="51"/>
      </c>
      <c r="V19" s="368">
        <f t="shared" si="68"/>
      </c>
      <c r="W19" s="368"/>
      <c r="X19" s="369"/>
      <c r="Y19" s="362">
        <f>SUM(Y14:Y18)</f>
      </c>
      <c r="Z19" s="362">
        <f>SUM(Z14:Z18)</f>
      </c>
      <c r="AA19" s="362">
        <f>SUM(AA14:AA18)</f>
      </c>
      <c r="AB19" s="362">
        <f>SUM(AB14:AB18)</f>
      </c>
      <c r="AC19" s="362">
        <f>SUM(AC14:AC18)</f>
      </c>
      <c r="AD19" s="362">
        <f>SUM(AD14:AD18)</f>
      </c>
      <c r="AE19" s="362">
        <f>SUM(AE14:AE18)</f>
      </c>
      <c r="AF19" s="362">
        <f>SUM(AF14:AF18)</f>
      </c>
      <c r="AG19" s="362">
        <f>SUM(AG14:AG18)</f>
      </c>
      <c r="AH19" s="362">
        <f>SUM(AH14:AH18)</f>
      </c>
    </row>
    <row r="20">
      <c r="A20" s="334"/>
      <c r="B20" s="388" t="s">
        <v>201</v>
      </c>
      <c r="C20" s="388"/>
      <c r="D20" s="389">
        <f>SUM(D7+D19+D13)</f>
      </c>
      <c r="E20" s="389">
        <f>SUM(E7+E19+E13)</f>
      </c>
      <c r="F20" s="389">
        <f>SUM(F7+F19+F13)</f>
      </c>
      <c r="G20" s="390">
        <f t="shared" si="300"/>
      </c>
      <c r="H20" s="391">
        <f t="shared" si="318"/>
      </c>
      <c r="I20" s="392">
        <f t="shared" si="0"/>
      </c>
      <c r="J20" s="393">
        <f t="shared" si="17"/>
      </c>
      <c r="K20" s="394">
        <f t="shared" si="139"/>
      </c>
      <c r="L20" s="394">
        <f t="shared" si="171"/>
      </c>
      <c r="M20" s="395">
        <f t="shared" si="204"/>
      </c>
      <c r="N20" s="395">
        <f t="shared" si="221"/>
      </c>
      <c r="O20" s="395">
        <f t="shared" si="268"/>
      </c>
      <c r="P20" s="395">
        <f t="shared" si="85"/>
      </c>
      <c r="Q20" s="396">
        <f t="shared" si="117"/>
      </c>
      <c r="R20" s="397">
        <f t="shared" si="119"/>
      </c>
      <c r="S20" s="398">
        <f t="shared" si="121"/>
      </c>
      <c r="T20" s="398">
        <f t="shared" si="34"/>
      </c>
      <c r="U20" s="398">
        <f t="shared" si="51"/>
      </c>
      <c r="V20" s="398">
        <f t="shared" si="68"/>
      </c>
      <c r="W20" s="398"/>
      <c r="X20" s="399"/>
      <c r="Y20" s="390">
        <f>SUM(Y19+Y7+Y13)</f>
      </c>
      <c r="Z20" s="390">
        <f>SUM(Z19+Z7+Z13)</f>
      </c>
      <c r="AA20" s="390">
        <f>SUM(AA19+AA7+AA13)</f>
      </c>
      <c r="AB20" s="390">
        <f>SUM(AB19+AB7+AB13)</f>
      </c>
      <c r="AC20" s="390">
        <f>SUM(AC19+AC7+AC13)</f>
      </c>
      <c r="AD20" s="390">
        <f>SUM(AD19+AD7+AD13)</f>
      </c>
      <c r="AE20" s="390">
        <f>SUM(AE19+AE7+AE13)</f>
      </c>
      <c r="AF20" s="390">
        <f>SUM(AF19+AF7+AF13)</f>
      </c>
      <c r="AG20" s="390">
        <f>SUM(AG19+AG7+AG13)</f>
      </c>
      <c r="AH20" s="390">
        <f>SUM(AH19+AH7+AH13)</f>
      </c>
    </row>
    <row r="21">
      <c r="A21" s="334">
        <v>46236</v>
      </c>
      <c r="B21" s="335" t="s">
        <v>188</v>
      </c>
      <c r="C21" s="336" t="s">
        <v>180</v>
      </c>
      <c r="D21" s="337">
        <v>1318.657</v>
      </c>
      <c r="E21" s="338">
        <v>5</v>
      </c>
      <c r="F21" s="339">
        <v>2230.8</v>
      </c>
      <c r="G21" s="340">
        <f t="shared" si="300"/>
      </c>
      <c r="H21" s="341">
        <f t="shared" si="318"/>
      </c>
      <c r="I21" s="342">
        <f t="shared" si="0"/>
      </c>
      <c r="J21" s="343">
        <f t="shared" si="17"/>
      </c>
      <c r="K21" s="344">
        <f t="shared" si="139"/>
      </c>
      <c r="L21" s="341">
        <f t="shared" si="171"/>
      </c>
      <c r="M21" s="345">
        <f t="shared" si="204"/>
      </c>
      <c r="N21" s="345">
        <f t="shared" si="221"/>
      </c>
      <c r="O21" s="345">
        <f t="shared" si="268"/>
      </c>
      <c r="P21" s="345">
        <f t="shared" si="85"/>
      </c>
      <c r="Q21" s="341">
        <f t="shared" si="117"/>
      </c>
      <c r="R21" s="343">
        <f t="shared" si="119"/>
      </c>
      <c r="S21" s="345">
        <f t="shared" si="121"/>
      </c>
      <c r="T21" s="345">
        <f t="shared" si="34"/>
      </c>
      <c r="U21" s="345">
        <f t="shared" si="51"/>
      </c>
      <c r="V21" s="345">
        <f t="shared" si="68"/>
      </c>
      <c r="W21" s="346" t="s">
        <v>181</v>
      </c>
      <c r="X21" s="347" t="s">
        <v>182</v>
      </c>
      <c r="Y21" s="348">
        <v>140100</v>
      </c>
      <c r="Z21" s="348">
        <v>6144</v>
      </c>
      <c r="AA21" s="348">
        <v>124960</v>
      </c>
      <c r="AB21" s="348">
        <v>1069</v>
      </c>
      <c r="AC21" s="349">
        <v>4</v>
      </c>
      <c r="AD21" s="348">
        <v>27094</v>
      </c>
      <c r="AE21" s="350">
        <v>400</v>
      </c>
      <c r="AF21" s="350">
        <v>176</v>
      </c>
      <c r="AG21" s="350">
        <v>12</v>
      </c>
      <c r="AH21" s="349">
        <v>1</v>
      </c>
    </row>
    <row r="22">
      <c r="A22" s="334"/>
      <c r="B22" s="335" t="s">
        <v>188</v>
      </c>
      <c r="C22" s="336" t="s">
        <v>183</v>
      </c>
      <c r="D22" s="337">
        <v>1927.546</v>
      </c>
      <c r="E22" s="338">
        <v>14</v>
      </c>
      <c r="F22" s="339">
        <v>5991.6</v>
      </c>
      <c r="G22" s="340">
        <f t="shared" si="300"/>
      </c>
      <c r="H22" s="341">
        <f t="shared" si="318"/>
      </c>
      <c r="I22" s="342">
        <f t="shared" si="0"/>
      </c>
      <c r="J22" s="343">
        <f t="shared" si="17"/>
      </c>
      <c r="K22" s="344">
        <f t="shared" si="139"/>
      </c>
      <c r="L22" s="341">
        <f t="shared" si="171"/>
      </c>
      <c r="M22" s="345">
        <f t="shared" si="204"/>
      </c>
      <c r="N22" s="345">
        <f t="shared" si="221"/>
      </c>
      <c r="O22" s="345">
        <f t="shared" si="268"/>
      </c>
      <c r="P22" s="345">
        <f t="shared" si="85"/>
      </c>
      <c r="Q22" s="341">
        <f t="shared" si="117"/>
      </c>
      <c r="R22" s="343">
        <f t="shared" si="119"/>
      </c>
      <c r="S22" s="345">
        <f t="shared" si="121"/>
      </c>
      <c r="T22" s="345">
        <f t="shared" si="34"/>
      </c>
      <c r="U22" s="345">
        <f t="shared" si="51"/>
      </c>
      <c r="V22" s="345">
        <f t="shared" si="68"/>
      </c>
      <c r="W22" s="346" t="s">
        <v>181</v>
      </c>
      <c r="X22" s="347" t="s">
        <v>182</v>
      </c>
      <c r="Y22" s="349">
        <v>213387</v>
      </c>
      <c r="Z22" s="348">
        <v>8399</v>
      </c>
      <c r="AA22" s="348">
        <v>147352</v>
      </c>
      <c r="AB22" s="348">
        <v>1527</v>
      </c>
      <c r="AC22" s="350">
        <v>10</v>
      </c>
      <c r="AD22" s="348">
        <v>30038</v>
      </c>
      <c r="AE22" s="350">
        <v>508</v>
      </c>
      <c r="AF22" s="350">
        <v>208</v>
      </c>
      <c r="AG22" s="349">
        <v>28</v>
      </c>
      <c r="AH22" s="349">
        <v>2</v>
      </c>
    </row>
    <row r="23">
      <c r="A23" s="334"/>
      <c r="B23" s="335" t="s">
        <v>188</v>
      </c>
      <c r="C23" s="351" t="s">
        <v>184</v>
      </c>
      <c r="D23" s="352">
        <v>3290.719</v>
      </c>
      <c r="E23" s="338">
        <v>10</v>
      </c>
      <c r="F23" s="339">
        <v>3977.5999999999985</v>
      </c>
      <c r="G23" s="340">
        <f t="shared" si="300"/>
      </c>
      <c r="H23" s="341">
        <f t="shared" si="318"/>
      </c>
      <c r="I23" s="342">
        <f t="shared" si="0"/>
      </c>
      <c r="J23" s="343">
        <f t="shared" si="17"/>
      </c>
      <c r="K23" s="344">
        <f t="shared" si="139"/>
      </c>
      <c r="L23" s="341">
        <f t="shared" si="171"/>
      </c>
      <c r="M23" s="345">
        <f t="shared" si="204"/>
      </c>
      <c r="N23" s="345">
        <f t="shared" si="221"/>
      </c>
      <c r="O23" s="345">
        <f t="shared" si="268"/>
      </c>
      <c r="P23" s="345">
        <f t="shared" si="85"/>
      </c>
      <c r="Q23" s="341">
        <f t="shared" si="117"/>
      </c>
      <c r="R23" s="343">
        <f t="shared" si="119"/>
      </c>
      <c r="S23" s="345">
        <f t="shared" si="121"/>
      </c>
      <c r="T23" s="345">
        <f t="shared" si="34"/>
      </c>
      <c r="U23" s="345">
        <f t="shared" si="51"/>
      </c>
      <c r="V23" s="345">
        <f t="shared" si="68"/>
      </c>
      <c r="W23" s="346" t="s">
        <v>181</v>
      </c>
      <c r="X23" s="347" t="s">
        <v>182</v>
      </c>
      <c r="Y23" s="350">
        <v>373733</v>
      </c>
      <c r="Z23" s="348">
        <v>14173</v>
      </c>
      <c r="AA23" s="348">
        <v>277932</v>
      </c>
      <c r="AB23" s="348">
        <v>2362</v>
      </c>
      <c r="AC23" s="350">
        <v>10</v>
      </c>
      <c r="AD23" s="348">
        <v>45090</v>
      </c>
      <c r="AE23" s="350">
        <v>734</v>
      </c>
      <c r="AF23" s="350">
        <v>398</v>
      </c>
      <c r="AG23" s="350">
        <v>46</v>
      </c>
      <c r="AH23" s="349">
        <v>1</v>
      </c>
    </row>
    <row r="24">
      <c r="A24" s="334"/>
      <c r="B24" s="335" t="s">
        <v>188</v>
      </c>
      <c r="C24" s="353" t="s">
        <v>185</v>
      </c>
      <c r="D24" s="354">
        <v>5025.095</v>
      </c>
      <c r="E24" s="355">
        <v>13</v>
      </c>
      <c r="F24" s="339">
        <v>5218.8</v>
      </c>
      <c r="G24" s="340">
        <f t="shared" si="300"/>
      </c>
      <c r="H24" s="341">
        <f t="shared" si="318"/>
      </c>
      <c r="I24" s="342">
        <f t="shared" si="0"/>
      </c>
      <c r="J24" s="343">
        <f t="shared" si="17"/>
      </c>
      <c r="K24" s="344">
        <f t="shared" si="139"/>
      </c>
      <c r="L24" s="341">
        <f t="shared" si="171"/>
      </c>
      <c r="M24" s="345">
        <f t="shared" si="204"/>
      </c>
      <c r="N24" s="345">
        <f t="shared" si="221"/>
      </c>
      <c r="O24" s="345">
        <f t="shared" si="268"/>
      </c>
      <c r="P24" s="345">
        <f t="shared" si="85"/>
      </c>
      <c r="Q24" s="341">
        <f t="shared" si="117"/>
      </c>
      <c r="R24" s="343">
        <f t="shared" si="119"/>
      </c>
      <c r="S24" s="345">
        <f t="shared" si="121"/>
      </c>
      <c r="T24" s="345">
        <f t="shared" si="34"/>
      </c>
      <c r="U24" s="345">
        <f t="shared" si="51"/>
      </c>
      <c r="V24" s="345">
        <f t="shared" si="68"/>
      </c>
      <c r="W24" s="340" t="s">
        <v>181</v>
      </c>
      <c r="X24" s="347" t="s">
        <v>182</v>
      </c>
      <c r="Y24" s="350">
        <v>618278</v>
      </c>
      <c r="Z24" s="350">
        <v>26196</v>
      </c>
      <c r="AA24" s="350">
        <v>529409</v>
      </c>
      <c r="AB24" s="350">
        <v>3297</v>
      </c>
      <c r="AC24" s="350">
        <v>12</v>
      </c>
      <c r="AD24" s="350">
        <v>72474</v>
      </c>
      <c r="AE24" s="350">
        <v>1197</v>
      </c>
      <c r="AF24" s="350">
        <v>712</v>
      </c>
      <c r="AG24" s="349">
        <v>59</v>
      </c>
      <c r="AH24" s="349">
        <v>2</v>
      </c>
    </row>
    <row r="25">
      <c r="A25" s="334"/>
      <c r="B25" s="335" t="s">
        <v>188</v>
      </c>
      <c r="C25" s="356" t="s">
        <v>186</v>
      </c>
      <c r="D25" s="357">
        <v>2943.751</v>
      </c>
      <c r="E25" s="358">
        <v>24</v>
      </c>
      <c r="F25" s="359">
        <v>8227.600000000002</v>
      </c>
      <c r="G25" s="340">
        <f t="shared" si="300"/>
      </c>
      <c r="H25" s="341">
        <f t="shared" si="318"/>
      </c>
      <c r="I25" s="342">
        <f t="shared" si="0"/>
      </c>
      <c r="J25" s="343">
        <f t="shared" si="17"/>
      </c>
      <c r="K25" s="344">
        <f t="shared" si="139"/>
      </c>
      <c r="L25" s="341">
        <f t="shared" si="171"/>
      </c>
      <c r="M25" s="345">
        <f t="shared" si="204"/>
      </c>
      <c r="N25" s="345">
        <f t="shared" si="221"/>
      </c>
      <c r="O25" s="345">
        <f t="shared" si="268"/>
      </c>
      <c r="P25" s="345">
        <f t="shared" si="85"/>
      </c>
      <c r="Q25" s="341">
        <f t="shared" si="117"/>
      </c>
      <c r="R25" s="343">
        <f t="shared" si="119"/>
      </c>
      <c r="S25" s="345">
        <f t="shared" si="121"/>
      </c>
      <c r="T25" s="345">
        <f t="shared" si="34"/>
      </c>
      <c r="U25" s="345">
        <f t="shared" si="51"/>
      </c>
      <c r="V25" s="345">
        <f t="shared" si="68"/>
      </c>
      <c r="W25" s="360" t="s">
        <v>181</v>
      </c>
      <c r="X25" s="347" t="s">
        <v>182</v>
      </c>
      <c r="Y25" s="350">
        <v>363931</v>
      </c>
      <c r="Z25" s="350">
        <v>15400</v>
      </c>
      <c r="AA25" s="350">
        <v>281909</v>
      </c>
      <c r="AB25" s="350">
        <v>1923</v>
      </c>
      <c r="AC25" s="350">
        <v>18</v>
      </c>
      <c r="AD25" s="350">
        <v>39605</v>
      </c>
      <c r="AE25" s="350">
        <v>765</v>
      </c>
      <c r="AF25" s="350">
        <v>377</v>
      </c>
      <c r="AG25" s="349">
        <v>46</v>
      </c>
      <c r="AH25" s="349">
        <v>3</v>
      </c>
    </row>
    <row r="26">
      <c r="A26" s="334"/>
      <c r="B26" s="361" t="s">
        <v>187</v>
      </c>
      <c r="C26" s="361"/>
      <c r="D26" s="362">
        <f>SUM(D21:D25)</f>
      </c>
      <c r="E26" s="363">
        <f>SUM(E21:E25)</f>
      </c>
      <c r="F26" s="362">
        <f>SUM(F21:F25)</f>
      </c>
      <c r="G26" s="362">
        <f t="shared" si="300"/>
      </c>
      <c r="H26" s="364">
        <f t="shared" si="318"/>
      </c>
      <c r="I26" s="365">
        <f t="shared" si="0"/>
      </c>
      <c r="J26" s="366">
        <f t="shared" si="17"/>
      </c>
      <c r="K26" s="367">
        <f t="shared" si="139"/>
      </c>
      <c r="L26" s="364">
        <f t="shared" si="171"/>
      </c>
      <c r="M26" s="368">
        <f t="shared" si="204"/>
      </c>
      <c r="N26" s="368">
        <f t="shared" si="221"/>
      </c>
      <c r="O26" s="368">
        <f t="shared" si="268"/>
      </c>
      <c r="P26" s="368">
        <f t="shared" si="85"/>
      </c>
      <c r="Q26" s="364">
        <f t="shared" si="117"/>
      </c>
      <c r="R26" s="366">
        <f t="shared" si="119"/>
      </c>
      <c r="S26" s="368">
        <f t="shared" si="121"/>
      </c>
      <c r="T26" s="368">
        <f t="shared" si="34"/>
      </c>
      <c r="U26" s="368">
        <f t="shared" si="51"/>
      </c>
      <c r="V26" s="368">
        <f t="shared" si="68"/>
      </c>
      <c r="W26" s="368"/>
      <c r="X26" s="369"/>
      <c r="Y26" s="362">
        <f>SUM(Y21:Y25)</f>
      </c>
      <c r="Z26" s="362">
        <f>SUM(Z21:Z25)</f>
      </c>
      <c r="AA26" s="362">
        <f>SUM(AA21:AA25)</f>
      </c>
      <c r="AB26" s="362">
        <f>SUM(AB21:AB25)</f>
      </c>
      <c r="AC26" s="362">
        <f>SUM(AC21:AC25)</f>
      </c>
      <c r="AD26" s="362">
        <f>SUM(AD21:AD25)</f>
      </c>
      <c r="AE26" s="362">
        <f>SUM(AE21:AE25)</f>
      </c>
      <c r="AF26" s="362">
        <f>SUM(AF21:AF25)</f>
      </c>
      <c r="AG26" s="362">
        <f>SUM(AG21:AG25)</f>
      </c>
      <c r="AH26" s="362">
        <f>SUM(AH21:AH25)</f>
      </c>
    </row>
    <row r="27">
      <c r="A27" s="334"/>
      <c r="B27" s="376" t="s">
        <v>195</v>
      </c>
      <c r="C27" s="370" t="s">
        <v>189</v>
      </c>
      <c r="D27" s="371">
        <v>2872.647</v>
      </c>
      <c r="E27" s="338">
        <v>12</v>
      </c>
      <c r="F27" s="339">
        <v>4492.799999999992</v>
      </c>
      <c r="G27" s="340">
        <f t="shared" si="300"/>
      </c>
      <c r="H27" s="341">
        <f t="shared" si="318"/>
      </c>
      <c r="I27" s="342">
        <f t="shared" si="0"/>
      </c>
      <c r="J27" s="343">
        <f t="shared" si="17"/>
      </c>
      <c r="K27" s="344">
        <f t="shared" si="139"/>
      </c>
      <c r="L27" s="341">
        <f t="shared" si="171"/>
      </c>
      <c r="M27" s="345">
        <f t="shared" si="204"/>
      </c>
      <c r="N27" s="345">
        <f t="shared" si="221"/>
      </c>
      <c r="O27" s="345">
        <f t="shared" si="268"/>
      </c>
      <c r="P27" s="345">
        <f t="shared" si="85"/>
      </c>
      <c r="Q27" s="341">
        <f t="shared" si="117"/>
      </c>
      <c r="R27" s="343">
        <f t="shared" si="119"/>
      </c>
      <c r="S27" s="345">
        <f t="shared" si="121"/>
      </c>
      <c r="T27" s="345">
        <f t="shared" si="34"/>
      </c>
      <c r="U27" s="345">
        <f t="shared" si="51"/>
      </c>
      <c r="V27" s="345">
        <f t="shared" si="68"/>
      </c>
      <c r="W27" s="360" t="s">
        <v>181</v>
      </c>
      <c r="X27" s="347" t="s">
        <v>182</v>
      </c>
      <c r="Y27" s="348">
        <v>354917</v>
      </c>
      <c r="Z27" s="348">
        <v>18353</v>
      </c>
      <c r="AA27" s="348">
        <v>279014</v>
      </c>
      <c r="AB27" s="350">
        <v>1784</v>
      </c>
      <c r="AC27" s="350">
        <v>11</v>
      </c>
      <c r="AD27" s="348">
        <v>30755</v>
      </c>
      <c r="AE27" s="350">
        <v>584</v>
      </c>
      <c r="AF27" s="350">
        <v>316</v>
      </c>
      <c r="AG27" s="350">
        <v>32</v>
      </c>
      <c r="AH27" s="349">
        <v>2</v>
      </c>
    </row>
    <row r="28">
      <c r="A28" s="334"/>
      <c r="B28" s="376" t="s">
        <v>195</v>
      </c>
      <c r="C28" s="372" t="s">
        <v>190</v>
      </c>
      <c r="D28" s="371">
        <v>2446.816</v>
      </c>
      <c r="E28" s="358">
        <v>8</v>
      </c>
      <c r="F28" s="359">
        <v>3585.6000000000095</v>
      </c>
      <c r="G28" s="340">
        <f t="shared" si="300"/>
      </c>
      <c r="H28" s="341">
        <f t="shared" si="318"/>
      </c>
      <c r="I28" s="342">
        <f t="shared" si="0"/>
      </c>
      <c r="J28" s="343">
        <f t="shared" si="17"/>
      </c>
      <c r="K28" s="344">
        <f t="shared" si="139"/>
      </c>
      <c r="L28" s="341">
        <f t="shared" si="171"/>
      </c>
      <c r="M28" s="345">
        <f t="shared" si="204"/>
      </c>
      <c r="N28" s="345">
        <f t="shared" si="221"/>
      </c>
      <c r="O28" s="345">
        <f t="shared" si="268"/>
      </c>
      <c r="P28" s="345">
        <f t="shared" si="85"/>
      </c>
      <c r="Q28" s="341">
        <f t="shared" si="117"/>
      </c>
      <c r="R28" s="343">
        <f t="shared" si="119"/>
      </c>
      <c r="S28" s="345">
        <f t="shared" si="121"/>
      </c>
      <c r="T28" s="345">
        <f t="shared" si="34"/>
      </c>
      <c r="U28" s="345">
        <f t="shared" si="51"/>
      </c>
      <c r="V28" s="345">
        <f t="shared" si="68"/>
      </c>
      <c r="W28" s="360" t="s">
        <v>181</v>
      </c>
      <c r="X28" s="347" t="s">
        <v>182</v>
      </c>
      <c r="Y28" s="350">
        <v>303445</v>
      </c>
      <c r="Z28" s="350">
        <v>18292</v>
      </c>
      <c r="AA28" s="350">
        <v>200372</v>
      </c>
      <c r="AB28" s="350">
        <v>1470</v>
      </c>
      <c r="AC28" s="350">
        <v>8</v>
      </c>
      <c r="AD28" s="350">
        <v>22115</v>
      </c>
      <c r="AE28" s="350">
        <v>465</v>
      </c>
      <c r="AF28" s="350">
        <v>277</v>
      </c>
      <c r="AG28" s="350">
        <v>23</v>
      </c>
      <c r="AH28" s="349">
        <v>1</v>
      </c>
    </row>
    <row r="29">
      <c r="A29" s="334"/>
      <c r="B29" s="376" t="s">
        <v>195</v>
      </c>
      <c r="C29" s="373" t="s">
        <v>191</v>
      </c>
      <c r="D29" s="371">
        <v>2396.553</v>
      </c>
      <c r="E29" s="358">
        <v>7</v>
      </c>
      <c r="F29" s="359">
        <v>3829.7999999999956</v>
      </c>
      <c r="G29" s="340">
        <f t="shared" si="300"/>
      </c>
      <c r="H29" s="341">
        <f t="shared" si="318"/>
      </c>
      <c r="I29" s="342">
        <f t="shared" si="0"/>
      </c>
      <c r="J29" s="343">
        <f t="shared" si="17"/>
      </c>
      <c r="K29" s="344">
        <f t="shared" si="139"/>
      </c>
      <c r="L29" s="341">
        <f t="shared" si="171"/>
      </c>
      <c r="M29" s="345">
        <f t="shared" si="204"/>
      </c>
      <c r="N29" s="345">
        <f t="shared" si="221"/>
      </c>
      <c r="O29" s="345">
        <f t="shared" si="268"/>
      </c>
      <c r="P29" s="345">
        <f t="shared" si="85"/>
      </c>
      <c r="Q29" s="341">
        <f t="shared" si="117"/>
      </c>
      <c r="R29" s="343">
        <f t="shared" si="119"/>
      </c>
      <c r="S29" s="345">
        <f t="shared" si="121"/>
      </c>
      <c r="T29" s="345">
        <f t="shared" si="34"/>
      </c>
      <c r="U29" s="345">
        <f t="shared" si="51"/>
      </c>
      <c r="V29" s="345">
        <f t="shared" si="68"/>
      </c>
      <c r="W29" s="360" t="s">
        <v>181</v>
      </c>
      <c r="X29" s="347" t="s">
        <v>182</v>
      </c>
      <c r="Y29" s="350">
        <v>276522</v>
      </c>
      <c r="Z29" s="350">
        <v>18801</v>
      </c>
      <c r="AA29" s="350">
        <v>194962</v>
      </c>
      <c r="AB29" s="350">
        <v>1359</v>
      </c>
      <c r="AC29" s="350">
        <v>4</v>
      </c>
      <c r="AD29" s="350">
        <v>23665</v>
      </c>
      <c r="AE29" s="350">
        <v>527</v>
      </c>
      <c r="AF29" s="350">
        <v>298</v>
      </c>
      <c r="AG29" s="349">
        <v>26</v>
      </c>
      <c r="AH29" s="349">
        <v>0</v>
      </c>
    </row>
    <row r="30">
      <c r="A30" s="334"/>
      <c r="B30" s="376" t="s">
        <v>195</v>
      </c>
      <c r="C30" s="374" t="s">
        <v>192</v>
      </c>
      <c r="D30" s="371">
        <v>2364.784</v>
      </c>
      <c r="E30" s="358">
        <v>5</v>
      </c>
      <c r="F30" s="359">
        <v>1676</v>
      </c>
      <c r="G30" s="340">
        <f t="shared" si="300"/>
      </c>
      <c r="H30" s="341">
        <f t="shared" si="318"/>
      </c>
      <c r="I30" s="342">
        <f t="shared" si="0"/>
      </c>
      <c r="J30" s="343">
        <f t="shared" si="17"/>
      </c>
      <c r="K30" s="344">
        <f t="shared" si="139"/>
      </c>
      <c r="L30" s="341">
        <f t="shared" si="171"/>
      </c>
      <c r="M30" s="345">
        <f t="shared" si="204"/>
      </c>
      <c r="N30" s="345">
        <f t="shared" si="221"/>
      </c>
      <c r="O30" s="345">
        <f t="shared" si="268"/>
      </c>
      <c r="P30" s="345">
        <f t="shared" si="85"/>
      </c>
      <c r="Q30" s="341">
        <f t="shared" si="117"/>
      </c>
      <c r="R30" s="343">
        <f t="shared" si="119"/>
      </c>
      <c r="S30" s="345">
        <f t="shared" si="121"/>
      </c>
      <c r="T30" s="345">
        <f t="shared" si="34"/>
      </c>
      <c r="U30" s="345">
        <f t="shared" si="51"/>
      </c>
      <c r="V30" s="345">
        <f t="shared" si="68"/>
      </c>
      <c r="W30" s="360" t="s">
        <v>181</v>
      </c>
      <c r="X30" s="347" t="s">
        <v>202</v>
      </c>
      <c r="Y30" s="350">
        <v>290448</v>
      </c>
      <c r="Z30" s="350">
        <v>19458</v>
      </c>
      <c r="AA30" s="350">
        <v>192975</v>
      </c>
      <c r="AB30" s="350">
        <v>1324</v>
      </c>
      <c r="AC30" s="350">
        <v>5</v>
      </c>
      <c r="AD30" s="350">
        <v>23993</v>
      </c>
      <c r="AE30" s="350">
        <v>527</v>
      </c>
      <c r="AF30" s="350">
        <v>265</v>
      </c>
      <c r="AG30" s="349">
        <v>25</v>
      </c>
      <c r="AH30" s="349">
        <v>0</v>
      </c>
    </row>
    <row r="31">
      <c r="A31" s="334"/>
      <c r="B31" s="376" t="s">
        <v>195</v>
      </c>
      <c r="C31" s="375" t="s">
        <v>194</v>
      </c>
      <c r="D31" s="371">
        <v>2044.029</v>
      </c>
      <c r="E31" s="358">
        <v>1</v>
      </c>
      <c r="F31" s="359">
        <v>228</v>
      </c>
      <c r="G31" s="340">
        <f t="shared" si="300"/>
      </c>
      <c r="H31" s="341">
        <f t="shared" si="318"/>
      </c>
      <c r="I31" s="342">
        <f t="shared" si="0"/>
      </c>
      <c r="J31" s="343">
        <f t="shared" si="17"/>
      </c>
      <c r="K31" s="344">
        <f t="shared" si="139"/>
      </c>
      <c r="L31" s="341">
        <f t="shared" si="171"/>
      </c>
      <c r="M31" s="345">
        <f t="shared" si="204"/>
      </c>
      <c r="N31" s="345">
        <f t="shared" si="221"/>
      </c>
      <c r="O31" s="345">
        <f t="shared" si="268"/>
      </c>
      <c r="P31" s="345">
        <f t="shared" si="85"/>
      </c>
      <c r="Q31" s="341">
        <f t="shared" si="117"/>
      </c>
      <c r="R31" s="343">
        <f t="shared" si="119"/>
      </c>
      <c r="S31" s="345">
        <f t="shared" si="121"/>
      </c>
      <c r="T31" s="345">
        <f t="shared" si="34"/>
      </c>
      <c r="U31" s="345">
        <f t="shared" si="51"/>
      </c>
      <c r="V31" s="345">
        <f t="shared" si="68"/>
      </c>
      <c r="W31" s="360" t="s">
        <v>181</v>
      </c>
      <c r="X31" s="347" t="s">
        <v>202</v>
      </c>
      <c r="Y31" s="350">
        <v>273291</v>
      </c>
      <c r="Z31" s="350">
        <v>17742</v>
      </c>
      <c r="AA31" s="350">
        <v>188868</v>
      </c>
      <c r="AB31" s="350">
        <v>1238</v>
      </c>
      <c r="AC31" s="350">
        <v>1</v>
      </c>
      <c r="AD31" s="350">
        <v>24448</v>
      </c>
      <c r="AE31" s="350">
        <v>493</v>
      </c>
      <c r="AF31" s="350">
        <v>265</v>
      </c>
      <c r="AG31" s="349">
        <v>31</v>
      </c>
      <c r="AH31" s="349">
        <v>0</v>
      </c>
    </row>
    <row r="32">
      <c r="A32" s="334"/>
      <c r="B32" s="361" t="s">
        <v>187</v>
      </c>
      <c r="C32" s="361"/>
      <c r="D32" s="362">
        <f>SUM(D27:D31)</f>
      </c>
      <c r="E32" s="362">
        <f>SUM(E27:E31)</f>
      </c>
      <c r="F32" s="362">
        <f>SUM(F27:F31)</f>
      </c>
      <c r="G32" s="362">
        <f t="shared" si="300"/>
      </c>
      <c r="H32" s="364">
        <f t="shared" si="318"/>
      </c>
      <c r="I32" s="365">
        <f t="shared" si="0"/>
      </c>
      <c r="J32" s="366">
        <f t="shared" si="17"/>
      </c>
      <c r="K32" s="367">
        <f t="shared" si="139"/>
      </c>
      <c r="L32" s="364">
        <f t="shared" si="171"/>
      </c>
      <c r="M32" s="368">
        <f t="shared" si="204"/>
      </c>
      <c r="N32" s="368">
        <f t="shared" si="221"/>
      </c>
      <c r="O32" s="368">
        <f t="shared" si="268"/>
      </c>
      <c r="P32" s="368">
        <f t="shared" si="85"/>
      </c>
      <c r="Q32" s="364">
        <f t="shared" si="117"/>
      </c>
      <c r="R32" s="366">
        <f t="shared" si="119"/>
      </c>
      <c r="S32" s="368">
        <f t="shared" si="121"/>
      </c>
      <c r="T32" s="368">
        <f t="shared" si="34"/>
      </c>
      <c r="U32" s="368">
        <f t="shared" si="51"/>
      </c>
      <c r="V32" s="368">
        <f t="shared" si="68"/>
      </c>
      <c r="W32" s="368"/>
      <c r="X32" s="369"/>
      <c r="Y32" s="362">
        <f>SUM(Y27:Y31)</f>
      </c>
      <c r="Z32" s="362">
        <f>SUM(Z27:Z31)</f>
      </c>
      <c r="AA32" s="362">
        <f>SUM(AA27:AA31)</f>
      </c>
      <c r="AB32" s="362">
        <f>SUM(AB27:AB31)</f>
      </c>
      <c r="AC32" s="362">
        <f>SUM(AC27:AC31)</f>
      </c>
      <c r="AD32" s="362">
        <f>SUM(AD27:AD31)</f>
      </c>
      <c r="AE32" s="362">
        <f>SUM(AE27:AE31)</f>
      </c>
      <c r="AF32" s="362">
        <f>SUM(AF27:AF31)</f>
      </c>
      <c r="AG32" s="362">
        <f>SUM(AG27:AG31)</f>
      </c>
      <c r="AH32" s="362">
        <f>SUM(AH27:AH31)</f>
      </c>
    </row>
    <row r="33">
      <c r="A33" s="334"/>
      <c r="B33" s="400" t="s">
        <v>203</v>
      </c>
      <c r="C33" s="373" t="s">
        <v>196</v>
      </c>
      <c r="D33" s="377">
        <v>2186.239</v>
      </c>
      <c r="E33" s="378">
        <v>6</v>
      </c>
      <c r="F33" s="359">
        <v>3157.2000000000044</v>
      </c>
      <c r="G33" s="340">
        <f t="shared" si="300"/>
      </c>
      <c r="H33" s="341">
        <f t="shared" si="318"/>
      </c>
      <c r="I33" s="342">
        <f t="shared" si="0"/>
      </c>
      <c r="J33" s="343">
        <f t="shared" si="17"/>
      </c>
      <c r="K33" s="344">
        <f t="shared" si="139"/>
      </c>
      <c r="L33" s="341">
        <f t="shared" si="171"/>
      </c>
      <c r="M33" s="345">
        <f t="shared" si="204"/>
      </c>
      <c r="N33" s="345">
        <f t="shared" si="221"/>
      </c>
      <c r="O33" s="345">
        <f t="shared" si="268"/>
      </c>
      <c r="P33" s="345">
        <f t="shared" si="85"/>
      </c>
      <c r="Q33" s="341">
        <f t="shared" si="117"/>
      </c>
      <c r="R33" s="343">
        <f t="shared" si="119"/>
      </c>
      <c r="S33" s="345">
        <f t="shared" si="121"/>
      </c>
      <c r="T33" s="345">
        <f t="shared" si="34"/>
      </c>
      <c r="U33" s="345">
        <f t="shared" si="51"/>
      </c>
      <c r="V33" s="345">
        <f t="shared" si="68"/>
      </c>
      <c r="W33" s="360" t="s">
        <v>181</v>
      </c>
      <c r="X33" s="347" t="s">
        <v>202</v>
      </c>
      <c r="Y33" s="350">
        <v>235384</v>
      </c>
      <c r="Z33" s="350">
        <v>12322</v>
      </c>
      <c r="AA33" s="350">
        <v>181301</v>
      </c>
      <c r="AB33" s="350">
        <v>1057</v>
      </c>
      <c r="AC33" s="350">
        <v>7</v>
      </c>
      <c r="AD33" s="350">
        <v>24143</v>
      </c>
      <c r="AE33" s="350">
        <v>451</v>
      </c>
      <c r="AF33" s="350">
        <v>221</v>
      </c>
      <c r="AG33" s="350">
        <v>11</v>
      </c>
      <c r="AH33" s="349">
        <v>1</v>
      </c>
    </row>
    <row r="34">
      <c r="A34" s="334"/>
      <c r="B34" s="400" t="s">
        <v>203</v>
      </c>
      <c r="C34" s="373" t="s">
        <v>197</v>
      </c>
      <c r="D34" s="377">
        <v>2200.12</v>
      </c>
      <c r="E34" s="378">
        <v>6</v>
      </c>
      <c r="F34" s="359">
        <v>1957.199999999997</v>
      </c>
      <c r="G34" s="340">
        <f t="shared" si="300"/>
      </c>
      <c r="H34" s="341">
        <f t="shared" si="318"/>
      </c>
      <c r="I34" s="342">
        <f t="shared" si="0"/>
      </c>
      <c r="J34" s="343">
        <f t="shared" si="17"/>
      </c>
      <c r="K34" s="344">
        <f t="shared" si="139"/>
      </c>
      <c r="L34" s="341">
        <f t="shared" si="171"/>
      </c>
      <c r="M34" s="345">
        <f t="shared" si="204"/>
      </c>
      <c r="N34" s="345">
        <f t="shared" si="221"/>
      </c>
      <c r="O34" s="345">
        <f t="shared" si="268"/>
      </c>
      <c r="P34" s="345">
        <f t="shared" si="85"/>
      </c>
      <c r="Q34" s="341">
        <f t="shared" si="117"/>
      </c>
      <c r="R34" s="343">
        <f t="shared" si="119"/>
      </c>
      <c r="S34" s="345">
        <f t="shared" si="121"/>
      </c>
      <c r="T34" s="345">
        <f t="shared" si="34"/>
      </c>
      <c r="U34" s="345">
        <f t="shared" si="51"/>
      </c>
      <c r="V34" s="345">
        <f t="shared" si="68"/>
      </c>
      <c r="W34" s="360" t="s">
        <v>181</v>
      </c>
      <c r="X34" s="347" t="s">
        <v>202</v>
      </c>
      <c r="Y34" s="350">
        <v>235862</v>
      </c>
      <c r="Z34" s="350">
        <v>8919</v>
      </c>
      <c r="AA34" s="350">
        <v>192774</v>
      </c>
      <c r="AB34" s="350">
        <v>1174</v>
      </c>
      <c r="AC34" s="350">
        <v>5</v>
      </c>
      <c r="AD34" s="350">
        <v>24829</v>
      </c>
      <c r="AE34" s="350">
        <v>397</v>
      </c>
      <c r="AF34" s="350">
        <v>197</v>
      </c>
      <c r="AG34" s="349">
        <v>20</v>
      </c>
      <c r="AH34" s="349">
        <v>1</v>
      </c>
    </row>
    <row r="35">
      <c r="A35" s="334"/>
      <c r="B35" s="400" t="s">
        <v>203</v>
      </c>
      <c r="C35" s="374" t="s">
        <v>198</v>
      </c>
      <c r="D35" s="377">
        <v>2797.489</v>
      </c>
      <c r="E35" s="378">
        <v>8</v>
      </c>
      <c r="F35" s="359">
        <v>2284.800000000003</v>
      </c>
      <c r="G35" s="340">
        <f t="shared" si="300"/>
      </c>
      <c r="H35" s="341">
        <f t="shared" si="318"/>
      </c>
      <c r="I35" s="342">
        <f t="shared" si="0"/>
      </c>
      <c r="J35" s="343">
        <f t="shared" si="17"/>
      </c>
      <c r="K35" s="344">
        <f t="shared" si="139"/>
      </c>
      <c r="L35" s="341">
        <f t="shared" si="171"/>
      </c>
      <c r="M35" s="345">
        <f t="shared" si="204"/>
      </c>
      <c r="N35" s="345">
        <f t="shared" si="221"/>
      </c>
      <c r="O35" s="345">
        <f t="shared" si="268"/>
      </c>
      <c r="P35" s="345">
        <f t="shared" si="85"/>
      </c>
      <c r="Q35" s="341">
        <f t="shared" si="117"/>
      </c>
      <c r="R35" s="343">
        <f t="shared" si="119"/>
      </c>
      <c r="S35" s="345">
        <f t="shared" si="121"/>
      </c>
      <c r="T35" s="345">
        <f t="shared" si="34"/>
      </c>
      <c r="U35" s="345">
        <f t="shared" si="51"/>
      </c>
      <c r="V35" s="345">
        <f t="shared" si="68"/>
      </c>
      <c r="W35" s="360" t="s">
        <v>181</v>
      </c>
      <c r="X35" s="347" t="s">
        <v>202</v>
      </c>
      <c r="Y35" s="350">
        <v>327329</v>
      </c>
      <c r="Z35" s="350">
        <v>9783</v>
      </c>
      <c r="AA35" s="350">
        <v>268120</v>
      </c>
      <c r="AB35" s="350">
        <v>1470</v>
      </c>
      <c r="AC35" s="350">
        <v>6</v>
      </c>
      <c r="AD35" s="350">
        <v>32918</v>
      </c>
      <c r="AE35" s="350">
        <v>599</v>
      </c>
      <c r="AF35" s="350">
        <v>278</v>
      </c>
      <c r="AG35" s="349">
        <v>22</v>
      </c>
      <c r="AH35" s="349">
        <v>2</v>
      </c>
    </row>
    <row r="36">
      <c r="A36" s="334"/>
      <c r="B36" s="400" t="s">
        <v>203</v>
      </c>
      <c r="C36" s="373" t="s">
        <v>199</v>
      </c>
      <c r="D36" s="379">
        <v>1916.147</v>
      </c>
      <c r="E36" s="338">
        <v>9</v>
      </c>
      <c r="F36" s="339">
        <v>3641.199999999997</v>
      </c>
      <c r="G36" s="340">
        <f t="shared" si="300"/>
      </c>
      <c r="H36" s="341">
        <f t="shared" si="318"/>
      </c>
      <c r="I36" s="380">
        <f t="shared" si="0"/>
      </c>
      <c r="J36" s="381">
        <f t="shared" si="17"/>
      </c>
      <c r="K36" s="382">
        <f t="shared" ref="K36:K37" si="303">D36/AB36</f>
      </c>
      <c r="L36" s="383">
        <f t="shared" si="171"/>
      </c>
      <c r="M36" s="384">
        <f t="shared" ref="M36:M37" si="321">AC36/AB36</f>
      </c>
      <c r="N36" s="384">
        <f t="shared" si="221"/>
      </c>
      <c r="O36" s="384">
        <f t="shared" si="268"/>
      </c>
      <c r="P36" s="384">
        <f t="shared" si="85"/>
      </c>
      <c r="Q36" s="383">
        <f t="shared" si="117"/>
      </c>
      <c r="R36" s="381">
        <f t="shared" si="119"/>
      </c>
      <c r="S36" s="384">
        <f t="shared" si="121"/>
      </c>
      <c r="T36" s="384">
        <f t="shared" si="34"/>
      </c>
      <c r="U36" s="384">
        <f t="shared" si="51"/>
      </c>
      <c r="V36" s="384">
        <f t="shared" si="68"/>
      </c>
      <c r="W36" s="360" t="s">
        <v>181</v>
      </c>
      <c r="X36" s="347" t="s">
        <v>202</v>
      </c>
      <c r="Y36" s="350">
        <v>254038</v>
      </c>
      <c r="Z36" s="350">
        <v>6908</v>
      </c>
      <c r="AA36" s="350">
        <v>217038</v>
      </c>
      <c r="AB36" s="385">
        <v>1245</v>
      </c>
      <c r="AC36" s="385">
        <v>11</v>
      </c>
      <c r="AD36" s="385">
        <v>27163</v>
      </c>
      <c r="AE36" s="385">
        <v>416</v>
      </c>
      <c r="AF36" s="385">
        <v>213</v>
      </c>
      <c r="AG36" s="385">
        <v>23</v>
      </c>
      <c r="AH36" s="349">
        <v>1</v>
      </c>
    </row>
    <row r="37">
      <c r="A37" s="334"/>
      <c r="B37" s="400" t="s">
        <v>203</v>
      </c>
      <c r="C37" s="386" t="s">
        <v>200</v>
      </c>
      <c r="D37" s="377">
        <v>1910.622</v>
      </c>
      <c r="E37" s="378">
        <v>7</v>
      </c>
      <c r="F37" s="359">
        <v>2131.5999999999985</v>
      </c>
      <c r="G37" s="340">
        <f t="shared" si="300"/>
      </c>
      <c r="H37" s="341">
        <f t="shared" si="318"/>
      </c>
      <c r="I37" s="380">
        <f t="shared" si="0"/>
      </c>
      <c r="J37" s="381">
        <f t="shared" si="17"/>
      </c>
      <c r="K37" s="382">
        <f t="shared" si="303"/>
      </c>
      <c r="L37" s="383">
        <f t="shared" si="171"/>
      </c>
      <c r="M37" s="384">
        <f t="shared" si="321"/>
      </c>
      <c r="N37" s="384">
        <f t="shared" si="221"/>
      </c>
      <c r="O37" s="384">
        <f t="shared" si="268"/>
      </c>
      <c r="P37" s="384">
        <f t="shared" si="85"/>
      </c>
      <c r="Q37" s="383">
        <f t="shared" si="117"/>
      </c>
      <c r="R37" s="381">
        <f t="shared" si="119"/>
      </c>
      <c r="S37" s="384">
        <f t="shared" si="121"/>
      </c>
      <c r="T37" s="384">
        <f t="shared" si="34"/>
      </c>
      <c r="U37" s="384">
        <f t="shared" si="51"/>
      </c>
      <c r="V37" s="384">
        <f t="shared" si="68"/>
      </c>
      <c r="W37" s="360" t="s">
        <v>181</v>
      </c>
      <c r="X37" s="347" t="s">
        <v>202</v>
      </c>
      <c r="Y37" s="350">
        <v>220751</v>
      </c>
      <c r="Z37" s="350">
        <v>5356</v>
      </c>
      <c r="AA37" s="350">
        <v>222663</v>
      </c>
      <c r="AB37" s="350">
        <v>812</v>
      </c>
      <c r="AC37" s="350">
        <v>8</v>
      </c>
      <c r="AD37" s="350">
        <v>17787</v>
      </c>
      <c r="AE37" s="350">
        <v>318</v>
      </c>
      <c r="AF37" s="350">
        <v>141</v>
      </c>
      <c r="AG37" s="349">
        <v>28</v>
      </c>
      <c r="AH37" s="349">
        <v>1</v>
      </c>
    </row>
    <row r="38">
      <c r="A38" s="334"/>
      <c r="B38" s="387" t="s">
        <v>187</v>
      </c>
      <c r="C38" s="387"/>
      <c r="D38" s="362">
        <f>SUM(D33:D37)</f>
      </c>
      <c r="E38" s="362">
        <f>SUM(E33:E37)</f>
      </c>
      <c r="F38" s="362">
        <f>SUM(F33:F37)</f>
      </c>
      <c r="G38" s="362">
        <f t="shared" si="300"/>
      </c>
      <c r="H38" s="364">
        <f t="shared" si="318"/>
      </c>
      <c r="I38" s="365">
        <f t="shared" si="0"/>
      </c>
      <c r="J38" s="366">
        <f t="shared" si="17"/>
      </c>
      <c r="K38" s="367">
        <f t="shared" ref="K38:K54" si="140">D38/AA38</f>
      </c>
      <c r="L38" s="364">
        <f t="shared" si="171"/>
      </c>
      <c r="M38" s="368">
        <f t="shared" ref="M38:M54" si="205">AB38/AA38</f>
      </c>
      <c r="N38" s="368">
        <f t="shared" si="221"/>
      </c>
      <c r="O38" s="368">
        <f t="shared" si="268"/>
      </c>
      <c r="P38" s="368">
        <f t="shared" si="85"/>
      </c>
      <c r="Q38" s="364">
        <f t="shared" si="117"/>
      </c>
      <c r="R38" s="366">
        <f t="shared" si="119"/>
      </c>
      <c r="S38" s="368">
        <f t="shared" si="121"/>
      </c>
      <c r="T38" s="368">
        <f t="shared" si="34"/>
      </c>
      <c r="U38" s="368">
        <f t="shared" si="51"/>
      </c>
      <c r="V38" s="368">
        <f t="shared" si="68"/>
      </c>
      <c r="W38" s="368"/>
      <c r="X38" s="369"/>
      <c r="Y38" s="362">
        <f>SUM(Y33:Y37)</f>
      </c>
      <c r="Z38" s="362">
        <f>SUM(Z33:Z37)</f>
      </c>
      <c r="AA38" s="362">
        <f>SUM(AA33:AA37)</f>
      </c>
      <c r="AB38" s="362">
        <f>SUM(AB33:AB37)</f>
      </c>
      <c r="AC38" s="362">
        <f>SUM(AC33:AC37)</f>
      </c>
      <c r="AD38" s="362">
        <f>SUM(AD33:AD37)</f>
      </c>
      <c r="AE38" s="362">
        <f>SUM(AE33:AE37)</f>
      </c>
      <c r="AF38" s="362">
        <f>SUM(AF33:AF37)</f>
      </c>
      <c r="AG38" s="362">
        <f>SUM(AG33:AG37)</f>
      </c>
      <c r="AH38" s="362">
        <f>SUM(AH33:AH37)</f>
      </c>
    </row>
    <row r="39">
      <c r="A39" s="334"/>
      <c r="B39" s="388" t="s">
        <v>201</v>
      </c>
      <c r="C39" s="388"/>
      <c r="D39" s="389">
        <f>SUM(D26+D38+D32)</f>
      </c>
      <c r="E39" s="389">
        <f>SUM(E26+E38+E32)</f>
      </c>
      <c r="F39" s="389">
        <f>SUM(F26+F38+F32)</f>
      </c>
      <c r="G39" s="390">
        <f t="shared" si="300"/>
      </c>
      <c r="H39" s="391">
        <f t="shared" si="318"/>
      </c>
      <c r="I39" s="392">
        <f t="shared" si="0"/>
      </c>
      <c r="J39" s="393">
        <f t="shared" si="17"/>
      </c>
      <c r="K39" s="394">
        <f t="shared" si="140"/>
      </c>
      <c r="L39" s="394">
        <f t="shared" si="171"/>
      </c>
      <c r="M39" s="395">
        <f t="shared" si="205"/>
      </c>
      <c r="N39" s="395">
        <f t="shared" si="221"/>
      </c>
      <c r="O39" s="395">
        <f t="shared" si="268"/>
      </c>
      <c r="P39" s="395">
        <f t="shared" si="85"/>
      </c>
      <c r="Q39" s="396">
        <f t="shared" si="117"/>
      </c>
      <c r="R39" s="397">
        <f t="shared" si="119"/>
      </c>
      <c r="S39" s="398">
        <f t="shared" si="121"/>
      </c>
      <c r="T39" s="398">
        <f t="shared" si="34"/>
      </c>
      <c r="U39" s="398">
        <f t="shared" si="51"/>
      </c>
      <c r="V39" s="398">
        <f t="shared" si="68"/>
      </c>
      <c r="W39" s="398"/>
      <c r="X39" s="399"/>
      <c r="Y39" s="390">
        <f>SUM(Y38+Y26+Y32)</f>
      </c>
      <c r="Z39" s="390">
        <f>SUM(Z38+Z26+Z32)</f>
      </c>
      <c r="AA39" s="390">
        <f>SUM(AA38+AA26+AA32)</f>
      </c>
      <c r="AB39" s="390">
        <f>SUM(AB38+AB26+AB32)</f>
      </c>
      <c r="AC39" s="390">
        <f>SUM(AC38+AC26+AC32)</f>
      </c>
      <c r="AD39" s="390">
        <f>SUM(AD38+AD26+AD32)</f>
      </c>
      <c r="AE39" s="390">
        <f>SUM(AE38+AE26+AE32)</f>
      </c>
      <c r="AF39" s="390">
        <f>SUM(AF38+AF26+AF32)</f>
      </c>
      <c r="AG39" s="390">
        <f>SUM(AG38+AG26+AG32)</f>
      </c>
      <c r="AH39" s="390">
        <f>SUM(AH38+AH26+AH32)</f>
      </c>
    </row>
    <row r="40">
      <c r="A40" s="334">
        <v>46237</v>
      </c>
      <c r="B40" s="335" t="s">
        <v>188</v>
      </c>
      <c r="C40" s="336" t="s">
        <v>180</v>
      </c>
      <c r="D40" s="337">
        <v>1847.955</v>
      </c>
      <c r="E40" s="338">
        <v>8</v>
      </c>
      <c r="F40" s="339">
        <v>2349.2</v>
      </c>
      <c r="G40" s="340">
        <f t="shared" si="300"/>
      </c>
      <c r="H40" s="341">
        <f t="shared" si="318"/>
      </c>
      <c r="I40" s="342">
        <f t="shared" si="0"/>
      </c>
      <c r="J40" s="343">
        <f t="shared" si="17"/>
      </c>
      <c r="K40" s="344">
        <f t="shared" si="140"/>
      </c>
      <c r="L40" s="341">
        <f t="shared" si="171"/>
      </c>
      <c r="M40" s="345">
        <f t="shared" si="205"/>
      </c>
      <c r="N40" s="345">
        <f t="shared" si="221"/>
      </c>
      <c r="O40" s="345">
        <f t="shared" si="268"/>
      </c>
      <c r="P40" s="345">
        <f t="shared" si="85"/>
      </c>
      <c r="Q40" s="341">
        <f t="shared" si="117"/>
      </c>
      <c r="R40" s="343">
        <f t="shared" si="119"/>
      </c>
      <c r="S40" s="345">
        <f t="shared" si="121"/>
      </c>
      <c r="T40" s="345">
        <f t="shared" si="34"/>
      </c>
      <c r="U40" s="345">
        <f t="shared" si="51"/>
      </c>
      <c r="V40" s="345">
        <f t="shared" si="68"/>
      </c>
      <c r="W40" s="346" t="s">
        <v>181</v>
      </c>
      <c r="X40" s="347" t="s">
        <v>182</v>
      </c>
      <c r="Y40" s="348">
        <v>92171</v>
      </c>
      <c r="Z40" s="348">
        <v>4537</v>
      </c>
      <c r="AA40" s="348">
        <v>88911</v>
      </c>
      <c r="AB40" s="348">
        <v>885</v>
      </c>
      <c r="AC40" s="349">
        <v>5</v>
      </c>
      <c r="AD40" s="348">
        <v>21442</v>
      </c>
      <c r="AE40" s="350">
        <v>362</v>
      </c>
      <c r="AF40" s="350">
        <v>128</v>
      </c>
      <c r="AG40" s="350">
        <v>18</v>
      </c>
      <c r="AH40" s="349">
        <v>1</v>
      </c>
    </row>
    <row r="41">
      <c r="A41" s="334"/>
      <c r="B41" s="335" t="s">
        <v>188</v>
      </c>
      <c r="C41" s="336" t="s">
        <v>183</v>
      </c>
      <c r="D41" s="337">
        <v>1793.787</v>
      </c>
      <c r="E41" s="338">
        <v>6</v>
      </c>
      <c r="F41" s="339">
        <v>2141.2000000000007</v>
      </c>
      <c r="G41" s="340">
        <f t="shared" si="300"/>
      </c>
      <c r="H41" s="341">
        <f t="shared" si="318"/>
      </c>
      <c r="I41" s="342">
        <f t="shared" si="0"/>
      </c>
      <c r="J41" s="343">
        <f t="shared" si="17"/>
      </c>
      <c r="K41" s="344">
        <f t="shared" si="140"/>
      </c>
      <c r="L41" s="341">
        <f t="shared" si="171"/>
      </c>
      <c r="M41" s="345">
        <f t="shared" si="205"/>
      </c>
      <c r="N41" s="345">
        <f t="shared" si="221"/>
      </c>
      <c r="O41" s="345">
        <f t="shared" si="268"/>
      </c>
      <c r="P41" s="345">
        <f t="shared" si="85"/>
      </c>
      <c r="Q41" s="341">
        <f t="shared" si="117"/>
      </c>
      <c r="R41" s="343">
        <f t="shared" si="119"/>
      </c>
      <c r="S41" s="345">
        <f t="shared" si="121"/>
      </c>
      <c r="T41" s="345">
        <f t="shared" si="34"/>
      </c>
      <c r="U41" s="345">
        <f t="shared" si="51"/>
      </c>
      <c r="V41" s="345">
        <f t="shared" si="68"/>
      </c>
      <c r="W41" s="346" t="s">
        <v>181</v>
      </c>
      <c r="X41" s="347" t="s">
        <v>182</v>
      </c>
      <c r="Y41" s="349">
        <v>101350</v>
      </c>
      <c r="Z41" s="348">
        <v>4929</v>
      </c>
      <c r="AA41" s="348">
        <v>98856</v>
      </c>
      <c r="AB41" s="348">
        <v>1103</v>
      </c>
      <c r="AC41" s="350">
        <v>6</v>
      </c>
      <c r="AD41" s="348">
        <v>21825</v>
      </c>
      <c r="AE41" s="350">
        <v>387</v>
      </c>
      <c r="AF41" s="350">
        <v>122</v>
      </c>
      <c r="AG41" s="349">
        <v>23</v>
      </c>
      <c r="AH41" s="349">
        <v>1</v>
      </c>
    </row>
    <row r="42">
      <c r="A42" s="334"/>
      <c r="B42" s="335" t="s">
        <v>188</v>
      </c>
      <c r="C42" s="351" t="s">
        <v>184</v>
      </c>
      <c r="D42" s="352">
        <v>2646.515</v>
      </c>
      <c r="E42" s="338">
        <v>7</v>
      </c>
      <c r="F42" s="339">
        <v>1531.999999999999</v>
      </c>
      <c r="G42" s="340">
        <f t="shared" si="300"/>
      </c>
      <c r="H42" s="341">
        <f t="shared" si="318"/>
      </c>
      <c r="I42" s="342">
        <f t="shared" si="0"/>
      </c>
      <c r="J42" s="343">
        <f t="shared" si="17"/>
      </c>
      <c r="K42" s="344">
        <f t="shared" si="140"/>
      </c>
      <c r="L42" s="341">
        <f t="shared" si="171"/>
      </c>
      <c r="M42" s="345">
        <f t="shared" si="205"/>
      </c>
      <c r="N42" s="345">
        <f t="shared" si="221"/>
      </c>
      <c r="O42" s="345">
        <f t="shared" si="268"/>
      </c>
      <c r="P42" s="345">
        <f t="shared" si="85"/>
      </c>
      <c r="Q42" s="341">
        <f t="shared" si="117"/>
      </c>
      <c r="R42" s="343">
        <f t="shared" si="119"/>
      </c>
      <c r="S42" s="345">
        <f t="shared" si="121"/>
      </c>
      <c r="T42" s="345">
        <f t="shared" si="34"/>
      </c>
      <c r="U42" s="345">
        <f t="shared" si="51"/>
      </c>
      <c r="V42" s="345">
        <f t="shared" si="68"/>
      </c>
      <c r="W42" s="346" t="s">
        <v>181</v>
      </c>
      <c r="X42" s="347" t="s">
        <v>182</v>
      </c>
      <c r="Y42" s="350">
        <v>210940</v>
      </c>
      <c r="Z42" s="348">
        <v>9462</v>
      </c>
      <c r="AA42" s="348">
        <v>222292</v>
      </c>
      <c r="AB42" s="348">
        <v>1542</v>
      </c>
      <c r="AC42" s="350">
        <v>7</v>
      </c>
      <c r="AD42" s="348">
        <v>34504</v>
      </c>
      <c r="AE42" s="350">
        <v>653</v>
      </c>
      <c r="AF42" s="350">
        <v>298</v>
      </c>
      <c r="AG42" s="350">
        <v>29</v>
      </c>
      <c r="AH42" s="349">
        <v>0</v>
      </c>
    </row>
    <row r="43">
      <c r="A43" s="334"/>
      <c r="B43" s="335" t="s">
        <v>188</v>
      </c>
      <c r="C43" s="353" t="s">
        <v>185</v>
      </c>
      <c r="D43" s="354">
        <v>4544.207</v>
      </c>
      <c r="E43" s="355">
        <v>17</v>
      </c>
      <c r="F43" s="339">
        <v>5904.699999999999</v>
      </c>
      <c r="G43" s="340">
        <f t="shared" si="300"/>
      </c>
      <c r="H43" s="341">
        <f t="shared" si="318"/>
      </c>
      <c r="I43" s="342">
        <f t="shared" si="0"/>
      </c>
      <c r="J43" s="343">
        <f t="shared" si="17"/>
      </c>
      <c r="K43" s="344">
        <f t="shared" si="140"/>
      </c>
      <c r="L43" s="341">
        <f t="shared" si="171"/>
      </c>
      <c r="M43" s="345">
        <f t="shared" si="205"/>
      </c>
      <c r="N43" s="345">
        <f t="shared" si="221"/>
      </c>
      <c r="O43" s="345">
        <f t="shared" si="268"/>
      </c>
      <c r="P43" s="345">
        <f t="shared" si="85"/>
      </c>
      <c r="Q43" s="341">
        <f t="shared" si="117"/>
      </c>
      <c r="R43" s="343">
        <f t="shared" si="119"/>
      </c>
      <c r="S43" s="345">
        <f t="shared" si="121"/>
      </c>
      <c r="T43" s="345">
        <f t="shared" si="34"/>
      </c>
      <c r="U43" s="345">
        <f t="shared" si="51"/>
      </c>
      <c r="V43" s="345">
        <f t="shared" si="68"/>
      </c>
      <c r="W43" s="340" t="s">
        <v>181</v>
      </c>
      <c r="X43" s="347" t="s">
        <v>182</v>
      </c>
      <c r="Y43" s="350">
        <v>468404</v>
      </c>
      <c r="Z43" s="350">
        <v>17210</v>
      </c>
      <c r="AA43" s="350">
        <v>474194</v>
      </c>
      <c r="AB43" s="350">
        <v>2646</v>
      </c>
      <c r="AC43" s="350">
        <v>14</v>
      </c>
      <c r="AD43" s="350">
        <v>60214</v>
      </c>
      <c r="AE43" s="350">
        <v>1191</v>
      </c>
      <c r="AF43" s="350">
        <v>537</v>
      </c>
      <c r="AG43" s="349">
        <v>53</v>
      </c>
      <c r="AH43" s="349">
        <v>3</v>
      </c>
    </row>
    <row r="44">
      <c r="A44" s="334"/>
      <c r="B44" s="335" t="s">
        <v>188</v>
      </c>
      <c r="C44" s="356" t="s">
        <v>186</v>
      </c>
      <c r="D44" s="357">
        <v>2354.825</v>
      </c>
      <c r="E44" s="358">
        <v>7</v>
      </c>
      <c r="F44" s="359">
        <v>3159.100000000004</v>
      </c>
      <c r="G44" s="340">
        <f t="shared" si="300"/>
      </c>
      <c r="H44" s="341">
        <f t="shared" si="318"/>
      </c>
      <c r="I44" s="342">
        <f t="shared" si="0"/>
      </c>
      <c r="J44" s="343">
        <f t="shared" si="17"/>
      </c>
      <c r="K44" s="344">
        <f t="shared" si="140"/>
      </c>
      <c r="L44" s="341">
        <f t="shared" si="171"/>
      </c>
      <c r="M44" s="345">
        <f t="shared" si="205"/>
      </c>
      <c r="N44" s="345">
        <f t="shared" si="221"/>
      </c>
      <c r="O44" s="345">
        <f t="shared" si="268"/>
      </c>
      <c r="P44" s="345">
        <f t="shared" si="85"/>
      </c>
      <c r="Q44" s="341">
        <f t="shared" si="117"/>
      </c>
      <c r="R44" s="343">
        <f t="shared" si="119"/>
      </c>
      <c r="S44" s="345">
        <f t="shared" si="121"/>
      </c>
      <c r="T44" s="345">
        <f t="shared" si="34"/>
      </c>
      <c r="U44" s="345">
        <f t="shared" si="51"/>
      </c>
      <c r="V44" s="345">
        <f t="shared" si="68"/>
      </c>
      <c r="W44" s="360" t="s">
        <v>181</v>
      </c>
      <c r="X44" s="347" t="s">
        <v>182</v>
      </c>
      <c r="Y44" s="350">
        <v>231468</v>
      </c>
      <c r="Z44" s="350">
        <v>9958</v>
      </c>
      <c r="AA44" s="350">
        <v>199006</v>
      </c>
      <c r="AB44" s="350">
        <v>1526</v>
      </c>
      <c r="AC44" s="350">
        <v>4</v>
      </c>
      <c r="AD44" s="350">
        <v>28582</v>
      </c>
      <c r="AE44" s="350">
        <v>549</v>
      </c>
      <c r="AF44" s="350">
        <v>238</v>
      </c>
      <c r="AG44" s="349">
        <v>36</v>
      </c>
      <c r="AH44" s="349">
        <v>1</v>
      </c>
    </row>
    <row r="45">
      <c r="A45" s="334"/>
      <c r="B45" s="361" t="s">
        <v>187</v>
      </c>
      <c r="C45" s="361"/>
      <c r="D45" s="362">
        <f>SUM(D40:D44)</f>
      </c>
      <c r="E45" s="363">
        <f>SUM(E40:E44)</f>
      </c>
      <c r="F45" s="362">
        <f>SUM(F40:F44)</f>
      </c>
      <c r="G45" s="362">
        <f t="shared" si="300"/>
      </c>
      <c r="H45" s="364">
        <f t="shared" si="318"/>
      </c>
      <c r="I45" s="365">
        <f t="shared" si="0"/>
      </c>
      <c r="J45" s="366">
        <f t="shared" si="17"/>
      </c>
      <c r="K45" s="367">
        <f t="shared" si="140"/>
      </c>
      <c r="L45" s="364">
        <f t="shared" si="171"/>
      </c>
      <c r="M45" s="368">
        <f t="shared" si="205"/>
      </c>
      <c r="N45" s="368">
        <f t="shared" si="221"/>
      </c>
      <c r="O45" s="368">
        <f t="shared" si="268"/>
      </c>
      <c r="P45" s="368">
        <f t="shared" si="85"/>
      </c>
      <c r="Q45" s="364">
        <f t="shared" si="117"/>
      </c>
      <c r="R45" s="366">
        <f t="shared" si="119"/>
      </c>
      <c r="S45" s="368">
        <f t="shared" si="121"/>
      </c>
      <c r="T45" s="368">
        <f t="shared" si="34"/>
      </c>
      <c r="U45" s="368">
        <f t="shared" si="51"/>
      </c>
      <c r="V45" s="368">
        <f t="shared" si="68"/>
      </c>
      <c r="W45" s="368"/>
      <c r="X45" s="369"/>
      <c r="Y45" s="362">
        <f>SUM(Y40:Y44)</f>
      </c>
      <c r="Z45" s="362">
        <f>SUM(Z40:Z44)</f>
      </c>
      <c r="AA45" s="362">
        <f>SUM(AA40:AA44)</f>
      </c>
      <c r="AB45" s="362">
        <f>SUM(AB40:AB44)</f>
      </c>
      <c r="AC45" s="362">
        <f>SUM(AC40:AC44)</f>
      </c>
      <c r="AD45" s="362">
        <f>SUM(AD40:AD44)</f>
      </c>
      <c r="AE45" s="362">
        <f>SUM(AE40:AE44)</f>
      </c>
      <c r="AF45" s="362">
        <f>SUM(AF40:AF44)</f>
      </c>
      <c r="AG45" s="362">
        <f>SUM(AG40:AG44)</f>
      </c>
      <c r="AH45" s="362">
        <f>SUM(AH40:AH44)</f>
      </c>
    </row>
    <row r="46">
      <c r="A46" s="334"/>
      <c r="B46" s="400" t="s">
        <v>179</v>
      </c>
      <c r="C46" s="370" t="s">
        <v>189</v>
      </c>
      <c r="D46" s="371">
        <v>2320.181</v>
      </c>
      <c r="E46" s="338">
        <v>6</v>
      </c>
      <c r="F46" s="339">
        <v>2503.999999999998</v>
      </c>
      <c r="G46" s="340">
        <f t="shared" si="300"/>
      </c>
      <c r="H46" s="341">
        <f t="shared" si="318"/>
      </c>
      <c r="I46" s="342">
        <f t="shared" si="0"/>
      </c>
      <c r="J46" s="343">
        <f t="shared" si="17"/>
      </c>
      <c r="K46" s="344">
        <f t="shared" si="140"/>
      </c>
      <c r="L46" s="341">
        <f t="shared" si="171"/>
      </c>
      <c r="M46" s="345">
        <f t="shared" si="205"/>
      </c>
      <c r="N46" s="345">
        <f t="shared" si="221"/>
      </c>
      <c r="O46" s="345">
        <f t="shared" si="268"/>
      </c>
      <c r="P46" s="345">
        <f t="shared" si="85"/>
      </c>
      <c r="Q46" s="341">
        <f t="shared" si="117"/>
      </c>
      <c r="R46" s="343">
        <f t="shared" si="119"/>
      </c>
      <c r="S46" s="345">
        <f t="shared" si="121"/>
      </c>
      <c r="T46" s="345">
        <f t="shared" si="34"/>
      </c>
      <c r="U46" s="345">
        <f t="shared" si="51"/>
      </c>
      <c r="V46" s="345">
        <f t="shared" si="68"/>
      </c>
      <c r="W46" s="360" t="s">
        <v>181</v>
      </c>
      <c r="X46" s="347" t="s">
        <v>182</v>
      </c>
      <c r="Y46" s="348">
        <v>263256</v>
      </c>
      <c r="Z46" s="348">
        <v>10127</v>
      </c>
      <c r="AA46" s="348">
        <v>183227</v>
      </c>
      <c r="AB46" s="350">
        <v>1666</v>
      </c>
      <c r="AC46" s="350">
        <v>7</v>
      </c>
      <c r="AD46" s="348">
        <v>25537</v>
      </c>
      <c r="AE46" s="350">
        <v>557</v>
      </c>
      <c r="AF46" s="350">
        <v>256</v>
      </c>
      <c r="AG46" s="350">
        <v>36</v>
      </c>
      <c r="AH46" s="349">
        <v>0</v>
      </c>
    </row>
    <row r="47">
      <c r="A47" s="334"/>
      <c r="B47" s="400" t="s">
        <v>179</v>
      </c>
      <c r="C47" s="372" t="s">
        <v>190</v>
      </c>
      <c r="D47" s="371">
        <v>3402.276</v>
      </c>
      <c r="E47" s="358">
        <v>6</v>
      </c>
      <c r="F47" s="359">
        <v>1968.0000000000036</v>
      </c>
      <c r="G47" s="340">
        <f t="shared" si="300"/>
      </c>
      <c r="H47" s="341">
        <f t="shared" si="318"/>
      </c>
      <c r="I47" s="342">
        <f t="shared" si="0"/>
      </c>
      <c r="J47" s="343">
        <f t="shared" si="17"/>
      </c>
      <c r="K47" s="344">
        <f t="shared" si="140"/>
      </c>
      <c r="L47" s="341">
        <f t="shared" si="171"/>
      </c>
      <c r="M47" s="345">
        <f t="shared" si="205"/>
      </c>
      <c r="N47" s="345">
        <f t="shared" si="221"/>
      </c>
      <c r="O47" s="345">
        <f t="shared" si="268"/>
      </c>
      <c r="P47" s="345">
        <f t="shared" si="85"/>
      </c>
      <c r="Q47" s="341">
        <f t="shared" si="117"/>
      </c>
      <c r="R47" s="343">
        <f t="shared" si="119"/>
      </c>
      <c r="S47" s="345">
        <f t="shared" si="121"/>
      </c>
      <c r="T47" s="345">
        <f t="shared" si="34"/>
      </c>
      <c r="U47" s="345">
        <f t="shared" si="51"/>
      </c>
      <c r="V47" s="345">
        <f t="shared" si="68"/>
      </c>
      <c r="W47" s="360" t="s">
        <v>181</v>
      </c>
      <c r="X47" s="347" t="s">
        <v>182</v>
      </c>
      <c r="Y47" s="350">
        <v>418924</v>
      </c>
      <c r="Z47" s="350">
        <v>16382</v>
      </c>
      <c r="AA47" s="350">
        <v>322082</v>
      </c>
      <c r="AB47" s="350">
        <v>2262</v>
      </c>
      <c r="AC47" s="350">
        <v>6</v>
      </c>
      <c r="AD47" s="350">
        <v>38157</v>
      </c>
      <c r="AE47" s="350">
        <v>793</v>
      </c>
      <c r="AF47" s="350">
        <v>373</v>
      </c>
      <c r="AG47" s="350">
        <v>47</v>
      </c>
      <c r="AH47" s="349">
        <v>0</v>
      </c>
    </row>
    <row r="48">
      <c r="A48" s="334"/>
      <c r="B48" s="400" t="s">
        <v>179</v>
      </c>
      <c r="C48" s="373" t="s">
        <v>191</v>
      </c>
      <c r="D48" s="371">
        <v>3151.868</v>
      </c>
      <c r="E48" s="358">
        <v>4</v>
      </c>
      <c r="F48" s="359">
        <v>815.9999999999964</v>
      </c>
      <c r="G48" s="340">
        <f t="shared" si="300"/>
      </c>
      <c r="H48" s="341">
        <f t="shared" si="318"/>
      </c>
      <c r="I48" s="342">
        <f t="shared" si="0"/>
      </c>
      <c r="J48" s="343">
        <f t="shared" si="17"/>
      </c>
      <c r="K48" s="344">
        <f t="shared" si="140"/>
      </c>
      <c r="L48" s="341">
        <f t="shared" si="171"/>
      </c>
      <c r="M48" s="345">
        <f t="shared" si="205"/>
      </c>
      <c r="N48" s="345">
        <f t="shared" si="221"/>
      </c>
      <c r="O48" s="345">
        <f t="shared" si="268"/>
      </c>
      <c r="P48" s="345">
        <f t="shared" si="85"/>
      </c>
      <c r="Q48" s="341">
        <f t="shared" si="117"/>
      </c>
      <c r="R48" s="343">
        <f t="shared" si="119"/>
      </c>
      <c r="S48" s="345">
        <f t="shared" si="121"/>
      </c>
      <c r="T48" s="345">
        <f t="shared" si="34"/>
      </c>
      <c r="U48" s="345">
        <f t="shared" si="51"/>
      </c>
      <c r="V48" s="345">
        <f t="shared" si="68"/>
      </c>
      <c r="W48" s="360" t="s">
        <v>181</v>
      </c>
      <c r="X48" s="347" t="s">
        <v>182</v>
      </c>
      <c r="Y48" s="350">
        <v>390891</v>
      </c>
      <c r="Z48" s="350">
        <v>15348</v>
      </c>
      <c r="AA48" s="350">
        <v>331893</v>
      </c>
      <c r="AB48" s="350">
        <v>2068</v>
      </c>
      <c r="AC48" s="350">
        <v>4</v>
      </c>
      <c r="AD48" s="350">
        <v>34508</v>
      </c>
      <c r="AE48" s="350">
        <v>667</v>
      </c>
      <c r="AF48" s="350">
        <v>332</v>
      </c>
      <c r="AG48" s="349">
        <v>35</v>
      </c>
      <c r="AH48" s="349">
        <v>0</v>
      </c>
    </row>
    <row r="49">
      <c r="A49" s="334"/>
      <c r="B49" s="400" t="s">
        <v>179</v>
      </c>
      <c r="C49" s="374" t="s">
        <v>192</v>
      </c>
      <c r="D49" s="371">
        <v>3318.89</v>
      </c>
      <c r="E49" s="358">
        <v>12</v>
      </c>
      <c r="F49" s="359">
        <v>2555.5</v>
      </c>
      <c r="G49" s="340">
        <f t="shared" si="300"/>
      </c>
      <c r="H49" s="341">
        <f t="shared" si="318"/>
      </c>
      <c r="I49" s="342">
        <f t="shared" si="0"/>
      </c>
      <c r="J49" s="343">
        <f t="shared" si="17"/>
      </c>
      <c r="K49" s="344">
        <f t="shared" si="140"/>
      </c>
      <c r="L49" s="341">
        <f t="shared" si="171"/>
      </c>
      <c r="M49" s="345">
        <f t="shared" si="205"/>
      </c>
      <c r="N49" s="345">
        <f t="shared" si="221"/>
      </c>
      <c r="O49" s="345">
        <f t="shared" si="268"/>
      </c>
      <c r="P49" s="345">
        <f t="shared" si="85"/>
      </c>
      <c r="Q49" s="341">
        <f t="shared" si="117"/>
      </c>
      <c r="R49" s="343">
        <f t="shared" si="119"/>
      </c>
      <c r="S49" s="345">
        <f t="shared" si="121"/>
      </c>
      <c r="T49" s="345">
        <f t="shared" si="34"/>
      </c>
      <c r="U49" s="345">
        <f t="shared" si="51"/>
      </c>
      <c r="V49" s="345">
        <f t="shared" si="68"/>
      </c>
      <c r="W49" s="360" t="s">
        <v>181</v>
      </c>
      <c r="X49" s="347" t="s">
        <v>202</v>
      </c>
      <c r="Y49" s="350">
        <v>403271</v>
      </c>
      <c r="Z49" s="350">
        <v>17294</v>
      </c>
      <c r="AA49" s="350">
        <v>321655</v>
      </c>
      <c r="AB49" s="350">
        <v>2197</v>
      </c>
      <c r="AC49" s="350">
        <v>9</v>
      </c>
      <c r="AD49" s="350">
        <v>36619</v>
      </c>
      <c r="AE49" s="350">
        <v>837</v>
      </c>
      <c r="AF49" s="350">
        <v>319</v>
      </c>
      <c r="AG49" s="349">
        <v>31</v>
      </c>
      <c r="AH49" s="349">
        <v>1</v>
      </c>
    </row>
    <row r="50">
      <c r="A50" s="334"/>
      <c r="B50" s="400" t="s">
        <v>179</v>
      </c>
      <c r="C50" s="375" t="s">
        <v>194</v>
      </c>
      <c r="D50" s="371">
        <v>3359.501</v>
      </c>
      <c r="E50" s="358">
        <v>12</v>
      </c>
      <c r="F50" s="359">
        <v>4365.200000000001</v>
      </c>
      <c r="G50" s="340">
        <f t="shared" si="300"/>
      </c>
      <c r="H50" s="341">
        <f t="shared" si="318"/>
      </c>
      <c r="I50" s="342">
        <f t="shared" si="0"/>
      </c>
      <c r="J50" s="343">
        <f t="shared" si="17"/>
      </c>
      <c r="K50" s="344">
        <f t="shared" si="140"/>
      </c>
      <c r="L50" s="341">
        <f t="shared" si="171"/>
      </c>
      <c r="M50" s="345">
        <f t="shared" si="205"/>
      </c>
      <c r="N50" s="345">
        <f t="shared" si="221"/>
      </c>
      <c r="O50" s="345">
        <f t="shared" si="268"/>
      </c>
      <c r="P50" s="345">
        <f t="shared" si="85"/>
      </c>
      <c r="Q50" s="341">
        <f t="shared" si="117"/>
      </c>
      <c r="R50" s="343">
        <f t="shared" si="119"/>
      </c>
      <c r="S50" s="345">
        <f t="shared" si="121"/>
      </c>
      <c r="T50" s="345">
        <f t="shared" si="34"/>
      </c>
      <c r="U50" s="345">
        <f t="shared" si="51"/>
      </c>
      <c r="V50" s="345">
        <f t="shared" si="68"/>
      </c>
      <c r="W50" s="360" t="s">
        <v>181</v>
      </c>
      <c r="X50" s="347" t="s">
        <v>202</v>
      </c>
      <c r="Y50" s="350">
        <v>444528</v>
      </c>
      <c r="Z50" s="350">
        <v>16463</v>
      </c>
      <c r="AA50" s="350">
        <v>367798</v>
      </c>
      <c r="AB50" s="350">
        <v>2025</v>
      </c>
      <c r="AC50" s="350">
        <v>11</v>
      </c>
      <c r="AD50" s="350">
        <v>39410</v>
      </c>
      <c r="AE50" s="350">
        <v>614</v>
      </c>
      <c r="AF50" s="350">
        <v>333</v>
      </c>
      <c r="AG50" s="349">
        <v>27</v>
      </c>
      <c r="AH50" s="349">
        <v>1</v>
      </c>
    </row>
    <row r="51">
      <c r="A51" s="334"/>
      <c r="B51" s="361" t="s">
        <v>187</v>
      </c>
      <c r="C51" s="361"/>
      <c r="D51" s="362">
        <f>SUM(D46:D50)</f>
      </c>
      <c r="E51" s="362">
        <f>SUM(E46:E50)</f>
      </c>
      <c r="F51" s="362">
        <f>SUM(F46:F50)</f>
      </c>
      <c r="G51" s="362">
        <f t="shared" si="300"/>
      </c>
      <c r="H51" s="364">
        <f t="shared" si="318"/>
      </c>
      <c r="I51" s="365">
        <f t="shared" si="0"/>
      </c>
      <c r="J51" s="366">
        <f t="shared" si="17"/>
      </c>
      <c r="K51" s="367">
        <f t="shared" si="140"/>
      </c>
      <c r="L51" s="364">
        <f t="shared" si="171"/>
      </c>
      <c r="M51" s="368">
        <f t="shared" si="205"/>
      </c>
      <c r="N51" s="368">
        <f t="shared" si="221"/>
      </c>
      <c r="O51" s="368">
        <f t="shared" si="268"/>
      </c>
      <c r="P51" s="368">
        <f t="shared" si="85"/>
      </c>
      <c r="Q51" s="364">
        <f t="shared" si="117"/>
      </c>
      <c r="R51" s="366">
        <f t="shared" si="119"/>
      </c>
      <c r="S51" s="368">
        <f t="shared" si="121"/>
      </c>
      <c r="T51" s="368">
        <f t="shared" si="34"/>
      </c>
      <c r="U51" s="368">
        <f t="shared" si="51"/>
      </c>
      <c r="V51" s="368">
        <f t="shared" si="68"/>
      </c>
      <c r="W51" s="368"/>
      <c r="X51" s="369"/>
      <c r="Y51" s="362">
        <f>SUM(Y46:Y50)</f>
      </c>
      <c r="Z51" s="362">
        <f>SUM(Z46:Z50)</f>
      </c>
      <c r="AA51" s="362">
        <f>SUM(AA46:AA50)</f>
      </c>
      <c r="AB51" s="362">
        <f>SUM(AB46:AB50)</f>
      </c>
      <c r="AC51" s="362">
        <f>SUM(AC46:AC50)</f>
      </c>
      <c r="AD51" s="362">
        <f>SUM(AD46:AD50)</f>
      </c>
      <c r="AE51" s="362">
        <f>SUM(AE46:AE50)</f>
      </c>
      <c r="AF51" s="362">
        <f>SUM(AF46:AF50)</f>
      </c>
      <c r="AG51" s="362">
        <f>SUM(AG46:AG50)</f>
      </c>
      <c r="AH51" s="362">
        <f>SUM(AH46:AH50)</f>
      </c>
    </row>
    <row r="52">
      <c r="A52" s="334"/>
      <c r="B52" s="400" t="s">
        <v>203</v>
      </c>
      <c r="C52" s="373" t="s">
        <v>196</v>
      </c>
      <c r="D52" s="377">
        <v>3295.71</v>
      </c>
      <c r="E52" s="378">
        <v>9</v>
      </c>
      <c r="F52" s="359">
        <v>4301.5</v>
      </c>
      <c r="G52" s="340">
        <f t="shared" si="300"/>
      </c>
      <c r="H52" s="341">
        <f t="shared" si="318"/>
      </c>
      <c r="I52" s="342">
        <f t="shared" si="0"/>
      </c>
      <c r="J52" s="343">
        <f t="shared" si="17"/>
      </c>
      <c r="K52" s="344">
        <f t="shared" si="140"/>
      </c>
      <c r="L52" s="341">
        <f t="shared" si="171"/>
      </c>
      <c r="M52" s="345">
        <f t="shared" si="205"/>
      </c>
      <c r="N52" s="345">
        <f t="shared" si="221"/>
      </c>
      <c r="O52" s="345">
        <f t="shared" si="268"/>
      </c>
      <c r="P52" s="345">
        <f t="shared" si="85"/>
      </c>
      <c r="Q52" s="341">
        <f t="shared" si="117"/>
      </c>
      <c r="R52" s="343">
        <f t="shared" si="119"/>
      </c>
      <c r="S52" s="345">
        <f t="shared" si="121"/>
      </c>
      <c r="T52" s="345">
        <f t="shared" si="34"/>
      </c>
      <c r="U52" s="345">
        <f t="shared" si="51"/>
      </c>
      <c r="V52" s="345">
        <f t="shared" si="68"/>
      </c>
      <c r="W52" s="360" t="s">
        <v>181</v>
      </c>
      <c r="X52" s="347" t="s">
        <v>202</v>
      </c>
      <c r="Y52" s="350">
        <v>472714</v>
      </c>
      <c r="Z52" s="350">
        <v>14211</v>
      </c>
      <c r="AA52" s="350">
        <v>344689</v>
      </c>
      <c r="AB52" s="350">
        <v>1840</v>
      </c>
      <c r="AC52" s="350">
        <v>7</v>
      </c>
      <c r="AD52" s="350">
        <v>31843</v>
      </c>
      <c r="AE52" s="350">
        <v>476</v>
      </c>
      <c r="AF52" s="350">
        <v>265</v>
      </c>
      <c r="AG52" s="350">
        <v>24</v>
      </c>
      <c r="AH52" s="349">
        <v>2</v>
      </c>
    </row>
    <row r="53">
      <c r="A53" s="334"/>
      <c r="B53" s="400" t="s">
        <v>203</v>
      </c>
      <c r="C53" s="373" t="s">
        <v>197</v>
      </c>
      <c r="D53" s="377">
        <v>2721.072</v>
      </c>
      <c r="E53" s="378">
        <v>5</v>
      </c>
      <c r="F53" s="359">
        <v>1644</v>
      </c>
      <c r="G53" s="340">
        <f t="shared" si="300"/>
      </c>
      <c r="H53" s="341">
        <f t="shared" si="318"/>
      </c>
      <c r="I53" s="342">
        <f t="shared" si="0"/>
      </c>
      <c r="J53" s="343">
        <f t="shared" si="17"/>
      </c>
      <c r="K53" s="344">
        <f t="shared" si="140"/>
      </c>
      <c r="L53" s="341">
        <f t="shared" si="171"/>
      </c>
      <c r="M53" s="345">
        <f t="shared" si="205"/>
      </c>
      <c r="N53" s="345">
        <f t="shared" si="221"/>
      </c>
      <c r="O53" s="345">
        <f t="shared" si="268"/>
      </c>
      <c r="P53" s="345">
        <f t="shared" si="85"/>
      </c>
      <c r="Q53" s="341">
        <f t="shared" si="117"/>
      </c>
      <c r="R53" s="343">
        <f t="shared" si="119"/>
      </c>
      <c r="S53" s="345">
        <f t="shared" si="121"/>
      </c>
      <c r="T53" s="345">
        <f t="shared" si="34"/>
      </c>
      <c r="U53" s="345">
        <f t="shared" si="51"/>
      </c>
      <c r="V53" s="345">
        <f t="shared" si="68"/>
      </c>
      <c r="W53" s="360" t="s">
        <v>181</v>
      </c>
      <c r="X53" s="347" t="s">
        <v>202</v>
      </c>
      <c r="Y53" s="350">
        <v>439978</v>
      </c>
      <c r="Z53" s="350">
        <v>10167</v>
      </c>
      <c r="AA53" s="350">
        <v>296616</v>
      </c>
      <c r="AB53" s="350">
        <v>1679</v>
      </c>
      <c r="AC53" s="350">
        <v>4</v>
      </c>
      <c r="AD53" s="350">
        <v>19808</v>
      </c>
      <c r="AE53" s="350">
        <v>396</v>
      </c>
      <c r="AF53" s="350">
        <v>170</v>
      </c>
      <c r="AG53" s="349">
        <v>19</v>
      </c>
      <c r="AH53" s="349">
        <v>0</v>
      </c>
    </row>
    <row r="54">
      <c r="A54" s="334"/>
      <c r="B54" s="400" t="s">
        <v>203</v>
      </c>
      <c r="C54" s="374" t="s">
        <v>198</v>
      </c>
      <c r="D54" s="377">
        <v>2482.072</v>
      </c>
      <c r="E54" s="378">
        <v>4</v>
      </c>
      <c r="F54" s="359">
        <v>912</v>
      </c>
      <c r="G54" s="340">
        <f t="shared" si="300"/>
      </c>
      <c r="H54" s="341">
        <f t="shared" si="318"/>
      </c>
      <c r="I54" s="342">
        <f t="shared" si="0"/>
      </c>
      <c r="J54" s="343">
        <f t="shared" si="17"/>
      </c>
      <c r="K54" s="344">
        <f t="shared" si="140"/>
      </c>
      <c r="L54" s="341">
        <f t="shared" si="171"/>
      </c>
      <c r="M54" s="345">
        <f t="shared" si="205"/>
      </c>
      <c r="N54" s="345">
        <f t="shared" si="221"/>
      </c>
      <c r="O54" s="345">
        <f t="shared" si="268"/>
      </c>
      <c r="P54" s="345">
        <f t="shared" si="85"/>
      </c>
      <c r="Q54" s="341">
        <f t="shared" si="117"/>
      </c>
      <c r="R54" s="343">
        <f t="shared" si="119"/>
      </c>
      <c r="S54" s="345">
        <f t="shared" si="121"/>
      </c>
      <c r="T54" s="345">
        <f t="shared" si="34"/>
      </c>
      <c r="U54" s="345">
        <f t="shared" si="51"/>
      </c>
      <c r="V54" s="345">
        <f t="shared" si="68"/>
      </c>
      <c r="W54" s="360" t="s">
        <v>181</v>
      </c>
      <c r="X54" s="347" t="s">
        <v>202</v>
      </c>
      <c r="Y54" s="350">
        <v>487259</v>
      </c>
      <c r="Z54" s="350">
        <v>9114</v>
      </c>
      <c r="AA54" s="350">
        <v>260830</v>
      </c>
      <c r="AB54" s="350">
        <v>1526</v>
      </c>
      <c r="AC54" s="350">
        <v>2</v>
      </c>
      <c r="AD54" s="350">
        <v>13714</v>
      </c>
      <c r="AE54" s="350">
        <v>265</v>
      </c>
      <c r="AF54" s="350">
        <v>119</v>
      </c>
      <c r="AG54" s="349">
        <v>13</v>
      </c>
      <c r="AH54" s="349">
        <v>0</v>
      </c>
    </row>
    <row r="55">
      <c r="A55" s="334"/>
      <c r="B55" s="400" t="s">
        <v>203</v>
      </c>
      <c r="C55" s="373" t="s">
        <v>199</v>
      </c>
      <c r="D55" s="379">
        <v>2316.027</v>
      </c>
      <c r="E55" s="338">
        <v>4</v>
      </c>
      <c r="F55" s="339">
        <v>2112</v>
      </c>
      <c r="G55" s="340">
        <f t="shared" si="300"/>
      </c>
      <c r="H55" s="341">
        <f t="shared" si="318"/>
      </c>
      <c r="I55" s="380">
        <f t="shared" si="0"/>
      </c>
      <c r="J55" s="381">
        <f t="shared" si="17"/>
      </c>
      <c r="K55" s="382">
        <f t="shared" ref="K55:K56" si="304">D55/AB55</f>
      </c>
      <c r="L55" s="383">
        <f t="shared" si="171"/>
      </c>
      <c r="M55" s="384">
        <f t="shared" ref="M55:M56" si="322">AC55/AB55</f>
      </c>
      <c r="N55" s="384">
        <f t="shared" si="221"/>
      </c>
      <c r="O55" s="384">
        <f t="shared" si="268"/>
      </c>
      <c r="P55" s="384">
        <f t="shared" si="85"/>
      </c>
      <c r="Q55" s="383">
        <f t="shared" si="117"/>
      </c>
      <c r="R55" s="381">
        <f t="shared" si="119"/>
      </c>
      <c r="S55" s="384">
        <f t="shared" si="121"/>
      </c>
      <c r="T55" s="384">
        <f t="shared" si="34"/>
      </c>
      <c r="U55" s="384">
        <f t="shared" si="51"/>
      </c>
      <c r="V55" s="384">
        <f t="shared" si="68"/>
      </c>
      <c r="W55" s="360" t="s">
        <v>181</v>
      </c>
      <c r="X55" s="347" t="s">
        <v>202</v>
      </c>
      <c r="Y55" s="350">
        <v>552601</v>
      </c>
      <c r="Z55" s="350">
        <v>9125</v>
      </c>
      <c r="AA55" s="350">
        <v>283611</v>
      </c>
      <c r="AB55" s="385">
        <v>2049</v>
      </c>
      <c r="AC55" s="385">
        <v>7</v>
      </c>
      <c r="AD55" s="385">
        <v>14234</v>
      </c>
      <c r="AE55" s="385">
        <v>290</v>
      </c>
      <c r="AF55" s="385">
        <v>147</v>
      </c>
      <c r="AG55" s="385">
        <v>20</v>
      </c>
      <c r="AH55" s="349">
        <v>0</v>
      </c>
    </row>
    <row r="56">
      <c r="A56" s="334"/>
      <c r="B56" s="400" t="s">
        <v>203</v>
      </c>
      <c r="C56" s="386" t="s">
        <v>200</v>
      </c>
      <c r="D56" s="377">
        <v>2982.979</v>
      </c>
      <c r="E56" s="378">
        <v>10</v>
      </c>
      <c r="F56" s="359">
        <v>2742.2999999999956</v>
      </c>
      <c r="G56" s="340">
        <f t="shared" si="300"/>
      </c>
      <c r="H56" s="341">
        <f t="shared" si="318"/>
      </c>
      <c r="I56" s="380">
        <f t="shared" si="0"/>
      </c>
      <c r="J56" s="381">
        <f t="shared" si="17"/>
      </c>
      <c r="K56" s="382">
        <f t="shared" si="304"/>
      </c>
      <c r="L56" s="383">
        <f t="shared" si="171"/>
      </c>
      <c r="M56" s="384">
        <f t="shared" si="322"/>
      </c>
      <c r="N56" s="384">
        <f t="shared" si="221"/>
      </c>
      <c r="O56" s="384">
        <f t="shared" si="268"/>
      </c>
      <c r="P56" s="384">
        <f t="shared" si="85"/>
      </c>
      <c r="Q56" s="383">
        <f t="shared" si="117"/>
      </c>
      <c r="R56" s="381">
        <f t="shared" si="119"/>
      </c>
      <c r="S56" s="384">
        <f t="shared" si="121"/>
      </c>
      <c r="T56" s="384">
        <f t="shared" si="34"/>
      </c>
      <c r="U56" s="384">
        <f t="shared" si="51"/>
      </c>
      <c r="V56" s="384">
        <f t="shared" si="68"/>
      </c>
      <c r="W56" s="360" t="s">
        <v>181</v>
      </c>
      <c r="X56" s="347" t="s">
        <v>202</v>
      </c>
      <c r="Y56" s="350">
        <v>730207</v>
      </c>
      <c r="Z56" s="350">
        <v>11957</v>
      </c>
      <c r="AA56" s="350">
        <v>405552</v>
      </c>
      <c r="AB56" s="350">
        <v>2577</v>
      </c>
      <c r="AC56" s="350">
        <v>9</v>
      </c>
      <c r="AD56" s="350">
        <v>19723</v>
      </c>
      <c r="AE56" s="350">
        <v>400</v>
      </c>
      <c r="AF56" s="350">
        <v>193</v>
      </c>
      <c r="AG56" s="349">
        <v>35</v>
      </c>
      <c r="AH56" s="349">
        <v>1</v>
      </c>
    </row>
    <row r="57">
      <c r="A57" s="334"/>
      <c r="B57" s="387" t="s">
        <v>187</v>
      </c>
      <c r="C57" s="387"/>
      <c r="D57" s="362">
        <f>SUM(D52:D56)</f>
      </c>
      <c r="E57" s="362">
        <f>SUM(E52:E56)</f>
      </c>
      <c r="F57" s="362">
        <f>SUM(F52:F56)</f>
      </c>
      <c r="G57" s="362">
        <f t="shared" si="300"/>
      </c>
      <c r="H57" s="364">
        <f t="shared" si="318"/>
      </c>
      <c r="I57" s="365">
        <f t="shared" si="0"/>
      </c>
      <c r="J57" s="366">
        <f t="shared" si="17"/>
      </c>
      <c r="K57" s="367">
        <f t="shared" ref="K57:K73" si="141">D57/AA57</f>
      </c>
      <c r="L57" s="364">
        <f t="shared" si="171"/>
      </c>
      <c r="M57" s="368">
        <f t="shared" ref="M57:M73" si="206">AB57/AA57</f>
      </c>
      <c r="N57" s="368">
        <f t="shared" si="221"/>
      </c>
      <c r="O57" s="368">
        <f t="shared" si="268"/>
      </c>
      <c r="P57" s="368">
        <f t="shared" si="85"/>
      </c>
      <c r="Q57" s="364">
        <f t="shared" si="117"/>
      </c>
      <c r="R57" s="366">
        <f t="shared" si="119"/>
      </c>
      <c r="S57" s="368">
        <f t="shared" si="121"/>
      </c>
      <c r="T57" s="368">
        <f t="shared" si="34"/>
      </c>
      <c r="U57" s="368">
        <f t="shared" si="51"/>
      </c>
      <c r="V57" s="368">
        <f t="shared" si="68"/>
      </c>
      <c r="W57" s="368"/>
      <c r="X57" s="369"/>
      <c r="Y57" s="362">
        <f>SUM(Y52:Y56)</f>
      </c>
      <c r="Z57" s="362">
        <f>SUM(Z52:Z56)</f>
      </c>
      <c r="AA57" s="362">
        <f>SUM(AA52:AA56)</f>
      </c>
      <c r="AB57" s="362">
        <f>SUM(AB52:AB56)</f>
      </c>
      <c r="AC57" s="362">
        <f>SUM(AC52:AC56)</f>
      </c>
      <c r="AD57" s="362">
        <f>SUM(AD52:AD56)</f>
      </c>
      <c r="AE57" s="362">
        <f>SUM(AE52:AE56)</f>
      </c>
      <c r="AF57" s="362">
        <f>SUM(AF52:AF56)</f>
      </c>
      <c r="AG57" s="362">
        <f>SUM(AG52:AG56)</f>
      </c>
      <c r="AH57" s="362">
        <f>SUM(AH52:AH56)</f>
      </c>
    </row>
    <row r="58">
      <c r="A58" s="334"/>
      <c r="B58" s="388" t="s">
        <v>201</v>
      </c>
      <c r="C58" s="388"/>
      <c r="D58" s="389">
        <f>SUM(D45+D57+D51)</f>
      </c>
      <c r="E58" s="389">
        <f>SUM(E45+E57+E51)</f>
      </c>
      <c r="F58" s="389">
        <f>SUM(F45+F57+F51)</f>
      </c>
      <c r="G58" s="390">
        <f t="shared" si="300"/>
      </c>
      <c r="H58" s="391">
        <f t="shared" si="318"/>
      </c>
      <c r="I58" s="392">
        <f t="shared" si="0"/>
      </c>
      <c r="J58" s="393">
        <f t="shared" si="17"/>
      </c>
      <c r="K58" s="394">
        <f t="shared" si="141"/>
      </c>
      <c r="L58" s="394">
        <f t="shared" si="171"/>
      </c>
      <c r="M58" s="395">
        <f t="shared" si="206"/>
      </c>
      <c r="N58" s="395">
        <f t="shared" si="221"/>
      </c>
      <c r="O58" s="395">
        <f t="shared" si="268"/>
      </c>
      <c r="P58" s="395">
        <f t="shared" si="85"/>
      </c>
      <c r="Q58" s="396">
        <f t="shared" si="117"/>
      </c>
      <c r="R58" s="397">
        <f t="shared" si="119"/>
      </c>
      <c r="S58" s="398">
        <f t="shared" si="121"/>
      </c>
      <c r="T58" s="398">
        <f t="shared" si="34"/>
      </c>
      <c r="U58" s="398">
        <f t="shared" si="51"/>
      </c>
      <c r="V58" s="398">
        <f t="shared" si="68"/>
      </c>
      <c r="W58" s="398"/>
      <c r="X58" s="399"/>
      <c r="Y58" s="390">
        <f>SUM(Y57+Y45+Y51)</f>
      </c>
      <c r="Z58" s="390">
        <f>SUM(Z57+Z45+Z51)</f>
      </c>
      <c r="AA58" s="390">
        <f>SUM(AA57+AA45+AA51)</f>
      </c>
      <c r="AB58" s="390">
        <f>SUM(AB57+AB45+AB51)</f>
      </c>
      <c r="AC58" s="390">
        <f>SUM(AC57+AC45+AC51)</f>
      </c>
      <c r="AD58" s="390">
        <f>SUM(AD57+AD45+AD51)</f>
      </c>
      <c r="AE58" s="390">
        <f>SUM(AE57+AE45+AE51)</f>
      </c>
      <c r="AF58" s="390">
        <f>SUM(AF57+AF45+AF51)</f>
      </c>
      <c r="AG58" s="390">
        <f>SUM(AG57+AG45+AG51)</f>
      </c>
      <c r="AH58" s="390">
        <f>SUM(AH57+AH45+AH51)</f>
      </c>
    </row>
    <row r="59">
      <c r="A59" s="334">
        <v>46238</v>
      </c>
      <c r="B59" s="400" t="s">
        <v>179</v>
      </c>
      <c r="C59" s="336" t="s">
        <v>180</v>
      </c>
      <c r="D59" s="337">
        <v>4321.682</v>
      </c>
      <c r="E59" s="338">
        <v>2</v>
      </c>
      <c r="F59" s="339">
        <v>1056</v>
      </c>
      <c r="G59" s="340">
        <f t="shared" si="300"/>
      </c>
      <c r="H59" s="341">
        <f t="shared" si="318"/>
      </c>
      <c r="I59" s="342">
        <f t="shared" si="0"/>
      </c>
      <c r="J59" s="343">
        <f t="shared" si="17"/>
      </c>
      <c r="K59" s="344">
        <f t="shared" si="141"/>
      </c>
      <c r="L59" s="341">
        <f t="shared" si="171"/>
      </c>
      <c r="M59" s="345">
        <f t="shared" si="206"/>
      </c>
      <c r="N59" s="345">
        <f t="shared" si="221"/>
      </c>
      <c r="O59" s="345">
        <f t="shared" si="268"/>
      </c>
      <c r="P59" s="345">
        <f t="shared" si="85"/>
      </c>
      <c r="Q59" s="341">
        <f t="shared" si="117"/>
      </c>
      <c r="R59" s="343">
        <f t="shared" si="119"/>
      </c>
      <c r="S59" s="345">
        <f t="shared" si="121"/>
      </c>
      <c r="T59" s="345">
        <f t="shared" si="34"/>
      </c>
      <c r="U59" s="345">
        <f t="shared" si="51"/>
      </c>
      <c r="V59" s="345">
        <f t="shared" si="68"/>
      </c>
      <c r="W59" s="346" t="s">
        <v>181</v>
      </c>
      <c r="X59" s="347" t="s">
        <v>182</v>
      </c>
      <c r="Y59" s="348">
        <v>270120</v>
      </c>
      <c r="Z59" s="348">
        <v>7388</v>
      </c>
      <c r="AA59" s="348">
        <v>187074</v>
      </c>
      <c r="AB59" s="348">
        <v>1980</v>
      </c>
      <c r="AC59" s="349">
        <v>2</v>
      </c>
      <c r="AD59" s="348">
        <v>45585</v>
      </c>
      <c r="AE59" s="350">
        <v>803</v>
      </c>
      <c r="AF59" s="350">
        <v>290</v>
      </c>
      <c r="AG59" s="350">
        <v>35</v>
      </c>
      <c r="AH59" s="349">
        <v>0</v>
      </c>
    </row>
    <row r="60">
      <c r="A60" s="334"/>
      <c r="B60" s="400" t="s">
        <v>179</v>
      </c>
      <c r="C60" s="336" t="s">
        <v>183</v>
      </c>
      <c r="D60" s="337">
        <v>2238.663</v>
      </c>
      <c r="E60" s="338">
        <v>7</v>
      </c>
      <c r="F60" s="339">
        <v>3810.8</v>
      </c>
      <c r="G60" s="340">
        <f t="shared" si="300"/>
      </c>
      <c r="H60" s="341">
        <f t="shared" si="318"/>
      </c>
      <c r="I60" s="342">
        <f t="shared" si="0"/>
      </c>
      <c r="J60" s="343">
        <f t="shared" si="17"/>
      </c>
      <c r="K60" s="344">
        <f t="shared" si="141"/>
      </c>
      <c r="L60" s="341">
        <f t="shared" si="171"/>
      </c>
      <c r="M60" s="345">
        <f t="shared" si="206"/>
      </c>
      <c r="N60" s="345">
        <f t="shared" si="221"/>
      </c>
      <c r="O60" s="345">
        <f t="shared" si="268"/>
      </c>
      <c r="P60" s="345">
        <f t="shared" si="85"/>
      </c>
      <c r="Q60" s="341">
        <f t="shared" si="117"/>
      </c>
      <c r="R60" s="343">
        <f t="shared" si="119"/>
      </c>
      <c r="S60" s="345">
        <f t="shared" si="121"/>
      </c>
      <c r="T60" s="345">
        <f t="shared" si="34"/>
      </c>
      <c r="U60" s="345">
        <f t="shared" si="51"/>
      </c>
      <c r="V60" s="345">
        <f t="shared" si="68"/>
      </c>
      <c r="W60" s="346" t="s">
        <v>181</v>
      </c>
      <c r="X60" s="347" t="s">
        <v>182</v>
      </c>
      <c r="Y60" s="349">
        <v>237504</v>
      </c>
      <c r="Z60" s="348">
        <v>5693</v>
      </c>
      <c r="AA60" s="348">
        <v>126141</v>
      </c>
      <c r="AB60" s="348">
        <v>1680</v>
      </c>
      <c r="AC60" s="350">
        <v>6</v>
      </c>
      <c r="AD60" s="348">
        <v>23325</v>
      </c>
      <c r="AE60" s="350">
        <v>451</v>
      </c>
      <c r="AF60" s="350">
        <v>146</v>
      </c>
      <c r="AG60" s="349">
        <v>20</v>
      </c>
      <c r="AH60" s="349">
        <v>1</v>
      </c>
    </row>
    <row r="61">
      <c r="A61" s="334"/>
      <c r="B61" s="400" t="s">
        <v>179</v>
      </c>
      <c r="C61" s="351" t="s">
        <v>184</v>
      </c>
      <c r="D61" s="352">
        <v>1835.611</v>
      </c>
      <c r="E61" s="338">
        <v>6</v>
      </c>
      <c r="F61" s="339">
        <v>2518.8</v>
      </c>
      <c r="G61" s="340">
        <f t="shared" si="300"/>
      </c>
      <c r="H61" s="341">
        <f t="shared" si="318"/>
      </c>
      <c r="I61" s="342">
        <f t="shared" si="0"/>
      </c>
      <c r="J61" s="343">
        <f t="shared" si="17"/>
      </c>
      <c r="K61" s="344">
        <f t="shared" si="141"/>
      </c>
      <c r="L61" s="341">
        <f t="shared" si="171"/>
      </c>
      <c r="M61" s="345">
        <f t="shared" si="206"/>
      </c>
      <c r="N61" s="345">
        <f t="shared" si="221"/>
      </c>
      <c r="O61" s="345">
        <f t="shared" si="268"/>
      </c>
      <c r="P61" s="345">
        <f t="shared" si="85"/>
      </c>
      <c r="Q61" s="341">
        <f t="shared" si="117"/>
      </c>
      <c r="R61" s="343">
        <f t="shared" si="119"/>
      </c>
      <c r="S61" s="345">
        <f t="shared" si="121"/>
      </c>
      <c r="T61" s="345">
        <f t="shared" si="34"/>
      </c>
      <c r="U61" s="345">
        <f t="shared" si="51"/>
      </c>
      <c r="V61" s="345">
        <f t="shared" si="68"/>
      </c>
      <c r="W61" s="346" t="s">
        <v>181</v>
      </c>
      <c r="X61" s="347" t="s">
        <v>182</v>
      </c>
      <c r="Y61" s="350">
        <v>208781</v>
      </c>
      <c r="Z61" s="348">
        <v>5650</v>
      </c>
      <c r="AA61" s="348">
        <v>115409</v>
      </c>
      <c r="AB61" s="348">
        <v>1393</v>
      </c>
      <c r="AC61" s="350">
        <v>5</v>
      </c>
      <c r="AD61" s="348">
        <v>17702</v>
      </c>
      <c r="AE61" s="350">
        <v>387</v>
      </c>
      <c r="AF61" s="350">
        <v>113</v>
      </c>
      <c r="AG61" s="350">
        <v>17</v>
      </c>
      <c r="AH61" s="349">
        <v>2</v>
      </c>
    </row>
    <row r="62">
      <c r="A62" s="334"/>
      <c r="B62" s="400" t="s">
        <v>179</v>
      </c>
      <c r="C62" s="353" t="s">
        <v>185</v>
      </c>
      <c r="D62" s="354">
        <v>1676.913</v>
      </c>
      <c r="E62" s="355">
        <v>5</v>
      </c>
      <c r="F62" s="339">
        <v>1065.2000000000007</v>
      </c>
      <c r="G62" s="340">
        <f t="shared" si="300"/>
      </c>
      <c r="H62" s="341">
        <f t="shared" si="318"/>
      </c>
      <c r="I62" s="342">
        <f t="shared" si="0"/>
      </c>
      <c r="J62" s="343">
        <f t="shared" si="17"/>
      </c>
      <c r="K62" s="344">
        <f t="shared" si="141"/>
      </c>
      <c r="L62" s="341">
        <f t="shared" si="171"/>
      </c>
      <c r="M62" s="345">
        <f t="shared" si="206"/>
      </c>
      <c r="N62" s="345">
        <f t="shared" si="221"/>
      </c>
      <c r="O62" s="345">
        <f t="shared" si="268"/>
      </c>
      <c r="P62" s="345">
        <f t="shared" si="85"/>
      </c>
      <c r="Q62" s="341">
        <f t="shared" si="117"/>
      </c>
      <c r="R62" s="343">
        <f t="shared" si="119"/>
      </c>
      <c r="S62" s="345">
        <f t="shared" si="121"/>
      </c>
      <c r="T62" s="345">
        <f t="shared" si="34"/>
      </c>
      <c r="U62" s="345">
        <f t="shared" si="51"/>
      </c>
      <c r="V62" s="345">
        <f t="shared" si="68"/>
      </c>
      <c r="W62" s="340" t="s">
        <v>181</v>
      </c>
      <c r="X62" s="347" t="s">
        <v>182</v>
      </c>
      <c r="Y62" s="350">
        <v>221715</v>
      </c>
      <c r="Z62" s="350">
        <v>5860</v>
      </c>
      <c r="AA62" s="350">
        <v>130913</v>
      </c>
      <c r="AB62" s="350">
        <v>1364</v>
      </c>
      <c r="AC62" s="350">
        <v>4</v>
      </c>
      <c r="AD62" s="350">
        <v>16207</v>
      </c>
      <c r="AE62" s="350">
        <v>324</v>
      </c>
      <c r="AF62" s="350">
        <v>110</v>
      </c>
      <c r="AG62" s="349">
        <v>16</v>
      </c>
      <c r="AH62" s="349">
        <v>1</v>
      </c>
    </row>
    <row r="63">
      <c r="A63" s="334"/>
      <c r="B63" s="400" t="s">
        <v>179</v>
      </c>
      <c r="C63" s="356" t="s">
        <v>186</v>
      </c>
      <c r="D63" s="357">
        <v>2219.13</v>
      </c>
      <c r="E63" s="358">
        <v>6</v>
      </c>
      <c r="F63" s="359">
        <v>1872</v>
      </c>
      <c r="G63" s="340">
        <f t="shared" si="300"/>
      </c>
      <c r="H63" s="341">
        <f t="shared" si="318"/>
      </c>
      <c r="I63" s="342">
        <f t="shared" si="0"/>
      </c>
      <c r="J63" s="343">
        <f t="shared" si="17"/>
      </c>
      <c r="K63" s="344">
        <f t="shared" si="141"/>
      </c>
      <c r="L63" s="341">
        <f t="shared" si="171"/>
      </c>
      <c r="M63" s="345">
        <f t="shared" si="206"/>
      </c>
      <c r="N63" s="345">
        <f t="shared" si="221"/>
      </c>
      <c r="O63" s="345">
        <f t="shared" si="268"/>
      </c>
      <c r="P63" s="345">
        <f t="shared" si="85"/>
      </c>
      <c r="Q63" s="341">
        <f t="shared" si="117"/>
      </c>
      <c r="R63" s="343">
        <f t="shared" si="119"/>
      </c>
      <c r="S63" s="345">
        <f t="shared" si="121"/>
      </c>
      <c r="T63" s="345">
        <f t="shared" si="34"/>
      </c>
      <c r="U63" s="345">
        <f t="shared" si="51"/>
      </c>
      <c r="V63" s="345">
        <f t="shared" si="68"/>
      </c>
      <c r="W63" s="360" t="s">
        <v>181</v>
      </c>
      <c r="X63" s="347" t="s">
        <v>182</v>
      </c>
      <c r="Y63" s="350">
        <v>366499</v>
      </c>
      <c r="Z63" s="350">
        <v>7541</v>
      </c>
      <c r="AA63" s="350">
        <v>179154</v>
      </c>
      <c r="AB63" s="350">
        <v>2107</v>
      </c>
      <c r="AC63" s="350">
        <v>6</v>
      </c>
      <c r="AD63" s="350">
        <v>20327</v>
      </c>
      <c r="AE63" s="350">
        <v>358</v>
      </c>
      <c r="AF63" s="350">
        <v>159</v>
      </c>
      <c r="AG63" s="349">
        <v>23</v>
      </c>
      <c r="AH63" s="349">
        <v>0</v>
      </c>
    </row>
    <row r="64">
      <c r="A64" s="334"/>
      <c r="B64" s="361" t="s">
        <v>187</v>
      </c>
      <c r="C64" s="361"/>
      <c r="D64" s="362">
        <f>SUM(D59:D63)</f>
      </c>
      <c r="E64" s="363">
        <f>SUM(E59:E63)</f>
      </c>
      <c r="F64" s="362">
        <f>SUM(F59:F63)</f>
      </c>
      <c r="G64" s="362">
        <f t="shared" si="300"/>
      </c>
      <c r="H64" s="364">
        <f t="shared" si="318"/>
      </c>
      <c r="I64" s="365">
        <f t="shared" si="0"/>
      </c>
      <c r="J64" s="366">
        <f t="shared" si="17"/>
      </c>
      <c r="K64" s="367">
        <f t="shared" si="141"/>
      </c>
      <c r="L64" s="364">
        <f t="shared" si="171"/>
      </c>
      <c r="M64" s="368">
        <f t="shared" si="206"/>
      </c>
      <c r="N64" s="368">
        <f t="shared" si="221"/>
      </c>
      <c r="O64" s="368">
        <f t="shared" si="268"/>
      </c>
      <c r="P64" s="368">
        <f t="shared" si="85"/>
      </c>
      <c r="Q64" s="364">
        <f t="shared" si="117"/>
      </c>
      <c r="R64" s="366">
        <f t="shared" si="119"/>
      </c>
      <c r="S64" s="368">
        <f t="shared" si="121"/>
      </c>
      <c r="T64" s="368">
        <f t="shared" si="34"/>
      </c>
      <c r="U64" s="368">
        <f t="shared" si="51"/>
      </c>
      <c r="V64" s="368">
        <f t="shared" si="68"/>
      </c>
      <c r="W64" s="368"/>
      <c r="X64" s="369"/>
      <c r="Y64" s="362">
        <f>SUM(Y59:Y63)</f>
      </c>
      <c r="Z64" s="362">
        <f>SUM(Z59:Z63)</f>
      </c>
      <c r="AA64" s="362">
        <f>SUM(AA59:AA63)</f>
      </c>
      <c r="AB64" s="362">
        <f>SUM(AB59:AB63)</f>
      </c>
      <c r="AC64" s="362">
        <f>SUM(AC59:AC63)</f>
      </c>
      <c r="AD64" s="362">
        <f>SUM(AD59:AD63)</f>
      </c>
      <c r="AE64" s="362">
        <f>SUM(AE59:AE63)</f>
      </c>
      <c r="AF64" s="362">
        <f>SUM(AF59:AF63)</f>
      </c>
      <c r="AG64" s="362">
        <f>SUM(AG59:AG63)</f>
      </c>
      <c r="AH64" s="362">
        <f>SUM(AH59:AH63)</f>
      </c>
    </row>
    <row r="65">
      <c r="A65" s="334"/>
      <c r="B65" s="335" t="s">
        <v>188</v>
      </c>
      <c r="C65" s="370" t="s">
        <v>189</v>
      </c>
      <c r="D65" s="371">
        <v>2049.356</v>
      </c>
      <c r="E65" s="338">
        <v>7</v>
      </c>
      <c r="F65" s="339">
        <v>2068</v>
      </c>
      <c r="G65" s="340">
        <f t="shared" si="300"/>
      </c>
      <c r="H65" s="341">
        <f t="shared" si="318"/>
      </c>
      <c r="I65" s="342">
        <f t="shared" si="0"/>
      </c>
      <c r="J65" s="343">
        <f t="shared" si="17"/>
      </c>
      <c r="K65" s="344">
        <f t="shared" si="141"/>
      </c>
      <c r="L65" s="341">
        <f t="shared" si="171"/>
      </c>
      <c r="M65" s="345">
        <f t="shared" si="206"/>
      </c>
      <c r="N65" s="345">
        <f t="shared" si="221"/>
      </c>
      <c r="O65" s="345">
        <f t="shared" si="268"/>
      </c>
      <c r="P65" s="345">
        <f t="shared" si="85"/>
      </c>
      <c r="Q65" s="341">
        <f t="shared" si="117"/>
      </c>
      <c r="R65" s="343">
        <f t="shared" si="119"/>
      </c>
      <c r="S65" s="345">
        <f t="shared" si="121"/>
      </c>
      <c r="T65" s="345">
        <f t="shared" si="34"/>
      </c>
      <c r="U65" s="345">
        <f t="shared" si="51"/>
      </c>
      <c r="V65" s="345">
        <f t="shared" si="68"/>
      </c>
      <c r="W65" s="360" t="s">
        <v>181</v>
      </c>
      <c r="X65" s="347" t="s">
        <v>182</v>
      </c>
      <c r="Y65" s="348">
        <v>360105</v>
      </c>
      <c r="Z65" s="348">
        <v>5978</v>
      </c>
      <c r="AA65" s="348">
        <v>135897</v>
      </c>
      <c r="AB65" s="350">
        <v>2333</v>
      </c>
      <c r="AC65" s="350">
        <v>6</v>
      </c>
      <c r="AD65" s="348">
        <v>15775</v>
      </c>
      <c r="AE65" s="350">
        <v>423</v>
      </c>
      <c r="AF65" s="350">
        <v>130</v>
      </c>
      <c r="AG65" s="350">
        <v>17</v>
      </c>
      <c r="AH65" s="349">
        <v>0</v>
      </c>
    </row>
    <row r="66">
      <c r="A66" s="334"/>
      <c r="B66" s="335" t="s">
        <v>188</v>
      </c>
      <c r="C66" s="372" t="s">
        <v>190</v>
      </c>
      <c r="D66" s="371">
        <v>2576.325</v>
      </c>
      <c r="E66" s="358">
        <v>4</v>
      </c>
      <c r="F66" s="359">
        <v>1448</v>
      </c>
      <c r="G66" s="340">
        <f t="shared" si="300"/>
      </c>
      <c r="H66" s="341">
        <f t="shared" si="318"/>
      </c>
      <c r="I66" s="342">
        <f t="shared" si="0"/>
      </c>
      <c r="J66" s="343">
        <f t="shared" si="17"/>
      </c>
      <c r="K66" s="344">
        <f t="shared" si="141"/>
      </c>
      <c r="L66" s="341">
        <f t="shared" si="171"/>
      </c>
      <c r="M66" s="345">
        <f t="shared" si="206"/>
      </c>
      <c r="N66" s="345">
        <f t="shared" si="221"/>
      </c>
      <c r="O66" s="345">
        <f t="shared" si="268"/>
      </c>
      <c r="P66" s="345">
        <f t="shared" si="85"/>
      </c>
      <c r="Q66" s="341">
        <f t="shared" si="117"/>
      </c>
      <c r="R66" s="343">
        <f t="shared" si="119"/>
      </c>
      <c r="S66" s="345">
        <f t="shared" si="121"/>
      </c>
      <c r="T66" s="345">
        <f t="shared" si="34"/>
      </c>
      <c r="U66" s="345">
        <f t="shared" si="51"/>
      </c>
      <c r="V66" s="345">
        <f t="shared" si="68"/>
      </c>
      <c r="W66" s="360" t="s">
        <v>181</v>
      </c>
      <c r="X66" s="347" t="s">
        <v>182</v>
      </c>
      <c r="Y66" s="350">
        <v>400482</v>
      </c>
      <c r="Z66" s="350">
        <v>7296</v>
      </c>
      <c r="AA66" s="350">
        <v>177595</v>
      </c>
      <c r="AB66" s="350">
        <v>2457</v>
      </c>
      <c r="AC66" s="350">
        <v>4</v>
      </c>
      <c r="AD66" s="350">
        <v>26766</v>
      </c>
      <c r="AE66" s="350">
        <v>583</v>
      </c>
      <c r="AF66" s="350">
        <v>218</v>
      </c>
      <c r="AG66" s="350">
        <v>34</v>
      </c>
      <c r="AH66" s="349">
        <v>0</v>
      </c>
    </row>
    <row r="67">
      <c r="A67" s="334"/>
      <c r="B67" s="335" t="s">
        <v>188</v>
      </c>
      <c r="C67" s="373" t="s">
        <v>191</v>
      </c>
      <c r="D67" s="371">
        <v>2216.4849999999997</v>
      </c>
      <c r="E67" s="358">
        <v>10</v>
      </c>
      <c r="F67" s="359">
        <v>2269.199999999999</v>
      </c>
      <c r="G67" s="340">
        <f t="shared" si="300"/>
      </c>
      <c r="H67" s="341">
        <f t="shared" si="318"/>
      </c>
      <c r="I67" s="342">
        <f t="shared" si="0"/>
      </c>
      <c r="J67" s="343">
        <f t="shared" si="17"/>
      </c>
      <c r="K67" s="344">
        <f t="shared" si="141"/>
      </c>
      <c r="L67" s="341">
        <f t="shared" si="171"/>
      </c>
      <c r="M67" s="345">
        <f t="shared" si="206"/>
      </c>
      <c r="N67" s="345">
        <f t="shared" si="221"/>
      </c>
      <c r="O67" s="345">
        <f t="shared" si="268"/>
      </c>
      <c r="P67" s="345">
        <f t="shared" si="85"/>
      </c>
      <c r="Q67" s="341">
        <f t="shared" si="117"/>
      </c>
      <c r="R67" s="343">
        <f t="shared" si="119"/>
      </c>
      <c r="S67" s="345">
        <f t="shared" si="121"/>
      </c>
      <c r="T67" s="345">
        <f t="shared" si="34"/>
      </c>
      <c r="U67" s="345">
        <f t="shared" si="51"/>
      </c>
      <c r="V67" s="345">
        <f t="shared" si="68"/>
      </c>
      <c r="W67" s="360" t="s">
        <v>181</v>
      </c>
      <c r="X67" s="347" t="s">
        <v>182</v>
      </c>
      <c r="Y67" s="350">
        <v>252934</v>
      </c>
      <c r="Z67" s="350">
        <v>7515</v>
      </c>
      <c r="AA67" s="350">
        <v>215135</v>
      </c>
      <c r="AB67" s="350">
        <v>1693</v>
      </c>
      <c r="AC67" s="350">
        <v>8</v>
      </c>
      <c r="AD67" s="350">
        <v>33132</v>
      </c>
      <c r="AE67" s="350">
        <v>676</v>
      </c>
      <c r="AF67" s="350">
        <v>220</v>
      </c>
      <c r="AG67" s="349">
        <v>24</v>
      </c>
      <c r="AH67" s="349">
        <v>1</v>
      </c>
    </row>
    <row r="68">
      <c r="A68" s="334"/>
      <c r="B68" s="335" t="s">
        <v>188</v>
      </c>
      <c r="C68" s="374" t="s">
        <v>192</v>
      </c>
      <c r="D68" s="371">
        <v>1716.2990000000002</v>
      </c>
      <c r="E68" s="358">
        <v>5</v>
      </c>
      <c r="F68" s="359">
        <v>2297.2000000000007</v>
      </c>
      <c r="G68" s="340">
        <f t="shared" si="300"/>
      </c>
      <c r="H68" s="341">
        <f t="shared" si="318"/>
      </c>
      <c r="I68" s="342">
        <f t="shared" si="0"/>
      </c>
      <c r="J68" s="343">
        <f t="shared" si="17"/>
      </c>
      <c r="K68" s="344">
        <f t="shared" si="141"/>
      </c>
      <c r="L68" s="341">
        <f t="shared" si="171"/>
      </c>
      <c r="M68" s="345">
        <f t="shared" si="206"/>
      </c>
      <c r="N68" s="345">
        <f t="shared" si="221"/>
      </c>
      <c r="O68" s="345">
        <f t="shared" si="268"/>
      </c>
      <c r="P68" s="345">
        <f t="shared" si="85"/>
      </c>
      <c r="Q68" s="341">
        <f t="shared" si="117"/>
      </c>
      <c r="R68" s="343">
        <f t="shared" si="119"/>
      </c>
      <c r="S68" s="345">
        <f t="shared" si="121"/>
      </c>
      <c r="T68" s="345">
        <f t="shared" si="34"/>
      </c>
      <c r="U68" s="345">
        <f t="shared" si="51"/>
      </c>
      <c r="V68" s="345">
        <f t="shared" si="68"/>
      </c>
      <c r="W68" s="360" t="s">
        <v>181</v>
      </c>
      <c r="X68" s="347" t="s">
        <v>193</v>
      </c>
      <c r="Y68" s="350">
        <v>164302</v>
      </c>
      <c r="Z68" s="350">
        <v>7395</v>
      </c>
      <c r="AA68" s="350">
        <v>162447</v>
      </c>
      <c r="AB68" s="350">
        <v>999</v>
      </c>
      <c r="AC68" s="350">
        <v>4</v>
      </c>
      <c r="AD68" s="350">
        <v>22774</v>
      </c>
      <c r="AE68" s="350">
        <v>392</v>
      </c>
      <c r="AF68" s="350">
        <v>169</v>
      </c>
      <c r="AG68" s="349">
        <v>20</v>
      </c>
      <c r="AH68" s="349">
        <v>1</v>
      </c>
    </row>
    <row r="69">
      <c r="A69" s="334"/>
      <c r="B69" s="335" t="s">
        <v>188</v>
      </c>
      <c r="C69" s="375" t="s">
        <v>194</v>
      </c>
      <c r="D69" s="371">
        <v>2045.3690000000001</v>
      </c>
      <c r="E69" s="358">
        <v>3</v>
      </c>
      <c r="F69" s="359">
        <v>642.2999999999993</v>
      </c>
      <c r="G69" s="340">
        <f t="shared" si="300"/>
      </c>
      <c r="H69" s="341">
        <f t="shared" si="318"/>
      </c>
      <c r="I69" s="342">
        <f t="shared" si="0"/>
      </c>
      <c r="J69" s="343">
        <f t="shared" si="17"/>
      </c>
      <c r="K69" s="344">
        <f t="shared" si="141"/>
      </c>
      <c r="L69" s="341">
        <f t="shared" si="171"/>
      </c>
      <c r="M69" s="345">
        <f t="shared" si="206"/>
      </c>
      <c r="N69" s="345">
        <f t="shared" si="221"/>
      </c>
      <c r="O69" s="345">
        <f t="shared" si="268"/>
      </c>
      <c r="P69" s="345">
        <f t="shared" si="85"/>
      </c>
      <c r="Q69" s="341">
        <f t="shared" si="117"/>
      </c>
      <c r="R69" s="343">
        <f t="shared" si="119"/>
      </c>
      <c r="S69" s="345">
        <f t="shared" si="121"/>
      </c>
      <c r="T69" s="345">
        <f t="shared" si="34"/>
      </c>
      <c r="U69" s="345">
        <f t="shared" si="51"/>
      </c>
      <c r="V69" s="345">
        <f t="shared" si="68"/>
      </c>
      <c r="W69" s="360" t="s">
        <v>181</v>
      </c>
      <c r="X69" s="347" t="s">
        <v>193</v>
      </c>
      <c r="Y69" s="350">
        <v>246328</v>
      </c>
      <c r="Z69" s="350">
        <v>10937</v>
      </c>
      <c r="AA69" s="350">
        <v>255834</v>
      </c>
      <c r="AB69" s="350">
        <v>1295</v>
      </c>
      <c r="AC69" s="350">
        <v>3</v>
      </c>
      <c r="AD69" s="350">
        <v>31750</v>
      </c>
      <c r="AE69" s="350">
        <v>530</v>
      </c>
      <c r="AF69" s="350">
        <v>264</v>
      </c>
      <c r="AG69" s="349">
        <v>20</v>
      </c>
      <c r="AH69" s="349">
        <v>1</v>
      </c>
    </row>
    <row r="70">
      <c r="A70" s="334"/>
      <c r="B70" s="361" t="s">
        <v>187</v>
      </c>
      <c r="C70" s="361"/>
      <c r="D70" s="362">
        <f>SUM(D65:D69)</f>
      </c>
      <c r="E70" s="362">
        <f>SUM(E65:E69)</f>
      </c>
      <c r="F70" s="362">
        <f>SUM(F65:F69)</f>
      </c>
      <c r="G70" s="362">
        <f t="shared" si="300"/>
      </c>
      <c r="H70" s="364">
        <f t="shared" si="318"/>
      </c>
      <c r="I70" s="365">
        <f t="shared" si="0"/>
      </c>
      <c r="J70" s="366">
        <f t="shared" si="17"/>
      </c>
      <c r="K70" s="367">
        <f t="shared" si="141"/>
      </c>
      <c r="L70" s="364">
        <f t="shared" si="171"/>
      </c>
      <c r="M70" s="368">
        <f t="shared" si="206"/>
      </c>
      <c r="N70" s="368">
        <f t="shared" si="221"/>
      </c>
      <c r="O70" s="368">
        <f t="shared" si="268"/>
      </c>
      <c r="P70" s="368">
        <f t="shared" si="85"/>
      </c>
      <c r="Q70" s="364">
        <f t="shared" si="117"/>
      </c>
      <c r="R70" s="366">
        <f t="shared" si="119"/>
      </c>
      <c r="S70" s="368">
        <f t="shared" si="121"/>
      </c>
      <c r="T70" s="368">
        <f t="shared" si="34"/>
      </c>
      <c r="U70" s="368">
        <f t="shared" si="51"/>
      </c>
      <c r="V70" s="368">
        <f t="shared" si="68"/>
      </c>
      <c r="W70" s="368"/>
      <c r="X70" s="369"/>
      <c r="Y70" s="362">
        <f>SUM(Y65:Y69)</f>
      </c>
      <c r="Z70" s="362">
        <f>SUM(Z65:Z69)</f>
      </c>
      <c r="AA70" s="362">
        <f>SUM(AA65:AA69)</f>
      </c>
      <c r="AB70" s="362">
        <f>SUM(AB65:AB69)</f>
      </c>
      <c r="AC70" s="362">
        <f>SUM(AC65:AC69)</f>
      </c>
      <c r="AD70" s="362">
        <f>SUM(AD65:AD69)</f>
      </c>
      <c r="AE70" s="362">
        <f>SUM(AE65:AE69)</f>
      </c>
      <c r="AF70" s="362">
        <f>SUM(AF65:AF69)</f>
      </c>
      <c r="AG70" s="362">
        <f>SUM(AG65:AG69)</f>
      </c>
      <c r="AH70" s="362">
        <f>SUM(AH65:AH69)</f>
      </c>
    </row>
    <row r="71">
      <c r="A71" s="334"/>
      <c r="B71" s="376" t="s">
        <v>195</v>
      </c>
      <c r="C71" s="373" t="s">
        <v>196</v>
      </c>
      <c r="D71" s="377">
        <v>3001.273</v>
      </c>
      <c r="E71" s="378">
        <v>7</v>
      </c>
      <c r="F71" s="359">
        <v>2121.2000000000007</v>
      </c>
      <c r="G71" s="340">
        <f t="shared" si="300"/>
      </c>
      <c r="H71" s="341">
        <f t="shared" si="318"/>
      </c>
      <c r="I71" s="342">
        <f t="shared" si="0"/>
      </c>
      <c r="J71" s="343">
        <f t="shared" si="17"/>
      </c>
      <c r="K71" s="344">
        <f t="shared" si="141"/>
      </c>
      <c r="L71" s="341">
        <f t="shared" si="171"/>
      </c>
      <c r="M71" s="345">
        <f t="shared" si="206"/>
      </c>
      <c r="N71" s="345">
        <f t="shared" si="221"/>
      </c>
      <c r="O71" s="345">
        <f t="shared" si="268"/>
      </c>
      <c r="P71" s="345">
        <f t="shared" si="85"/>
      </c>
      <c r="Q71" s="341">
        <f t="shared" si="117"/>
      </c>
      <c r="R71" s="343">
        <f t="shared" si="119"/>
      </c>
      <c r="S71" s="345">
        <f t="shared" si="121"/>
      </c>
      <c r="T71" s="345">
        <f t="shared" si="34"/>
      </c>
      <c r="U71" s="345">
        <f t="shared" si="51"/>
      </c>
      <c r="V71" s="345">
        <f t="shared" si="68"/>
      </c>
      <c r="W71" s="360" t="s">
        <v>181</v>
      </c>
      <c r="X71" s="347" t="s">
        <v>193</v>
      </c>
      <c r="Y71" s="350">
        <v>397481</v>
      </c>
      <c r="Z71" s="350">
        <v>9776</v>
      </c>
      <c r="AA71" s="350">
        <v>416719</v>
      </c>
      <c r="AB71" s="350">
        <v>1870</v>
      </c>
      <c r="AC71" s="350">
        <v>6</v>
      </c>
      <c r="AD71" s="350">
        <v>41990</v>
      </c>
      <c r="AE71" s="350">
        <v>781</v>
      </c>
      <c r="AF71" s="350">
        <v>279</v>
      </c>
      <c r="AG71" s="350">
        <v>31</v>
      </c>
      <c r="AH71" s="349">
        <v>1</v>
      </c>
    </row>
    <row r="72">
      <c r="A72" s="334"/>
      <c r="B72" s="376" t="s">
        <v>195</v>
      </c>
      <c r="C72" s="373" t="s">
        <v>197</v>
      </c>
      <c r="D72" s="377">
        <v>1197.8300000000002</v>
      </c>
      <c r="E72" s="378">
        <v>4</v>
      </c>
      <c r="F72" s="359">
        <v>901.2000000000007</v>
      </c>
      <c r="G72" s="340">
        <f t="shared" si="300"/>
      </c>
      <c r="H72" s="341">
        <f t="shared" si="318"/>
      </c>
      <c r="I72" s="342">
        <f t="shared" si="0"/>
      </c>
      <c r="J72" s="343">
        <f t="shared" si="17"/>
      </c>
      <c r="K72" s="344">
        <f t="shared" si="141"/>
      </c>
      <c r="L72" s="341">
        <f t="shared" si="171"/>
      </c>
      <c r="M72" s="345">
        <f t="shared" si="206"/>
      </c>
      <c r="N72" s="345">
        <f t="shared" si="221"/>
      </c>
      <c r="O72" s="345">
        <f t="shared" si="268"/>
      </c>
      <c r="P72" s="345">
        <f t="shared" si="85"/>
      </c>
      <c r="Q72" s="341">
        <f t="shared" si="117"/>
      </c>
      <c r="R72" s="343">
        <f t="shared" si="119"/>
      </c>
      <c r="S72" s="345">
        <f t="shared" si="121"/>
      </c>
      <c r="T72" s="345">
        <f t="shared" si="34"/>
      </c>
      <c r="U72" s="345">
        <f t="shared" si="51"/>
      </c>
      <c r="V72" s="345">
        <f t="shared" si="68"/>
      </c>
      <c r="W72" s="360" t="s">
        <v>181</v>
      </c>
      <c r="X72" s="347" t="s">
        <v>193</v>
      </c>
      <c r="Y72" s="350">
        <v>83860</v>
      </c>
      <c r="Z72" s="350">
        <v>4498</v>
      </c>
      <c r="AA72" s="350">
        <v>83126</v>
      </c>
      <c r="AB72" s="350">
        <v>611</v>
      </c>
      <c r="AC72" s="350">
        <v>5</v>
      </c>
      <c r="AD72" s="350">
        <v>12737</v>
      </c>
      <c r="AE72" s="350">
        <v>255</v>
      </c>
      <c r="AF72" s="350">
        <v>104</v>
      </c>
      <c r="AG72" s="349">
        <v>10</v>
      </c>
      <c r="AH72" s="349">
        <v>1</v>
      </c>
    </row>
    <row r="73">
      <c r="A73" s="334"/>
      <c r="B73" s="376" t="s">
        <v>195</v>
      </c>
      <c r="C73" s="374" t="s">
        <v>198</v>
      </c>
      <c r="D73" s="377">
        <v>1711.4959999999999</v>
      </c>
      <c r="E73" s="378">
        <v>0</v>
      </c>
      <c r="F73" s="359">
        <v>0</v>
      </c>
      <c r="G73" s="340">
        <f t="shared" si="300"/>
      </c>
      <c r="H73" s="341">
        <f t="shared" si="318"/>
      </c>
      <c r="I73" s="342">
        <f t="shared" si="0"/>
      </c>
      <c r="J73" s="343">
        <f t="shared" si="17"/>
      </c>
      <c r="K73" s="344">
        <f t="shared" si="141"/>
      </c>
      <c r="L73" s="341">
        <f t="shared" si="171"/>
      </c>
      <c r="M73" s="345">
        <f t="shared" si="206"/>
      </c>
      <c r="N73" s="345">
        <f t="shared" si="221"/>
      </c>
      <c r="O73" s="345">
        <f t="shared" si="268"/>
      </c>
      <c r="P73" s="345">
        <f t="shared" si="85"/>
      </c>
      <c r="Q73" s="341">
        <f t="shared" si="117"/>
      </c>
      <c r="R73" s="343">
        <f t="shared" si="119"/>
      </c>
      <c r="S73" s="345">
        <f t="shared" si="121"/>
      </c>
      <c r="T73" s="345">
        <f t="shared" si="34"/>
      </c>
      <c r="U73" s="345">
        <f t="shared" si="51"/>
      </c>
      <c r="V73" s="345">
        <f t="shared" si="68"/>
      </c>
      <c r="W73" s="360" t="s">
        <v>181</v>
      </c>
      <c r="X73" s="347" t="s">
        <v>193</v>
      </c>
      <c r="Y73" s="350">
        <v>104018</v>
      </c>
      <c r="Z73" s="350">
        <v>9670</v>
      </c>
      <c r="AA73" s="350">
        <v>113370</v>
      </c>
      <c r="AB73" s="350">
        <v>611</v>
      </c>
      <c r="AC73" s="350">
        <v>0</v>
      </c>
      <c r="AD73" s="350">
        <v>13580</v>
      </c>
      <c r="AE73" s="350">
        <v>226</v>
      </c>
      <c r="AF73" s="350">
        <v>187</v>
      </c>
      <c r="AG73" s="349">
        <v>12</v>
      </c>
      <c r="AH73" s="349">
        <v>0</v>
      </c>
    </row>
    <row r="74">
      <c r="A74" s="334"/>
      <c r="B74" s="376" t="s">
        <v>195</v>
      </c>
      <c r="C74" s="373" t="s">
        <v>199</v>
      </c>
      <c r="D74" s="379">
        <v>4268.743</v>
      </c>
      <c r="E74" s="338">
        <v>9</v>
      </c>
      <c r="F74" s="339">
        <v>3591.5999999999985</v>
      </c>
      <c r="G74" s="340">
        <f t="shared" si="300"/>
      </c>
      <c r="H74" s="341">
        <f t="shared" si="318"/>
      </c>
      <c r="I74" s="380">
        <f t="shared" si="0"/>
      </c>
      <c r="J74" s="381">
        <f t="shared" si="17"/>
      </c>
      <c r="K74" s="382">
        <f t="shared" ref="K74:K75" si="305">D74/AB74</f>
      </c>
      <c r="L74" s="383">
        <f t="shared" si="171"/>
      </c>
      <c r="M74" s="384">
        <f t="shared" ref="M74:M75" si="323">AC74/AB74</f>
      </c>
      <c r="N74" s="384">
        <f t="shared" si="221"/>
      </c>
      <c r="O74" s="384">
        <f t="shared" si="268"/>
      </c>
      <c r="P74" s="384">
        <f t="shared" si="85"/>
      </c>
      <c r="Q74" s="383">
        <f t="shared" si="117"/>
      </c>
      <c r="R74" s="381">
        <f t="shared" si="119"/>
      </c>
      <c r="S74" s="384">
        <f t="shared" si="121"/>
      </c>
      <c r="T74" s="384">
        <f t="shared" si="34"/>
      </c>
      <c r="U74" s="384">
        <f t="shared" si="51"/>
      </c>
      <c r="V74" s="384">
        <f t="shared" si="68"/>
      </c>
      <c r="W74" s="360" t="s">
        <v>181</v>
      </c>
      <c r="X74" s="347" t="s">
        <v>193</v>
      </c>
      <c r="Y74" s="350">
        <v>676238</v>
      </c>
      <c r="Z74" s="350">
        <v>31272</v>
      </c>
      <c r="AA74" s="350">
        <v>705073</v>
      </c>
      <c r="AB74" s="385">
        <v>2063</v>
      </c>
      <c r="AC74" s="385">
        <v>5</v>
      </c>
      <c r="AD74" s="385">
        <v>54151</v>
      </c>
      <c r="AE74" s="385">
        <v>803</v>
      </c>
      <c r="AF74" s="385">
        <v>589</v>
      </c>
      <c r="AG74" s="385">
        <v>54</v>
      </c>
      <c r="AH74" s="349">
        <v>4</v>
      </c>
    </row>
    <row r="75">
      <c r="A75" s="334"/>
      <c r="B75" s="376" t="s">
        <v>195</v>
      </c>
      <c r="C75" s="386" t="s">
        <v>200</v>
      </c>
      <c r="D75" s="377">
        <f>6256.8+1.08</f>
      </c>
      <c r="E75" s="378">
        <v>13</v>
      </c>
      <c r="F75" s="359">
        <v>5893.5999999999985</v>
      </c>
      <c r="G75" s="340">
        <f t="shared" si="300"/>
      </c>
      <c r="H75" s="341">
        <f t="shared" si="318"/>
      </c>
      <c r="I75" s="380">
        <f t="shared" si="0"/>
      </c>
      <c r="J75" s="381">
        <f t="shared" si="17"/>
      </c>
      <c r="K75" s="382">
        <f t="shared" si="305"/>
      </c>
      <c r="L75" s="383">
        <f t="shared" si="171"/>
      </c>
      <c r="M75" s="384">
        <f t="shared" si="323"/>
      </c>
      <c r="N75" s="384">
        <f t="shared" si="221"/>
      </c>
      <c r="O75" s="384">
        <f t="shared" si="268"/>
      </c>
      <c r="P75" s="384">
        <f t="shared" si="85"/>
      </c>
      <c r="Q75" s="383">
        <f t="shared" si="117"/>
      </c>
      <c r="R75" s="381">
        <f t="shared" si="119"/>
      </c>
      <c r="S75" s="384">
        <f t="shared" si="121"/>
      </c>
      <c r="T75" s="384">
        <f t="shared" si="34"/>
      </c>
      <c r="U75" s="384">
        <f t="shared" si="51"/>
      </c>
      <c r="V75" s="384">
        <f t="shared" si="68"/>
      </c>
      <c r="W75" s="360" t="s">
        <v>181</v>
      </c>
      <c r="X75" s="347" t="s">
        <v>193</v>
      </c>
      <c r="Y75" s="350">
        <v>1393582</v>
      </c>
      <c r="Z75" s="350">
        <v>33173</v>
      </c>
      <c r="AA75" s="350">
        <v>1068947</v>
      </c>
      <c r="AB75" s="350">
        <v>3509</v>
      </c>
      <c r="AC75" s="350">
        <v>13</v>
      </c>
      <c r="AD75" s="350">
        <v>50569</v>
      </c>
      <c r="AE75" s="350">
        <v>895</v>
      </c>
      <c r="AF75" s="350">
        <v>596</v>
      </c>
      <c r="AG75" s="349">
        <v>80</v>
      </c>
      <c r="AH75" s="349">
        <v>1</v>
      </c>
    </row>
    <row r="76">
      <c r="A76" s="334"/>
      <c r="B76" s="387" t="s">
        <v>187</v>
      </c>
      <c r="C76" s="387"/>
      <c r="D76" s="362">
        <f>SUM(D71:D75)</f>
      </c>
      <c r="E76" s="362">
        <f>SUM(E71:E75)</f>
      </c>
      <c r="F76" s="362">
        <f>SUM(F71:F75)</f>
      </c>
      <c r="G76" s="362">
        <f t="shared" si="300"/>
      </c>
      <c r="H76" s="364">
        <f t="shared" si="318"/>
      </c>
      <c r="I76" s="365">
        <f t="shared" si="0"/>
      </c>
      <c r="J76" s="366">
        <f t="shared" si="17"/>
      </c>
      <c r="K76" s="367">
        <f t="shared" ref="K76:K92" si="142">D76/AA76</f>
      </c>
      <c r="L76" s="364">
        <f t="shared" si="171"/>
      </c>
      <c r="M76" s="368">
        <f t="shared" ref="M76:M92" si="207">AB76/AA76</f>
      </c>
      <c r="N76" s="368">
        <f t="shared" si="221"/>
      </c>
      <c r="O76" s="368">
        <f t="shared" si="268"/>
      </c>
      <c r="P76" s="368">
        <f t="shared" si="85"/>
      </c>
      <c r="Q76" s="364">
        <f t="shared" si="117"/>
      </c>
      <c r="R76" s="366">
        <f t="shared" si="119"/>
      </c>
      <c r="S76" s="368">
        <f t="shared" si="121"/>
      </c>
      <c r="T76" s="368">
        <f t="shared" si="34"/>
      </c>
      <c r="U76" s="368">
        <f t="shared" si="51"/>
      </c>
      <c r="V76" s="368">
        <f t="shared" si="68"/>
      </c>
      <c r="W76" s="368"/>
      <c r="X76" s="369"/>
      <c r="Y76" s="362">
        <f>SUM(Y71:Y75)</f>
      </c>
      <c r="Z76" s="362">
        <f>SUM(Z71:Z75)</f>
      </c>
      <c r="AA76" s="362">
        <f>SUM(AA71:AA75)</f>
      </c>
      <c r="AB76" s="362">
        <f>SUM(AB71:AB75)</f>
      </c>
      <c r="AC76" s="362">
        <f>SUM(AC71:AC75)</f>
      </c>
      <c r="AD76" s="362">
        <f>SUM(AD71:AD75)</f>
      </c>
      <c r="AE76" s="362">
        <f>SUM(AE71:AE75)</f>
      </c>
      <c r="AF76" s="362">
        <f>SUM(AF71:AF75)</f>
      </c>
      <c r="AG76" s="362">
        <f>SUM(AG71:AG75)</f>
      </c>
      <c r="AH76" s="362">
        <f>SUM(AH71:AH75)</f>
      </c>
    </row>
    <row r="77">
      <c r="A77" s="334"/>
      <c r="B77" s="388" t="s">
        <v>201</v>
      </c>
      <c r="C77" s="388"/>
      <c r="D77" s="389">
        <f>SUM(D64+D76+D70)</f>
      </c>
      <c r="E77" s="389">
        <f>SUM(E64+E76+E70)</f>
      </c>
      <c r="F77" s="389">
        <f>SUM(F64+F76+F70)</f>
      </c>
      <c r="G77" s="390">
        <f t="shared" si="300"/>
      </c>
      <c r="H77" s="391">
        <f t="shared" si="318"/>
      </c>
      <c r="I77" s="392">
        <f t="shared" si="0"/>
      </c>
      <c r="J77" s="393">
        <f t="shared" si="17"/>
      </c>
      <c r="K77" s="394">
        <f t="shared" si="142"/>
      </c>
      <c r="L77" s="394">
        <f t="shared" si="171"/>
      </c>
      <c r="M77" s="395">
        <f t="shared" si="207"/>
      </c>
      <c r="N77" s="395">
        <f t="shared" si="221"/>
      </c>
      <c r="O77" s="395">
        <f t="shared" si="268"/>
      </c>
      <c r="P77" s="395">
        <f t="shared" si="85"/>
      </c>
      <c r="Q77" s="396">
        <f t="shared" si="117"/>
      </c>
      <c r="R77" s="397">
        <f t="shared" si="119"/>
      </c>
      <c r="S77" s="398">
        <f t="shared" si="121"/>
      </c>
      <c r="T77" s="398">
        <f t="shared" si="34"/>
      </c>
      <c r="U77" s="398">
        <f t="shared" si="51"/>
      </c>
      <c r="V77" s="398">
        <f t="shared" si="68"/>
      </c>
      <c r="W77" s="398"/>
      <c r="X77" s="399"/>
      <c r="Y77" s="390">
        <f>SUM(Y76+Y64+Y70)</f>
      </c>
      <c r="Z77" s="390">
        <f>SUM(Z76+Z64+Z70)</f>
      </c>
      <c r="AA77" s="390">
        <f>SUM(AA76+AA64+AA70)</f>
      </c>
      <c r="AB77" s="390">
        <f>SUM(AB76+AB64+AB70)</f>
      </c>
      <c r="AC77" s="390">
        <f>SUM(AC76+AC64+AC70)</f>
      </c>
      <c r="AD77" s="390">
        <f>SUM(AD76+AD64+AD70)</f>
      </c>
      <c r="AE77" s="390">
        <f>SUM(AE76+AE64+AE70)</f>
      </c>
      <c r="AF77" s="390">
        <f>SUM(AF76+AF64+AF70)</f>
      </c>
      <c r="AG77" s="390">
        <f>SUM(AG76+AG64+AG70)</f>
      </c>
      <c r="AH77" s="390">
        <f>SUM(AH76+AH64+AH70)</f>
      </c>
    </row>
    <row r="78">
      <c r="A78" s="334">
        <v>46239</v>
      </c>
      <c r="B78" s="335" t="s">
        <v>188</v>
      </c>
      <c r="C78" s="336" t="s">
        <v>180</v>
      </c>
      <c r="D78" s="337">
        <v>2612.395</v>
      </c>
      <c r="E78" s="338">
        <v>4</v>
      </c>
      <c r="F78" s="339">
        <v>901.2</v>
      </c>
      <c r="G78" s="340">
        <f t="shared" si="300"/>
      </c>
      <c r="H78" s="341">
        <f t="shared" si="318"/>
      </c>
      <c r="I78" s="342">
        <f t="shared" si="0"/>
      </c>
      <c r="J78" s="343">
        <f t="shared" si="17"/>
      </c>
      <c r="K78" s="344">
        <f t="shared" si="142"/>
      </c>
      <c r="L78" s="341">
        <f t="shared" si="171"/>
      </c>
      <c r="M78" s="345">
        <f t="shared" si="207"/>
      </c>
      <c r="N78" s="345">
        <f t="shared" si="221"/>
      </c>
      <c r="O78" s="345">
        <f t="shared" si="268"/>
      </c>
      <c r="P78" s="345">
        <f t="shared" si="85"/>
      </c>
      <c r="Q78" s="341">
        <f t="shared" si="117"/>
      </c>
      <c r="R78" s="343">
        <f t="shared" si="119"/>
      </c>
      <c r="S78" s="345">
        <f t="shared" si="121"/>
      </c>
      <c r="T78" s="345">
        <f t="shared" si="34"/>
      </c>
      <c r="U78" s="345">
        <f t="shared" si="51"/>
      </c>
      <c r="V78" s="345">
        <f t="shared" si="68"/>
      </c>
      <c r="W78" s="346" t="s">
        <v>181</v>
      </c>
      <c r="X78" s="347" t="s">
        <v>204</v>
      </c>
      <c r="Y78" s="348">
        <v>169141</v>
      </c>
      <c r="Z78" s="348">
        <v>7669</v>
      </c>
      <c r="AA78" s="348">
        <v>120272</v>
      </c>
      <c r="AB78" s="348">
        <v>1070</v>
      </c>
      <c r="AC78" s="349">
        <v>4</v>
      </c>
      <c r="AD78" s="348">
        <v>27282</v>
      </c>
      <c r="AE78" s="350">
        <v>596</v>
      </c>
      <c r="AF78" s="350">
        <v>204</v>
      </c>
      <c r="AG78" s="350">
        <v>16</v>
      </c>
      <c r="AH78" s="349">
        <v>0</v>
      </c>
    </row>
    <row r="79">
      <c r="A79" s="334"/>
      <c r="B79" s="335" t="s">
        <v>188</v>
      </c>
      <c r="C79" s="336" t="s">
        <v>183</v>
      </c>
      <c r="D79" s="337">
        <v>1568.8559999999998</v>
      </c>
      <c r="E79" s="338">
        <v>4</v>
      </c>
      <c r="F79" s="339">
        <v>847.9999999999998</v>
      </c>
      <c r="G79" s="340">
        <f t="shared" si="300"/>
      </c>
      <c r="H79" s="341">
        <f t="shared" si="318"/>
      </c>
      <c r="I79" s="342">
        <f t="shared" si="0"/>
      </c>
      <c r="J79" s="343">
        <f t="shared" si="17"/>
      </c>
      <c r="K79" s="344">
        <f t="shared" si="142"/>
      </c>
      <c r="L79" s="341">
        <f t="shared" si="171"/>
      </c>
      <c r="M79" s="345">
        <f t="shared" si="207"/>
      </c>
      <c r="N79" s="345">
        <f t="shared" si="221"/>
      </c>
      <c r="O79" s="345">
        <f t="shared" si="268"/>
      </c>
      <c r="P79" s="345">
        <f t="shared" si="85"/>
      </c>
      <c r="Q79" s="341">
        <f t="shared" si="117"/>
      </c>
      <c r="R79" s="343">
        <f t="shared" si="119"/>
      </c>
      <c r="S79" s="345">
        <f t="shared" si="121"/>
      </c>
      <c r="T79" s="345">
        <f t="shared" si="34"/>
      </c>
      <c r="U79" s="345">
        <f t="shared" si="51"/>
      </c>
      <c r="V79" s="345">
        <f t="shared" si="68"/>
      </c>
      <c r="W79" s="346" t="s">
        <v>181</v>
      </c>
      <c r="X79" s="347" t="s">
        <v>204</v>
      </c>
      <c r="Y79" s="349">
        <v>100653</v>
      </c>
      <c r="Z79" s="348">
        <v>4244</v>
      </c>
      <c r="AA79" s="348">
        <v>64170</v>
      </c>
      <c r="AB79" s="348">
        <v>594</v>
      </c>
      <c r="AC79" s="350">
        <v>4</v>
      </c>
      <c r="AD79" s="348">
        <v>15221</v>
      </c>
      <c r="AE79" s="350">
        <v>352</v>
      </c>
      <c r="AF79" s="350">
        <v>88</v>
      </c>
      <c r="AG79" s="349">
        <v>8</v>
      </c>
      <c r="AH79" s="349">
        <v>0</v>
      </c>
    </row>
    <row r="80">
      <c r="A80" s="334"/>
      <c r="B80" s="335" t="s">
        <v>188</v>
      </c>
      <c r="C80" s="351" t="s">
        <v>184</v>
      </c>
      <c r="D80" s="352">
        <v>3545.737</v>
      </c>
      <c r="E80" s="338">
        <v>5</v>
      </c>
      <c r="F80" s="339">
        <v>2269.6</v>
      </c>
      <c r="G80" s="340">
        <f t="shared" si="300"/>
      </c>
      <c r="H80" s="341">
        <f t="shared" si="318"/>
      </c>
      <c r="I80" s="342">
        <f t="shared" si="0"/>
      </c>
      <c r="J80" s="343">
        <f t="shared" si="17"/>
      </c>
      <c r="K80" s="344">
        <f t="shared" si="142"/>
      </c>
      <c r="L80" s="341">
        <f t="shared" si="171"/>
      </c>
      <c r="M80" s="345">
        <f t="shared" si="207"/>
      </c>
      <c r="N80" s="345">
        <f t="shared" si="221"/>
      </c>
      <c r="O80" s="345">
        <f t="shared" si="268"/>
      </c>
      <c r="P80" s="345">
        <f t="shared" si="85"/>
      </c>
      <c r="Q80" s="341">
        <f t="shared" si="117"/>
      </c>
      <c r="R80" s="343">
        <f t="shared" si="119"/>
      </c>
      <c r="S80" s="345">
        <f t="shared" si="121"/>
      </c>
      <c r="T80" s="345">
        <f t="shared" si="34"/>
      </c>
      <c r="U80" s="345">
        <f t="shared" si="51"/>
      </c>
      <c r="V80" s="345">
        <f t="shared" si="68"/>
      </c>
      <c r="W80" s="346" t="s">
        <v>181</v>
      </c>
      <c r="X80" s="347" t="s">
        <v>204</v>
      </c>
      <c r="Y80" s="350">
        <v>369717</v>
      </c>
      <c r="Z80" s="348">
        <v>13035</v>
      </c>
      <c r="AA80" s="348">
        <v>302540</v>
      </c>
      <c r="AB80" s="348">
        <v>833</v>
      </c>
      <c r="AC80" s="350">
        <v>6</v>
      </c>
      <c r="AD80" s="348">
        <v>40709</v>
      </c>
      <c r="AE80" s="350">
        <v>662</v>
      </c>
      <c r="AF80" s="350">
        <v>336</v>
      </c>
      <c r="AG80" s="350">
        <v>36</v>
      </c>
      <c r="AH80" s="349">
        <v>0</v>
      </c>
    </row>
    <row r="81">
      <c r="A81" s="334"/>
      <c r="B81" s="335" t="s">
        <v>188</v>
      </c>
      <c r="C81" s="353" t="s">
        <v>185</v>
      </c>
      <c r="D81" s="354">
        <v>5544.852</v>
      </c>
      <c r="E81" s="355">
        <v>14</v>
      </c>
      <c r="F81" s="339">
        <v>5296.200000000001</v>
      </c>
      <c r="G81" s="340">
        <f t="shared" si="300"/>
      </c>
      <c r="H81" s="341">
        <f t="shared" si="318"/>
      </c>
      <c r="I81" s="342">
        <f t="shared" si="0"/>
      </c>
      <c r="J81" s="343">
        <f t="shared" si="17"/>
      </c>
      <c r="K81" s="344">
        <f t="shared" si="142"/>
      </c>
      <c r="L81" s="341">
        <f t="shared" si="171"/>
      </c>
      <c r="M81" s="345">
        <f t="shared" si="207"/>
      </c>
      <c r="N81" s="345">
        <f t="shared" si="221"/>
      </c>
      <c r="O81" s="345">
        <f t="shared" si="268"/>
      </c>
      <c r="P81" s="345">
        <f t="shared" si="85"/>
      </c>
      <c r="Q81" s="341">
        <f t="shared" si="117"/>
      </c>
      <c r="R81" s="343">
        <f t="shared" si="119"/>
      </c>
      <c r="S81" s="345">
        <f t="shared" si="121"/>
      </c>
      <c r="T81" s="345">
        <f t="shared" si="34"/>
      </c>
      <c r="U81" s="345">
        <f t="shared" si="51"/>
      </c>
      <c r="V81" s="345">
        <f t="shared" si="68"/>
      </c>
      <c r="W81" s="340" t="s">
        <v>181</v>
      </c>
      <c r="X81" s="347" t="s">
        <v>204</v>
      </c>
      <c r="Y81" s="350">
        <v>810403</v>
      </c>
      <c r="Z81" s="350">
        <v>25032</v>
      </c>
      <c r="AA81" s="350">
        <v>587109</v>
      </c>
      <c r="AB81" s="350">
        <v>1532</v>
      </c>
      <c r="AC81" s="350">
        <v>12</v>
      </c>
      <c r="AD81" s="350">
        <v>68238</v>
      </c>
      <c r="AE81" s="350">
        <v>1307</v>
      </c>
      <c r="AF81" s="350">
        <v>640</v>
      </c>
      <c r="AG81" s="349">
        <v>62</v>
      </c>
      <c r="AH81" s="349">
        <v>1</v>
      </c>
    </row>
    <row r="82">
      <c r="A82" s="334"/>
      <c r="B82" s="335" t="s">
        <v>188</v>
      </c>
      <c r="C82" s="356" t="s">
        <v>186</v>
      </c>
      <c r="D82" s="357">
        <v>1518.688</v>
      </c>
      <c r="E82" s="358">
        <v>10</v>
      </c>
      <c r="F82" s="359">
        <v>3913.2000000000007</v>
      </c>
      <c r="G82" s="340">
        <f t="shared" si="300"/>
      </c>
      <c r="H82" s="341">
        <f t="shared" si="318"/>
      </c>
      <c r="I82" s="342">
        <f t="shared" si="0"/>
      </c>
      <c r="J82" s="343">
        <f t="shared" si="17"/>
      </c>
      <c r="K82" s="344">
        <f t="shared" si="142"/>
      </c>
      <c r="L82" s="341">
        <f t="shared" si="171"/>
      </c>
      <c r="M82" s="345">
        <f t="shared" si="207"/>
      </c>
      <c r="N82" s="345">
        <f t="shared" si="221"/>
      </c>
      <c r="O82" s="345">
        <f t="shared" si="268"/>
      </c>
      <c r="P82" s="345">
        <f t="shared" si="85"/>
      </c>
      <c r="Q82" s="341">
        <f t="shared" si="117"/>
      </c>
      <c r="R82" s="343">
        <f t="shared" si="119"/>
      </c>
      <c r="S82" s="345">
        <f t="shared" si="121"/>
      </c>
      <c r="T82" s="345">
        <f t="shared" si="34"/>
      </c>
      <c r="U82" s="345">
        <f t="shared" si="51"/>
      </c>
      <c r="V82" s="345">
        <f t="shared" si="68"/>
      </c>
      <c r="W82" s="360" t="s">
        <v>181</v>
      </c>
      <c r="X82" s="347" t="s">
        <v>204</v>
      </c>
      <c r="Y82" s="350">
        <v>189436</v>
      </c>
      <c r="Z82" s="350">
        <v>6304</v>
      </c>
      <c r="AA82" s="350">
        <v>76916</v>
      </c>
      <c r="AB82" s="350">
        <v>671</v>
      </c>
      <c r="AC82" s="350">
        <v>5</v>
      </c>
      <c r="AD82" s="350">
        <v>10139</v>
      </c>
      <c r="AE82" s="350">
        <v>278</v>
      </c>
      <c r="AF82" s="350">
        <v>101</v>
      </c>
      <c r="AG82" s="349">
        <v>14</v>
      </c>
      <c r="AH82" s="349">
        <v>1</v>
      </c>
    </row>
    <row r="83">
      <c r="A83" s="334"/>
      <c r="B83" s="361" t="s">
        <v>187</v>
      </c>
      <c r="C83" s="361"/>
      <c r="D83" s="362">
        <f>SUM(D78:D82)</f>
      </c>
      <c r="E83" s="363">
        <f>SUM(E78:E82)</f>
      </c>
      <c r="F83" s="362">
        <f>SUM(F78:F82)</f>
      </c>
      <c r="G83" s="362">
        <f t="shared" si="300"/>
      </c>
      <c r="H83" s="364">
        <f t="shared" si="318"/>
      </c>
      <c r="I83" s="365">
        <f t="shared" si="0"/>
      </c>
      <c r="J83" s="366">
        <f t="shared" si="17"/>
      </c>
      <c r="K83" s="367">
        <f t="shared" si="142"/>
      </c>
      <c r="L83" s="364">
        <f t="shared" si="171"/>
      </c>
      <c r="M83" s="368">
        <f t="shared" si="207"/>
      </c>
      <c r="N83" s="368">
        <f t="shared" si="221"/>
      </c>
      <c r="O83" s="368">
        <f t="shared" si="268"/>
      </c>
      <c r="P83" s="368">
        <f t="shared" si="85"/>
      </c>
      <c r="Q83" s="364">
        <f t="shared" si="117"/>
      </c>
      <c r="R83" s="366">
        <f t="shared" si="119"/>
      </c>
      <c r="S83" s="368">
        <f t="shared" si="121"/>
      </c>
      <c r="T83" s="368">
        <f t="shared" si="34"/>
      </c>
      <c r="U83" s="368">
        <f t="shared" si="51"/>
      </c>
      <c r="V83" s="368">
        <f t="shared" si="68"/>
      </c>
      <c r="W83" s="368"/>
      <c r="X83" s="369"/>
      <c r="Y83" s="362">
        <f>SUM(Y78:Y82)</f>
      </c>
      <c r="Z83" s="362">
        <f>SUM(Z78:Z82)</f>
      </c>
      <c r="AA83" s="362">
        <f>SUM(AA78:AA82)</f>
      </c>
      <c r="AB83" s="362">
        <f>SUM(AB78:AB82)</f>
      </c>
      <c r="AC83" s="362">
        <f>SUM(AC78:AC82)</f>
      </c>
      <c r="AD83" s="362">
        <f>SUM(AD78:AD82)</f>
      </c>
      <c r="AE83" s="362">
        <f>SUM(AE78:AE82)</f>
      </c>
      <c r="AF83" s="362">
        <f>SUM(AF78:AF82)</f>
      </c>
      <c r="AG83" s="362">
        <f>SUM(AG78:AG82)</f>
      </c>
      <c r="AH83" s="362">
        <f>SUM(AH78:AH82)</f>
      </c>
    </row>
    <row r="84">
      <c r="A84" s="334"/>
      <c r="B84" s="335" t="s">
        <v>203</v>
      </c>
      <c r="C84" s="370" t="s">
        <v>189</v>
      </c>
      <c r="D84" s="371">
        <v>2582.358</v>
      </c>
      <c r="E84" s="338">
        <v>5</v>
      </c>
      <c r="F84" s="339">
        <v>1708</v>
      </c>
      <c r="G84" s="340">
        <f t="shared" si="300"/>
      </c>
      <c r="H84" s="341">
        <f t="shared" si="318"/>
      </c>
      <c r="I84" s="342">
        <f t="shared" si="0"/>
      </c>
      <c r="J84" s="343">
        <f t="shared" si="17"/>
      </c>
      <c r="K84" s="344">
        <f t="shared" si="142"/>
      </c>
      <c r="L84" s="341">
        <f t="shared" si="171"/>
      </c>
      <c r="M84" s="345">
        <f t="shared" si="207"/>
      </c>
      <c r="N84" s="345">
        <f t="shared" si="221"/>
      </c>
      <c r="O84" s="345">
        <f t="shared" si="268"/>
      </c>
      <c r="P84" s="345">
        <f t="shared" si="85"/>
      </c>
      <c r="Q84" s="341">
        <f t="shared" si="117"/>
      </c>
      <c r="R84" s="343">
        <f t="shared" si="119"/>
      </c>
      <c r="S84" s="345">
        <f t="shared" si="121"/>
      </c>
      <c r="T84" s="345">
        <f t="shared" si="34"/>
      </c>
      <c r="U84" s="345">
        <f t="shared" si="51"/>
      </c>
      <c r="V84" s="345">
        <f t="shared" si="68"/>
      </c>
      <c r="W84" s="360" t="s">
        <v>181</v>
      </c>
      <c r="X84" s="347" t="s">
        <v>204</v>
      </c>
      <c r="Y84" s="348">
        <v>439000</v>
      </c>
      <c r="Z84" s="348">
        <v>11369</v>
      </c>
      <c r="AA84" s="348">
        <v>146529</v>
      </c>
      <c r="AB84" s="350">
        <v>2092</v>
      </c>
      <c r="AC84" s="350">
        <v>7</v>
      </c>
      <c r="AD84" s="348">
        <v>12021</v>
      </c>
      <c r="AE84" s="350">
        <v>376</v>
      </c>
      <c r="AF84" s="350">
        <v>152</v>
      </c>
      <c r="AG84" s="350">
        <v>23</v>
      </c>
      <c r="AH84" s="349">
        <v>0</v>
      </c>
    </row>
    <row r="85">
      <c r="A85" s="334"/>
      <c r="B85" s="335" t="s">
        <v>203</v>
      </c>
      <c r="C85" s="372" t="s">
        <v>190</v>
      </c>
      <c r="D85" s="371">
        <v>4655.897</v>
      </c>
      <c r="E85" s="358">
        <v>6</v>
      </c>
      <c r="F85" s="359">
        <v>1908</v>
      </c>
      <c r="G85" s="340">
        <f t="shared" si="300"/>
      </c>
      <c r="H85" s="341">
        <f t="shared" si="318"/>
      </c>
      <c r="I85" s="342">
        <f t="shared" si="0"/>
      </c>
      <c r="J85" s="343">
        <f t="shared" si="17"/>
      </c>
      <c r="K85" s="344">
        <f t="shared" si="142"/>
      </c>
      <c r="L85" s="341">
        <f t="shared" si="171"/>
      </c>
      <c r="M85" s="345">
        <f t="shared" si="207"/>
      </c>
      <c r="N85" s="345">
        <f t="shared" si="221"/>
      </c>
      <c r="O85" s="345">
        <f t="shared" si="268"/>
      </c>
      <c r="P85" s="345">
        <f t="shared" si="85"/>
      </c>
      <c r="Q85" s="341">
        <f t="shared" si="117"/>
      </c>
      <c r="R85" s="343">
        <f t="shared" si="119"/>
      </c>
      <c r="S85" s="345">
        <f t="shared" si="121"/>
      </c>
      <c r="T85" s="345">
        <f t="shared" si="34"/>
      </c>
      <c r="U85" s="345">
        <f t="shared" si="51"/>
      </c>
      <c r="V85" s="345">
        <f t="shared" si="68"/>
      </c>
      <c r="W85" s="360" t="s">
        <v>181</v>
      </c>
      <c r="X85" s="347" t="s">
        <v>204</v>
      </c>
      <c r="Y85" s="350">
        <v>820208</v>
      </c>
      <c r="Z85" s="350">
        <v>23279</v>
      </c>
      <c r="AA85" s="350">
        <v>299737</v>
      </c>
      <c r="AB85" s="350">
        <v>3469</v>
      </c>
      <c r="AC85" s="350">
        <v>6</v>
      </c>
      <c r="AD85" s="350">
        <v>28337</v>
      </c>
      <c r="AE85" s="350">
        <v>778</v>
      </c>
      <c r="AF85" s="350">
        <v>342</v>
      </c>
      <c r="AG85" s="350">
        <v>49</v>
      </c>
      <c r="AH85" s="349">
        <v>0</v>
      </c>
    </row>
    <row r="86">
      <c r="A86" s="334"/>
      <c r="B86" s="335" t="s">
        <v>203</v>
      </c>
      <c r="C86" s="373" t="s">
        <v>191</v>
      </c>
      <c r="D86" s="371">
        <v>2024.191</v>
      </c>
      <c r="E86" s="358">
        <v>6</v>
      </c>
      <c r="F86" s="359">
        <v>1904</v>
      </c>
      <c r="G86" s="340">
        <f t="shared" si="300"/>
      </c>
      <c r="H86" s="341">
        <f t="shared" si="318"/>
      </c>
      <c r="I86" s="342">
        <f t="shared" si="0"/>
      </c>
      <c r="J86" s="343">
        <f t="shared" si="17"/>
      </c>
      <c r="K86" s="344">
        <f t="shared" si="142"/>
      </c>
      <c r="L86" s="341">
        <f t="shared" si="171"/>
      </c>
      <c r="M86" s="345">
        <f t="shared" si="207"/>
      </c>
      <c r="N86" s="345">
        <f t="shared" si="221"/>
      </c>
      <c r="O86" s="345">
        <f t="shared" si="268"/>
      </c>
      <c r="P86" s="345">
        <f t="shared" si="85"/>
      </c>
      <c r="Q86" s="341">
        <f t="shared" si="117"/>
      </c>
      <c r="R86" s="343">
        <f t="shared" si="119"/>
      </c>
      <c r="S86" s="345">
        <f t="shared" si="121"/>
      </c>
      <c r="T86" s="345">
        <f t="shared" si="34"/>
      </c>
      <c r="U86" s="345">
        <f t="shared" si="51"/>
      </c>
      <c r="V86" s="345">
        <f t="shared" si="68"/>
      </c>
      <c r="W86" s="360" t="s">
        <v>181</v>
      </c>
      <c r="X86" s="347" t="s">
        <v>204</v>
      </c>
      <c r="Y86" s="350">
        <v>255969</v>
      </c>
      <c r="Z86" s="350">
        <v>16413</v>
      </c>
      <c r="AA86" s="350">
        <v>151801</v>
      </c>
      <c r="AB86" s="350">
        <v>695</v>
      </c>
      <c r="AC86" s="350">
        <v>6</v>
      </c>
      <c r="AD86" s="350">
        <v>20600</v>
      </c>
      <c r="AE86" s="350">
        <v>453</v>
      </c>
      <c r="AF86" s="350">
        <v>220</v>
      </c>
      <c r="AG86" s="349">
        <v>21</v>
      </c>
      <c r="AH86" s="349">
        <v>0</v>
      </c>
    </row>
    <row r="87">
      <c r="A87" s="334"/>
      <c r="B87" s="335" t="s">
        <v>203</v>
      </c>
      <c r="C87" s="374" t="s">
        <v>192</v>
      </c>
      <c r="D87" s="371">
        <v>2159.6800000000003</v>
      </c>
      <c r="E87" s="358">
        <v>6</v>
      </c>
      <c r="F87" s="359">
        <v>1968</v>
      </c>
      <c r="G87" s="340">
        <f t="shared" si="300"/>
      </c>
      <c r="H87" s="341">
        <f t="shared" si="318"/>
      </c>
      <c r="I87" s="342">
        <f t="shared" si="0"/>
      </c>
      <c r="J87" s="343">
        <f t="shared" si="17"/>
      </c>
      <c r="K87" s="344">
        <f t="shared" si="142"/>
      </c>
      <c r="L87" s="341">
        <f t="shared" si="171"/>
      </c>
      <c r="M87" s="345">
        <f t="shared" si="207"/>
      </c>
      <c r="N87" s="345">
        <f t="shared" si="221"/>
      </c>
      <c r="O87" s="345">
        <f t="shared" si="268"/>
      </c>
      <c r="P87" s="345">
        <f t="shared" si="85"/>
      </c>
      <c r="Q87" s="341">
        <f t="shared" si="117"/>
      </c>
      <c r="R87" s="343">
        <f t="shared" si="119"/>
      </c>
      <c r="S87" s="345">
        <f t="shared" si="121"/>
      </c>
      <c r="T87" s="345">
        <f t="shared" si="34"/>
      </c>
      <c r="U87" s="345">
        <f t="shared" si="51"/>
      </c>
      <c r="V87" s="345">
        <f t="shared" si="68"/>
      </c>
      <c r="W87" s="360" t="s">
        <v>181</v>
      </c>
      <c r="X87" s="347" t="s">
        <v>193</v>
      </c>
      <c r="Y87" s="350">
        <v>262114</v>
      </c>
      <c r="Z87" s="350">
        <v>15271</v>
      </c>
      <c r="AA87" s="350">
        <v>154236</v>
      </c>
      <c r="AB87" s="350">
        <v>819</v>
      </c>
      <c r="AC87" s="350">
        <v>6</v>
      </c>
      <c r="AD87" s="350">
        <v>21537</v>
      </c>
      <c r="AE87" s="350">
        <v>443</v>
      </c>
      <c r="AF87" s="350">
        <v>191</v>
      </c>
      <c r="AG87" s="349">
        <v>24</v>
      </c>
      <c r="AH87" s="349">
        <v>0</v>
      </c>
    </row>
    <row r="88">
      <c r="A88" s="334"/>
      <c r="B88" s="335" t="s">
        <v>203</v>
      </c>
      <c r="C88" s="375" t="s">
        <v>194</v>
      </c>
      <c r="D88" s="371">
        <v>1744.3519999999999</v>
      </c>
      <c r="E88" s="358">
        <v>7</v>
      </c>
      <c r="F88" s="359">
        <v>2122.2999999999993</v>
      </c>
      <c r="G88" s="340">
        <f t="shared" si="300"/>
      </c>
      <c r="H88" s="341">
        <f t="shared" si="318"/>
      </c>
      <c r="I88" s="342">
        <f t="shared" si="0"/>
      </c>
      <c r="J88" s="343">
        <f t="shared" si="17"/>
      </c>
      <c r="K88" s="344">
        <f t="shared" si="142"/>
      </c>
      <c r="L88" s="341">
        <f t="shared" si="171"/>
      </c>
      <c r="M88" s="345">
        <f t="shared" si="207"/>
      </c>
      <c r="N88" s="345">
        <f t="shared" si="221"/>
      </c>
      <c r="O88" s="345">
        <f t="shared" si="268"/>
      </c>
      <c r="P88" s="345">
        <f t="shared" si="85"/>
      </c>
      <c r="Q88" s="341">
        <f t="shared" si="117"/>
      </c>
      <c r="R88" s="343">
        <f t="shared" si="119"/>
      </c>
      <c r="S88" s="345">
        <f t="shared" si="121"/>
      </c>
      <c r="T88" s="345">
        <f t="shared" si="34"/>
      </c>
      <c r="U88" s="345">
        <f t="shared" si="51"/>
      </c>
      <c r="V88" s="345">
        <f t="shared" si="68"/>
      </c>
      <c r="W88" s="360" t="s">
        <v>181</v>
      </c>
      <c r="X88" s="347" t="s">
        <v>193</v>
      </c>
      <c r="Y88" s="350">
        <v>208681</v>
      </c>
      <c r="Z88" s="350">
        <v>8652</v>
      </c>
      <c r="AA88" s="350">
        <v>117234</v>
      </c>
      <c r="AB88" s="350">
        <v>846</v>
      </c>
      <c r="AC88" s="350">
        <v>6</v>
      </c>
      <c r="AD88" s="350">
        <v>13830</v>
      </c>
      <c r="AE88" s="350">
        <v>403</v>
      </c>
      <c r="AF88" s="350">
        <v>120</v>
      </c>
      <c r="AG88" s="349">
        <v>11</v>
      </c>
      <c r="AH88" s="349">
        <v>1</v>
      </c>
    </row>
    <row r="89">
      <c r="A89" s="334"/>
      <c r="B89" s="361" t="s">
        <v>187</v>
      </c>
      <c r="C89" s="361"/>
      <c r="D89" s="362">
        <f>SUM(D84:D88)</f>
      </c>
      <c r="E89" s="362">
        <f>SUM(E84:E88)</f>
      </c>
      <c r="F89" s="362">
        <f>SUM(F84:F88)</f>
      </c>
      <c r="G89" s="362">
        <f t="shared" si="300"/>
      </c>
      <c r="H89" s="364">
        <f t="shared" si="318"/>
      </c>
      <c r="I89" s="365">
        <f t="shared" si="0"/>
      </c>
      <c r="J89" s="366">
        <f t="shared" si="17"/>
      </c>
      <c r="K89" s="367">
        <f t="shared" si="142"/>
      </c>
      <c r="L89" s="364">
        <f t="shared" si="171"/>
      </c>
      <c r="M89" s="368">
        <f t="shared" si="207"/>
      </c>
      <c r="N89" s="368">
        <f t="shared" si="221"/>
      </c>
      <c r="O89" s="368">
        <f t="shared" si="268"/>
      </c>
      <c r="P89" s="368">
        <f t="shared" si="85"/>
      </c>
      <c r="Q89" s="364">
        <f t="shared" si="117"/>
      </c>
      <c r="R89" s="366">
        <f t="shared" si="119"/>
      </c>
      <c r="S89" s="368">
        <f t="shared" si="121"/>
      </c>
      <c r="T89" s="368">
        <f t="shared" si="34"/>
      </c>
      <c r="U89" s="368">
        <f t="shared" si="51"/>
      </c>
      <c r="V89" s="368">
        <f t="shared" si="68"/>
      </c>
      <c r="W89" s="368"/>
      <c r="X89" s="369"/>
      <c r="Y89" s="362">
        <f>SUM(Y84:Y88)</f>
      </c>
      <c r="Z89" s="362">
        <f>SUM(Z84:Z88)</f>
      </c>
      <c r="AA89" s="362">
        <f>SUM(AA84:AA88)</f>
      </c>
      <c r="AB89" s="362">
        <f>SUM(AB84:AB88)</f>
      </c>
      <c r="AC89" s="362">
        <f>SUM(AC84:AC88)</f>
      </c>
      <c r="AD89" s="362">
        <f>SUM(AD84:AD88)</f>
      </c>
      <c r="AE89" s="362">
        <f>SUM(AE84:AE88)</f>
      </c>
      <c r="AF89" s="362">
        <f>SUM(AF84:AF88)</f>
      </c>
      <c r="AG89" s="362">
        <f>SUM(AG84:AG88)</f>
      </c>
      <c r="AH89" s="362">
        <f>SUM(AH84:AH88)</f>
      </c>
    </row>
    <row r="90">
      <c r="A90" s="334"/>
      <c r="B90" s="376" t="s">
        <v>195</v>
      </c>
      <c r="C90" s="373" t="s">
        <v>196</v>
      </c>
      <c r="D90" s="377">
        <v>2437.258</v>
      </c>
      <c r="E90" s="378">
        <v>2</v>
      </c>
      <c r="F90" s="359">
        <v>1056</v>
      </c>
      <c r="G90" s="340">
        <f t="shared" si="300"/>
      </c>
      <c r="H90" s="341">
        <f t="shared" si="318"/>
      </c>
      <c r="I90" s="342">
        <f t="shared" si="0"/>
      </c>
      <c r="J90" s="343">
        <f t="shared" si="17"/>
      </c>
      <c r="K90" s="344">
        <f t="shared" si="142"/>
      </c>
      <c r="L90" s="341">
        <f t="shared" si="171"/>
      </c>
      <c r="M90" s="345">
        <f t="shared" si="207"/>
      </c>
      <c r="N90" s="345">
        <f t="shared" si="221"/>
      </c>
      <c r="O90" s="345">
        <f t="shared" si="268"/>
      </c>
      <c r="P90" s="345">
        <f t="shared" si="85"/>
      </c>
      <c r="Q90" s="341">
        <f t="shared" si="117"/>
      </c>
      <c r="R90" s="343">
        <f t="shared" si="119"/>
      </c>
      <c r="S90" s="345">
        <f t="shared" si="121"/>
      </c>
      <c r="T90" s="345">
        <f t="shared" si="34"/>
      </c>
      <c r="U90" s="345">
        <f t="shared" si="51"/>
      </c>
      <c r="V90" s="345">
        <f t="shared" si="68"/>
      </c>
      <c r="W90" s="360" t="s">
        <v>181</v>
      </c>
      <c r="X90" s="347" t="s">
        <v>193</v>
      </c>
      <c r="Y90" s="350">
        <v>294352</v>
      </c>
      <c r="Z90" s="350">
        <v>12824</v>
      </c>
      <c r="AA90" s="350">
        <v>185834</v>
      </c>
      <c r="AB90" s="350">
        <v>687</v>
      </c>
      <c r="AC90" s="350">
        <v>3</v>
      </c>
      <c r="AD90" s="350">
        <v>17691</v>
      </c>
      <c r="AE90" s="350">
        <v>322</v>
      </c>
      <c r="AF90" s="350">
        <v>151</v>
      </c>
      <c r="AG90" s="350">
        <v>13</v>
      </c>
      <c r="AH90" s="349">
        <v>0</v>
      </c>
    </row>
    <row r="91">
      <c r="A91" s="334"/>
      <c r="B91" s="376" t="s">
        <v>195</v>
      </c>
      <c r="C91" s="373" t="s">
        <v>197</v>
      </c>
      <c r="D91" s="377">
        <v>3474.937</v>
      </c>
      <c r="E91" s="378">
        <v>3</v>
      </c>
      <c r="F91" s="359">
        <v>684</v>
      </c>
      <c r="G91" s="340">
        <f t="shared" si="300"/>
      </c>
      <c r="H91" s="341">
        <f t="shared" si="318"/>
      </c>
      <c r="I91" s="342">
        <f t="shared" si="0"/>
      </c>
      <c r="J91" s="343">
        <f t="shared" si="17"/>
      </c>
      <c r="K91" s="344">
        <f t="shared" si="142"/>
      </c>
      <c r="L91" s="341">
        <f t="shared" si="171"/>
      </c>
      <c r="M91" s="345">
        <f t="shared" si="207"/>
      </c>
      <c r="N91" s="345">
        <f t="shared" si="221"/>
      </c>
      <c r="O91" s="345">
        <f t="shared" si="268"/>
      </c>
      <c r="P91" s="345">
        <f t="shared" si="85"/>
      </c>
      <c r="Q91" s="341">
        <f t="shared" si="117"/>
      </c>
      <c r="R91" s="343">
        <f t="shared" si="119"/>
      </c>
      <c r="S91" s="345">
        <f t="shared" si="121"/>
      </c>
      <c r="T91" s="345">
        <f t="shared" si="34"/>
      </c>
      <c r="U91" s="345">
        <f t="shared" si="51"/>
      </c>
      <c r="V91" s="345">
        <f t="shared" si="68"/>
      </c>
      <c r="W91" s="360" t="s">
        <v>181</v>
      </c>
      <c r="X91" s="347" t="s">
        <v>193</v>
      </c>
      <c r="Y91" s="350">
        <v>486469</v>
      </c>
      <c r="Z91" s="350">
        <v>13164</v>
      </c>
      <c r="AA91" s="350">
        <v>406063</v>
      </c>
      <c r="AB91" s="350">
        <v>837</v>
      </c>
      <c r="AC91" s="350">
        <v>3</v>
      </c>
      <c r="AD91" s="350">
        <v>41019</v>
      </c>
      <c r="AE91" s="350">
        <v>597</v>
      </c>
      <c r="AF91" s="350">
        <v>295</v>
      </c>
      <c r="AG91" s="349">
        <v>20</v>
      </c>
      <c r="AH91" s="349">
        <v>0</v>
      </c>
    </row>
    <row r="92">
      <c r="A92" s="334"/>
      <c r="B92" s="376" t="s">
        <v>195</v>
      </c>
      <c r="C92" s="374" t="s">
        <v>198</v>
      </c>
      <c r="D92" s="377">
        <v>2164.978</v>
      </c>
      <c r="E92" s="378">
        <v>7</v>
      </c>
      <c r="F92" s="359">
        <v>2674.7999999999993</v>
      </c>
      <c r="G92" s="340">
        <f t="shared" si="300"/>
      </c>
      <c r="H92" s="341">
        <f t="shared" si="318"/>
      </c>
      <c r="I92" s="342">
        <f t="shared" si="0"/>
      </c>
      <c r="J92" s="343">
        <f t="shared" si="17"/>
      </c>
      <c r="K92" s="344">
        <f t="shared" si="142"/>
      </c>
      <c r="L92" s="341">
        <f t="shared" si="171"/>
      </c>
      <c r="M92" s="345">
        <f t="shared" si="207"/>
      </c>
      <c r="N92" s="345">
        <f t="shared" si="221"/>
      </c>
      <c r="O92" s="345">
        <f t="shared" si="268"/>
      </c>
      <c r="P92" s="345">
        <f t="shared" si="85"/>
      </c>
      <c r="Q92" s="341">
        <f t="shared" si="117"/>
      </c>
      <c r="R92" s="343">
        <f t="shared" si="119"/>
      </c>
      <c r="S92" s="345">
        <f t="shared" si="121"/>
      </c>
      <c r="T92" s="345">
        <f t="shared" si="34"/>
      </c>
      <c r="U92" s="345">
        <f t="shared" si="51"/>
      </c>
      <c r="V92" s="345">
        <f t="shared" si="68"/>
      </c>
      <c r="W92" s="360" t="s">
        <v>181</v>
      </c>
      <c r="X92" s="347" t="s">
        <v>193</v>
      </c>
      <c r="Y92" s="350">
        <v>326637</v>
      </c>
      <c r="Z92" s="350">
        <v>5422</v>
      </c>
      <c r="AA92" s="350">
        <v>196504</v>
      </c>
      <c r="AB92" s="350">
        <v>617</v>
      </c>
      <c r="AC92" s="350">
        <v>5</v>
      </c>
      <c r="AD92" s="350">
        <v>20520</v>
      </c>
      <c r="AE92" s="350">
        <v>406</v>
      </c>
      <c r="AF92" s="350">
        <v>132</v>
      </c>
      <c r="AG92" s="349">
        <v>22</v>
      </c>
      <c r="AH92" s="349">
        <v>2</v>
      </c>
    </row>
    <row r="93">
      <c r="A93" s="334"/>
      <c r="B93" s="376" t="s">
        <v>195</v>
      </c>
      <c r="C93" s="373" t="s">
        <v>199</v>
      </c>
      <c r="D93" s="379">
        <v>1488.5639999999999</v>
      </c>
      <c r="E93" s="338">
        <v>2</v>
      </c>
      <c r="F93" s="339">
        <v>456</v>
      </c>
      <c r="G93" s="340">
        <f t="shared" si="300"/>
      </c>
      <c r="H93" s="341">
        <f t="shared" si="318"/>
      </c>
      <c r="I93" s="380">
        <f t="shared" si="0"/>
      </c>
      <c r="J93" s="381">
        <f t="shared" si="17"/>
      </c>
      <c r="K93" s="382">
        <f t="shared" ref="K93:K94" si="306">D93/AB93</f>
      </c>
      <c r="L93" s="383">
        <f t="shared" si="171"/>
      </c>
      <c r="M93" s="384">
        <f t="shared" ref="M93:M94" si="324">AC93/AB93</f>
      </c>
      <c r="N93" s="384">
        <f t="shared" si="221"/>
      </c>
      <c r="O93" s="384">
        <f t="shared" si="268"/>
      </c>
      <c r="P93" s="384">
        <f t="shared" si="85"/>
      </c>
      <c r="Q93" s="383">
        <f t="shared" si="117"/>
      </c>
      <c r="R93" s="381">
        <f t="shared" si="119"/>
      </c>
      <c r="S93" s="384">
        <f t="shared" si="121"/>
      </c>
      <c r="T93" s="384">
        <f t="shared" si="34"/>
      </c>
      <c r="U93" s="384">
        <f t="shared" si="51"/>
      </c>
      <c r="V93" s="384">
        <f t="shared" si="68"/>
      </c>
      <c r="W93" s="360" t="s">
        <v>181</v>
      </c>
      <c r="X93" s="347" t="s">
        <v>193</v>
      </c>
      <c r="Y93" s="350">
        <v>200447</v>
      </c>
      <c r="Z93" s="350">
        <v>3792</v>
      </c>
      <c r="AA93" s="350">
        <v>66817</v>
      </c>
      <c r="AB93" s="385">
        <v>331</v>
      </c>
      <c r="AC93" s="385">
        <v>1</v>
      </c>
      <c r="AD93" s="385">
        <v>6595</v>
      </c>
      <c r="AE93" s="385">
        <v>229</v>
      </c>
      <c r="AF93" s="385">
        <v>53</v>
      </c>
      <c r="AG93" s="385">
        <v>9</v>
      </c>
      <c r="AH93" s="349">
        <v>0</v>
      </c>
    </row>
    <row r="94">
      <c r="A94" s="334"/>
      <c r="B94" s="376" t="s">
        <v>195</v>
      </c>
      <c r="C94" s="386" t="s">
        <v>200</v>
      </c>
      <c r="D94" s="377">
        <v>1833.775</v>
      </c>
      <c r="E94" s="378">
        <v>2</v>
      </c>
      <c r="F94" s="359">
        <v>1024</v>
      </c>
      <c r="G94" s="340">
        <f t="shared" si="300"/>
      </c>
      <c r="H94" s="341">
        <f t="shared" si="318"/>
      </c>
      <c r="I94" s="380">
        <f t="shared" si="0"/>
      </c>
      <c r="J94" s="381">
        <f t="shared" si="17"/>
      </c>
      <c r="K94" s="382">
        <f t="shared" si="306"/>
      </c>
      <c r="L94" s="383">
        <f t="shared" si="171"/>
      </c>
      <c r="M94" s="384">
        <f t="shared" si="324"/>
      </c>
      <c r="N94" s="384">
        <f t="shared" si="221"/>
      </c>
      <c r="O94" s="384">
        <f t="shared" si="268"/>
      </c>
      <c r="P94" s="384">
        <f t="shared" si="85"/>
      </c>
      <c r="Q94" s="383">
        <f t="shared" si="117"/>
      </c>
      <c r="R94" s="381">
        <f t="shared" si="119"/>
      </c>
      <c r="S94" s="384">
        <f t="shared" si="121"/>
      </c>
      <c r="T94" s="384">
        <f t="shared" si="34"/>
      </c>
      <c r="U94" s="384">
        <f t="shared" si="51"/>
      </c>
      <c r="V94" s="384">
        <f t="shared" si="68"/>
      </c>
      <c r="W94" s="360" t="s">
        <v>181</v>
      </c>
      <c r="X94" s="347" t="s">
        <v>193</v>
      </c>
      <c r="Y94" s="350">
        <v>237489</v>
      </c>
      <c r="Z94" s="350">
        <v>5078</v>
      </c>
      <c r="AA94" s="350">
        <v>89278</v>
      </c>
      <c r="AB94" s="350">
        <v>450</v>
      </c>
      <c r="AC94" s="350">
        <v>2</v>
      </c>
      <c r="AD94" s="350">
        <v>8768</v>
      </c>
      <c r="AE94" s="350">
        <v>206</v>
      </c>
      <c r="AF94" s="350">
        <v>78</v>
      </c>
      <c r="AG94" s="349">
        <v>13</v>
      </c>
      <c r="AH94" s="349">
        <v>0</v>
      </c>
    </row>
    <row r="95">
      <c r="A95" s="334"/>
      <c r="B95" s="387" t="s">
        <v>187</v>
      </c>
      <c r="C95" s="387"/>
      <c r="D95" s="362">
        <f>SUM(D90:D94)</f>
      </c>
      <c r="E95" s="362">
        <f>SUM(E90:E94)</f>
      </c>
      <c r="F95" s="362">
        <f>SUM(F90:F94)</f>
      </c>
      <c r="G95" s="362">
        <f t="shared" si="300"/>
      </c>
      <c r="H95" s="364">
        <f t="shared" si="318"/>
      </c>
      <c r="I95" s="365">
        <f t="shared" si="0"/>
      </c>
      <c r="J95" s="366">
        <f t="shared" si="17"/>
      </c>
      <c r="K95" s="367">
        <f t="shared" ref="K95:K111" si="143">D95/AA95</f>
      </c>
      <c r="L95" s="364">
        <f t="shared" si="171"/>
      </c>
      <c r="M95" s="368">
        <f t="shared" ref="M95:M111" si="208">AB95/AA95</f>
      </c>
      <c r="N95" s="368">
        <f t="shared" si="221"/>
      </c>
      <c r="O95" s="368">
        <f t="shared" si="268"/>
      </c>
      <c r="P95" s="368">
        <f t="shared" si="85"/>
      </c>
      <c r="Q95" s="364">
        <f t="shared" si="117"/>
      </c>
      <c r="R95" s="366">
        <f t="shared" si="119"/>
      </c>
      <c r="S95" s="368">
        <f t="shared" si="121"/>
      </c>
      <c r="T95" s="368">
        <f t="shared" si="34"/>
      </c>
      <c r="U95" s="368">
        <f t="shared" si="51"/>
      </c>
      <c r="V95" s="368">
        <f t="shared" si="68"/>
      </c>
      <c r="W95" s="368"/>
      <c r="X95" s="369"/>
      <c r="Y95" s="362">
        <f>SUM(Y90:Y94)</f>
      </c>
      <c r="Z95" s="362">
        <f>SUM(Z90:Z94)</f>
      </c>
      <c r="AA95" s="362">
        <f>SUM(AA90:AA94)</f>
      </c>
      <c r="AB95" s="362">
        <f>SUM(AB90:AB94)</f>
      </c>
      <c r="AC95" s="362">
        <f>SUM(AC90:AC94)</f>
      </c>
      <c r="AD95" s="362">
        <f>SUM(AD90:AD94)</f>
      </c>
      <c r="AE95" s="362">
        <f>SUM(AE90:AE94)</f>
      </c>
      <c r="AF95" s="362">
        <f>SUM(AF90:AF94)</f>
      </c>
      <c r="AG95" s="362">
        <f>SUM(AG90:AG94)</f>
      </c>
      <c r="AH95" s="362">
        <f>SUM(AH90:AH94)</f>
      </c>
    </row>
    <row r="96">
      <c r="A96" s="334"/>
      <c r="B96" s="388" t="s">
        <v>201</v>
      </c>
      <c r="C96" s="388"/>
      <c r="D96" s="389">
        <f>SUM(D83+D95+D89)</f>
      </c>
      <c r="E96" s="389">
        <f>SUM(E83+E95+E89)</f>
      </c>
      <c r="F96" s="389">
        <f>SUM(F83+F95+F89)</f>
      </c>
      <c r="G96" s="390">
        <f t="shared" si="300"/>
      </c>
      <c r="H96" s="391">
        <f t="shared" si="318"/>
      </c>
      <c r="I96" s="392">
        <f t="shared" si="0"/>
      </c>
      <c r="J96" s="393">
        <f t="shared" si="17"/>
      </c>
      <c r="K96" s="394">
        <f t="shared" si="143"/>
      </c>
      <c r="L96" s="394">
        <f t="shared" si="171"/>
      </c>
      <c r="M96" s="395">
        <f t="shared" si="208"/>
      </c>
      <c r="N96" s="395">
        <f t="shared" si="221"/>
      </c>
      <c r="O96" s="395">
        <f t="shared" si="268"/>
      </c>
      <c r="P96" s="395">
        <f t="shared" si="85"/>
      </c>
      <c r="Q96" s="396">
        <f t="shared" si="117"/>
      </c>
      <c r="R96" s="397">
        <f t="shared" si="119"/>
      </c>
      <c r="S96" s="398">
        <f t="shared" si="121"/>
      </c>
      <c r="T96" s="398">
        <f t="shared" si="34"/>
      </c>
      <c r="U96" s="398">
        <f t="shared" si="51"/>
      </c>
      <c r="V96" s="398">
        <f t="shared" si="68"/>
      </c>
      <c r="W96" s="398"/>
      <c r="X96" s="399"/>
      <c r="Y96" s="390">
        <f>SUM(Y95+Y83+Y89)</f>
      </c>
      <c r="Z96" s="390">
        <f>SUM(Z95+Z83+Z89)</f>
      </c>
      <c r="AA96" s="390">
        <f>SUM(AA95+AA83+AA89)</f>
      </c>
      <c r="AB96" s="390">
        <f>SUM(AB95+AB83+AB89)</f>
      </c>
      <c r="AC96" s="390">
        <f>SUM(AC95+AC83+AC89)</f>
      </c>
      <c r="AD96" s="390">
        <f>SUM(AD95+AD83+AD89)</f>
      </c>
      <c r="AE96" s="390">
        <f>SUM(AE95+AE83+AE89)</f>
      </c>
      <c r="AF96" s="390">
        <f>SUM(AF95+AF83+AF89)</f>
      </c>
      <c r="AG96" s="390">
        <f>SUM(AG95+AG83+AG89)</f>
      </c>
      <c r="AH96" s="390">
        <f>SUM(AH95+AH83+AH89)</f>
      </c>
    </row>
    <row r="97">
      <c r="A97" s="334">
        <v>46240</v>
      </c>
      <c r="B97" s="335" t="s">
        <v>188</v>
      </c>
      <c r="C97" s="336" t="s">
        <v>180</v>
      </c>
      <c r="D97" s="337">
        <v>2860.644</v>
      </c>
      <c r="E97" s="338">
        <v>3</v>
      </c>
      <c r="F97" s="339">
        <v>652</v>
      </c>
      <c r="G97" s="340">
        <f t="shared" si="300"/>
      </c>
      <c r="H97" s="341">
        <f t="shared" si="318"/>
      </c>
      <c r="I97" s="342">
        <f t="shared" si="0"/>
      </c>
      <c r="J97" s="343">
        <f t="shared" si="17"/>
      </c>
      <c r="K97" s="344">
        <f t="shared" si="143"/>
      </c>
      <c r="L97" s="341">
        <f t="shared" si="171"/>
      </c>
      <c r="M97" s="345">
        <f t="shared" si="208"/>
      </c>
      <c r="N97" s="345">
        <f t="shared" si="221"/>
      </c>
      <c r="O97" s="345">
        <f t="shared" si="268"/>
      </c>
      <c r="P97" s="345">
        <f t="shared" si="85"/>
      </c>
      <c r="Q97" s="341">
        <f t="shared" si="117"/>
      </c>
      <c r="R97" s="343">
        <f t="shared" si="119"/>
      </c>
      <c r="S97" s="345">
        <f t="shared" si="121"/>
      </c>
      <c r="T97" s="345">
        <f t="shared" si="34"/>
      </c>
      <c r="U97" s="345">
        <f t="shared" si="51"/>
      </c>
      <c r="V97" s="345">
        <f t="shared" si="68"/>
      </c>
      <c r="W97" s="346" t="s">
        <v>181</v>
      </c>
      <c r="X97" s="347" t="s">
        <v>182</v>
      </c>
      <c r="Y97" s="348">
        <v>133948</v>
      </c>
      <c r="Z97" s="348">
        <v>4548</v>
      </c>
      <c r="AA97" s="348">
        <v>113982</v>
      </c>
      <c r="AB97" s="348">
        <v>1322</v>
      </c>
      <c r="AC97" s="349">
        <v>3</v>
      </c>
      <c r="AD97" s="348">
        <v>27936</v>
      </c>
      <c r="AE97" s="350">
        <v>458</v>
      </c>
      <c r="AF97" s="350">
        <v>164</v>
      </c>
      <c r="AG97" s="350">
        <v>20</v>
      </c>
      <c r="AH97" s="349">
        <v>0</v>
      </c>
    </row>
    <row r="98">
      <c r="A98" s="334"/>
      <c r="B98" s="335" t="s">
        <v>188</v>
      </c>
      <c r="C98" s="336" t="s">
        <v>183</v>
      </c>
      <c r="D98" s="337">
        <v>2145.732</v>
      </c>
      <c r="E98" s="338">
        <v>6</v>
      </c>
      <c r="F98" s="339">
        <v>2525.2</v>
      </c>
      <c r="G98" s="340">
        <f t="shared" si="300"/>
      </c>
      <c r="H98" s="341">
        <f t="shared" si="318"/>
      </c>
      <c r="I98" s="342">
        <f t="shared" si="0"/>
      </c>
      <c r="J98" s="343">
        <f t="shared" si="17"/>
      </c>
      <c r="K98" s="344">
        <f t="shared" si="143"/>
      </c>
      <c r="L98" s="341">
        <f t="shared" si="171"/>
      </c>
      <c r="M98" s="345">
        <f t="shared" si="208"/>
      </c>
      <c r="N98" s="345">
        <f t="shared" si="221"/>
      </c>
      <c r="O98" s="345">
        <f t="shared" si="268"/>
      </c>
      <c r="P98" s="345">
        <f t="shared" si="85"/>
      </c>
      <c r="Q98" s="341">
        <f t="shared" si="117"/>
      </c>
      <c r="R98" s="343">
        <f t="shared" si="119"/>
      </c>
      <c r="S98" s="345">
        <f t="shared" si="121"/>
      </c>
      <c r="T98" s="345">
        <f t="shared" si="34"/>
      </c>
      <c r="U98" s="345">
        <f t="shared" si="51"/>
      </c>
      <c r="V98" s="345">
        <f t="shared" si="68"/>
      </c>
      <c r="W98" s="346" t="s">
        <v>181</v>
      </c>
      <c r="X98" s="347" t="s">
        <v>182</v>
      </c>
      <c r="Y98" s="349">
        <v>122438</v>
      </c>
      <c r="Z98" s="348">
        <v>3765</v>
      </c>
      <c r="AA98" s="348">
        <v>77762</v>
      </c>
      <c r="AB98" s="348">
        <v>1229</v>
      </c>
      <c r="AC98" s="350">
        <v>4</v>
      </c>
      <c r="AD98" s="348">
        <v>17305</v>
      </c>
      <c r="AE98" s="350">
        <v>380</v>
      </c>
      <c r="AF98" s="350">
        <v>127</v>
      </c>
      <c r="AG98" s="349">
        <v>17</v>
      </c>
      <c r="AH98" s="349">
        <v>1</v>
      </c>
    </row>
    <row r="99">
      <c r="A99" s="334"/>
      <c r="B99" s="335" t="s">
        <v>188</v>
      </c>
      <c r="C99" s="351" t="s">
        <v>184</v>
      </c>
      <c r="D99" s="352">
        <v>1740.79</v>
      </c>
      <c r="E99" s="338">
        <v>4</v>
      </c>
      <c r="F99" s="339">
        <v>1926.6999999999998</v>
      </c>
      <c r="G99" s="340">
        <f t="shared" si="300"/>
      </c>
      <c r="H99" s="341">
        <f t="shared" si="318"/>
      </c>
      <c r="I99" s="342">
        <f t="shared" si="0"/>
      </c>
      <c r="J99" s="343">
        <f t="shared" si="17"/>
      </c>
      <c r="K99" s="344">
        <f t="shared" si="143"/>
      </c>
      <c r="L99" s="341">
        <f t="shared" si="171"/>
      </c>
      <c r="M99" s="345">
        <f t="shared" si="208"/>
      </c>
      <c r="N99" s="345">
        <f t="shared" si="221"/>
      </c>
      <c r="O99" s="345">
        <f t="shared" si="268"/>
      </c>
      <c r="P99" s="345">
        <f t="shared" si="85"/>
      </c>
      <c r="Q99" s="341">
        <f t="shared" si="117"/>
      </c>
      <c r="R99" s="343">
        <f t="shared" si="119"/>
      </c>
      <c r="S99" s="345">
        <f t="shared" si="121"/>
      </c>
      <c r="T99" s="345">
        <f t="shared" si="34"/>
      </c>
      <c r="U99" s="345">
        <f t="shared" si="51"/>
      </c>
      <c r="V99" s="345">
        <f t="shared" si="68"/>
      </c>
      <c r="W99" s="346" t="s">
        <v>181</v>
      </c>
      <c r="X99" s="347" t="s">
        <v>182</v>
      </c>
      <c r="Y99" s="350">
        <v>111562</v>
      </c>
      <c r="Z99" s="348">
        <v>4538</v>
      </c>
      <c r="AA99" s="348">
        <v>66333</v>
      </c>
      <c r="AB99" s="348">
        <v>889</v>
      </c>
      <c r="AC99" s="350">
        <v>4</v>
      </c>
      <c r="AD99" s="348">
        <v>12490</v>
      </c>
      <c r="AE99" s="350">
        <v>244</v>
      </c>
      <c r="AF99" s="350">
        <v>88</v>
      </c>
      <c r="AG99" s="350">
        <v>9</v>
      </c>
      <c r="AH99" s="349">
        <v>1</v>
      </c>
    </row>
    <row r="100">
      <c r="A100" s="334"/>
      <c r="B100" s="335" t="s">
        <v>188</v>
      </c>
      <c r="C100" s="353" t="s">
        <v>185</v>
      </c>
      <c r="D100" s="354">
        <v>1112.951</v>
      </c>
      <c r="E100" s="355">
        <v>2</v>
      </c>
      <c r="F100" s="339">
        <v>1017.6000000000004</v>
      </c>
      <c r="G100" s="340">
        <f t="shared" si="300"/>
      </c>
      <c r="H100" s="341">
        <f t="shared" si="318"/>
      </c>
      <c r="I100" s="342">
        <f t="shared" si="0"/>
      </c>
      <c r="J100" s="343">
        <f t="shared" si="17"/>
      </c>
      <c r="K100" s="344">
        <f t="shared" si="143"/>
      </c>
      <c r="L100" s="341">
        <f t="shared" si="171"/>
      </c>
      <c r="M100" s="345">
        <f t="shared" si="208"/>
      </c>
      <c r="N100" s="345">
        <f t="shared" si="221"/>
      </c>
      <c r="O100" s="345">
        <f t="shared" si="268"/>
      </c>
      <c r="P100" s="345">
        <f t="shared" si="85"/>
      </c>
      <c r="Q100" s="341">
        <f t="shared" si="117"/>
      </c>
      <c r="R100" s="343">
        <f t="shared" si="119"/>
      </c>
      <c r="S100" s="345">
        <f t="shared" si="121"/>
      </c>
      <c r="T100" s="345">
        <f t="shared" si="34"/>
      </c>
      <c r="U100" s="345">
        <f t="shared" si="51"/>
      </c>
      <c r="V100" s="345">
        <f t="shared" si="68"/>
      </c>
      <c r="W100" s="340" t="s">
        <v>181</v>
      </c>
      <c r="X100" s="347" t="s">
        <v>182</v>
      </c>
      <c r="Y100" s="350">
        <v>111506</v>
      </c>
      <c r="Z100" s="350">
        <v>4259</v>
      </c>
      <c r="AA100" s="350">
        <v>60083</v>
      </c>
      <c r="AB100" s="350">
        <v>769</v>
      </c>
      <c r="AC100" s="350">
        <v>1</v>
      </c>
      <c r="AD100" s="350">
        <v>10960</v>
      </c>
      <c r="AE100" s="350">
        <v>323</v>
      </c>
      <c r="AF100" s="350">
        <v>83</v>
      </c>
      <c r="AG100" s="349">
        <v>10</v>
      </c>
      <c r="AH100" s="349">
        <v>1</v>
      </c>
    </row>
    <row r="101">
      <c r="A101" s="334"/>
      <c r="B101" s="335" t="s">
        <v>188</v>
      </c>
      <c r="C101" s="356" t="s">
        <v>186</v>
      </c>
      <c r="D101" s="357">
        <v>1793.345</v>
      </c>
      <c r="E101" s="358">
        <v>7</v>
      </c>
      <c r="F101" s="359">
        <v>1522.3000000000002</v>
      </c>
      <c r="G101" s="340">
        <f t="shared" si="300"/>
      </c>
      <c r="H101" s="341">
        <f t="shared" si="318"/>
      </c>
      <c r="I101" s="342">
        <f t="shared" si="0"/>
      </c>
      <c r="J101" s="343">
        <f t="shared" si="17"/>
      </c>
      <c r="K101" s="344">
        <f t="shared" si="143"/>
      </c>
      <c r="L101" s="341">
        <f t="shared" si="171"/>
      </c>
      <c r="M101" s="345">
        <f t="shared" si="208"/>
      </c>
      <c r="N101" s="345">
        <f t="shared" si="221"/>
      </c>
      <c r="O101" s="345">
        <f t="shared" si="268"/>
      </c>
      <c r="P101" s="345">
        <f t="shared" si="85"/>
      </c>
      <c r="Q101" s="341">
        <f t="shared" si="117"/>
      </c>
      <c r="R101" s="343">
        <f t="shared" si="119"/>
      </c>
      <c r="S101" s="345">
        <f t="shared" si="121"/>
      </c>
      <c r="T101" s="345">
        <f t="shared" si="34"/>
      </c>
      <c r="U101" s="345">
        <f t="shared" si="51"/>
      </c>
      <c r="V101" s="345">
        <f t="shared" si="68"/>
      </c>
      <c r="W101" s="360" t="s">
        <v>181</v>
      </c>
      <c r="X101" s="347" t="s">
        <v>182</v>
      </c>
      <c r="Y101" s="350">
        <v>287285</v>
      </c>
      <c r="Z101" s="350">
        <v>11317</v>
      </c>
      <c r="AA101" s="350">
        <v>152151</v>
      </c>
      <c r="AB101" s="350">
        <v>1597</v>
      </c>
      <c r="AC101" s="350">
        <v>6</v>
      </c>
      <c r="AD101" s="350">
        <v>18417</v>
      </c>
      <c r="AE101" s="350">
        <v>400</v>
      </c>
      <c r="AF101" s="350">
        <v>190</v>
      </c>
      <c r="AG101" s="349">
        <v>26</v>
      </c>
      <c r="AH101" s="349">
        <v>1</v>
      </c>
    </row>
    <row r="102">
      <c r="A102" s="334"/>
      <c r="B102" s="361" t="s">
        <v>187</v>
      </c>
      <c r="C102" s="361"/>
      <c r="D102" s="362">
        <f>SUM(D97:D101)</f>
      </c>
      <c r="E102" s="363">
        <f>SUM(E97:E101)</f>
      </c>
      <c r="F102" s="362">
        <f>SUM(F97:F101)</f>
      </c>
      <c r="G102" s="362">
        <f t="shared" si="300"/>
      </c>
      <c r="H102" s="364">
        <f t="shared" si="318"/>
      </c>
      <c r="I102" s="365">
        <f t="shared" si="0"/>
      </c>
      <c r="J102" s="366">
        <f t="shared" si="17"/>
      </c>
      <c r="K102" s="367">
        <f t="shared" si="143"/>
      </c>
      <c r="L102" s="364">
        <f t="shared" si="171"/>
      </c>
      <c r="M102" s="368">
        <f t="shared" si="208"/>
      </c>
      <c r="N102" s="368">
        <f t="shared" si="221"/>
      </c>
      <c r="O102" s="368">
        <f t="shared" si="268"/>
      </c>
      <c r="P102" s="368">
        <f t="shared" si="85"/>
      </c>
      <c r="Q102" s="364">
        <f t="shared" si="117"/>
      </c>
      <c r="R102" s="366">
        <f t="shared" si="119"/>
      </c>
      <c r="S102" s="368">
        <f t="shared" si="121"/>
      </c>
      <c r="T102" s="368">
        <f t="shared" si="34"/>
      </c>
      <c r="U102" s="368">
        <f t="shared" si="51"/>
      </c>
      <c r="V102" s="368">
        <f t="shared" si="68"/>
      </c>
      <c r="W102" s="368"/>
      <c r="X102" s="369"/>
      <c r="Y102" s="362">
        <f>SUM(Y97:Y101)</f>
      </c>
      <c r="Z102" s="362">
        <f>SUM(Z97:Z101)</f>
      </c>
      <c r="AA102" s="362">
        <f>SUM(AA97:AA101)</f>
      </c>
      <c r="AB102" s="362">
        <f>SUM(AB97:AB101)</f>
      </c>
      <c r="AC102" s="362">
        <f>SUM(AC97:AC101)</f>
      </c>
      <c r="AD102" s="362">
        <f>SUM(AD97:AD101)</f>
      </c>
      <c r="AE102" s="362">
        <f>SUM(AE97:AE101)</f>
      </c>
      <c r="AF102" s="362">
        <f>SUM(AF97:AF101)</f>
      </c>
      <c r="AG102" s="362">
        <f>SUM(AG97:AG101)</f>
      </c>
      <c r="AH102" s="362">
        <f>SUM(AH97:AH101)</f>
      </c>
    </row>
    <row r="103">
      <c r="A103" s="334"/>
      <c r="B103" s="335" t="s">
        <v>203</v>
      </c>
      <c r="C103" s="370" t="s">
        <v>189</v>
      </c>
      <c r="D103" s="371">
        <v>1937.834</v>
      </c>
      <c r="E103" s="338">
        <v>11</v>
      </c>
      <c r="F103" s="339">
        <v>3538.3</v>
      </c>
      <c r="G103" s="340">
        <f t="shared" si="300"/>
      </c>
      <c r="H103" s="341">
        <f t="shared" si="318"/>
      </c>
      <c r="I103" s="342">
        <f t="shared" si="0"/>
      </c>
      <c r="J103" s="343">
        <f t="shared" si="17"/>
      </c>
      <c r="K103" s="344">
        <f t="shared" si="143"/>
      </c>
      <c r="L103" s="341">
        <f t="shared" si="171"/>
      </c>
      <c r="M103" s="345">
        <f t="shared" si="208"/>
      </c>
      <c r="N103" s="345">
        <f t="shared" si="221"/>
      </c>
      <c r="O103" s="345">
        <f t="shared" si="268"/>
      </c>
      <c r="P103" s="345">
        <f t="shared" si="85"/>
      </c>
      <c r="Q103" s="341">
        <f t="shared" si="117"/>
      </c>
      <c r="R103" s="343">
        <f t="shared" si="119"/>
      </c>
      <c r="S103" s="345">
        <f t="shared" si="121"/>
      </c>
      <c r="T103" s="345">
        <f t="shared" si="34"/>
      </c>
      <c r="U103" s="345">
        <f t="shared" si="51"/>
      </c>
      <c r="V103" s="345">
        <f t="shared" si="68"/>
      </c>
      <c r="W103" s="360" t="s">
        <v>181</v>
      </c>
      <c r="X103" s="347" t="s">
        <v>182</v>
      </c>
      <c r="Y103" s="348">
        <v>366837</v>
      </c>
      <c r="Z103" s="348">
        <v>14140</v>
      </c>
      <c r="AA103" s="348">
        <v>144689</v>
      </c>
      <c r="AB103" s="350">
        <v>2942</v>
      </c>
      <c r="AC103" s="350">
        <v>10</v>
      </c>
      <c r="AD103" s="348">
        <v>17775</v>
      </c>
      <c r="AE103" s="350">
        <v>583</v>
      </c>
      <c r="AF103" s="350">
        <v>207</v>
      </c>
      <c r="AG103" s="350">
        <v>26</v>
      </c>
      <c r="AH103" s="349">
        <v>1</v>
      </c>
    </row>
    <row r="104">
      <c r="A104" s="334"/>
      <c r="B104" s="335" t="s">
        <v>203</v>
      </c>
      <c r="C104" s="372" t="s">
        <v>190</v>
      </c>
      <c r="D104" s="371">
        <v>2131.643</v>
      </c>
      <c r="E104" s="358">
        <v>12</v>
      </c>
      <c r="F104" s="359">
        <v>3799</v>
      </c>
      <c r="G104" s="340">
        <f t="shared" si="300"/>
      </c>
      <c r="H104" s="341">
        <f t="shared" si="318"/>
      </c>
      <c r="I104" s="342">
        <f t="shared" si="0"/>
      </c>
      <c r="J104" s="343">
        <f t="shared" si="17"/>
      </c>
      <c r="K104" s="344">
        <f t="shared" si="143"/>
      </c>
      <c r="L104" s="341">
        <f t="shared" si="171"/>
      </c>
      <c r="M104" s="345">
        <f t="shared" si="208"/>
      </c>
      <c r="N104" s="345">
        <f t="shared" si="221"/>
      </c>
      <c r="O104" s="345">
        <f t="shared" si="268"/>
      </c>
      <c r="P104" s="345">
        <f t="shared" si="85"/>
      </c>
      <c r="Q104" s="341">
        <f t="shared" si="117"/>
      </c>
      <c r="R104" s="343">
        <f t="shared" si="119"/>
      </c>
      <c r="S104" s="345">
        <f t="shared" si="121"/>
      </c>
      <c r="T104" s="345">
        <f t="shared" si="34"/>
      </c>
      <c r="U104" s="345">
        <f t="shared" si="51"/>
      </c>
      <c r="V104" s="345">
        <f t="shared" si="68"/>
      </c>
      <c r="W104" s="360" t="s">
        <v>181</v>
      </c>
      <c r="X104" s="347" t="s">
        <v>182</v>
      </c>
      <c r="Y104" s="350">
        <v>340280</v>
      </c>
      <c r="Z104" s="350">
        <v>16267</v>
      </c>
      <c r="AA104" s="350">
        <v>157222</v>
      </c>
      <c r="AB104" s="350">
        <v>2994</v>
      </c>
      <c r="AC104" s="350">
        <v>9</v>
      </c>
      <c r="AD104" s="350">
        <v>21542</v>
      </c>
      <c r="AE104" s="350">
        <v>629</v>
      </c>
      <c r="AF104" s="350">
        <v>243</v>
      </c>
      <c r="AG104" s="350">
        <v>43</v>
      </c>
      <c r="AH104" s="349">
        <v>4</v>
      </c>
    </row>
    <row r="105">
      <c r="A105" s="334"/>
      <c r="B105" s="335" t="s">
        <v>203</v>
      </c>
      <c r="C105" s="373" t="s">
        <v>191</v>
      </c>
      <c r="D105" s="371">
        <v>2146.873</v>
      </c>
      <c r="E105" s="358">
        <v>10</v>
      </c>
      <c r="F105" s="359">
        <v>3998.800000000001</v>
      </c>
      <c r="G105" s="340">
        <f t="shared" si="300"/>
      </c>
      <c r="H105" s="341">
        <f t="shared" si="318"/>
      </c>
      <c r="I105" s="342">
        <f t="shared" si="0"/>
      </c>
      <c r="J105" s="343">
        <f t="shared" si="17"/>
      </c>
      <c r="K105" s="344">
        <f t="shared" si="143"/>
      </c>
      <c r="L105" s="341">
        <f t="shared" si="171"/>
      </c>
      <c r="M105" s="345">
        <f t="shared" si="208"/>
      </c>
      <c r="N105" s="345">
        <f t="shared" si="221"/>
      </c>
      <c r="O105" s="345">
        <f t="shared" si="268"/>
      </c>
      <c r="P105" s="345">
        <f t="shared" si="85"/>
      </c>
      <c r="Q105" s="341">
        <f t="shared" si="117"/>
      </c>
      <c r="R105" s="343">
        <f t="shared" si="119"/>
      </c>
      <c r="S105" s="345">
        <f t="shared" si="121"/>
      </c>
      <c r="T105" s="345">
        <f t="shared" si="34"/>
      </c>
      <c r="U105" s="345">
        <f t="shared" si="51"/>
      </c>
      <c r="V105" s="345">
        <f t="shared" si="68"/>
      </c>
      <c r="W105" s="360" t="s">
        <v>181</v>
      </c>
      <c r="X105" s="347" t="s">
        <v>193</v>
      </c>
      <c r="Y105" s="350">
        <v>341105</v>
      </c>
      <c r="Z105" s="350">
        <v>15853</v>
      </c>
      <c r="AA105" s="350">
        <v>152068</v>
      </c>
      <c r="AB105" s="350">
        <v>2829</v>
      </c>
      <c r="AC105" s="350">
        <v>8</v>
      </c>
      <c r="AD105" s="350">
        <v>21841</v>
      </c>
      <c r="AE105" s="350">
        <v>578</v>
      </c>
      <c r="AF105" s="350">
        <v>261</v>
      </c>
      <c r="AG105" s="349">
        <v>37</v>
      </c>
      <c r="AH105" s="349">
        <v>2</v>
      </c>
    </row>
    <row r="106">
      <c r="A106" s="334"/>
      <c r="B106" s="335" t="s">
        <v>203</v>
      </c>
      <c r="C106" s="374" t="s">
        <v>192</v>
      </c>
      <c r="D106" s="371">
        <v>1863.97</v>
      </c>
      <c r="E106" s="358">
        <v>9</v>
      </c>
      <c r="F106" s="359">
        <v>2502</v>
      </c>
      <c r="G106" s="340">
        <f t="shared" si="300"/>
      </c>
      <c r="H106" s="341">
        <f t="shared" si="318"/>
      </c>
      <c r="I106" s="342">
        <f t="shared" si="0"/>
      </c>
      <c r="J106" s="343">
        <f t="shared" si="17"/>
      </c>
      <c r="K106" s="344">
        <f t="shared" si="143"/>
      </c>
      <c r="L106" s="341">
        <f t="shared" si="171"/>
      </c>
      <c r="M106" s="345">
        <f t="shared" si="208"/>
      </c>
      <c r="N106" s="345">
        <f t="shared" si="221"/>
      </c>
      <c r="O106" s="345">
        <f t="shared" si="268"/>
      </c>
      <c r="P106" s="345">
        <f t="shared" si="85"/>
      </c>
      <c r="Q106" s="341">
        <f t="shared" si="117"/>
      </c>
      <c r="R106" s="343">
        <f t="shared" si="119"/>
      </c>
      <c r="S106" s="345">
        <f t="shared" si="121"/>
      </c>
      <c r="T106" s="345">
        <f t="shared" si="34"/>
      </c>
      <c r="U106" s="345">
        <f t="shared" si="51"/>
      </c>
      <c r="V106" s="345">
        <f t="shared" si="68"/>
      </c>
      <c r="W106" s="360" t="s">
        <v>181</v>
      </c>
      <c r="X106" s="347" t="s">
        <v>193</v>
      </c>
      <c r="Y106" s="350">
        <v>314955</v>
      </c>
      <c r="Z106" s="350">
        <v>14138</v>
      </c>
      <c r="AA106" s="350">
        <v>137531</v>
      </c>
      <c r="AB106" s="350">
        <v>2445</v>
      </c>
      <c r="AC106" s="350">
        <v>7</v>
      </c>
      <c r="AD106" s="350">
        <v>17484</v>
      </c>
      <c r="AE106" s="350">
        <v>509</v>
      </c>
      <c r="AF106" s="350">
        <v>184</v>
      </c>
      <c r="AG106" s="349">
        <v>38</v>
      </c>
      <c r="AH106" s="349">
        <v>3</v>
      </c>
    </row>
    <row r="107">
      <c r="A107" s="334"/>
      <c r="B107" s="335" t="s">
        <v>203</v>
      </c>
      <c r="C107" s="375" t="s">
        <v>194</v>
      </c>
      <c r="D107" s="371">
        <v>2547.0119999999997</v>
      </c>
      <c r="E107" s="358">
        <v>4</v>
      </c>
      <c r="F107" s="359">
        <v>2008.199999999997</v>
      </c>
      <c r="G107" s="340">
        <f t="shared" si="300"/>
      </c>
      <c r="H107" s="341">
        <f t="shared" si="318"/>
      </c>
      <c r="I107" s="342">
        <f t="shared" si="0"/>
      </c>
      <c r="J107" s="343">
        <f t="shared" si="17"/>
      </c>
      <c r="K107" s="344">
        <f t="shared" si="143"/>
      </c>
      <c r="L107" s="341">
        <f t="shared" si="171"/>
      </c>
      <c r="M107" s="345">
        <f t="shared" si="208"/>
      </c>
      <c r="N107" s="345">
        <f t="shared" si="221"/>
      </c>
      <c r="O107" s="345">
        <f t="shared" si="268"/>
      </c>
      <c r="P107" s="345">
        <f t="shared" si="85"/>
      </c>
      <c r="Q107" s="341">
        <f t="shared" si="117"/>
      </c>
      <c r="R107" s="343">
        <f t="shared" si="119"/>
      </c>
      <c r="S107" s="345">
        <f t="shared" si="121"/>
      </c>
      <c r="T107" s="345">
        <f t="shared" si="34"/>
      </c>
      <c r="U107" s="345">
        <f t="shared" si="51"/>
      </c>
      <c r="V107" s="345">
        <f t="shared" si="68"/>
      </c>
      <c r="W107" s="360" t="s">
        <v>181</v>
      </c>
      <c r="X107" s="347" t="s">
        <v>193</v>
      </c>
      <c r="Y107" s="350">
        <v>452551</v>
      </c>
      <c r="Z107" s="350">
        <v>15320</v>
      </c>
      <c r="AA107" s="350">
        <v>218843</v>
      </c>
      <c r="AB107" s="350">
        <v>2891</v>
      </c>
      <c r="AC107" s="350">
        <v>4</v>
      </c>
      <c r="AD107" s="350">
        <v>25073</v>
      </c>
      <c r="AE107" s="350">
        <v>591</v>
      </c>
      <c r="AF107" s="350">
        <v>211</v>
      </c>
      <c r="AG107" s="349">
        <v>31</v>
      </c>
      <c r="AH107" s="349">
        <v>1</v>
      </c>
    </row>
    <row r="108">
      <c r="A108" s="334"/>
      <c r="B108" s="361" t="s">
        <v>187</v>
      </c>
      <c r="C108" s="361"/>
      <c r="D108" s="362">
        <f>SUM(D103:D107)</f>
      </c>
      <c r="E108" s="362">
        <f>SUM(E103:E107)</f>
      </c>
      <c r="F108" s="362">
        <f>SUM(F103:F107)</f>
      </c>
      <c r="G108" s="362">
        <f t="shared" si="300"/>
      </c>
      <c r="H108" s="364">
        <f t="shared" si="318"/>
      </c>
      <c r="I108" s="365">
        <f t="shared" si="0"/>
      </c>
      <c r="J108" s="366">
        <f t="shared" si="17"/>
      </c>
      <c r="K108" s="367">
        <f t="shared" si="143"/>
      </c>
      <c r="L108" s="364">
        <f t="shared" si="171"/>
      </c>
      <c r="M108" s="368">
        <f t="shared" si="208"/>
      </c>
      <c r="N108" s="368">
        <f t="shared" si="221"/>
      </c>
      <c r="O108" s="368">
        <f t="shared" si="268"/>
      </c>
      <c r="P108" s="368">
        <f t="shared" si="85"/>
      </c>
      <c r="Q108" s="364">
        <f t="shared" si="117"/>
      </c>
      <c r="R108" s="366">
        <f t="shared" si="119"/>
      </c>
      <c r="S108" s="368">
        <f t="shared" si="121"/>
      </c>
      <c r="T108" s="368">
        <f t="shared" si="34"/>
      </c>
      <c r="U108" s="368">
        <f t="shared" si="51"/>
      </c>
      <c r="V108" s="368">
        <f t="shared" si="68"/>
      </c>
      <c r="W108" s="368"/>
      <c r="X108" s="369"/>
      <c r="Y108" s="362">
        <f>SUM(Y103:Y107)</f>
      </c>
      <c r="Z108" s="362">
        <f>SUM(Z103:Z107)</f>
      </c>
      <c r="AA108" s="362">
        <f>SUM(AA103:AA107)</f>
      </c>
      <c r="AB108" s="362">
        <f>SUM(AB103:AB107)</f>
      </c>
      <c r="AC108" s="362">
        <f>SUM(AC103:AC107)</f>
      </c>
      <c r="AD108" s="362">
        <f>SUM(AD103:AD107)</f>
      </c>
      <c r="AE108" s="362">
        <f>SUM(AE103:AE107)</f>
      </c>
      <c r="AF108" s="362">
        <f>SUM(AF103:AF107)</f>
      </c>
      <c r="AG108" s="362">
        <f>SUM(AG103:AG107)</f>
      </c>
      <c r="AH108" s="362">
        <f>SUM(AH103:AH107)</f>
      </c>
    </row>
    <row r="109">
      <c r="A109" s="334"/>
      <c r="B109" s="376" t="s">
        <v>195</v>
      </c>
      <c r="C109" s="373" t="s">
        <v>196</v>
      </c>
      <c r="D109" s="377">
        <v>2877.427</v>
      </c>
      <c r="E109" s="378">
        <v>7</v>
      </c>
      <c r="F109" s="359">
        <v>1479.5</v>
      </c>
      <c r="G109" s="340">
        <f t="shared" si="300"/>
      </c>
      <c r="H109" s="341">
        <f t="shared" si="318"/>
      </c>
      <c r="I109" s="342">
        <f t="shared" si="0"/>
      </c>
      <c r="J109" s="343">
        <f t="shared" si="17"/>
      </c>
      <c r="K109" s="344">
        <f t="shared" si="143"/>
      </c>
      <c r="L109" s="341">
        <f t="shared" si="171"/>
      </c>
      <c r="M109" s="345">
        <f t="shared" si="208"/>
      </c>
      <c r="N109" s="345">
        <f t="shared" si="221"/>
      </c>
      <c r="O109" s="345">
        <f t="shared" si="268"/>
      </c>
      <c r="P109" s="345">
        <f t="shared" si="85"/>
      </c>
      <c r="Q109" s="341">
        <f t="shared" si="117"/>
      </c>
      <c r="R109" s="343">
        <f t="shared" si="119"/>
      </c>
      <c r="S109" s="345">
        <f t="shared" si="121"/>
      </c>
      <c r="T109" s="345">
        <f t="shared" si="34"/>
      </c>
      <c r="U109" s="345">
        <f t="shared" si="51"/>
      </c>
      <c r="V109" s="345">
        <f t="shared" si="68"/>
      </c>
      <c r="W109" s="360" t="s">
        <v>181</v>
      </c>
      <c r="X109" s="347" t="s">
        <v>193</v>
      </c>
      <c r="Y109" s="350">
        <v>509548</v>
      </c>
      <c r="Z109" s="350">
        <v>19351</v>
      </c>
      <c r="AA109" s="350">
        <v>272436</v>
      </c>
      <c r="AB109" s="350">
        <v>2705</v>
      </c>
      <c r="AC109" s="350">
        <v>5</v>
      </c>
      <c r="AD109" s="350">
        <v>31866</v>
      </c>
      <c r="AE109" s="350">
        <v>644</v>
      </c>
      <c r="AF109" s="350">
        <v>281</v>
      </c>
      <c r="AG109" s="350">
        <v>22</v>
      </c>
      <c r="AH109" s="349">
        <v>2</v>
      </c>
    </row>
    <row r="110">
      <c r="A110" s="334"/>
      <c r="B110" s="376" t="s">
        <v>195</v>
      </c>
      <c r="C110" s="373" t="s">
        <v>197</v>
      </c>
      <c r="D110" s="377">
        <v>2499.582</v>
      </c>
      <c r="E110" s="378">
        <v>5</v>
      </c>
      <c r="F110" s="359">
        <v>1697.2000000000007</v>
      </c>
      <c r="G110" s="340">
        <f t="shared" si="300"/>
      </c>
      <c r="H110" s="341">
        <f t="shared" si="318"/>
      </c>
      <c r="I110" s="342">
        <f t="shared" si="0"/>
      </c>
      <c r="J110" s="343">
        <f t="shared" si="17"/>
      </c>
      <c r="K110" s="344">
        <f t="shared" si="143"/>
      </c>
      <c r="L110" s="341">
        <f t="shared" si="171"/>
      </c>
      <c r="M110" s="345">
        <f t="shared" si="208"/>
      </c>
      <c r="N110" s="345">
        <f t="shared" si="221"/>
      </c>
      <c r="O110" s="345">
        <f t="shared" si="268"/>
      </c>
      <c r="P110" s="345">
        <f t="shared" si="85"/>
      </c>
      <c r="Q110" s="341">
        <f t="shared" si="117"/>
      </c>
      <c r="R110" s="343">
        <f t="shared" si="119"/>
      </c>
      <c r="S110" s="345">
        <f t="shared" si="121"/>
      </c>
      <c r="T110" s="345">
        <f t="shared" si="34"/>
      </c>
      <c r="U110" s="345">
        <f t="shared" si="51"/>
      </c>
      <c r="V110" s="345">
        <f t="shared" si="68"/>
      </c>
      <c r="W110" s="360" t="s">
        <v>181</v>
      </c>
      <c r="X110" s="347" t="s">
        <v>193</v>
      </c>
      <c r="Y110" s="350">
        <v>454911</v>
      </c>
      <c r="Z110" s="350">
        <v>19694</v>
      </c>
      <c r="AA110" s="350">
        <v>213403</v>
      </c>
      <c r="AB110" s="350">
        <v>2515</v>
      </c>
      <c r="AC110" s="350">
        <v>3</v>
      </c>
      <c r="AD110" s="350">
        <v>24110</v>
      </c>
      <c r="AE110" s="350">
        <v>605</v>
      </c>
      <c r="AF110" s="350">
        <v>305</v>
      </c>
      <c r="AG110" s="349">
        <v>32</v>
      </c>
      <c r="AH110" s="349">
        <v>1</v>
      </c>
    </row>
    <row r="111">
      <c r="A111" s="334"/>
      <c r="B111" s="376" t="s">
        <v>195</v>
      </c>
      <c r="C111" s="374" t="s">
        <v>198</v>
      </c>
      <c r="D111" s="377">
        <v>1600.041</v>
      </c>
      <c r="E111" s="378">
        <v>4</v>
      </c>
      <c r="F111" s="359">
        <v>2080</v>
      </c>
      <c r="G111" s="340">
        <f t="shared" si="300"/>
      </c>
      <c r="H111" s="341">
        <f t="shared" si="318"/>
      </c>
      <c r="I111" s="342">
        <f t="shared" si="0"/>
      </c>
      <c r="J111" s="343">
        <f t="shared" si="17"/>
      </c>
      <c r="K111" s="344">
        <f t="shared" si="143"/>
      </c>
      <c r="L111" s="341">
        <f t="shared" si="171"/>
      </c>
      <c r="M111" s="345">
        <f t="shared" si="208"/>
      </c>
      <c r="N111" s="345">
        <f t="shared" si="221"/>
      </c>
      <c r="O111" s="345">
        <f t="shared" si="268"/>
      </c>
      <c r="P111" s="345">
        <f t="shared" si="85"/>
      </c>
      <c r="Q111" s="341">
        <f t="shared" si="117"/>
      </c>
      <c r="R111" s="343">
        <f t="shared" si="119"/>
      </c>
      <c r="S111" s="345">
        <f t="shared" si="121"/>
      </c>
      <c r="T111" s="345">
        <f t="shared" si="34"/>
      </c>
      <c r="U111" s="345">
        <f t="shared" si="51"/>
      </c>
      <c r="V111" s="345">
        <f t="shared" si="68"/>
      </c>
      <c r="W111" s="360" t="s">
        <v>181</v>
      </c>
      <c r="X111" s="347" t="s">
        <v>193</v>
      </c>
      <c r="Y111" s="350">
        <v>267086</v>
      </c>
      <c r="Z111" s="350">
        <v>12661</v>
      </c>
      <c r="AA111" s="350">
        <v>119527</v>
      </c>
      <c r="AB111" s="350">
        <v>1607</v>
      </c>
      <c r="AC111" s="350">
        <v>2</v>
      </c>
      <c r="AD111" s="350">
        <v>14914</v>
      </c>
      <c r="AE111" s="350">
        <v>354</v>
      </c>
      <c r="AF111" s="350">
        <v>186</v>
      </c>
      <c r="AG111" s="349">
        <v>16</v>
      </c>
      <c r="AH111" s="349">
        <v>0</v>
      </c>
    </row>
    <row r="112">
      <c r="A112" s="334"/>
      <c r="B112" s="376" t="s">
        <v>195</v>
      </c>
      <c r="C112" s="373" t="s">
        <v>199</v>
      </c>
      <c r="D112" s="379">
        <v>1148.1000000000001</v>
      </c>
      <c r="E112" s="338">
        <v>5</v>
      </c>
      <c r="F112" s="339">
        <v>2114.4000000000015</v>
      </c>
      <c r="G112" s="340">
        <f t="shared" si="300"/>
      </c>
      <c r="H112" s="341">
        <f t="shared" si="318"/>
      </c>
      <c r="I112" s="380">
        <f t="shared" si="0"/>
      </c>
      <c r="J112" s="381">
        <f t="shared" si="17"/>
      </c>
      <c r="K112" s="382">
        <f t="shared" ref="K112:K113" si="307">D112/AB112</f>
      </c>
      <c r="L112" s="383">
        <f t="shared" si="171"/>
      </c>
      <c r="M112" s="384">
        <f t="shared" ref="M112:M113" si="325">AC112/AB112</f>
      </c>
      <c r="N112" s="384">
        <f t="shared" si="221"/>
      </c>
      <c r="O112" s="384">
        <f t="shared" si="268"/>
      </c>
      <c r="P112" s="384">
        <f t="shared" si="85"/>
      </c>
      <c r="Q112" s="383">
        <f t="shared" si="117"/>
      </c>
      <c r="R112" s="381">
        <f t="shared" si="119"/>
      </c>
      <c r="S112" s="384">
        <f t="shared" si="121"/>
      </c>
      <c r="T112" s="384">
        <f t="shared" si="34"/>
      </c>
      <c r="U112" s="384">
        <f t="shared" si="51"/>
      </c>
      <c r="V112" s="384">
        <f t="shared" si="68"/>
      </c>
      <c r="W112" s="360" t="s">
        <v>181</v>
      </c>
      <c r="X112" s="347" t="s">
        <v>193</v>
      </c>
      <c r="Y112" s="350">
        <v>125986</v>
      </c>
      <c r="Z112" s="350">
        <v>6745</v>
      </c>
      <c r="AA112" s="350">
        <v>67801</v>
      </c>
      <c r="AB112" s="385">
        <v>1016</v>
      </c>
      <c r="AC112" s="385">
        <v>5</v>
      </c>
      <c r="AD112" s="385">
        <v>8168</v>
      </c>
      <c r="AE112" s="385">
        <v>244</v>
      </c>
      <c r="AF112" s="385">
        <v>94</v>
      </c>
      <c r="AG112" s="385">
        <v>7</v>
      </c>
      <c r="AH112" s="349">
        <v>4</v>
      </c>
    </row>
    <row r="113">
      <c r="A113" s="334"/>
      <c r="B113" s="376" t="s">
        <v>195</v>
      </c>
      <c r="C113" s="386" t="s">
        <v>200</v>
      </c>
      <c r="D113" s="377">
        <f>1296.027+0.689</f>
      </c>
      <c r="E113" s="378">
        <v>17</v>
      </c>
      <c r="F113" s="359">
        <v>8763.100000000002</v>
      </c>
      <c r="G113" s="340">
        <f t="shared" si="300"/>
      </c>
      <c r="H113" s="341">
        <f t="shared" si="318"/>
      </c>
      <c r="I113" s="380">
        <f t="shared" si="0"/>
      </c>
      <c r="J113" s="381">
        <f t="shared" si="17"/>
      </c>
      <c r="K113" s="382">
        <f t="shared" si="307"/>
      </c>
      <c r="L113" s="383">
        <f t="shared" si="171"/>
      </c>
      <c r="M113" s="384">
        <f t="shared" si="325"/>
      </c>
      <c r="N113" s="384">
        <f t="shared" si="221"/>
      </c>
      <c r="O113" s="384">
        <f t="shared" si="268"/>
      </c>
      <c r="P113" s="384">
        <f t="shared" si="85"/>
      </c>
      <c r="Q113" s="383">
        <f t="shared" si="117"/>
      </c>
      <c r="R113" s="381">
        <f t="shared" si="119"/>
      </c>
      <c r="S113" s="384">
        <f t="shared" si="121"/>
      </c>
      <c r="T113" s="384">
        <f t="shared" si="34"/>
      </c>
      <c r="U113" s="384">
        <f t="shared" si="51"/>
      </c>
      <c r="V113" s="384">
        <f t="shared" si="68"/>
      </c>
      <c r="W113" s="360" t="s">
        <v>181</v>
      </c>
      <c r="X113" s="347" t="s">
        <v>193</v>
      </c>
      <c r="Y113" s="350">
        <v>120739</v>
      </c>
      <c r="Z113" s="350">
        <v>7201</v>
      </c>
      <c r="AA113" s="350">
        <v>91401</v>
      </c>
      <c r="AB113" s="350">
        <v>900</v>
      </c>
      <c r="AC113" s="350">
        <v>8</v>
      </c>
      <c r="AD113" s="350">
        <v>8932</v>
      </c>
      <c r="AE113" s="350">
        <v>256</v>
      </c>
      <c r="AF113" s="350">
        <v>105</v>
      </c>
      <c r="AG113" s="349">
        <v>10</v>
      </c>
      <c r="AH113" s="349">
        <v>2</v>
      </c>
    </row>
    <row r="114">
      <c r="A114" s="334"/>
      <c r="B114" s="387" t="s">
        <v>187</v>
      </c>
      <c r="C114" s="387"/>
      <c r="D114" s="362">
        <f>SUM(D109:D113)</f>
      </c>
      <c r="E114" s="362">
        <f>SUM(E109:E113)</f>
      </c>
      <c r="F114" s="362">
        <f>SUM(F109:F113)</f>
      </c>
      <c r="G114" s="362">
        <f t="shared" si="300"/>
      </c>
      <c r="H114" s="364">
        <f t="shared" si="318"/>
      </c>
      <c r="I114" s="365">
        <f t="shared" si="0"/>
      </c>
      <c r="J114" s="366">
        <f t="shared" si="17"/>
      </c>
      <c r="K114" s="367">
        <f t="shared" ref="K114:K130" si="144">D114/AA114</f>
      </c>
      <c r="L114" s="364">
        <f t="shared" si="171"/>
      </c>
      <c r="M114" s="368">
        <f t="shared" ref="M114:M130" si="209">AB114/AA114</f>
      </c>
      <c r="N114" s="368">
        <f t="shared" si="221"/>
      </c>
      <c r="O114" s="368">
        <f t="shared" si="268"/>
      </c>
      <c r="P114" s="368">
        <f t="shared" si="85"/>
      </c>
      <c r="Q114" s="364">
        <f t="shared" si="117"/>
      </c>
      <c r="R114" s="366">
        <f t="shared" si="119"/>
      </c>
      <c r="S114" s="368">
        <f t="shared" si="121"/>
      </c>
      <c r="T114" s="368">
        <f t="shared" si="34"/>
      </c>
      <c r="U114" s="368">
        <f t="shared" si="51"/>
      </c>
      <c r="V114" s="368">
        <f t="shared" si="68"/>
      </c>
      <c r="W114" s="368"/>
      <c r="X114" s="369"/>
      <c r="Y114" s="362">
        <f>SUM(Y109:Y113)</f>
      </c>
      <c r="Z114" s="362">
        <f>SUM(Z109:Z113)</f>
      </c>
      <c r="AA114" s="362">
        <f>SUM(AA109:AA113)</f>
      </c>
      <c r="AB114" s="362">
        <f>SUM(AB109:AB113)</f>
      </c>
      <c r="AC114" s="362">
        <f>SUM(AC109:AC113)</f>
      </c>
      <c r="AD114" s="362">
        <f>SUM(AD109:AD113)</f>
      </c>
      <c r="AE114" s="362">
        <f>SUM(AE109:AE113)</f>
      </c>
      <c r="AF114" s="362">
        <f>SUM(AF109:AF113)</f>
      </c>
      <c r="AG114" s="362">
        <f>SUM(AG109:AG113)</f>
      </c>
      <c r="AH114" s="362">
        <f>SUM(AH109:AH113)</f>
      </c>
    </row>
    <row r="115">
      <c r="A115" s="334"/>
      <c r="B115" s="388" t="s">
        <v>201</v>
      </c>
      <c r="C115" s="388"/>
      <c r="D115" s="389">
        <f>SUM(D102+D114+D108)</f>
      </c>
      <c r="E115" s="389">
        <f>SUM(E102+E114+E108)</f>
      </c>
      <c r="F115" s="389">
        <f>SUM(F102+F114+F108)</f>
      </c>
      <c r="G115" s="390">
        <f t="shared" si="300"/>
      </c>
      <c r="H115" s="391">
        <f t="shared" si="318"/>
      </c>
      <c r="I115" s="392">
        <f t="shared" si="0"/>
      </c>
      <c r="J115" s="393">
        <f t="shared" si="17"/>
      </c>
      <c r="K115" s="394">
        <f t="shared" si="144"/>
      </c>
      <c r="L115" s="394">
        <f t="shared" si="171"/>
      </c>
      <c r="M115" s="395">
        <f t="shared" si="209"/>
      </c>
      <c r="N115" s="395">
        <f t="shared" si="221"/>
      </c>
      <c r="O115" s="395">
        <f t="shared" si="268"/>
      </c>
      <c r="P115" s="395">
        <f t="shared" si="85"/>
      </c>
      <c r="Q115" s="396">
        <f t="shared" si="117"/>
      </c>
      <c r="R115" s="397">
        <f t="shared" si="119"/>
      </c>
      <c r="S115" s="398">
        <f t="shared" si="121"/>
      </c>
      <c r="T115" s="398">
        <f t="shared" si="34"/>
      </c>
      <c r="U115" s="398">
        <f t="shared" si="51"/>
      </c>
      <c r="V115" s="398">
        <f t="shared" si="68"/>
      </c>
      <c r="W115" s="398"/>
      <c r="X115" s="399"/>
      <c r="Y115" s="390">
        <f>SUM(Y114+Y102+Y108)</f>
      </c>
      <c r="Z115" s="390">
        <f>SUM(Z114+Z102+Z108)</f>
      </c>
      <c r="AA115" s="390">
        <f>SUM(AA114+AA102+AA108)</f>
      </c>
      <c r="AB115" s="390">
        <f>SUM(AB114+AB102+AB108)</f>
      </c>
      <c r="AC115" s="390">
        <f>SUM(AC114+AC102+AC108)</f>
      </c>
      <c r="AD115" s="390">
        <f>SUM(AD114+AD102+AD108)</f>
      </c>
      <c r="AE115" s="390">
        <f>SUM(AE114+AE102+AE108)</f>
      </c>
      <c r="AF115" s="390">
        <f>SUM(AF114+AF102+AF108)</f>
      </c>
      <c r="AG115" s="390">
        <f>SUM(AG114+AG102+AG108)</f>
      </c>
      <c r="AH115" s="390">
        <f>SUM(AH114+AH102+AH108)</f>
      </c>
    </row>
    <row r="116">
      <c r="A116" s="334">
        <v>46241</v>
      </c>
      <c r="B116" s="335" t="s">
        <v>188</v>
      </c>
      <c r="C116" s="336" t="s">
        <v>180</v>
      </c>
      <c r="D116" s="337">
        <v>1847.923</v>
      </c>
      <c r="E116" s="338">
        <v>5</v>
      </c>
      <c r="F116" s="339">
        <v>1002.3</v>
      </c>
      <c r="G116" s="340">
        <f t="shared" si="300"/>
      </c>
      <c r="H116" s="341">
        <f t="shared" si="318"/>
      </c>
      <c r="I116" s="342">
        <f t="shared" si="0"/>
      </c>
      <c r="J116" s="343">
        <f t="shared" si="17"/>
      </c>
      <c r="K116" s="344">
        <f t="shared" si="144"/>
      </c>
      <c r="L116" s="341">
        <f t="shared" si="171"/>
      </c>
      <c r="M116" s="345">
        <f t="shared" si="209"/>
      </c>
      <c r="N116" s="345">
        <f t="shared" si="221"/>
      </c>
      <c r="O116" s="345">
        <f t="shared" si="268"/>
      </c>
      <c r="P116" s="345">
        <f t="shared" si="85"/>
      </c>
      <c r="Q116" s="341">
        <f t="shared" si="117"/>
      </c>
      <c r="R116" s="343">
        <f t="shared" si="119"/>
      </c>
      <c r="S116" s="345">
        <f t="shared" si="121"/>
      </c>
      <c r="T116" s="345">
        <f t="shared" si="34"/>
      </c>
      <c r="U116" s="345">
        <f t="shared" si="51"/>
      </c>
      <c r="V116" s="345">
        <f t="shared" si="68"/>
      </c>
      <c r="W116" s="346" t="s">
        <v>181</v>
      </c>
      <c r="X116" s="347" t="s">
        <v>182</v>
      </c>
      <c r="Y116" s="348">
        <v>82072</v>
      </c>
      <c r="Z116" s="348">
        <v>2934</v>
      </c>
      <c r="AA116" s="348">
        <v>71411</v>
      </c>
      <c r="AB116" s="348">
        <v>974</v>
      </c>
      <c r="AC116" s="349">
        <v>5</v>
      </c>
      <c r="AD116" s="348">
        <v>18592</v>
      </c>
      <c r="AE116" s="350">
        <v>319</v>
      </c>
      <c r="AF116" s="350">
        <v>119</v>
      </c>
      <c r="AG116" s="350">
        <v>14</v>
      </c>
      <c r="AH116" s="349">
        <v>1</v>
      </c>
    </row>
    <row r="117">
      <c r="A117" s="334"/>
      <c r="B117" s="335" t="s">
        <v>188</v>
      </c>
      <c r="C117" s="336" t="s">
        <v>183</v>
      </c>
      <c r="D117" s="337">
        <v>1023.419</v>
      </c>
      <c r="E117" s="338">
        <v>2</v>
      </c>
      <c r="F117" s="339">
        <v>424</v>
      </c>
      <c r="G117" s="340">
        <f t="shared" si="300"/>
      </c>
      <c r="H117" s="341">
        <f t="shared" si="318"/>
      </c>
      <c r="I117" s="342">
        <f t="shared" si="0"/>
      </c>
      <c r="J117" s="343">
        <f t="shared" si="17"/>
      </c>
      <c r="K117" s="344">
        <f t="shared" si="144"/>
      </c>
      <c r="L117" s="341">
        <f t="shared" si="171"/>
      </c>
      <c r="M117" s="345">
        <f t="shared" si="209"/>
      </c>
      <c r="N117" s="345">
        <f t="shared" si="221"/>
      </c>
      <c r="O117" s="345">
        <f t="shared" si="268"/>
      </c>
      <c r="P117" s="345">
        <f t="shared" si="85"/>
      </c>
      <c r="Q117" s="341">
        <f t="shared" si="117"/>
      </c>
      <c r="R117" s="343">
        <f t="shared" si="119"/>
      </c>
      <c r="S117" s="345">
        <f t="shared" si="121"/>
      </c>
      <c r="T117" s="345">
        <f t="shared" si="34"/>
      </c>
      <c r="U117" s="345">
        <f t="shared" si="51"/>
      </c>
      <c r="V117" s="345">
        <f t="shared" si="68"/>
      </c>
      <c r="W117" s="346" t="s">
        <v>181</v>
      </c>
      <c r="X117" s="347" t="s">
        <v>182</v>
      </c>
      <c r="Y117" s="349">
        <v>89098</v>
      </c>
      <c r="Z117" s="348">
        <v>2927</v>
      </c>
      <c r="AA117" s="348">
        <v>64113</v>
      </c>
      <c r="AB117" s="348">
        <v>1042</v>
      </c>
      <c r="AC117" s="350">
        <v>2</v>
      </c>
      <c r="AD117" s="348">
        <v>15010</v>
      </c>
      <c r="AE117" s="350">
        <v>302</v>
      </c>
      <c r="AF117" s="350">
        <v>86</v>
      </c>
      <c r="AG117" s="349">
        <v>16</v>
      </c>
      <c r="AH117" s="349">
        <v>0</v>
      </c>
    </row>
    <row r="118">
      <c r="A118" s="334"/>
      <c r="B118" s="335" t="s">
        <v>188</v>
      </c>
      <c r="C118" s="351" t="s">
        <v>184</v>
      </c>
      <c r="D118" s="352">
        <v>1293.292</v>
      </c>
      <c r="E118" s="338">
        <v>4</v>
      </c>
      <c r="F118" s="339">
        <v>848.0000000000002</v>
      </c>
      <c r="G118" s="340">
        <f t="shared" si="300"/>
      </c>
      <c r="H118" s="341">
        <f t="shared" si="318"/>
      </c>
      <c r="I118" s="342">
        <f t="shared" si="0"/>
      </c>
      <c r="J118" s="343">
        <f t="shared" si="17"/>
      </c>
      <c r="K118" s="344">
        <f t="shared" si="144"/>
      </c>
      <c r="L118" s="341">
        <f t="shared" si="171"/>
      </c>
      <c r="M118" s="345">
        <f t="shared" si="209"/>
      </c>
      <c r="N118" s="345">
        <f t="shared" si="221"/>
      </c>
      <c r="O118" s="345">
        <f t="shared" si="268"/>
      </c>
      <c r="P118" s="345">
        <f t="shared" si="85"/>
      </c>
      <c r="Q118" s="341">
        <f t="shared" si="117"/>
      </c>
      <c r="R118" s="343">
        <f t="shared" si="119"/>
      </c>
      <c r="S118" s="345">
        <f t="shared" si="121"/>
      </c>
      <c r="T118" s="345">
        <f t="shared" si="34"/>
      </c>
      <c r="U118" s="345">
        <f t="shared" si="51"/>
      </c>
      <c r="V118" s="345">
        <f t="shared" si="68"/>
      </c>
      <c r="W118" s="346" t="s">
        <v>181</v>
      </c>
      <c r="X118" s="347" t="s">
        <v>182</v>
      </c>
      <c r="Y118" s="350">
        <v>156752</v>
      </c>
      <c r="Z118" s="348">
        <v>4886</v>
      </c>
      <c r="AA118" s="348">
        <v>61964</v>
      </c>
      <c r="AB118" s="348">
        <v>1629</v>
      </c>
      <c r="AC118" s="350">
        <v>3</v>
      </c>
      <c r="AD118" s="348">
        <v>13780</v>
      </c>
      <c r="AE118" s="350">
        <v>399</v>
      </c>
      <c r="AF118" s="350">
        <v>88</v>
      </c>
      <c r="AG118" s="350">
        <v>32</v>
      </c>
      <c r="AH118" s="349">
        <v>0</v>
      </c>
    </row>
    <row r="119">
      <c r="A119" s="334"/>
      <c r="B119" s="335" t="s">
        <v>188</v>
      </c>
      <c r="C119" s="353" t="s">
        <v>185</v>
      </c>
      <c r="D119" s="354">
        <v>2763.014</v>
      </c>
      <c r="E119" s="355">
        <v>7</v>
      </c>
      <c r="F119" s="339">
        <v>2664</v>
      </c>
      <c r="G119" s="340">
        <f t="shared" si="300"/>
      </c>
      <c r="H119" s="341">
        <f t="shared" si="318"/>
      </c>
      <c r="I119" s="342">
        <f t="shared" si="0"/>
      </c>
      <c r="J119" s="343">
        <f t="shared" si="17"/>
      </c>
      <c r="K119" s="344">
        <f t="shared" si="144"/>
      </c>
      <c r="L119" s="341">
        <f t="shared" si="171"/>
      </c>
      <c r="M119" s="345">
        <f t="shared" si="209"/>
      </c>
      <c r="N119" s="345">
        <f t="shared" si="221"/>
      </c>
      <c r="O119" s="345">
        <f t="shared" si="268"/>
      </c>
      <c r="P119" s="345">
        <f t="shared" si="85"/>
      </c>
      <c r="Q119" s="341">
        <f t="shared" si="117"/>
      </c>
      <c r="R119" s="343">
        <f t="shared" si="119"/>
      </c>
      <c r="S119" s="345">
        <f t="shared" si="121"/>
      </c>
      <c r="T119" s="345">
        <f t="shared" si="34"/>
      </c>
      <c r="U119" s="345">
        <f t="shared" si="51"/>
      </c>
      <c r="V119" s="345">
        <f t="shared" si="68"/>
      </c>
      <c r="W119" s="340" t="s">
        <v>181</v>
      </c>
      <c r="X119" s="347" t="s">
        <v>182</v>
      </c>
      <c r="Y119" s="350">
        <v>364741</v>
      </c>
      <c r="Z119" s="350">
        <v>9210</v>
      </c>
      <c r="AA119" s="350">
        <v>121966</v>
      </c>
      <c r="AB119" s="350">
        <v>2627</v>
      </c>
      <c r="AC119" s="350">
        <v>5</v>
      </c>
      <c r="AD119" s="350">
        <v>23932</v>
      </c>
      <c r="AE119" s="350">
        <v>611</v>
      </c>
      <c r="AF119" s="350">
        <v>211</v>
      </c>
      <c r="AG119" s="349">
        <v>38</v>
      </c>
      <c r="AH119" s="349">
        <v>1</v>
      </c>
    </row>
    <row r="120">
      <c r="A120" s="334"/>
      <c r="B120" s="335" t="s">
        <v>188</v>
      </c>
      <c r="C120" s="356" t="s">
        <v>186</v>
      </c>
      <c r="D120" s="357">
        <v>2683.536</v>
      </c>
      <c r="E120" s="358">
        <v>1</v>
      </c>
      <c r="F120" s="359">
        <v>828</v>
      </c>
      <c r="G120" s="340">
        <f t="shared" si="300"/>
      </c>
      <c r="H120" s="341">
        <f t="shared" si="318"/>
      </c>
      <c r="I120" s="342">
        <f t="shared" si="0"/>
      </c>
      <c r="J120" s="343">
        <f t="shared" si="17"/>
      </c>
      <c r="K120" s="344">
        <f t="shared" si="144"/>
      </c>
      <c r="L120" s="341">
        <f t="shared" si="171"/>
      </c>
      <c r="M120" s="345">
        <f t="shared" si="209"/>
      </c>
      <c r="N120" s="345">
        <f t="shared" si="221"/>
      </c>
      <c r="O120" s="345">
        <f t="shared" si="268"/>
      </c>
      <c r="P120" s="345">
        <f t="shared" si="85"/>
      </c>
      <c r="Q120" s="341">
        <f t="shared" si="117"/>
      </c>
      <c r="R120" s="343">
        <f t="shared" si="119"/>
      </c>
      <c r="S120" s="345">
        <f t="shared" si="121"/>
      </c>
      <c r="T120" s="345">
        <f t="shared" si="34"/>
      </c>
      <c r="U120" s="345">
        <f t="shared" si="51"/>
      </c>
      <c r="V120" s="345">
        <f t="shared" si="68"/>
      </c>
      <c r="W120" s="360" t="s">
        <v>181</v>
      </c>
      <c r="X120" s="347" t="s">
        <v>182</v>
      </c>
      <c r="Y120" s="350">
        <v>488584</v>
      </c>
      <c r="Z120" s="350">
        <v>10542</v>
      </c>
      <c r="AA120" s="350">
        <v>149665</v>
      </c>
      <c r="AB120" s="350">
        <v>2796</v>
      </c>
      <c r="AC120" s="350">
        <v>1</v>
      </c>
      <c r="AD120" s="350">
        <v>23728</v>
      </c>
      <c r="AE120" s="350">
        <v>492</v>
      </c>
      <c r="AF120" s="350">
        <v>210</v>
      </c>
      <c r="AG120" s="349">
        <v>44</v>
      </c>
      <c r="AH120" s="349">
        <v>1</v>
      </c>
    </row>
    <row r="121">
      <c r="A121" s="334"/>
      <c r="B121" s="361" t="s">
        <v>187</v>
      </c>
      <c r="C121" s="361"/>
      <c r="D121" s="362">
        <f>SUM(D116:D120)</f>
      </c>
      <c r="E121" s="363">
        <f>SUM(E116:E120)</f>
      </c>
      <c r="F121" s="362">
        <f>SUM(F116:F120)</f>
      </c>
      <c r="G121" s="362">
        <f t="shared" si="300"/>
      </c>
      <c r="H121" s="364">
        <f t="shared" si="318"/>
      </c>
      <c r="I121" s="365">
        <f t="shared" si="0"/>
      </c>
      <c r="J121" s="366">
        <f t="shared" si="17"/>
      </c>
      <c r="K121" s="367">
        <f t="shared" si="144"/>
      </c>
      <c r="L121" s="364">
        <f t="shared" si="171"/>
      </c>
      <c r="M121" s="368">
        <f t="shared" si="209"/>
      </c>
      <c r="N121" s="368">
        <f t="shared" si="221"/>
      </c>
      <c r="O121" s="368">
        <f t="shared" si="268"/>
      </c>
      <c r="P121" s="368">
        <f t="shared" si="85"/>
      </c>
      <c r="Q121" s="364">
        <f t="shared" si="117"/>
      </c>
      <c r="R121" s="366">
        <f t="shared" si="119"/>
      </c>
      <c r="S121" s="368">
        <f t="shared" si="121"/>
      </c>
      <c r="T121" s="368">
        <f t="shared" si="34"/>
      </c>
      <c r="U121" s="368">
        <f t="shared" si="51"/>
      </c>
      <c r="V121" s="368">
        <f t="shared" si="68"/>
      </c>
      <c r="W121" s="368"/>
      <c r="X121" s="369"/>
      <c r="Y121" s="362">
        <f>SUM(Y116:Y120)</f>
      </c>
      <c r="Z121" s="362">
        <f>SUM(Z116:Z120)</f>
      </c>
      <c r="AA121" s="362">
        <f>SUM(AA116:AA120)</f>
      </c>
      <c r="AB121" s="362">
        <f>SUM(AB116:AB120)</f>
      </c>
      <c r="AC121" s="362">
        <f>SUM(AC116:AC120)</f>
      </c>
      <c r="AD121" s="362">
        <f>SUM(AD116:AD120)</f>
      </c>
      <c r="AE121" s="362">
        <f>SUM(AE116:AE120)</f>
      </c>
      <c r="AF121" s="362">
        <f>SUM(AF116:AF120)</f>
      </c>
      <c r="AG121" s="362">
        <f>SUM(AG116:AG120)</f>
      </c>
      <c r="AH121" s="362">
        <f>SUM(AH116:AH120)</f>
      </c>
    </row>
    <row r="122">
      <c r="A122" s="334"/>
      <c r="B122" s="376" t="s">
        <v>195</v>
      </c>
      <c r="C122" s="370" t="s">
        <v>189</v>
      </c>
      <c r="D122" s="371">
        <v>2818.457</v>
      </c>
      <c r="E122" s="338">
        <v>9</v>
      </c>
      <c r="F122" s="339">
        <v>3699.999999999999</v>
      </c>
      <c r="G122" s="340">
        <f t="shared" si="300"/>
      </c>
      <c r="H122" s="341">
        <f t="shared" si="318"/>
      </c>
      <c r="I122" s="342">
        <f t="shared" si="0"/>
      </c>
      <c r="J122" s="343">
        <f t="shared" si="17"/>
      </c>
      <c r="K122" s="344">
        <f t="shared" si="144"/>
      </c>
      <c r="L122" s="341">
        <f t="shared" si="171"/>
      </c>
      <c r="M122" s="345">
        <f t="shared" si="209"/>
      </c>
      <c r="N122" s="345">
        <f t="shared" si="221"/>
      </c>
      <c r="O122" s="345">
        <f t="shared" si="268"/>
      </c>
      <c r="P122" s="345">
        <f t="shared" si="85"/>
      </c>
      <c r="Q122" s="341">
        <f t="shared" si="117"/>
      </c>
      <c r="R122" s="343">
        <f t="shared" si="119"/>
      </c>
      <c r="S122" s="345">
        <f t="shared" si="121"/>
      </c>
      <c r="T122" s="345">
        <f t="shared" si="34"/>
      </c>
      <c r="U122" s="345">
        <f t="shared" si="51"/>
      </c>
      <c r="V122" s="345">
        <f t="shared" si="68"/>
      </c>
      <c r="W122" s="360" t="s">
        <v>181</v>
      </c>
      <c r="X122" s="347" t="s">
        <v>182</v>
      </c>
      <c r="Y122" s="348">
        <v>484384</v>
      </c>
      <c r="Z122" s="348">
        <v>14822</v>
      </c>
      <c r="AA122" s="348">
        <v>163584</v>
      </c>
      <c r="AB122" s="350">
        <v>2963</v>
      </c>
      <c r="AC122" s="350">
        <v>7</v>
      </c>
      <c r="AD122" s="348">
        <v>24417</v>
      </c>
      <c r="AE122" s="350">
        <v>576</v>
      </c>
      <c r="AF122" s="350">
        <v>250</v>
      </c>
      <c r="AG122" s="350">
        <v>42</v>
      </c>
      <c r="AH122" s="349">
        <v>2</v>
      </c>
    </row>
    <row r="123">
      <c r="A123" s="334"/>
      <c r="B123" s="376" t="s">
        <v>195</v>
      </c>
      <c r="C123" s="372" t="s">
        <v>190</v>
      </c>
      <c r="D123" s="371">
        <v>2830</v>
      </c>
      <c r="E123" s="358">
        <v>14</v>
      </c>
      <c r="F123" s="359">
        <v>4680.200000000001</v>
      </c>
      <c r="G123" s="340">
        <f t="shared" si="300"/>
      </c>
      <c r="H123" s="341">
        <f t="shared" si="318"/>
      </c>
      <c r="I123" s="342">
        <f t="shared" si="0"/>
      </c>
      <c r="J123" s="343">
        <f t="shared" si="17"/>
      </c>
      <c r="K123" s="344">
        <f t="shared" si="144"/>
      </c>
      <c r="L123" s="341">
        <f t="shared" si="171"/>
      </c>
      <c r="M123" s="345">
        <f t="shared" si="209"/>
      </c>
      <c r="N123" s="345">
        <f t="shared" si="221"/>
      </c>
      <c r="O123" s="345">
        <f t="shared" si="268"/>
      </c>
      <c r="P123" s="345">
        <f t="shared" si="85"/>
      </c>
      <c r="Q123" s="341">
        <f t="shared" si="117"/>
      </c>
      <c r="R123" s="343">
        <f t="shared" si="119"/>
      </c>
      <c r="S123" s="345">
        <f t="shared" si="121"/>
      </c>
      <c r="T123" s="345">
        <f t="shared" si="34"/>
      </c>
      <c r="U123" s="345">
        <f t="shared" si="51"/>
      </c>
      <c r="V123" s="345">
        <f t="shared" si="68"/>
      </c>
      <c r="W123" s="360" t="s">
        <v>181</v>
      </c>
      <c r="X123" s="347" t="s">
        <v>182</v>
      </c>
      <c r="Y123" s="350">
        <v>468594</v>
      </c>
      <c r="Z123" s="350">
        <v>17266</v>
      </c>
      <c r="AA123" s="350">
        <v>166905</v>
      </c>
      <c r="AB123" s="350">
        <v>2827</v>
      </c>
      <c r="AC123" s="350">
        <v>9</v>
      </c>
      <c r="AD123" s="350">
        <v>25045</v>
      </c>
      <c r="AE123" s="350">
        <v>555</v>
      </c>
      <c r="AF123" s="350">
        <v>262</v>
      </c>
      <c r="AG123" s="350">
        <v>43</v>
      </c>
      <c r="AH123" s="349">
        <v>4</v>
      </c>
    </row>
    <row r="124">
      <c r="A124" s="334"/>
      <c r="B124" s="376" t="s">
        <v>195</v>
      </c>
      <c r="C124" s="373" t="s">
        <v>191</v>
      </c>
      <c r="D124" s="371">
        <v>3105.146</v>
      </c>
      <c r="E124" s="358">
        <v>8</v>
      </c>
      <c r="F124" s="359">
        <v>2960</v>
      </c>
      <c r="G124" s="340">
        <f t="shared" si="300"/>
      </c>
      <c r="H124" s="341">
        <f t="shared" si="318"/>
      </c>
      <c r="I124" s="342">
        <f t="shared" si="0"/>
      </c>
      <c r="J124" s="343">
        <f t="shared" si="17"/>
      </c>
      <c r="K124" s="344">
        <f t="shared" si="144"/>
      </c>
      <c r="L124" s="341">
        <f t="shared" si="171"/>
      </c>
      <c r="M124" s="345">
        <f t="shared" si="209"/>
      </c>
      <c r="N124" s="345">
        <f t="shared" si="221"/>
      </c>
      <c r="O124" s="345">
        <f t="shared" si="268"/>
      </c>
      <c r="P124" s="345">
        <f t="shared" si="85"/>
      </c>
      <c r="Q124" s="341">
        <f t="shared" si="117"/>
      </c>
      <c r="R124" s="343">
        <f t="shared" si="119"/>
      </c>
      <c r="S124" s="345">
        <f t="shared" si="121"/>
      </c>
      <c r="T124" s="345">
        <f t="shared" si="34"/>
      </c>
      <c r="U124" s="345">
        <f t="shared" si="51"/>
      </c>
      <c r="V124" s="345">
        <f t="shared" si="68"/>
      </c>
      <c r="W124" s="360" t="s">
        <v>181</v>
      </c>
      <c r="X124" s="347" t="s">
        <v>193</v>
      </c>
      <c r="Y124" s="350">
        <v>509979</v>
      </c>
      <c r="Z124" s="350">
        <v>20626</v>
      </c>
      <c r="AA124" s="350">
        <v>196465</v>
      </c>
      <c r="AB124" s="350">
        <v>3042</v>
      </c>
      <c r="AC124" s="350">
        <v>5</v>
      </c>
      <c r="AD124" s="350">
        <v>27812</v>
      </c>
      <c r="AE124" s="350">
        <v>609</v>
      </c>
      <c r="AF124" s="350">
        <v>266</v>
      </c>
      <c r="AG124" s="349">
        <v>34</v>
      </c>
      <c r="AH124" s="349">
        <v>0</v>
      </c>
    </row>
    <row r="125">
      <c r="A125" s="334"/>
      <c r="B125" s="376" t="s">
        <v>195</v>
      </c>
      <c r="C125" s="374" t="s">
        <v>192</v>
      </c>
      <c r="D125" s="371">
        <v>3229.066</v>
      </c>
      <c r="E125" s="358">
        <v>11</v>
      </c>
      <c r="F125" s="359">
        <v>4865.200000000001</v>
      </c>
      <c r="G125" s="340">
        <f t="shared" si="300"/>
      </c>
      <c r="H125" s="341">
        <f t="shared" si="318"/>
      </c>
      <c r="I125" s="342">
        <f t="shared" si="0"/>
      </c>
      <c r="J125" s="343">
        <f t="shared" si="17"/>
      </c>
      <c r="K125" s="344">
        <f t="shared" si="144"/>
      </c>
      <c r="L125" s="341">
        <f t="shared" si="171"/>
      </c>
      <c r="M125" s="345">
        <f t="shared" si="209"/>
      </c>
      <c r="N125" s="345">
        <f t="shared" si="221"/>
      </c>
      <c r="O125" s="345">
        <f t="shared" si="268"/>
      </c>
      <c r="P125" s="345">
        <f t="shared" si="85"/>
      </c>
      <c r="Q125" s="341">
        <f t="shared" si="117"/>
      </c>
      <c r="R125" s="343">
        <f t="shared" si="119"/>
      </c>
      <c r="S125" s="345">
        <f t="shared" si="121"/>
      </c>
      <c r="T125" s="345">
        <f t="shared" si="34"/>
      </c>
      <c r="U125" s="345">
        <f t="shared" si="51"/>
      </c>
      <c r="V125" s="345">
        <f t="shared" si="68"/>
      </c>
      <c r="W125" s="360" t="s">
        <v>181</v>
      </c>
      <c r="X125" s="347" t="s">
        <v>193</v>
      </c>
      <c r="Y125" s="350">
        <v>510993</v>
      </c>
      <c r="Z125" s="350">
        <v>24991</v>
      </c>
      <c r="AA125" s="350">
        <v>225009</v>
      </c>
      <c r="AB125" s="350">
        <v>2907</v>
      </c>
      <c r="AC125" s="350">
        <v>11</v>
      </c>
      <c r="AD125" s="350">
        <v>30216</v>
      </c>
      <c r="AE125" s="350">
        <v>596</v>
      </c>
      <c r="AF125" s="350">
        <v>292</v>
      </c>
      <c r="AG125" s="349">
        <v>38</v>
      </c>
      <c r="AH125" s="349">
        <v>1</v>
      </c>
    </row>
    <row r="126">
      <c r="A126" s="334"/>
      <c r="B126" s="376" t="s">
        <v>195</v>
      </c>
      <c r="C126" s="375" t="s">
        <v>194</v>
      </c>
      <c r="D126" s="371">
        <v>2994.803</v>
      </c>
      <c r="E126" s="358">
        <v>12</v>
      </c>
      <c r="F126" s="359">
        <v>4256.799999999999</v>
      </c>
      <c r="G126" s="340">
        <f t="shared" si="300"/>
      </c>
      <c r="H126" s="341">
        <f t="shared" si="318"/>
      </c>
      <c r="I126" s="342">
        <f t="shared" si="0"/>
      </c>
      <c r="J126" s="343">
        <f t="shared" si="17"/>
      </c>
      <c r="K126" s="344">
        <f t="shared" si="144"/>
      </c>
      <c r="L126" s="341">
        <f t="shared" si="171"/>
      </c>
      <c r="M126" s="345">
        <f t="shared" si="209"/>
      </c>
      <c r="N126" s="345">
        <f t="shared" si="221"/>
      </c>
      <c r="O126" s="345">
        <f t="shared" si="268"/>
      </c>
      <c r="P126" s="345">
        <f t="shared" si="85"/>
      </c>
      <c r="Q126" s="341">
        <f t="shared" si="117"/>
      </c>
      <c r="R126" s="343">
        <f t="shared" si="119"/>
      </c>
      <c r="S126" s="345">
        <f t="shared" si="121"/>
      </c>
      <c r="T126" s="345">
        <f t="shared" si="34"/>
      </c>
      <c r="U126" s="345">
        <f t="shared" si="51"/>
      </c>
      <c r="V126" s="345">
        <f t="shared" si="68"/>
      </c>
      <c r="W126" s="360" t="s">
        <v>181</v>
      </c>
      <c r="X126" s="347" t="s">
        <v>193</v>
      </c>
      <c r="Y126" s="350">
        <v>506580</v>
      </c>
      <c r="Z126" s="350">
        <v>25805</v>
      </c>
      <c r="AA126" s="350">
        <v>219379</v>
      </c>
      <c r="AB126" s="350">
        <v>2779</v>
      </c>
      <c r="AC126" s="350">
        <v>8</v>
      </c>
      <c r="AD126" s="350">
        <v>33514</v>
      </c>
      <c r="AE126" s="350">
        <v>603</v>
      </c>
      <c r="AF126" s="350">
        <v>305</v>
      </c>
      <c r="AG126" s="349">
        <v>25</v>
      </c>
      <c r="AH126" s="349">
        <v>6</v>
      </c>
    </row>
    <row r="127">
      <c r="A127" s="334"/>
      <c r="B127" s="361" t="s">
        <v>187</v>
      </c>
      <c r="C127" s="361"/>
      <c r="D127" s="362">
        <f>SUM(D122:D126)</f>
      </c>
      <c r="E127" s="362">
        <f>SUM(E122:E126)</f>
      </c>
      <c r="F127" s="362">
        <f>SUM(F122:F126)</f>
      </c>
      <c r="G127" s="362">
        <f t="shared" si="300"/>
      </c>
      <c r="H127" s="364">
        <f t="shared" si="318"/>
      </c>
      <c r="I127" s="365">
        <f t="shared" si="0"/>
      </c>
      <c r="J127" s="366">
        <f t="shared" si="17"/>
      </c>
      <c r="K127" s="367">
        <f t="shared" si="144"/>
      </c>
      <c r="L127" s="364">
        <f t="shared" si="171"/>
      </c>
      <c r="M127" s="368">
        <f t="shared" si="209"/>
      </c>
      <c r="N127" s="368">
        <f t="shared" si="221"/>
      </c>
      <c r="O127" s="368">
        <f t="shared" si="268"/>
      </c>
      <c r="P127" s="368">
        <f t="shared" si="85"/>
      </c>
      <c r="Q127" s="364">
        <f t="shared" si="117"/>
      </c>
      <c r="R127" s="366">
        <f t="shared" si="119"/>
      </c>
      <c r="S127" s="368">
        <f t="shared" si="121"/>
      </c>
      <c r="T127" s="368">
        <f t="shared" si="34"/>
      </c>
      <c r="U127" s="368">
        <f t="shared" si="51"/>
      </c>
      <c r="V127" s="368">
        <f t="shared" si="68"/>
      </c>
      <c r="W127" s="368"/>
      <c r="X127" s="369"/>
      <c r="Y127" s="362">
        <f>SUM(Y122:Y126)</f>
      </c>
      <c r="Z127" s="362">
        <f>SUM(Z122:Z126)</f>
      </c>
      <c r="AA127" s="362">
        <f>SUM(AA122:AA126)</f>
      </c>
      <c r="AB127" s="362">
        <f>SUM(AB122:AB126)</f>
      </c>
      <c r="AC127" s="362">
        <f>SUM(AC122:AC126)</f>
      </c>
      <c r="AD127" s="362">
        <f>SUM(AD122:AD126)</f>
      </c>
      <c r="AE127" s="362">
        <f>SUM(AE122:AE126)</f>
      </c>
      <c r="AF127" s="362">
        <f>SUM(AF122:AF126)</f>
      </c>
      <c r="AG127" s="362">
        <f>SUM(AG122:AG126)</f>
      </c>
      <c r="AH127" s="362">
        <f>SUM(AH122:AH126)</f>
      </c>
    </row>
    <row r="128">
      <c r="A128" s="334"/>
      <c r="B128" s="335" t="s">
        <v>203</v>
      </c>
      <c r="C128" s="373" t="s">
        <v>196</v>
      </c>
      <c r="D128" s="377">
        <v>3086.2110000000002</v>
      </c>
      <c r="E128" s="378">
        <v>7</v>
      </c>
      <c r="F128" s="359">
        <v>1436</v>
      </c>
      <c r="G128" s="340">
        <f t="shared" si="300"/>
      </c>
      <c r="H128" s="341">
        <f t="shared" si="318"/>
      </c>
      <c r="I128" s="342">
        <f t="shared" si="0"/>
      </c>
      <c r="J128" s="343">
        <f t="shared" si="17"/>
      </c>
      <c r="K128" s="344">
        <f t="shared" si="144"/>
      </c>
      <c r="L128" s="341">
        <f t="shared" si="171"/>
      </c>
      <c r="M128" s="345">
        <f t="shared" si="209"/>
      </c>
      <c r="N128" s="345">
        <f t="shared" si="221"/>
      </c>
      <c r="O128" s="345">
        <f t="shared" si="268"/>
      </c>
      <c r="P128" s="345">
        <f t="shared" si="85"/>
      </c>
      <c r="Q128" s="341">
        <f t="shared" si="117"/>
      </c>
      <c r="R128" s="343">
        <f t="shared" si="119"/>
      </c>
      <c r="S128" s="345">
        <f t="shared" si="121"/>
      </c>
      <c r="T128" s="345">
        <f t="shared" si="34"/>
      </c>
      <c r="U128" s="345">
        <f t="shared" si="51"/>
      </c>
      <c r="V128" s="345">
        <f t="shared" si="68"/>
      </c>
      <c r="W128" s="360" t="s">
        <v>181</v>
      </c>
      <c r="X128" s="347" t="s">
        <v>193</v>
      </c>
      <c r="Y128" s="350">
        <v>489840</v>
      </c>
      <c r="Z128" s="350">
        <v>16733</v>
      </c>
      <c r="AA128" s="350">
        <v>214054</v>
      </c>
      <c r="AB128" s="350">
        <v>2841</v>
      </c>
      <c r="AC128" s="350">
        <v>6</v>
      </c>
      <c r="AD128" s="350">
        <v>34943</v>
      </c>
      <c r="AE128" s="350">
        <v>655</v>
      </c>
      <c r="AF128" s="350">
        <v>286</v>
      </c>
      <c r="AG128" s="350">
        <v>27</v>
      </c>
      <c r="AH128" s="349">
        <v>0</v>
      </c>
    </row>
    <row r="129">
      <c r="A129" s="334"/>
      <c r="B129" s="335" t="s">
        <v>203</v>
      </c>
      <c r="C129" s="373" t="s">
        <v>197</v>
      </c>
      <c r="D129" s="377">
        <v>2600.4849999999997</v>
      </c>
      <c r="E129" s="378">
        <v>6</v>
      </c>
      <c r="F129" s="359">
        <v>3665.5999999999985</v>
      </c>
      <c r="G129" s="340">
        <f t="shared" si="300"/>
      </c>
      <c r="H129" s="341">
        <f t="shared" si="318"/>
      </c>
      <c r="I129" s="342">
        <f t="shared" si="0"/>
      </c>
      <c r="J129" s="343">
        <f t="shared" si="17"/>
      </c>
      <c r="K129" s="344">
        <f t="shared" si="144"/>
      </c>
      <c r="L129" s="341">
        <f t="shared" si="171"/>
      </c>
      <c r="M129" s="345">
        <f t="shared" si="209"/>
      </c>
      <c r="N129" s="345">
        <f t="shared" si="221"/>
      </c>
      <c r="O129" s="345">
        <f t="shared" si="268"/>
      </c>
      <c r="P129" s="345">
        <f t="shared" si="85"/>
      </c>
      <c r="Q129" s="341">
        <f t="shared" si="117"/>
      </c>
      <c r="R129" s="343">
        <f t="shared" si="119"/>
      </c>
      <c r="S129" s="345">
        <f t="shared" si="121"/>
      </c>
      <c r="T129" s="345">
        <f t="shared" si="34"/>
      </c>
      <c r="U129" s="345">
        <f t="shared" si="51"/>
      </c>
      <c r="V129" s="345">
        <f t="shared" si="68"/>
      </c>
      <c r="W129" s="360" t="s">
        <v>181</v>
      </c>
      <c r="X129" s="347" t="s">
        <v>193</v>
      </c>
      <c r="Y129" s="350">
        <v>454159</v>
      </c>
      <c r="Z129" s="350">
        <v>9800</v>
      </c>
      <c r="AA129" s="350">
        <v>225034</v>
      </c>
      <c r="AB129" s="350">
        <v>2237</v>
      </c>
      <c r="AC129" s="350">
        <v>5</v>
      </c>
      <c r="AD129" s="350">
        <v>29210</v>
      </c>
      <c r="AE129" s="350">
        <v>493</v>
      </c>
      <c r="AF129" s="350">
        <v>183</v>
      </c>
      <c r="AG129" s="349">
        <v>18</v>
      </c>
      <c r="AH129" s="349">
        <v>1</v>
      </c>
    </row>
    <row r="130">
      <c r="A130" s="334"/>
      <c r="B130" s="335" t="s">
        <v>203</v>
      </c>
      <c r="C130" s="374" t="s">
        <v>198</v>
      </c>
      <c r="D130" s="377">
        <v>1369.1040000000003</v>
      </c>
      <c r="E130" s="378">
        <v>5</v>
      </c>
      <c r="F130" s="359">
        <v>2225.2000000000044</v>
      </c>
      <c r="G130" s="340">
        <f t="shared" si="300"/>
      </c>
      <c r="H130" s="341">
        <f t="shared" si="318"/>
      </c>
      <c r="I130" s="342">
        <f t="shared" si="0"/>
      </c>
      <c r="J130" s="343">
        <f t="shared" si="17"/>
      </c>
      <c r="K130" s="344">
        <f t="shared" si="144"/>
      </c>
      <c r="L130" s="341">
        <f t="shared" si="171"/>
      </c>
      <c r="M130" s="345">
        <f t="shared" si="209"/>
      </c>
      <c r="N130" s="345">
        <f t="shared" si="221"/>
      </c>
      <c r="O130" s="345">
        <f t="shared" si="268"/>
      </c>
      <c r="P130" s="345">
        <f t="shared" si="85"/>
      </c>
      <c r="Q130" s="341">
        <f t="shared" si="117"/>
      </c>
      <c r="R130" s="343">
        <f t="shared" si="119"/>
      </c>
      <c r="S130" s="345">
        <f t="shared" si="121"/>
      </c>
      <c r="T130" s="345">
        <f t="shared" si="34"/>
      </c>
      <c r="U130" s="345">
        <f t="shared" si="51"/>
      </c>
      <c r="V130" s="345">
        <f t="shared" si="68"/>
      </c>
      <c r="W130" s="360" t="s">
        <v>181</v>
      </c>
      <c r="X130" s="347" t="s">
        <v>193</v>
      </c>
      <c r="Y130" s="350">
        <v>182938</v>
      </c>
      <c r="Z130" s="350">
        <v>5455</v>
      </c>
      <c r="AA130" s="350">
        <v>113180</v>
      </c>
      <c r="AB130" s="350">
        <v>1252</v>
      </c>
      <c r="AC130" s="350">
        <v>4</v>
      </c>
      <c r="AD130" s="350">
        <v>17616</v>
      </c>
      <c r="AE130" s="350">
        <v>329</v>
      </c>
      <c r="AF130" s="350">
        <v>104</v>
      </c>
      <c r="AG130" s="349">
        <v>13</v>
      </c>
      <c r="AH130" s="349">
        <v>1</v>
      </c>
    </row>
    <row r="131">
      <c r="A131" s="334"/>
      <c r="B131" s="335" t="s">
        <v>203</v>
      </c>
      <c r="C131" s="373" t="s">
        <v>199</v>
      </c>
      <c r="D131" s="379">
        <v>1338.181</v>
      </c>
      <c r="E131" s="338">
        <v>9</v>
      </c>
      <c r="F131" s="339">
        <v>2514.2999999999956</v>
      </c>
      <c r="G131" s="340">
        <f t="shared" si="300"/>
      </c>
      <c r="H131" s="341">
        <f t="shared" si="318"/>
      </c>
      <c r="I131" s="380">
        <f t="shared" si="0"/>
      </c>
      <c r="J131" s="381">
        <f t="shared" si="17"/>
      </c>
      <c r="K131" s="382">
        <f t="shared" ref="K131:K132" si="308">D131/AB131</f>
      </c>
      <c r="L131" s="383">
        <f t="shared" si="171"/>
      </c>
      <c r="M131" s="384">
        <f t="shared" ref="M131:M132" si="326">AC131/AB131</f>
      </c>
      <c r="N131" s="384">
        <f t="shared" si="221"/>
      </c>
      <c r="O131" s="384">
        <f t="shared" si="268"/>
      </c>
      <c r="P131" s="384">
        <f t="shared" si="85"/>
      </c>
      <c r="Q131" s="383">
        <f t="shared" si="117"/>
      </c>
      <c r="R131" s="381">
        <f t="shared" si="119"/>
      </c>
      <c r="S131" s="384">
        <f t="shared" si="121"/>
      </c>
      <c r="T131" s="384">
        <f t="shared" si="34"/>
      </c>
      <c r="U131" s="384">
        <f t="shared" si="51"/>
      </c>
      <c r="V131" s="384">
        <f t="shared" si="68"/>
      </c>
      <c r="W131" s="360" t="s">
        <v>181</v>
      </c>
      <c r="X131" s="347" t="s">
        <v>193</v>
      </c>
      <c r="Y131" s="350">
        <v>136571</v>
      </c>
      <c r="Z131" s="350">
        <v>3951</v>
      </c>
      <c r="AA131" s="350">
        <v>122921</v>
      </c>
      <c r="AB131" s="385">
        <v>858</v>
      </c>
      <c r="AC131" s="385">
        <v>8</v>
      </c>
      <c r="AD131" s="385">
        <v>14909</v>
      </c>
      <c r="AE131" s="385">
        <v>228</v>
      </c>
      <c r="AF131" s="385">
        <v>85</v>
      </c>
      <c r="AG131" s="385">
        <v>19</v>
      </c>
      <c r="AH131" s="349">
        <v>1</v>
      </c>
    </row>
    <row r="132">
      <c r="A132" s="334"/>
      <c r="B132" s="335" t="s">
        <v>203</v>
      </c>
      <c r="C132" s="386" t="s">
        <v>200</v>
      </c>
      <c r="D132" s="377">
        <v>2288.92</v>
      </c>
      <c r="E132" s="378">
        <v>7</v>
      </c>
      <c r="F132" s="359">
        <v>1542.4000000000015</v>
      </c>
      <c r="G132" s="340">
        <f t="shared" si="300"/>
      </c>
      <c r="H132" s="341">
        <f t="shared" si="318"/>
      </c>
      <c r="I132" s="380">
        <f t="shared" si="0"/>
      </c>
      <c r="J132" s="381">
        <f t="shared" si="17"/>
      </c>
      <c r="K132" s="382">
        <f t="shared" si="308"/>
      </c>
      <c r="L132" s="383">
        <f t="shared" si="171"/>
      </c>
      <c r="M132" s="384">
        <f t="shared" si="326"/>
      </c>
      <c r="N132" s="384">
        <f t="shared" si="221"/>
      </c>
      <c r="O132" s="384">
        <f t="shared" si="268"/>
      </c>
      <c r="P132" s="384">
        <f t="shared" si="85"/>
      </c>
      <c r="Q132" s="383">
        <f t="shared" si="117"/>
      </c>
      <c r="R132" s="381">
        <f t="shared" si="119"/>
      </c>
      <c r="S132" s="384">
        <f t="shared" si="121"/>
      </c>
      <c r="T132" s="384">
        <f t="shared" si="34"/>
      </c>
      <c r="U132" s="384">
        <f t="shared" si="51"/>
      </c>
      <c r="V132" s="384">
        <f t="shared" si="68"/>
      </c>
      <c r="W132" s="360" t="s">
        <v>181</v>
      </c>
      <c r="X132" s="347" t="s">
        <v>193</v>
      </c>
      <c r="Y132" s="350">
        <v>220588</v>
      </c>
      <c r="Z132" s="350">
        <v>9993</v>
      </c>
      <c r="AA132" s="350">
        <v>216851</v>
      </c>
      <c r="AB132" s="350">
        <v>1095</v>
      </c>
      <c r="AC132" s="350">
        <v>5</v>
      </c>
      <c r="AD132" s="350">
        <v>21789</v>
      </c>
      <c r="AE132" s="350">
        <v>389</v>
      </c>
      <c r="AF132" s="350">
        <v>171</v>
      </c>
      <c r="AG132" s="349">
        <v>26</v>
      </c>
      <c r="AH132" s="349">
        <v>1</v>
      </c>
    </row>
    <row r="133">
      <c r="A133" s="334"/>
      <c r="B133" s="387" t="s">
        <v>187</v>
      </c>
      <c r="C133" s="387"/>
      <c r="D133" s="362">
        <f>SUM(D128:D132)</f>
      </c>
      <c r="E133" s="362">
        <f>SUM(E128:E132)</f>
      </c>
      <c r="F133" s="362">
        <f>SUM(F128:F132)</f>
      </c>
      <c r="G133" s="362">
        <f t="shared" si="300"/>
      </c>
      <c r="H133" s="364">
        <f t="shared" si="318"/>
      </c>
      <c r="I133" s="365">
        <f t="shared" si="0"/>
      </c>
      <c r="J133" s="366">
        <f t="shared" si="17"/>
      </c>
      <c r="K133" s="367">
        <f t="shared" ref="K133:K149" si="145">D133/AA133</f>
      </c>
      <c r="L133" s="364">
        <f t="shared" si="171"/>
      </c>
      <c r="M133" s="368">
        <f t="shared" ref="M133:M149" si="210">AB133/AA133</f>
      </c>
      <c r="N133" s="368">
        <f t="shared" si="221"/>
      </c>
      <c r="O133" s="368">
        <f t="shared" si="268"/>
      </c>
      <c r="P133" s="368">
        <f t="shared" si="85"/>
      </c>
      <c r="Q133" s="364">
        <f t="shared" si="117"/>
      </c>
      <c r="R133" s="366">
        <f t="shared" si="119"/>
      </c>
      <c r="S133" s="368">
        <f t="shared" si="121"/>
      </c>
      <c r="T133" s="368">
        <f t="shared" si="34"/>
      </c>
      <c r="U133" s="368">
        <f t="shared" si="51"/>
      </c>
      <c r="V133" s="368">
        <f t="shared" si="68"/>
      </c>
      <c r="W133" s="368"/>
      <c r="X133" s="369"/>
      <c r="Y133" s="362">
        <f>SUM(Y128:Y132)</f>
      </c>
      <c r="Z133" s="362">
        <f>SUM(Z128:Z132)</f>
      </c>
      <c r="AA133" s="362">
        <f>SUM(AA128:AA132)</f>
      </c>
      <c r="AB133" s="362">
        <f>SUM(AB128:AB132)</f>
      </c>
      <c r="AC133" s="362">
        <f>SUM(AC128:AC132)</f>
      </c>
      <c r="AD133" s="362">
        <f>SUM(AD128:AD132)</f>
      </c>
      <c r="AE133" s="362">
        <f>SUM(AE128:AE132)</f>
      </c>
      <c r="AF133" s="362">
        <f>SUM(AF128:AF132)</f>
      </c>
      <c r="AG133" s="362">
        <f>SUM(AG128:AG132)</f>
      </c>
      <c r="AH133" s="362">
        <f>SUM(AH128:AH132)</f>
      </c>
    </row>
    <row r="134">
      <c r="A134" s="334"/>
      <c r="B134" s="388" t="s">
        <v>201</v>
      </c>
      <c r="C134" s="388"/>
      <c r="D134" s="389">
        <f>SUM(D121+D133+D127)</f>
      </c>
      <c r="E134" s="389">
        <f>SUM(E121+E133+E127)</f>
      </c>
      <c r="F134" s="389">
        <f>SUM(F121+F133+F127)</f>
      </c>
      <c r="G134" s="390">
        <f t="shared" si="300"/>
      </c>
      <c r="H134" s="391">
        <f t="shared" si="318"/>
      </c>
      <c r="I134" s="392">
        <f t="shared" si="0"/>
      </c>
      <c r="J134" s="393">
        <f t="shared" si="17"/>
      </c>
      <c r="K134" s="394">
        <f t="shared" si="145"/>
      </c>
      <c r="L134" s="394">
        <f t="shared" si="171"/>
      </c>
      <c r="M134" s="395">
        <f t="shared" si="210"/>
      </c>
      <c r="N134" s="395">
        <f t="shared" si="221"/>
      </c>
      <c r="O134" s="395">
        <f t="shared" si="268"/>
      </c>
      <c r="P134" s="395">
        <f t="shared" si="85"/>
      </c>
      <c r="Q134" s="396">
        <f t="shared" si="117"/>
      </c>
      <c r="R134" s="397">
        <f t="shared" si="119"/>
      </c>
      <c r="S134" s="398">
        <f t="shared" si="121"/>
      </c>
      <c r="T134" s="398">
        <f t="shared" si="34"/>
      </c>
      <c r="U134" s="398">
        <f t="shared" si="51"/>
      </c>
      <c r="V134" s="398">
        <f t="shared" si="68"/>
      </c>
      <c r="W134" s="398"/>
      <c r="X134" s="399"/>
      <c r="Y134" s="390">
        <f>SUM(Y133+Y121+Y127)</f>
      </c>
      <c r="Z134" s="390">
        <f>SUM(Z133+Z121+Z127)</f>
      </c>
      <c r="AA134" s="390">
        <f>SUM(AA133+AA121+AA127)</f>
      </c>
      <c r="AB134" s="390">
        <f>SUM(AB133+AB121+AB127)</f>
      </c>
      <c r="AC134" s="390">
        <f>SUM(AC133+AC121+AC127)</f>
      </c>
      <c r="AD134" s="390">
        <f>SUM(AD133+AD121+AD127)</f>
      </c>
      <c r="AE134" s="390">
        <f>SUM(AE133+AE121+AE127)</f>
      </c>
      <c r="AF134" s="390">
        <f>SUM(AF133+AF121+AF127)</f>
      </c>
      <c r="AG134" s="390">
        <f>SUM(AG133+AG121+AG127)</f>
      </c>
      <c r="AH134" s="390">
        <f>SUM(AH133+AH121+AH127)</f>
      </c>
    </row>
    <row r="135">
      <c r="A135" s="334">
        <v>46242</v>
      </c>
      <c r="B135" s="335" t="s">
        <v>188</v>
      </c>
      <c r="C135" s="336" t="s">
        <v>180</v>
      </c>
      <c r="D135" s="337">
        <v>2076.886</v>
      </c>
      <c r="E135" s="338">
        <v>3</v>
      </c>
      <c r="F135" s="339">
        <v>1220</v>
      </c>
      <c r="G135" s="340">
        <f t="shared" si="300"/>
      </c>
      <c r="H135" s="341">
        <f t="shared" si="318"/>
      </c>
      <c r="I135" s="342">
        <f t="shared" si="0"/>
      </c>
      <c r="J135" s="343">
        <f t="shared" si="17"/>
      </c>
      <c r="K135" s="344">
        <f t="shared" si="145"/>
      </c>
      <c r="L135" s="341">
        <f t="shared" si="171"/>
      </c>
      <c r="M135" s="345">
        <f t="shared" si="210"/>
      </c>
      <c r="N135" s="345">
        <f t="shared" si="221"/>
      </c>
      <c r="O135" s="345">
        <f t="shared" si="268"/>
      </c>
      <c r="P135" s="345">
        <f t="shared" si="85"/>
      </c>
      <c r="Q135" s="341">
        <f t="shared" si="117"/>
      </c>
      <c r="R135" s="343">
        <f t="shared" si="119"/>
      </c>
      <c r="S135" s="345">
        <f t="shared" si="121"/>
      </c>
      <c r="T135" s="345">
        <f t="shared" si="34"/>
      </c>
      <c r="U135" s="345">
        <f t="shared" si="51"/>
      </c>
      <c r="V135" s="345">
        <f t="shared" si="68"/>
      </c>
      <c r="W135" s="346" t="s">
        <v>181</v>
      </c>
      <c r="X135" s="347" t="s">
        <v>204</v>
      </c>
      <c r="Y135" s="348">
        <v>125869</v>
      </c>
      <c r="Z135" s="348">
        <v>5075</v>
      </c>
      <c r="AA135" s="348">
        <v>127023</v>
      </c>
      <c r="AB135" s="348">
        <v>1094</v>
      </c>
      <c r="AC135" s="349">
        <v>3</v>
      </c>
      <c r="AD135" s="348">
        <v>32279</v>
      </c>
      <c r="AE135" s="350">
        <v>469</v>
      </c>
      <c r="AF135" s="350">
        <v>196</v>
      </c>
      <c r="AG135" s="350">
        <v>20</v>
      </c>
      <c r="AH135" s="349">
        <v>0</v>
      </c>
    </row>
    <row r="136">
      <c r="A136" s="334"/>
      <c r="B136" s="335" t="s">
        <v>188</v>
      </c>
      <c r="C136" s="336" t="s">
        <v>183</v>
      </c>
      <c r="D136" s="337">
        <v>1282.097</v>
      </c>
      <c r="E136" s="338">
        <v>6</v>
      </c>
      <c r="F136" s="339">
        <v>2462.3</v>
      </c>
      <c r="G136" s="340">
        <f t="shared" si="300"/>
      </c>
      <c r="H136" s="341">
        <f t="shared" si="318"/>
      </c>
      <c r="I136" s="342">
        <f t="shared" si="0"/>
      </c>
      <c r="J136" s="343">
        <f t="shared" si="17"/>
      </c>
      <c r="K136" s="344">
        <f t="shared" si="145"/>
      </c>
      <c r="L136" s="341">
        <f t="shared" si="171"/>
      </c>
      <c r="M136" s="345">
        <f t="shared" si="210"/>
      </c>
      <c r="N136" s="345">
        <f t="shared" si="221"/>
      </c>
      <c r="O136" s="345">
        <f t="shared" si="268"/>
      </c>
      <c r="P136" s="345">
        <f t="shared" si="85"/>
      </c>
      <c r="Q136" s="341">
        <f t="shared" si="117"/>
      </c>
      <c r="R136" s="343">
        <f t="shared" si="119"/>
      </c>
      <c r="S136" s="345">
        <f t="shared" si="121"/>
      </c>
      <c r="T136" s="345">
        <f t="shared" si="34"/>
      </c>
      <c r="U136" s="345">
        <f t="shared" si="51"/>
      </c>
      <c r="V136" s="345">
        <f t="shared" si="68"/>
      </c>
      <c r="W136" s="346" t="s">
        <v>181</v>
      </c>
      <c r="X136" s="347" t="s">
        <v>204</v>
      </c>
      <c r="Y136" s="349">
        <v>94198</v>
      </c>
      <c r="Z136" s="348">
        <v>4505</v>
      </c>
      <c r="AA136" s="348">
        <v>92513</v>
      </c>
      <c r="AB136" s="348">
        <v>1066</v>
      </c>
      <c r="AC136" s="350">
        <v>5</v>
      </c>
      <c r="AD136" s="348">
        <v>20859</v>
      </c>
      <c r="AE136" s="350">
        <v>339</v>
      </c>
      <c r="AF136" s="350">
        <v>127</v>
      </c>
      <c r="AG136" s="349">
        <v>18</v>
      </c>
      <c r="AH136" s="349">
        <v>0</v>
      </c>
    </row>
    <row r="137">
      <c r="A137" s="334"/>
      <c r="B137" s="335" t="s">
        <v>188</v>
      </c>
      <c r="C137" s="351" t="s">
        <v>184</v>
      </c>
      <c r="D137" s="352">
        <v>1489.657</v>
      </c>
      <c r="E137" s="338">
        <v>10</v>
      </c>
      <c r="F137" s="339">
        <v>3942.3</v>
      </c>
      <c r="G137" s="340">
        <f t="shared" si="300"/>
      </c>
      <c r="H137" s="341">
        <f t="shared" si="318"/>
      </c>
      <c r="I137" s="342">
        <f t="shared" si="0"/>
      </c>
      <c r="J137" s="343">
        <f t="shared" si="17"/>
      </c>
      <c r="K137" s="344">
        <f t="shared" si="145"/>
      </c>
      <c r="L137" s="341">
        <f t="shared" si="171"/>
      </c>
      <c r="M137" s="345">
        <f t="shared" si="210"/>
      </c>
      <c r="N137" s="345">
        <f t="shared" si="221"/>
      </c>
      <c r="O137" s="345">
        <f t="shared" si="268"/>
      </c>
      <c r="P137" s="345">
        <f t="shared" si="85"/>
      </c>
      <c r="Q137" s="341">
        <f t="shared" si="117"/>
      </c>
      <c r="R137" s="343">
        <f t="shared" si="119"/>
      </c>
      <c r="S137" s="345">
        <f t="shared" si="121"/>
      </c>
      <c r="T137" s="345">
        <f t="shared" si="34"/>
      </c>
      <c r="U137" s="345">
        <f t="shared" si="51"/>
      </c>
      <c r="V137" s="345">
        <f t="shared" si="68"/>
      </c>
      <c r="W137" s="346" t="s">
        <v>181</v>
      </c>
      <c r="X137" s="347" t="s">
        <v>204</v>
      </c>
      <c r="Y137" s="350">
        <v>121022</v>
      </c>
      <c r="Z137" s="348">
        <v>4583</v>
      </c>
      <c r="AA137" s="348">
        <v>123744</v>
      </c>
      <c r="AB137" s="348">
        <v>902</v>
      </c>
      <c r="AC137" s="350">
        <v>9</v>
      </c>
      <c r="AD137" s="348">
        <v>20453</v>
      </c>
      <c r="AE137" s="350">
        <v>297</v>
      </c>
      <c r="AF137" s="350">
        <v>117</v>
      </c>
      <c r="AG137" s="350">
        <v>19</v>
      </c>
      <c r="AH137" s="349">
        <v>1</v>
      </c>
    </row>
    <row r="138">
      <c r="A138" s="334"/>
      <c r="B138" s="335" t="s">
        <v>188</v>
      </c>
      <c r="C138" s="353" t="s">
        <v>185</v>
      </c>
      <c r="D138" s="354">
        <v>2465.656</v>
      </c>
      <c r="E138" s="355">
        <v>4</v>
      </c>
      <c r="F138" s="339">
        <v>2020</v>
      </c>
      <c r="G138" s="340">
        <f t="shared" si="300"/>
      </c>
      <c r="H138" s="341">
        <f t="shared" si="318"/>
      </c>
      <c r="I138" s="342">
        <f t="shared" si="0"/>
      </c>
      <c r="J138" s="343">
        <f t="shared" si="17"/>
      </c>
      <c r="K138" s="344">
        <f t="shared" si="145"/>
      </c>
      <c r="L138" s="341">
        <f t="shared" si="171"/>
      </c>
      <c r="M138" s="345">
        <f t="shared" si="210"/>
      </c>
      <c r="N138" s="345">
        <f t="shared" si="221"/>
      </c>
      <c r="O138" s="345">
        <f t="shared" si="268"/>
      </c>
      <c r="P138" s="345">
        <f t="shared" si="85"/>
      </c>
      <c r="Q138" s="341">
        <f t="shared" si="117"/>
      </c>
      <c r="R138" s="343">
        <f t="shared" si="119"/>
      </c>
      <c r="S138" s="345">
        <f t="shared" si="121"/>
      </c>
      <c r="T138" s="345">
        <f t="shared" si="34"/>
      </c>
      <c r="U138" s="345">
        <f t="shared" si="51"/>
      </c>
      <c r="V138" s="345">
        <f t="shared" si="68"/>
      </c>
      <c r="W138" s="340" t="s">
        <v>181</v>
      </c>
      <c r="X138" s="347" t="s">
        <v>204</v>
      </c>
      <c r="Y138" s="350">
        <v>337865</v>
      </c>
      <c r="Z138" s="350">
        <v>10067</v>
      </c>
      <c r="AA138" s="350">
        <v>199741</v>
      </c>
      <c r="AB138" s="350">
        <v>2175</v>
      </c>
      <c r="AC138" s="350">
        <v>4</v>
      </c>
      <c r="AD138" s="350">
        <v>30568</v>
      </c>
      <c r="AE138" s="350">
        <v>495</v>
      </c>
      <c r="AF138" s="350">
        <v>269</v>
      </c>
      <c r="AG138" s="349">
        <v>29</v>
      </c>
      <c r="AH138" s="349">
        <v>0</v>
      </c>
    </row>
    <row r="139">
      <c r="A139" s="334"/>
      <c r="B139" s="335" t="s">
        <v>188</v>
      </c>
      <c r="C139" s="356" t="s">
        <v>186</v>
      </c>
      <c r="D139" s="357">
        <v>2379.714</v>
      </c>
      <c r="E139" s="358">
        <v>5</v>
      </c>
      <c r="F139" s="359">
        <v>1634.300000000001</v>
      </c>
      <c r="G139" s="340">
        <f t="shared" si="300"/>
      </c>
      <c r="H139" s="341">
        <f t="shared" si="318"/>
      </c>
      <c r="I139" s="342">
        <f t="shared" si="0"/>
      </c>
      <c r="J139" s="343">
        <f t="shared" si="17"/>
      </c>
      <c r="K139" s="344">
        <f t="shared" si="145"/>
      </c>
      <c r="L139" s="341">
        <f t="shared" si="171"/>
      </c>
      <c r="M139" s="345">
        <f t="shared" si="210"/>
      </c>
      <c r="N139" s="345">
        <f t="shared" si="221"/>
      </c>
      <c r="O139" s="345">
        <f t="shared" si="268"/>
      </c>
      <c r="P139" s="345">
        <f t="shared" si="85"/>
      </c>
      <c r="Q139" s="341">
        <f t="shared" si="117"/>
      </c>
      <c r="R139" s="343">
        <f t="shared" si="119"/>
      </c>
      <c r="S139" s="345">
        <f t="shared" si="121"/>
      </c>
      <c r="T139" s="345">
        <f t="shared" si="34"/>
      </c>
      <c r="U139" s="345">
        <f t="shared" si="51"/>
      </c>
      <c r="V139" s="345">
        <f t="shared" si="68"/>
      </c>
      <c r="W139" s="360" t="s">
        <v>181</v>
      </c>
      <c r="X139" s="347" t="s">
        <v>204</v>
      </c>
      <c r="Y139" s="350">
        <v>346013</v>
      </c>
      <c r="Z139" s="350">
        <v>14786</v>
      </c>
      <c r="AA139" s="350">
        <v>188154</v>
      </c>
      <c r="AB139" s="350">
        <v>2190</v>
      </c>
      <c r="AC139" s="350">
        <v>4</v>
      </c>
      <c r="AD139" s="350">
        <v>27494</v>
      </c>
      <c r="AE139" s="350">
        <v>527</v>
      </c>
      <c r="AF139" s="350">
        <v>249</v>
      </c>
      <c r="AG139" s="349">
        <v>34</v>
      </c>
      <c r="AH139" s="349">
        <v>1</v>
      </c>
    </row>
    <row r="140">
      <c r="A140" s="334"/>
      <c r="B140" s="361" t="s">
        <v>187</v>
      </c>
      <c r="C140" s="361"/>
      <c r="D140" s="362">
        <f>SUM(D135:D139)</f>
      </c>
      <c r="E140" s="363">
        <f>SUM(E135:E139)</f>
      </c>
      <c r="F140" s="362">
        <f>SUM(F135:F139)</f>
      </c>
      <c r="G140" s="362">
        <f t="shared" si="300"/>
      </c>
      <c r="H140" s="364">
        <f t="shared" si="318"/>
      </c>
      <c r="I140" s="365">
        <f t="shared" si="0"/>
      </c>
      <c r="J140" s="366">
        <f t="shared" si="17"/>
      </c>
      <c r="K140" s="367">
        <f t="shared" si="145"/>
      </c>
      <c r="L140" s="364">
        <f t="shared" si="171"/>
      </c>
      <c r="M140" s="368">
        <f t="shared" si="210"/>
      </c>
      <c r="N140" s="368">
        <f t="shared" si="221"/>
      </c>
      <c r="O140" s="368">
        <f t="shared" si="268"/>
      </c>
      <c r="P140" s="368">
        <f t="shared" si="85"/>
      </c>
      <c r="Q140" s="364">
        <f t="shared" si="117"/>
      </c>
      <c r="R140" s="366">
        <f t="shared" si="119"/>
      </c>
      <c r="S140" s="368">
        <f t="shared" si="121"/>
      </c>
      <c r="T140" s="368">
        <f t="shared" si="34"/>
      </c>
      <c r="U140" s="368">
        <f t="shared" si="51"/>
      </c>
      <c r="V140" s="368">
        <f t="shared" si="68"/>
      </c>
      <c r="W140" s="368"/>
      <c r="X140" s="369"/>
      <c r="Y140" s="362">
        <f>SUM(Y135:Y139)</f>
      </c>
      <c r="Z140" s="362">
        <f>SUM(Z135:Z139)</f>
      </c>
      <c r="AA140" s="362">
        <f>SUM(AA135:AA139)</f>
      </c>
      <c r="AB140" s="362">
        <f>SUM(AB135:AB139)</f>
      </c>
      <c r="AC140" s="362">
        <f>SUM(AC135:AC139)</f>
      </c>
      <c r="AD140" s="362">
        <f>SUM(AD135:AD139)</f>
      </c>
      <c r="AE140" s="362">
        <f>SUM(AE135:AE139)</f>
      </c>
      <c r="AF140" s="362">
        <f>SUM(AF135:AF139)</f>
      </c>
      <c r="AG140" s="362">
        <f>SUM(AG135:AG139)</f>
      </c>
      <c r="AH140" s="362">
        <f>SUM(AH135:AH139)</f>
      </c>
    </row>
    <row r="141">
      <c r="A141" s="334"/>
      <c r="B141" s="376" t="s">
        <v>195</v>
      </c>
      <c r="C141" s="370" t="s">
        <v>189</v>
      </c>
      <c r="D141" s="371">
        <v>2040.936</v>
      </c>
      <c r="E141" s="338">
        <v>3</v>
      </c>
      <c r="F141" s="339">
        <v>1845.6000000000004</v>
      </c>
      <c r="G141" s="340">
        <f t="shared" si="300"/>
      </c>
      <c r="H141" s="341">
        <f t="shared" si="318"/>
      </c>
      <c r="I141" s="342">
        <f t="shared" si="0"/>
      </c>
      <c r="J141" s="343">
        <f t="shared" si="17"/>
      </c>
      <c r="K141" s="344">
        <f t="shared" si="145"/>
      </c>
      <c r="L141" s="341">
        <f t="shared" si="171"/>
      </c>
      <c r="M141" s="345">
        <f t="shared" si="210"/>
      </c>
      <c r="N141" s="345">
        <f t="shared" si="221"/>
      </c>
      <c r="O141" s="345">
        <f t="shared" si="268"/>
      </c>
      <c r="P141" s="345">
        <f t="shared" si="85"/>
      </c>
      <c r="Q141" s="341">
        <f t="shared" si="117"/>
      </c>
      <c r="R141" s="343">
        <f t="shared" si="119"/>
      </c>
      <c r="S141" s="345">
        <f t="shared" si="121"/>
      </c>
      <c r="T141" s="345">
        <f t="shared" si="34"/>
      </c>
      <c r="U141" s="345">
        <f t="shared" si="51"/>
      </c>
      <c r="V141" s="345">
        <f t="shared" si="68"/>
      </c>
      <c r="W141" s="360" t="s">
        <v>181</v>
      </c>
      <c r="X141" s="347" t="s">
        <v>204</v>
      </c>
      <c r="Y141" s="348">
        <v>319007</v>
      </c>
      <c r="Z141" s="348">
        <v>14648</v>
      </c>
      <c r="AA141" s="348">
        <v>150217</v>
      </c>
      <c r="AB141" s="350">
        <v>2176</v>
      </c>
      <c r="AC141" s="350">
        <v>2</v>
      </c>
      <c r="AD141" s="348">
        <v>19668</v>
      </c>
      <c r="AE141" s="350">
        <v>459</v>
      </c>
      <c r="AF141" s="350">
        <v>208</v>
      </c>
      <c r="AG141" s="350">
        <v>47</v>
      </c>
      <c r="AH141" s="349">
        <v>0</v>
      </c>
    </row>
    <row r="142">
      <c r="A142" s="334"/>
      <c r="B142" s="376" t="s">
        <v>195</v>
      </c>
      <c r="C142" s="372" t="s">
        <v>190</v>
      </c>
      <c r="D142" s="371">
        <v>2009.4089999999999</v>
      </c>
      <c r="E142" s="358">
        <v>7</v>
      </c>
      <c r="F142" s="359">
        <v>2163.999999999998</v>
      </c>
      <c r="G142" s="340">
        <f t="shared" si="300"/>
      </c>
      <c r="H142" s="341">
        <f t="shared" si="318"/>
      </c>
      <c r="I142" s="342">
        <f t="shared" si="0"/>
      </c>
      <c r="J142" s="343">
        <f t="shared" si="17"/>
      </c>
      <c r="K142" s="344">
        <f t="shared" si="145"/>
      </c>
      <c r="L142" s="341">
        <f t="shared" si="171"/>
      </c>
      <c r="M142" s="345">
        <f t="shared" si="210"/>
      </c>
      <c r="N142" s="345">
        <f t="shared" si="221"/>
      </c>
      <c r="O142" s="345">
        <f t="shared" si="268"/>
      </c>
      <c r="P142" s="345">
        <f t="shared" si="85"/>
      </c>
      <c r="Q142" s="341">
        <f t="shared" si="117"/>
      </c>
      <c r="R142" s="343">
        <f t="shared" si="119"/>
      </c>
      <c r="S142" s="345">
        <f t="shared" si="121"/>
      </c>
      <c r="T142" s="345">
        <f t="shared" si="34"/>
      </c>
      <c r="U142" s="345">
        <f t="shared" si="51"/>
      </c>
      <c r="V142" s="345">
        <f t="shared" si="68"/>
      </c>
      <c r="W142" s="360" t="s">
        <v>181</v>
      </c>
      <c r="X142" s="347" t="s">
        <v>204</v>
      </c>
      <c r="Y142" s="350">
        <v>322548</v>
      </c>
      <c r="Z142" s="350">
        <v>16384</v>
      </c>
      <c r="AA142" s="350">
        <v>166704</v>
      </c>
      <c r="AB142" s="350">
        <v>1929</v>
      </c>
      <c r="AC142" s="350">
        <v>6</v>
      </c>
      <c r="AD142" s="350">
        <v>19472</v>
      </c>
      <c r="AE142" s="350">
        <v>447</v>
      </c>
      <c r="AF142" s="350">
        <v>234</v>
      </c>
      <c r="AG142" s="350">
        <v>32</v>
      </c>
      <c r="AH142" s="349">
        <v>0</v>
      </c>
    </row>
    <row r="143">
      <c r="A143" s="334"/>
      <c r="B143" s="376" t="s">
        <v>195</v>
      </c>
      <c r="C143" s="373" t="s">
        <v>191</v>
      </c>
      <c r="D143" s="371">
        <v>2520.888</v>
      </c>
      <c r="E143" s="358">
        <v>10</v>
      </c>
      <c r="F143" s="359">
        <v>4567.9000000000015</v>
      </c>
      <c r="G143" s="340">
        <f t="shared" si="300"/>
      </c>
      <c r="H143" s="341">
        <f t="shared" si="318"/>
      </c>
      <c r="I143" s="342">
        <f t="shared" si="0"/>
      </c>
      <c r="J143" s="343">
        <f t="shared" si="17"/>
      </c>
      <c r="K143" s="344">
        <f t="shared" si="145"/>
      </c>
      <c r="L143" s="341">
        <f t="shared" si="171"/>
      </c>
      <c r="M143" s="345">
        <f t="shared" si="210"/>
      </c>
      <c r="N143" s="345">
        <f t="shared" si="221"/>
      </c>
      <c r="O143" s="345">
        <f t="shared" si="268"/>
      </c>
      <c r="P143" s="345">
        <f t="shared" si="85"/>
      </c>
      <c r="Q143" s="341">
        <f t="shared" si="117"/>
      </c>
      <c r="R143" s="343">
        <f t="shared" si="119"/>
      </c>
      <c r="S143" s="345">
        <f t="shared" si="121"/>
      </c>
      <c r="T143" s="345">
        <f t="shared" si="34"/>
      </c>
      <c r="U143" s="345">
        <f t="shared" si="51"/>
      </c>
      <c r="V143" s="345">
        <f t="shared" si="68"/>
      </c>
      <c r="W143" s="360" t="s">
        <v>181</v>
      </c>
      <c r="X143" s="347" t="s">
        <v>193</v>
      </c>
      <c r="Y143" s="350">
        <v>405208</v>
      </c>
      <c r="Z143" s="350">
        <v>11867</v>
      </c>
      <c r="AA143" s="350">
        <v>193740</v>
      </c>
      <c r="AB143" s="350">
        <v>2212</v>
      </c>
      <c r="AC143" s="350">
        <v>8</v>
      </c>
      <c r="AD143" s="350">
        <v>24935</v>
      </c>
      <c r="AE143" s="350">
        <v>480</v>
      </c>
      <c r="AF143" s="350">
        <v>228</v>
      </c>
      <c r="AG143" s="349">
        <v>35</v>
      </c>
      <c r="AH143" s="349">
        <v>2</v>
      </c>
    </row>
    <row r="144">
      <c r="A144" s="334"/>
      <c r="B144" s="376" t="s">
        <v>195</v>
      </c>
      <c r="C144" s="374" t="s">
        <v>192</v>
      </c>
      <c r="D144" s="371">
        <v>2479.947</v>
      </c>
      <c r="E144" s="358">
        <v>6</v>
      </c>
      <c r="F144" s="359">
        <v>1336</v>
      </c>
      <c r="G144" s="340">
        <f t="shared" si="300"/>
      </c>
      <c r="H144" s="341">
        <f t="shared" si="318"/>
      </c>
      <c r="I144" s="342">
        <f t="shared" si="0"/>
      </c>
      <c r="J144" s="343">
        <f t="shared" si="17"/>
      </c>
      <c r="K144" s="344">
        <f t="shared" si="145"/>
      </c>
      <c r="L144" s="341">
        <f t="shared" si="171"/>
      </c>
      <c r="M144" s="345">
        <f t="shared" si="210"/>
      </c>
      <c r="N144" s="345">
        <f t="shared" si="221"/>
      </c>
      <c r="O144" s="345">
        <f t="shared" si="268"/>
      </c>
      <c r="P144" s="345">
        <f t="shared" si="85"/>
      </c>
      <c r="Q144" s="341">
        <f t="shared" si="117"/>
      </c>
      <c r="R144" s="343">
        <f t="shared" si="119"/>
      </c>
      <c r="S144" s="345">
        <f t="shared" si="121"/>
      </c>
      <c r="T144" s="345">
        <f t="shared" si="34"/>
      </c>
      <c r="U144" s="345">
        <f t="shared" si="51"/>
      </c>
      <c r="V144" s="345">
        <f t="shared" si="68"/>
      </c>
      <c r="W144" s="360" t="s">
        <v>181</v>
      </c>
      <c r="X144" s="347" t="s">
        <v>193</v>
      </c>
      <c r="Y144" s="350">
        <v>409081</v>
      </c>
      <c r="Z144" s="350">
        <v>17251</v>
      </c>
      <c r="AA144" s="350">
        <v>204160</v>
      </c>
      <c r="AB144" s="350">
        <v>2327</v>
      </c>
      <c r="AC144" s="350">
        <v>8</v>
      </c>
      <c r="AD144" s="350">
        <v>24400</v>
      </c>
      <c r="AE144" s="350">
        <v>528</v>
      </c>
      <c r="AF144" s="350">
        <v>238</v>
      </c>
      <c r="AG144" s="349">
        <v>29</v>
      </c>
      <c r="AH144" s="349">
        <v>0</v>
      </c>
    </row>
    <row r="145">
      <c r="A145" s="334"/>
      <c r="B145" s="376" t="s">
        <v>195</v>
      </c>
      <c r="C145" s="375" t="s">
        <v>194</v>
      </c>
      <c r="D145" s="371">
        <v>2069.778</v>
      </c>
      <c r="E145" s="358">
        <v>13</v>
      </c>
      <c r="F145" s="359">
        <v>5267.5999999999985</v>
      </c>
      <c r="G145" s="340">
        <f t="shared" si="300"/>
      </c>
      <c r="H145" s="341">
        <f t="shared" si="318"/>
      </c>
      <c r="I145" s="342">
        <f t="shared" si="0"/>
      </c>
      <c r="J145" s="343">
        <f t="shared" si="17"/>
      </c>
      <c r="K145" s="344">
        <f t="shared" si="145"/>
      </c>
      <c r="L145" s="341">
        <f t="shared" si="171"/>
      </c>
      <c r="M145" s="345">
        <f t="shared" si="210"/>
      </c>
      <c r="N145" s="345">
        <f t="shared" si="221"/>
      </c>
      <c r="O145" s="345">
        <f t="shared" si="268"/>
      </c>
      <c r="P145" s="345">
        <f t="shared" si="85"/>
      </c>
      <c r="Q145" s="341">
        <f t="shared" si="117"/>
      </c>
      <c r="R145" s="343">
        <f t="shared" si="119"/>
      </c>
      <c r="S145" s="345">
        <f t="shared" si="121"/>
      </c>
      <c r="T145" s="345">
        <f t="shared" si="34"/>
      </c>
      <c r="U145" s="345">
        <f t="shared" si="51"/>
      </c>
      <c r="V145" s="345">
        <f t="shared" si="68"/>
      </c>
      <c r="W145" s="360" t="s">
        <v>181</v>
      </c>
      <c r="X145" s="347" t="s">
        <v>193</v>
      </c>
      <c r="Y145" s="350">
        <v>325325</v>
      </c>
      <c r="Z145" s="350">
        <v>17430</v>
      </c>
      <c r="AA145" s="350">
        <v>202548</v>
      </c>
      <c r="AB145" s="350">
        <v>1929</v>
      </c>
      <c r="AC145" s="350">
        <v>9</v>
      </c>
      <c r="AD145" s="350">
        <v>24435</v>
      </c>
      <c r="AE145" s="350">
        <v>457</v>
      </c>
      <c r="AF145" s="350">
        <v>215</v>
      </c>
      <c r="AG145" s="349">
        <v>22</v>
      </c>
      <c r="AH145" s="349">
        <v>2</v>
      </c>
    </row>
    <row r="146">
      <c r="A146" s="334"/>
      <c r="B146" s="361" t="s">
        <v>187</v>
      </c>
      <c r="C146" s="361"/>
      <c r="D146" s="362">
        <f>SUM(D141:D145)</f>
      </c>
      <c r="E146" s="362">
        <f>SUM(E141:E145)</f>
      </c>
      <c r="F146" s="362">
        <f>SUM(F141:F145)</f>
      </c>
      <c r="G146" s="362">
        <f t="shared" si="300"/>
      </c>
      <c r="H146" s="364">
        <f t="shared" si="318"/>
      </c>
      <c r="I146" s="365">
        <f t="shared" si="0"/>
      </c>
      <c r="J146" s="366">
        <f t="shared" si="17"/>
      </c>
      <c r="K146" s="367">
        <f t="shared" si="145"/>
      </c>
      <c r="L146" s="364">
        <f t="shared" si="171"/>
      </c>
      <c r="M146" s="368">
        <f t="shared" si="210"/>
      </c>
      <c r="N146" s="368">
        <f t="shared" si="221"/>
      </c>
      <c r="O146" s="368">
        <f t="shared" si="268"/>
      </c>
      <c r="P146" s="368">
        <f t="shared" si="85"/>
      </c>
      <c r="Q146" s="364">
        <f t="shared" si="117"/>
      </c>
      <c r="R146" s="366">
        <f t="shared" si="119"/>
      </c>
      <c r="S146" s="368">
        <f t="shared" si="121"/>
      </c>
      <c r="T146" s="368">
        <f t="shared" si="34"/>
      </c>
      <c r="U146" s="368">
        <f t="shared" si="51"/>
      </c>
      <c r="V146" s="368">
        <f t="shared" si="68"/>
      </c>
      <c r="W146" s="368"/>
      <c r="X146" s="369"/>
      <c r="Y146" s="362">
        <f>SUM(Y141:Y145)</f>
      </c>
      <c r="Z146" s="362">
        <f>SUM(Z141:Z145)</f>
      </c>
      <c r="AA146" s="362">
        <f>SUM(AA141:AA145)</f>
      </c>
      <c r="AB146" s="362">
        <f>SUM(AB141:AB145)</f>
      </c>
      <c r="AC146" s="362">
        <f>SUM(AC141:AC145)</f>
      </c>
      <c r="AD146" s="362">
        <f>SUM(AD141:AD145)</f>
      </c>
      <c r="AE146" s="362">
        <f>SUM(AE141:AE145)</f>
      </c>
      <c r="AF146" s="362">
        <f>SUM(AF141:AF145)</f>
      </c>
      <c r="AG146" s="362">
        <f>SUM(AG141:AG145)</f>
      </c>
      <c r="AH146" s="362">
        <f>SUM(AH141:AH145)</f>
      </c>
    </row>
    <row r="147">
      <c r="A147" s="334"/>
      <c r="B147" s="335" t="s">
        <v>203</v>
      </c>
      <c r="C147" s="373" t="s">
        <v>196</v>
      </c>
      <c r="D147" s="377">
        <v>2264.399</v>
      </c>
      <c r="E147" s="378">
        <v>5</v>
      </c>
      <c r="F147" s="359">
        <v>1676</v>
      </c>
      <c r="G147" s="340">
        <f t="shared" si="300"/>
      </c>
      <c r="H147" s="341">
        <f t="shared" si="318"/>
      </c>
      <c r="I147" s="342">
        <f t="shared" si="0"/>
      </c>
      <c r="J147" s="343">
        <f t="shared" si="17"/>
      </c>
      <c r="K147" s="344">
        <f t="shared" si="145"/>
      </c>
      <c r="L147" s="341">
        <f t="shared" si="171"/>
      </c>
      <c r="M147" s="345">
        <f t="shared" si="210"/>
      </c>
      <c r="N147" s="345">
        <f t="shared" si="221"/>
      </c>
      <c r="O147" s="345">
        <f t="shared" si="268"/>
      </c>
      <c r="P147" s="345">
        <f t="shared" si="85"/>
      </c>
      <c r="Q147" s="341">
        <f t="shared" si="117"/>
      </c>
      <c r="R147" s="343">
        <f t="shared" si="119"/>
      </c>
      <c r="S147" s="345">
        <f t="shared" si="121"/>
      </c>
      <c r="T147" s="345">
        <f t="shared" si="34"/>
      </c>
      <c r="U147" s="345">
        <f t="shared" si="51"/>
      </c>
      <c r="V147" s="345">
        <f t="shared" si="68"/>
      </c>
      <c r="W147" s="360" t="s">
        <v>181</v>
      </c>
      <c r="X147" s="347" t="s">
        <v>193</v>
      </c>
      <c r="Y147" s="350">
        <v>331580</v>
      </c>
      <c r="Z147" s="350">
        <v>12830</v>
      </c>
      <c r="AA147" s="350">
        <v>204511</v>
      </c>
      <c r="AB147" s="350">
        <v>1746</v>
      </c>
      <c r="AC147" s="350">
        <v>5</v>
      </c>
      <c r="AD147" s="350">
        <v>26331</v>
      </c>
      <c r="AE147" s="350">
        <v>433</v>
      </c>
      <c r="AF147" s="350">
        <v>193</v>
      </c>
      <c r="AG147" s="350">
        <v>18</v>
      </c>
      <c r="AH147" s="349">
        <v>2</v>
      </c>
    </row>
    <row r="148">
      <c r="A148" s="334"/>
      <c r="B148" s="335" t="s">
        <v>203</v>
      </c>
      <c r="C148" s="373" t="s">
        <v>197</v>
      </c>
      <c r="D148" s="377">
        <v>1808.1210000000003</v>
      </c>
      <c r="E148" s="378">
        <v>7</v>
      </c>
      <c r="F148" s="359">
        <v>1384.5999999999985</v>
      </c>
      <c r="G148" s="340">
        <f t="shared" si="300"/>
      </c>
      <c r="H148" s="341">
        <f t="shared" si="318"/>
      </c>
      <c r="I148" s="342">
        <f t="shared" si="0"/>
      </c>
      <c r="J148" s="343">
        <f t="shared" si="17"/>
      </c>
      <c r="K148" s="344">
        <f t="shared" si="145"/>
      </c>
      <c r="L148" s="341">
        <f t="shared" si="171"/>
      </c>
      <c r="M148" s="345">
        <f t="shared" si="210"/>
      </c>
      <c r="N148" s="345">
        <f t="shared" si="221"/>
      </c>
      <c r="O148" s="345">
        <f t="shared" si="268"/>
      </c>
      <c r="P148" s="345">
        <f t="shared" si="85"/>
      </c>
      <c r="Q148" s="341">
        <f t="shared" si="117"/>
      </c>
      <c r="R148" s="343">
        <f t="shared" si="119"/>
      </c>
      <c r="S148" s="345">
        <f t="shared" si="121"/>
      </c>
      <c r="T148" s="345">
        <f t="shared" si="34"/>
      </c>
      <c r="U148" s="345">
        <f t="shared" si="51"/>
      </c>
      <c r="V148" s="345">
        <f t="shared" si="68"/>
      </c>
      <c r="W148" s="360" t="s">
        <v>181</v>
      </c>
      <c r="X148" s="347" t="s">
        <v>193</v>
      </c>
      <c r="Y148" s="350">
        <v>278685</v>
      </c>
      <c r="Z148" s="350">
        <v>8007</v>
      </c>
      <c r="AA148" s="350">
        <v>161051</v>
      </c>
      <c r="AB148" s="350">
        <v>1560</v>
      </c>
      <c r="AC148" s="350">
        <v>5</v>
      </c>
      <c r="AD148" s="350">
        <v>18570</v>
      </c>
      <c r="AE148" s="350">
        <v>374</v>
      </c>
      <c r="AF148" s="350">
        <v>132</v>
      </c>
      <c r="AG148" s="349">
        <v>17</v>
      </c>
      <c r="AH148" s="349">
        <v>2</v>
      </c>
    </row>
    <row r="149">
      <c r="A149" s="334"/>
      <c r="B149" s="335" t="s">
        <v>203</v>
      </c>
      <c r="C149" s="374" t="s">
        <v>198</v>
      </c>
      <c r="D149" s="377">
        <v>2387.567</v>
      </c>
      <c r="E149" s="378">
        <v>7</v>
      </c>
      <c r="F149" s="359">
        <v>2163.600000000002</v>
      </c>
      <c r="G149" s="340">
        <f t="shared" si="300"/>
      </c>
      <c r="H149" s="341">
        <f t="shared" si="318"/>
      </c>
      <c r="I149" s="342">
        <f t="shared" si="0"/>
      </c>
      <c r="J149" s="343">
        <f t="shared" si="17"/>
      </c>
      <c r="K149" s="344">
        <f t="shared" si="145"/>
      </c>
      <c r="L149" s="341">
        <f t="shared" si="171"/>
      </c>
      <c r="M149" s="345">
        <f t="shared" si="210"/>
      </c>
      <c r="N149" s="345">
        <f t="shared" si="221"/>
      </c>
      <c r="O149" s="345">
        <f t="shared" si="268"/>
      </c>
      <c r="P149" s="345">
        <f t="shared" si="85"/>
      </c>
      <c r="Q149" s="341">
        <f t="shared" si="117"/>
      </c>
      <c r="R149" s="343">
        <f t="shared" si="119"/>
      </c>
      <c r="S149" s="345">
        <f t="shared" si="121"/>
      </c>
      <c r="T149" s="345">
        <f t="shared" si="34"/>
      </c>
      <c r="U149" s="345">
        <f t="shared" si="51"/>
      </c>
      <c r="V149" s="345">
        <f t="shared" si="68"/>
      </c>
      <c r="W149" s="360" t="s">
        <v>181</v>
      </c>
      <c r="X149" s="347" t="s">
        <v>193</v>
      </c>
      <c r="Y149" s="350">
        <v>426693</v>
      </c>
      <c r="Z149" s="350">
        <v>13555</v>
      </c>
      <c r="AA149" s="350">
        <v>191385</v>
      </c>
      <c r="AB149" s="350">
        <v>2455</v>
      </c>
      <c r="AC149" s="350">
        <v>5</v>
      </c>
      <c r="AD149" s="350">
        <v>24824</v>
      </c>
      <c r="AE149" s="350">
        <v>528</v>
      </c>
      <c r="AF149" s="350">
        <v>259</v>
      </c>
      <c r="AG149" s="349">
        <v>21</v>
      </c>
      <c r="AH149" s="349">
        <v>2</v>
      </c>
    </row>
    <row r="150">
      <c r="A150" s="334"/>
      <c r="B150" s="335" t="s">
        <v>203</v>
      </c>
      <c r="C150" s="373" t="s">
        <v>199</v>
      </c>
      <c r="D150" s="379">
        <v>2276.262</v>
      </c>
      <c r="E150" s="338">
        <v>16</v>
      </c>
      <c r="F150" s="339">
        <v>7559.799999999999</v>
      </c>
      <c r="G150" s="340">
        <f t="shared" si="300"/>
      </c>
      <c r="H150" s="341">
        <f t="shared" si="318"/>
      </c>
      <c r="I150" s="380">
        <f t="shared" si="0"/>
      </c>
      <c r="J150" s="381">
        <f t="shared" si="17"/>
      </c>
      <c r="K150" s="382">
        <f t="shared" ref="K150:K151" si="309">D150/AB150</f>
      </c>
      <c r="L150" s="383">
        <f t="shared" si="171"/>
      </c>
      <c r="M150" s="384">
        <f t="shared" ref="M150:M151" si="327">AC150/AB150</f>
      </c>
      <c r="N150" s="384">
        <f t="shared" si="221"/>
      </c>
      <c r="O150" s="384">
        <f t="shared" si="268"/>
      </c>
      <c r="P150" s="384">
        <f t="shared" si="85"/>
      </c>
      <c r="Q150" s="383">
        <f t="shared" si="117"/>
      </c>
      <c r="R150" s="381">
        <f t="shared" si="119"/>
      </c>
      <c r="S150" s="384">
        <f t="shared" si="121"/>
      </c>
      <c r="T150" s="384">
        <f t="shared" si="34"/>
      </c>
      <c r="U150" s="384">
        <f t="shared" si="51"/>
      </c>
      <c r="V150" s="384">
        <f t="shared" si="68"/>
      </c>
      <c r="W150" s="360" t="s">
        <v>181</v>
      </c>
      <c r="X150" s="347" t="s">
        <v>193</v>
      </c>
      <c r="Y150" s="350">
        <v>452251</v>
      </c>
      <c r="Z150" s="350">
        <v>14333</v>
      </c>
      <c r="AA150" s="350">
        <v>175750</v>
      </c>
      <c r="AB150" s="385">
        <v>2706</v>
      </c>
      <c r="AC150" s="385">
        <v>12</v>
      </c>
      <c r="AD150" s="385">
        <v>22845</v>
      </c>
      <c r="AE150" s="385">
        <v>503</v>
      </c>
      <c r="AF150" s="385">
        <v>228</v>
      </c>
      <c r="AG150" s="385">
        <v>26</v>
      </c>
      <c r="AH150" s="349">
        <v>4</v>
      </c>
    </row>
    <row r="151">
      <c r="A151" s="334"/>
      <c r="B151" s="335" t="s">
        <v>203</v>
      </c>
      <c r="C151" s="386" t="s">
        <v>200</v>
      </c>
      <c r="D151" s="377">
        <v>2524.383</v>
      </c>
      <c r="E151" s="378">
        <v>5</v>
      </c>
      <c r="F151" s="359">
        <v>1708</v>
      </c>
      <c r="G151" s="340">
        <f t="shared" si="300"/>
      </c>
      <c r="H151" s="341">
        <f t="shared" si="318"/>
      </c>
      <c r="I151" s="380">
        <f t="shared" si="0"/>
      </c>
      <c r="J151" s="381">
        <f t="shared" si="17"/>
      </c>
      <c r="K151" s="382">
        <f t="shared" si="309"/>
      </c>
      <c r="L151" s="383">
        <f t="shared" si="171"/>
      </c>
      <c r="M151" s="384">
        <f t="shared" si="327"/>
      </c>
      <c r="N151" s="384">
        <f t="shared" si="221"/>
      </c>
      <c r="O151" s="384">
        <f t="shared" si="268"/>
      </c>
      <c r="P151" s="384">
        <f t="shared" si="85"/>
      </c>
      <c r="Q151" s="383">
        <f t="shared" si="117"/>
      </c>
      <c r="R151" s="381">
        <f t="shared" si="119"/>
      </c>
      <c r="S151" s="384">
        <f t="shared" si="121"/>
      </c>
      <c r="T151" s="384">
        <f t="shared" si="34"/>
      </c>
      <c r="U151" s="384">
        <f t="shared" si="51"/>
      </c>
      <c r="V151" s="384">
        <f t="shared" si="68"/>
      </c>
      <c r="W151" s="360" t="s">
        <v>181</v>
      </c>
      <c r="X151" s="347" t="s">
        <v>193</v>
      </c>
      <c r="Y151" s="350">
        <v>509614</v>
      </c>
      <c r="Z151" s="350">
        <v>16102</v>
      </c>
      <c r="AA151" s="350">
        <v>229893</v>
      </c>
      <c r="AB151" s="350">
        <v>2879</v>
      </c>
      <c r="AC151" s="350">
        <v>3</v>
      </c>
      <c r="AD151" s="350">
        <v>22793</v>
      </c>
      <c r="AE151" s="350">
        <v>620</v>
      </c>
      <c r="AF151" s="350">
        <v>239</v>
      </c>
      <c r="AG151" s="349">
        <v>37</v>
      </c>
      <c r="AH151" s="349">
        <v>0</v>
      </c>
    </row>
    <row r="152">
      <c r="A152" s="334"/>
      <c r="B152" s="387" t="s">
        <v>187</v>
      </c>
      <c r="C152" s="387"/>
      <c r="D152" s="362">
        <f>SUM(D147:D151)</f>
      </c>
      <c r="E152" s="362">
        <f>SUM(E147:E151)</f>
      </c>
      <c r="F152" s="362">
        <f>SUM(F147:F151)</f>
      </c>
      <c r="G152" s="362">
        <f t="shared" si="300"/>
      </c>
      <c r="H152" s="364">
        <f t="shared" si="318"/>
      </c>
      <c r="I152" s="365">
        <f t="shared" si="0"/>
      </c>
      <c r="J152" s="366">
        <f t="shared" si="17"/>
      </c>
      <c r="K152" s="367">
        <f t="shared" ref="K152:K168" si="146">D152/AA152</f>
      </c>
      <c r="L152" s="364">
        <f t="shared" si="171"/>
      </c>
      <c r="M152" s="368">
        <f t="shared" ref="M152:M168" si="211">AB152/AA152</f>
      </c>
      <c r="N152" s="368">
        <f t="shared" si="221"/>
      </c>
      <c r="O152" s="368">
        <f t="shared" si="268"/>
      </c>
      <c r="P152" s="368">
        <f t="shared" si="85"/>
      </c>
      <c r="Q152" s="364">
        <f t="shared" si="117"/>
      </c>
      <c r="R152" s="366">
        <f t="shared" si="119"/>
      </c>
      <c r="S152" s="368">
        <f t="shared" si="121"/>
      </c>
      <c r="T152" s="368">
        <f t="shared" si="34"/>
      </c>
      <c r="U152" s="368">
        <f t="shared" si="51"/>
      </c>
      <c r="V152" s="368">
        <f t="shared" si="68"/>
      </c>
      <c r="W152" s="368"/>
      <c r="X152" s="369"/>
      <c r="Y152" s="362">
        <f>SUM(Y147:Y151)</f>
      </c>
      <c r="Z152" s="362">
        <f>SUM(Z147:Z151)</f>
      </c>
      <c r="AA152" s="362">
        <f>SUM(AA147:AA151)</f>
      </c>
      <c r="AB152" s="362">
        <f>SUM(AB147:AB151)</f>
      </c>
      <c r="AC152" s="362">
        <f>SUM(AC147:AC151)</f>
      </c>
      <c r="AD152" s="362">
        <f>SUM(AD147:AD151)</f>
      </c>
      <c r="AE152" s="362">
        <f>SUM(AE147:AE151)</f>
      </c>
      <c r="AF152" s="362">
        <f>SUM(AF147:AF151)</f>
      </c>
      <c r="AG152" s="362">
        <f>SUM(AG147:AG151)</f>
      </c>
      <c r="AH152" s="362">
        <f>SUM(AH147:AH151)</f>
      </c>
    </row>
    <row r="153">
      <c r="A153" s="334"/>
      <c r="B153" s="388" t="s">
        <v>201</v>
      </c>
      <c r="C153" s="388"/>
      <c r="D153" s="389">
        <f>SUM(D140+D152+D146)</f>
      </c>
      <c r="E153" s="389">
        <f>SUM(E140+E152+E146)</f>
      </c>
      <c r="F153" s="389">
        <f>SUM(F140+F152+F146)</f>
      </c>
      <c r="G153" s="390">
        <f t="shared" si="300"/>
      </c>
      <c r="H153" s="391">
        <f t="shared" si="318"/>
      </c>
      <c r="I153" s="392">
        <f t="shared" si="0"/>
      </c>
      <c r="J153" s="393">
        <f t="shared" si="17"/>
      </c>
      <c r="K153" s="394">
        <f t="shared" si="146"/>
      </c>
      <c r="L153" s="394">
        <f t="shared" si="171"/>
      </c>
      <c r="M153" s="395">
        <f t="shared" si="211"/>
      </c>
      <c r="N153" s="395">
        <f t="shared" si="221"/>
      </c>
      <c r="O153" s="395">
        <f t="shared" si="268"/>
      </c>
      <c r="P153" s="395">
        <f t="shared" si="85"/>
      </c>
      <c r="Q153" s="396">
        <f t="shared" si="117"/>
      </c>
      <c r="R153" s="397">
        <f t="shared" si="119"/>
      </c>
      <c r="S153" s="398">
        <f t="shared" si="121"/>
      </c>
      <c r="T153" s="398">
        <f t="shared" si="34"/>
      </c>
      <c r="U153" s="398">
        <f t="shared" si="51"/>
      </c>
      <c r="V153" s="398">
        <f t="shared" si="68"/>
      </c>
      <c r="W153" s="398"/>
      <c r="X153" s="399"/>
      <c r="Y153" s="390">
        <f>SUM(Y152+Y140+Y146)</f>
      </c>
      <c r="Z153" s="390">
        <f>SUM(Z152+Z140+Z146)</f>
      </c>
      <c r="AA153" s="390">
        <f>SUM(AA152+AA140+AA146)</f>
      </c>
      <c r="AB153" s="390">
        <f>SUM(AB152+AB140+AB146)</f>
      </c>
      <c r="AC153" s="390">
        <f>SUM(AC152+AC140+AC146)</f>
      </c>
      <c r="AD153" s="390">
        <f>SUM(AD152+AD140+AD146)</f>
      </c>
      <c r="AE153" s="390">
        <f>SUM(AE152+AE140+AE146)</f>
      </c>
      <c r="AF153" s="390">
        <f>SUM(AF152+AF140+AF146)</f>
      </c>
      <c r="AG153" s="390">
        <f>SUM(AG152+AG140+AG146)</f>
      </c>
      <c r="AH153" s="390">
        <f>SUM(AH152+AH140+AH146)</f>
      </c>
    </row>
    <row r="154">
      <c r="A154" s="334">
        <v>46243</v>
      </c>
      <c r="B154" s="335" t="s">
        <v>188</v>
      </c>
      <c r="C154" s="336" t="s">
        <v>180</v>
      </c>
      <c r="D154" s="337">
        <v>848.47</v>
      </c>
      <c r="E154" s="338">
        <v>2</v>
      </c>
      <c r="F154" s="339">
        <v>382.3</v>
      </c>
      <c r="G154" s="340">
        <f t="shared" si="300"/>
      </c>
      <c r="H154" s="341">
        <f t="shared" si="318"/>
      </c>
      <c r="I154" s="342">
        <f t="shared" si="0"/>
      </c>
      <c r="J154" s="343">
        <f t="shared" si="17"/>
      </c>
      <c r="K154" s="344">
        <f t="shared" si="146"/>
      </c>
      <c r="L154" s="341">
        <f t="shared" si="171"/>
      </c>
      <c r="M154" s="345">
        <f t="shared" si="211"/>
      </c>
      <c r="N154" s="345">
        <f t="shared" si="221"/>
      </c>
      <c r="O154" s="345">
        <f t="shared" si="268"/>
      </c>
      <c r="P154" s="345">
        <f t="shared" si="85"/>
      </c>
      <c r="Q154" s="341">
        <f t="shared" si="117"/>
      </c>
      <c r="R154" s="343">
        <f t="shared" si="119"/>
      </c>
      <c r="S154" s="345">
        <f t="shared" si="121"/>
      </c>
      <c r="T154" s="345">
        <f t="shared" si="34"/>
      </c>
      <c r="U154" s="345">
        <f t="shared" si="51"/>
      </c>
      <c r="V154" s="345">
        <f t="shared" si="68"/>
      </c>
      <c r="W154" s="346" t="s">
        <v>181</v>
      </c>
      <c r="X154" s="347" t="s">
        <v>182</v>
      </c>
      <c r="Y154" s="348">
        <v>133207</v>
      </c>
      <c r="Z154" s="348">
        <v>3600</v>
      </c>
      <c r="AA154" s="348">
        <v>51037</v>
      </c>
      <c r="AB154" s="348">
        <v>1003</v>
      </c>
      <c r="AC154" s="349">
        <v>1</v>
      </c>
      <c r="AD154" s="348">
        <v>9979</v>
      </c>
      <c r="AE154" s="350">
        <v>221</v>
      </c>
      <c r="AF154" s="350">
        <v>57</v>
      </c>
      <c r="AG154" s="350">
        <v>13</v>
      </c>
      <c r="AH154" s="349">
        <v>1</v>
      </c>
    </row>
    <row r="155">
      <c r="A155" s="334"/>
      <c r="B155" s="335" t="s">
        <v>188</v>
      </c>
      <c r="C155" s="336" t="s">
        <v>183</v>
      </c>
      <c r="D155" s="337">
        <v>1447.668</v>
      </c>
      <c r="E155" s="338">
        <v>2</v>
      </c>
      <c r="F155" s="339">
        <v>423.99999999999994</v>
      </c>
      <c r="G155" s="340">
        <f t="shared" si="300"/>
      </c>
      <c r="H155" s="341">
        <f t="shared" si="318"/>
      </c>
      <c r="I155" s="342">
        <f t="shared" si="0"/>
      </c>
      <c r="J155" s="343">
        <f t="shared" si="17"/>
      </c>
      <c r="K155" s="344">
        <f t="shared" si="146"/>
      </c>
      <c r="L155" s="341">
        <f t="shared" si="171"/>
      </c>
      <c r="M155" s="345">
        <f t="shared" si="211"/>
      </c>
      <c r="N155" s="345">
        <f t="shared" si="221"/>
      </c>
      <c r="O155" s="345">
        <f t="shared" si="268"/>
      </c>
      <c r="P155" s="345">
        <f t="shared" si="85"/>
      </c>
      <c r="Q155" s="341">
        <f t="shared" si="117"/>
      </c>
      <c r="R155" s="343">
        <f t="shared" si="119"/>
      </c>
      <c r="S155" s="345">
        <f t="shared" si="121"/>
      </c>
      <c r="T155" s="345">
        <f t="shared" si="34"/>
      </c>
      <c r="U155" s="345">
        <f t="shared" si="51"/>
      </c>
      <c r="V155" s="345">
        <f t="shared" si="68"/>
      </c>
      <c r="W155" s="346" t="s">
        <v>181</v>
      </c>
      <c r="X155" s="347" t="s">
        <v>182</v>
      </c>
      <c r="Y155" s="349">
        <v>200536</v>
      </c>
      <c r="Z155" s="348">
        <v>5512</v>
      </c>
      <c r="AA155" s="348">
        <v>91412</v>
      </c>
      <c r="AB155" s="348">
        <v>1463</v>
      </c>
      <c r="AC155" s="350">
        <v>3</v>
      </c>
      <c r="AD155" s="348">
        <v>17883</v>
      </c>
      <c r="AE155" s="350">
        <v>353</v>
      </c>
      <c r="AF155" s="350">
        <v>101</v>
      </c>
      <c r="AG155" s="349">
        <v>12</v>
      </c>
      <c r="AH155" s="349">
        <v>0</v>
      </c>
    </row>
    <row r="156">
      <c r="A156" s="334"/>
      <c r="B156" s="335" t="s">
        <v>188</v>
      </c>
      <c r="C156" s="351" t="s">
        <v>184</v>
      </c>
      <c r="D156" s="352">
        <v>1538.023</v>
      </c>
      <c r="E156" s="338">
        <v>6</v>
      </c>
      <c r="F156" s="339">
        <v>1936.0000000000002</v>
      </c>
      <c r="G156" s="340">
        <f t="shared" si="300"/>
      </c>
      <c r="H156" s="341">
        <f t="shared" si="318"/>
      </c>
      <c r="I156" s="342">
        <f t="shared" si="0"/>
      </c>
      <c r="J156" s="343">
        <f t="shared" si="17"/>
      </c>
      <c r="K156" s="344">
        <f t="shared" si="146"/>
      </c>
      <c r="L156" s="341">
        <f t="shared" si="171"/>
      </c>
      <c r="M156" s="345">
        <f t="shared" si="211"/>
      </c>
      <c r="N156" s="345">
        <f t="shared" si="221"/>
      </c>
      <c r="O156" s="345">
        <f t="shared" si="268"/>
      </c>
      <c r="P156" s="345">
        <f t="shared" si="85"/>
      </c>
      <c r="Q156" s="341">
        <f t="shared" si="117"/>
      </c>
      <c r="R156" s="343">
        <f t="shared" si="119"/>
      </c>
      <c r="S156" s="345">
        <f t="shared" si="121"/>
      </c>
      <c r="T156" s="345">
        <f t="shared" si="34"/>
      </c>
      <c r="U156" s="345">
        <f t="shared" si="51"/>
      </c>
      <c r="V156" s="345">
        <f t="shared" si="68"/>
      </c>
      <c r="W156" s="346" t="s">
        <v>181</v>
      </c>
      <c r="X156" s="347" t="s">
        <v>182</v>
      </c>
      <c r="Y156" s="350">
        <v>221462</v>
      </c>
      <c r="Z156" s="348">
        <v>6555</v>
      </c>
      <c r="AA156" s="348">
        <v>109961</v>
      </c>
      <c r="AB156" s="348">
        <v>1408</v>
      </c>
      <c r="AC156" s="350">
        <v>6</v>
      </c>
      <c r="AD156" s="348">
        <v>18251</v>
      </c>
      <c r="AE156" s="350">
        <v>394</v>
      </c>
      <c r="AF156" s="350">
        <v>124</v>
      </c>
      <c r="AG156" s="350">
        <v>23</v>
      </c>
      <c r="AH156" s="349">
        <v>0</v>
      </c>
    </row>
    <row r="157">
      <c r="A157" s="334"/>
      <c r="B157" s="335" t="s">
        <v>188</v>
      </c>
      <c r="C157" s="353" t="s">
        <v>185</v>
      </c>
      <c r="D157" s="354">
        <v>1608.534</v>
      </c>
      <c r="E157" s="355">
        <v>4</v>
      </c>
      <c r="F157" s="339">
        <v>1473.6000000000004</v>
      </c>
      <c r="G157" s="340">
        <f t="shared" si="300"/>
      </c>
      <c r="H157" s="341">
        <f t="shared" si="318"/>
      </c>
      <c r="I157" s="342">
        <f t="shared" si="0"/>
      </c>
      <c r="J157" s="343">
        <f t="shared" si="17"/>
      </c>
      <c r="K157" s="344">
        <f t="shared" si="146"/>
      </c>
      <c r="L157" s="341">
        <f t="shared" si="171"/>
      </c>
      <c r="M157" s="345">
        <f t="shared" si="211"/>
      </c>
      <c r="N157" s="345">
        <f t="shared" si="221"/>
      </c>
      <c r="O157" s="345">
        <f t="shared" si="268"/>
      </c>
      <c r="P157" s="345">
        <f t="shared" si="85"/>
      </c>
      <c r="Q157" s="341">
        <f t="shared" si="117"/>
      </c>
      <c r="R157" s="343">
        <f t="shared" si="119"/>
      </c>
      <c r="S157" s="345">
        <f t="shared" si="121"/>
      </c>
      <c r="T157" s="345">
        <f t="shared" si="34"/>
      </c>
      <c r="U157" s="345">
        <f t="shared" si="51"/>
      </c>
      <c r="V157" s="345">
        <f t="shared" si="68"/>
      </c>
      <c r="W157" s="340" t="s">
        <v>181</v>
      </c>
      <c r="X157" s="347" t="s">
        <v>182</v>
      </c>
      <c r="Y157" s="350">
        <v>283288</v>
      </c>
      <c r="Z157" s="350">
        <v>8473</v>
      </c>
      <c r="AA157" s="350">
        <v>124580</v>
      </c>
      <c r="AB157" s="350">
        <v>1658</v>
      </c>
      <c r="AC157" s="350">
        <v>4</v>
      </c>
      <c r="AD157" s="350">
        <v>18267</v>
      </c>
      <c r="AE157" s="350">
        <v>341</v>
      </c>
      <c r="AF157" s="350">
        <v>115</v>
      </c>
      <c r="AG157" s="349">
        <v>22</v>
      </c>
      <c r="AH157" s="349">
        <v>0</v>
      </c>
    </row>
    <row r="158">
      <c r="A158" s="334"/>
      <c r="B158" s="335" t="s">
        <v>188</v>
      </c>
      <c r="C158" s="356" t="s">
        <v>186</v>
      </c>
      <c r="D158" s="357">
        <v>2865.282</v>
      </c>
      <c r="E158" s="358">
        <v>8</v>
      </c>
      <c r="F158" s="359">
        <v>3013.2000000000007</v>
      </c>
      <c r="G158" s="340">
        <f t="shared" si="300"/>
      </c>
      <c r="H158" s="341">
        <f t="shared" si="318"/>
      </c>
      <c r="I158" s="342">
        <f t="shared" si="0"/>
      </c>
      <c r="J158" s="343">
        <f t="shared" si="17"/>
      </c>
      <c r="K158" s="344">
        <f t="shared" si="146"/>
      </c>
      <c r="L158" s="341">
        <f t="shared" si="171"/>
      </c>
      <c r="M158" s="345">
        <f t="shared" si="211"/>
      </c>
      <c r="N158" s="345">
        <f t="shared" si="221"/>
      </c>
      <c r="O158" s="345">
        <f t="shared" si="268"/>
      </c>
      <c r="P158" s="345">
        <f t="shared" si="85"/>
      </c>
      <c r="Q158" s="341">
        <f t="shared" si="117"/>
      </c>
      <c r="R158" s="343">
        <f t="shared" si="119"/>
      </c>
      <c r="S158" s="345">
        <f t="shared" si="121"/>
      </c>
      <c r="T158" s="345">
        <f t="shared" si="34"/>
      </c>
      <c r="U158" s="345">
        <f t="shared" si="51"/>
      </c>
      <c r="V158" s="345">
        <f t="shared" si="68"/>
      </c>
      <c r="W158" s="360" t="s">
        <v>181</v>
      </c>
      <c r="X158" s="347" t="s">
        <v>182</v>
      </c>
      <c r="Y158" s="350">
        <v>421029</v>
      </c>
      <c r="Z158" s="350">
        <v>15356</v>
      </c>
      <c r="AA158" s="350">
        <v>246382</v>
      </c>
      <c r="AB158" s="350">
        <v>2321</v>
      </c>
      <c r="AC158" s="350">
        <v>5</v>
      </c>
      <c r="AD158" s="350">
        <v>37428</v>
      </c>
      <c r="AE158" s="350">
        <v>523</v>
      </c>
      <c r="AF158" s="350">
        <v>320</v>
      </c>
      <c r="AG158" s="349">
        <v>35</v>
      </c>
      <c r="AH158" s="349">
        <v>1</v>
      </c>
    </row>
    <row r="159">
      <c r="A159" s="334"/>
      <c r="B159" s="361" t="s">
        <v>187</v>
      </c>
      <c r="C159" s="361"/>
      <c r="D159" s="362">
        <f>SUM(D154:D158)</f>
      </c>
      <c r="E159" s="363">
        <f>SUM(E154:E158)</f>
      </c>
      <c r="F159" s="362">
        <f>SUM(F154:F158)</f>
      </c>
      <c r="G159" s="362">
        <f t="shared" si="300"/>
      </c>
      <c r="H159" s="364">
        <f t="shared" si="318"/>
      </c>
      <c r="I159" s="365">
        <f t="shared" si="0"/>
      </c>
      <c r="J159" s="366">
        <f t="shared" si="17"/>
      </c>
      <c r="K159" s="367">
        <f t="shared" si="146"/>
      </c>
      <c r="L159" s="364">
        <f t="shared" si="171"/>
      </c>
      <c r="M159" s="368">
        <f t="shared" si="211"/>
      </c>
      <c r="N159" s="368">
        <f t="shared" si="221"/>
      </c>
      <c r="O159" s="368">
        <f t="shared" si="268"/>
      </c>
      <c r="P159" s="368">
        <f t="shared" si="85"/>
      </c>
      <c r="Q159" s="364">
        <f t="shared" si="117"/>
      </c>
      <c r="R159" s="366">
        <f t="shared" si="119"/>
      </c>
      <c r="S159" s="368">
        <f t="shared" si="121"/>
      </c>
      <c r="T159" s="368">
        <f t="shared" si="34"/>
      </c>
      <c r="U159" s="368">
        <f t="shared" si="51"/>
      </c>
      <c r="V159" s="368">
        <f t="shared" si="68"/>
      </c>
      <c r="W159" s="368"/>
      <c r="X159" s="369"/>
      <c r="Y159" s="362">
        <f>SUM(Y154:Y158)</f>
      </c>
      <c r="Z159" s="362">
        <f>SUM(Z154:Z158)</f>
      </c>
      <c r="AA159" s="362">
        <f>SUM(AA154:AA158)</f>
      </c>
      <c r="AB159" s="362">
        <f>SUM(AB154:AB158)</f>
      </c>
      <c r="AC159" s="362">
        <f>SUM(AC154:AC158)</f>
      </c>
      <c r="AD159" s="362">
        <f>SUM(AD154:AD158)</f>
      </c>
      <c r="AE159" s="362">
        <f>SUM(AE154:AE158)</f>
      </c>
      <c r="AF159" s="362">
        <f>SUM(AF154:AF158)</f>
      </c>
      <c r="AG159" s="362">
        <f>SUM(AG154:AG158)</f>
      </c>
      <c r="AH159" s="362">
        <f>SUM(AH154:AH158)</f>
      </c>
    </row>
    <row r="160">
      <c r="A160" s="334"/>
      <c r="B160" s="376" t="s">
        <v>195</v>
      </c>
      <c r="C160" s="370" t="s">
        <v>189</v>
      </c>
      <c r="D160" s="371">
        <v>2463.518</v>
      </c>
      <c r="E160" s="338">
        <v>2</v>
      </c>
      <c r="F160" s="339">
        <v>1024.000000000001</v>
      </c>
      <c r="G160" s="340">
        <f t="shared" si="300"/>
      </c>
      <c r="H160" s="341">
        <f t="shared" si="318"/>
      </c>
      <c r="I160" s="342">
        <f t="shared" si="0"/>
      </c>
      <c r="J160" s="343">
        <f t="shared" si="17"/>
      </c>
      <c r="K160" s="344">
        <f t="shared" si="146"/>
      </c>
      <c r="L160" s="341">
        <f t="shared" si="171"/>
      </c>
      <c r="M160" s="345">
        <f t="shared" si="211"/>
      </c>
      <c r="N160" s="345">
        <f t="shared" si="221"/>
      </c>
      <c r="O160" s="345">
        <f t="shared" si="268"/>
      </c>
      <c r="P160" s="345">
        <f t="shared" si="85"/>
      </c>
      <c r="Q160" s="341">
        <f t="shared" si="117"/>
      </c>
      <c r="R160" s="343">
        <f t="shared" si="119"/>
      </c>
      <c r="S160" s="345">
        <f t="shared" si="121"/>
      </c>
      <c r="T160" s="345">
        <f t="shared" si="34"/>
      </c>
      <c r="U160" s="345">
        <f t="shared" si="51"/>
      </c>
      <c r="V160" s="345">
        <f t="shared" si="68"/>
      </c>
      <c r="W160" s="360" t="s">
        <v>181</v>
      </c>
      <c r="X160" s="347" t="s">
        <v>182</v>
      </c>
      <c r="Y160" s="348">
        <v>375991</v>
      </c>
      <c r="Z160" s="348">
        <v>14242</v>
      </c>
      <c r="AA160" s="348">
        <v>205994</v>
      </c>
      <c r="AB160" s="350">
        <v>2457</v>
      </c>
      <c r="AC160" s="350">
        <v>4</v>
      </c>
      <c r="AD160" s="348">
        <v>30645</v>
      </c>
      <c r="AE160" s="350">
        <v>626</v>
      </c>
      <c r="AF160" s="350">
        <v>262</v>
      </c>
      <c r="AG160" s="350">
        <v>31</v>
      </c>
      <c r="AH160" s="349">
        <v>0</v>
      </c>
    </row>
    <row r="161">
      <c r="A161" s="334"/>
      <c r="B161" s="376" t="s">
        <v>195</v>
      </c>
      <c r="C161" s="372" t="s">
        <v>190</v>
      </c>
      <c r="D161" s="371">
        <v>2369.04</v>
      </c>
      <c r="E161" s="358">
        <v>6</v>
      </c>
      <c r="F161" s="359">
        <v>1262.2999999999975</v>
      </c>
      <c r="G161" s="340">
        <f t="shared" si="300"/>
      </c>
      <c r="H161" s="341">
        <f t="shared" si="318"/>
      </c>
      <c r="I161" s="342">
        <f t="shared" si="0"/>
      </c>
      <c r="J161" s="343">
        <f t="shared" si="17"/>
      </c>
      <c r="K161" s="344">
        <f t="shared" si="146"/>
      </c>
      <c r="L161" s="341">
        <f t="shared" si="171"/>
      </c>
      <c r="M161" s="345">
        <f t="shared" si="211"/>
      </c>
      <c r="N161" s="345">
        <f t="shared" si="221"/>
      </c>
      <c r="O161" s="345">
        <f t="shared" si="268"/>
      </c>
      <c r="P161" s="345">
        <f t="shared" si="85"/>
      </c>
      <c r="Q161" s="341">
        <f t="shared" si="117"/>
      </c>
      <c r="R161" s="343">
        <f t="shared" si="119"/>
      </c>
      <c r="S161" s="345">
        <f t="shared" si="121"/>
      </c>
      <c r="T161" s="345">
        <f t="shared" si="34"/>
      </c>
      <c r="U161" s="345">
        <f t="shared" si="51"/>
      </c>
      <c r="V161" s="345">
        <f t="shared" si="68"/>
      </c>
      <c r="W161" s="360" t="s">
        <v>181</v>
      </c>
      <c r="X161" s="347" t="s">
        <v>182</v>
      </c>
      <c r="Y161" s="350">
        <v>353532</v>
      </c>
      <c r="Z161" s="350">
        <v>16188</v>
      </c>
      <c r="AA161" s="350">
        <v>192446</v>
      </c>
      <c r="AB161" s="350">
        <v>2345</v>
      </c>
      <c r="AC161" s="350">
        <v>5</v>
      </c>
      <c r="AD161" s="350">
        <v>26962</v>
      </c>
      <c r="AE161" s="350">
        <v>528</v>
      </c>
      <c r="AF161" s="350">
        <v>278</v>
      </c>
      <c r="AG161" s="350">
        <v>42</v>
      </c>
      <c r="AH161" s="349">
        <v>1</v>
      </c>
    </row>
    <row r="162">
      <c r="A162" s="334"/>
      <c r="B162" s="376" t="s">
        <v>195</v>
      </c>
      <c r="C162" s="373" t="s">
        <v>191</v>
      </c>
      <c r="D162" s="371">
        <v>2152.206</v>
      </c>
      <c r="E162" s="358">
        <v>8</v>
      </c>
      <c r="F162" s="359">
        <v>2917.2000000000007</v>
      </c>
      <c r="G162" s="340">
        <f t="shared" si="300"/>
      </c>
      <c r="H162" s="341">
        <f t="shared" si="318"/>
      </c>
      <c r="I162" s="342">
        <f t="shared" si="0"/>
      </c>
      <c r="J162" s="343">
        <f t="shared" si="17"/>
      </c>
      <c r="K162" s="344">
        <f t="shared" si="146"/>
      </c>
      <c r="L162" s="341">
        <f t="shared" si="171"/>
      </c>
      <c r="M162" s="345">
        <f t="shared" si="211"/>
      </c>
      <c r="N162" s="345">
        <f t="shared" si="221"/>
      </c>
      <c r="O162" s="345">
        <f t="shared" si="268"/>
      </c>
      <c r="P162" s="345">
        <f t="shared" si="85"/>
      </c>
      <c r="Q162" s="341">
        <f t="shared" si="117"/>
      </c>
      <c r="R162" s="343">
        <f t="shared" si="119"/>
      </c>
      <c r="S162" s="345">
        <f t="shared" si="121"/>
      </c>
      <c r="T162" s="345">
        <f t="shared" si="34"/>
      </c>
      <c r="U162" s="345">
        <f t="shared" si="51"/>
      </c>
      <c r="V162" s="345">
        <f t="shared" si="68"/>
      </c>
      <c r="W162" s="360" t="s">
        <v>181</v>
      </c>
      <c r="X162" s="347" t="s">
        <v>193</v>
      </c>
      <c r="Y162" s="350">
        <v>343521</v>
      </c>
      <c r="Z162" s="350">
        <v>21857</v>
      </c>
      <c r="AA162" s="350">
        <v>197054</v>
      </c>
      <c r="AB162" s="350">
        <v>1850</v>
      </c>
      <c r="AC162" s="350">
        <v>6</v>
      </c>
      <c r="AD162" s="350">
        <v>25631</v>
      </c>
      <c r="AE162" s="350">
        <v>572</v>
      </c>
      <c r="AF162" s="350">
        <v>294</v>
      </c>
      <c r="AG162" s="349">
        <v>27</v>
      </c>
      <c r="AH162" s="349">
        <v>1</v>
      </c>
    </row>
    <row r="163">
      <c r="A163" s="334"/>
      <c r="B163" s="376" t="s">
        <v>195</v>
      </c>
      <c r="C163" s="374" t="s">
        <v>192</v>
      </c>
      <c r="D163" s="371">
        <v>2471.185</v>
      </c>
      <c r="E163" s="358">
        <v>4</v>
      </c>
      <c r="F163" s="359">
        <v>1406.2999999999993</v>
      </c>
      <c r="G163" s="340">
        <f t="shared" si="300"/>
      </c>
      <c r="H163" s="341">
        <f t="shared" si="318"/>
      </c>
      <c r="I163" s="342">
        <f t="shared" si="0"/>
      </c>
      <c r="J163" s="343">
        <f t="shared" si="17"/>
      </c>
      <c r="K163" s="344">
        <f t="shared" si="146"/>
      </c>
      <c r="L163" s="341">
        <f t="shared" si="171"/>
      </c>
      <c r="M163" s="345">
        <f t="shared" si="211"/>
      </c>
      <c r="N163" s="345">
        <f t="shared" si="221"/>
      </c>
      <c r="O163" s="345">
        <f t="shared" si="268"/>
      </c>
      <c r="P163" s="345">
        <f t="shared" si="85"/>
      </c>
      <c r="Q163" s="341">
        <f t="shared" si="117"/>
      </c>
      <c r="R163" s="343">
        <f t="shared" si="119"/>
      </c>
      <c r="S163" s="345">
        <f t="shared" si="121"/>
      </c>
      <c r="T163" s="345">
        <f t="shared" si="34"/>
      </c>
      <c r="U163" s="345">
        <f t="shared" si="51"/>
      </c>
      <c r="V163" s="345">
        <f t="shared" si="68"/>
      </c>
      <c r="W163" s="360" t="s">
        <v>181</v>
      </c>
      <c r="X163" s="347" t="s">
        <v>193</v>
      </c>
      <c r="Y163" s="350">
        <v>405366</v>
      </c>
      <c r="Z163" s="350">
        <v>19224</v>
      </c>
      <c r="AA163" s="350">
        <v>201856</v>
      </c>
      <c r="AB163" s="350">
        <v>1795</v>
      </c>
      <c r="AC163" s="350">
        <v>4</v>
      </c>
      <c r="AD163" s="350">
        <v>27418</v>
      </c>
      <c r="AE163" s="350">
        <v>540</v>
      </c>
      <c r="AF163" s="350">
        <v>283</v>
      </c>
      <c r="AG163" s="349">
        <v>25</v>
      </c>
      <c r="AH163" s="349">
        <v>1</v>
      </c>
    </row>
    <row r="164">
      <c r="A164" s="334"/>
      <c r="B164" s="376" t="s">
        <v>195</v>
      </c>
      <c r="C164" s="375" t="s">
        <v>194</v>
      </c>
      <c r="D164" s="371">
        <v>2601.237</v>
      </c>
      <c r="E164" s="358">
        <v>11</v>
      </c>
      <c r="F164" s="359">
        <v>4876.000000000002</v>
      </c>
      <c r="G164" s="340">
        <f t="shared" si="300"/>
      </c>
      <c r="H164" s="341">
        <f t="shared" si="318"/>
      </c>
      <c r="I164" s="342">
        <f t="shared" si="0"/>
      </c>
      <c r="J164" s="343">
        <f t="shared" si="17"/>
      </c>
      <c r="K164" s="344">
        <f t="shared" si="146"/>
      </c>
      <c r="L164" s="341">
        <f t="shared" si="171"/>
      </c>
      <c r="M164" s="345">
        <f t="shared" si="211"/>
      </c>
      <c r="N164" s="345">
        <f t="shared" si="221"/>
      </c>
      <c r="O164" s="345">
        <f t="shared" si="268"/>
      </c>
      <c r="P164" s="345">
        <f t="shared" si="85"/>
      </c>
      <c r="Q164" s="341">
        <f t="shared" si="117"/>
      </c>
      <c r="R164" s="343">
        <f t="shared" si="119"/>
      </c>
      <c r="S164" s="345">
        <f t="shared" si="121"/>
      </c>
      <c r="T164" s="345">
        <f t="shared" si="34"/>
      </c>
      <c r="U164" s="345">
        <f t="shared" si="51"/>
      </c>
      <c r="V164" s="345">
        <f t="shared" si="68"/>
      </c>
      <c r="W164" s="360" t="s">
        <v>181</v>
      </c>
      <c r="X164" s="347" t="s">
        <v>193</v>
      </c>
      <c r="Y164" s="350">
        <v>461259</v>
      </c>
      <c r="Z164" s="350">
        <v>14287</v>
      </c>
      <c r="AA164" s="350">
        <v>178914</v>
      </c>
      <c r="AB164" s="350">
        <v>2084</v>
      </c>
      <c r="AC164" s="350">
        <v>11</v>
      </c>
      <c r="AD164" s="350">
        <v>27827</v>
      </c>
      <c r="AE164" s="350">
        <v>538</v>
      </c>
      <c r="AF164" s="350">
        <v>237</v>
      </c>
      <c r="AG164" s="349">
        <v>18</v>
      </c>
      <c r="AH164" s="349">
        <v>0</v>
      </c>
    </row>
    <row r="165">
      <c r="A165" s="334"/>
      <c r="B165" s="361" t="s">
        <v>187</v>
      </c>
      <c r="C165" s="361"/>
      <c r="D165" s="362">
        <f>SUM(D160:D164)</f>
      </c>
      <c r="E165" s="362">
        <f>SUM(E160:E164)</f>
      </c>
      <c r="F165" s="362">
        <f>SUM(F160:F164)</f>
      </c>
      <c r="G165" s="362">
        <f t="shared" si="300"/>
      </c>
      <c r="H165" s="364">
        <f t="shared" si="318"/>
      </c>
      <c r="I165" s="365">
        <f t="shared" si="0"/>
      </c>
      <c r="J165" s="366">
        <f t="shared" si="17"/>
      </c>
      <c r="K165" s="367">
        <f t="shared" si="146"/>
      </c>
      <c r="L165" s="364">
        <f t="shared" si="171"/>
      </c>
      <c r="M165" s="368">
        <f t="shared" si="211"/>
      </c>
      <c r="N165" s="368">
        <f t="shared" si="221"/>
      </c>
      <c r="O165" s="368">
        <f t="shared" si="268"/>
      </c>
      <c r="P165" s="368">
        <f t="shared" si="85"/>
      </c>
      <c r="Q165" s="364">
        <f t="shared" si="117"/>
      </c>
      <c r="R165" s="366">
        <f t="shared" si="119"/>
      </c>
      <c r="S165" s="368">
        <f t="shared" si="121"/>
      </c>
      <c r="T165" s="368">
        <f t="shared" si="34"/>
      </c>
      <c r="U165" s="368">
        <f t="shared" si="51"/>
      </c>
      <c r="V165" s="368">
        <f t="shared" si="68"/>
      </c>
      <c r="W165" s="368"/>
      <c r="X165" s="369"/>
      <c r="Y165" s="362">
        <f>SUM(Y160:Y164)</f>
      </c>
      <c r="Z165" s="362">
        <f>SUM(Z160:Z164)</f>
      </c>
      <c r="AA165" s="362">
        <f>SUM(AA160:AA164)</f>
      </c>
      <c r="AB165" s="362">
        <f>SUM(AB160:AB164)</f>
      </c>
      <c r="AC165" s="362">
        <f>SUM(AC160:AC164)</f>
      </c>
      <c r="AD165" s="362">
        <f>SUM(AD160:AD164)</f>
      </c>
      <c r="AE165" s="362">
        <f>SUM(AE160:AE164)</f>
      </c>
      <c r="AF165" s="362">
        <f>SUM(AF160:AF164)</f>
      </c>
      <c r="AG165" s="362">
        <f>SUM(AG160:AG164)</f>
      </c>
      <c r="AH165" s="362">
        <f>SUM(AH160:AH164)</f>
      </c>
    </row>
    <row r="166">
      <c r="A166" s="334"/>
      <c r="B166" s="335" t="s">
        <v>203</v>
      </c>
      <c r="C166" s="373" t="s">
        <v>196</v>
      </c>
      <c r="D166" s="377">
        <v>2782.9289999999996</v>
      </c>
      <c r="E166" s="378">
        <v>3</v>
      </c>
      <c r="F166" s="359">
        <v>1273.199999999997</v>
      </c>
      <c r="G166" s="340">
        <f t="shared" si="300"/>
      </c>
      <c r="H166" s="341">
        <f t="shared" si="318"/>
      </c>
      <c r="I166" s="342">
        <f t="shared" si="0"/>
      </c>
      <c r="J166" s="343">
        <f t="shared" si="17"/>
      </c>
      <c r="K166" s="344">
        <f t="shared" si="146"/>
      </c>
      <c r="L166" s="341">
        <f t="shared" si="171"/>
      </c>
      <c r="M166" s="345">
        <f t="shared" si="211"/>
      </c>
      <c r="N166" s="345">
        <f t="shared" si="221"/>
      </c>
      <c r="O166" s="345">
        <f t="shared" si="268"/>
      </c>
      <c r="P166" s="345">
        <f t="shared" si="85"/>
      </c>
      <c r="Q166" s="341">
        <f t="shared" si="117"/>
      </c>
      <c r="R166" s="343">
        <f t="shared" si="119"/>
      </c>
      <c r="S166" s="345">
        <f t="shared" si="121"/>
      </c>
      <c r="T166" s="345">
        <f t="shared" si="34"/>
      </c>
      <c r="U166" s="345">
        <f t="shared" si="51"/>
      </c>
      <c r="V166" s="345">
        <f t="shared" si="68"/>
      </c>
      <c r="W166" s="360" t="s">
        <v>181</v>
      </c>
      <c r="X166" s="347" t="s">
        <v>193</v>
      </c>
      <c r="Y166" s="350">
        <v>488356</v>
      </c>
      <c r="Z166" s="350">
        <v>12590</v>
      </c>
      <c r="AA166" s="350">
        <v>205465</v>
      </c>
      <c r="AB166" s="350">
        <v>2097</v>
      </c>
      <c r="AC166" s="350">
        <v>3</v>
      </c>
      <c r="AD166" s="350">
        <v>27453</v>
      </c>
      <c r="AE166" s="350">
        <v>449</v>
      </c>
      <c r="AF166" s="350">
        <v>235</v>
      </c>
      <c r="AG166" s="349">
        <v>19</v>
      </c>
      <c r="AH166" s="349">
        <v>1</v>
      </c>
    </row>
    <row r="167">
      <c r="A167" s="334"/>
      <c r="B167" s="335" t="s">
        <v>203</v>
      </c>
      <c r="C167" s="373" t="s">
        <v>197</v>
      </c>
      <c r="D167" s="377">
        <v>2704.4610000000002</v>
      </c>
      <c r="E167" s="378">
        <v>7</v>
      </c>
      <c r="F167" s="359">
        <v>2640</v>
      </c>
      <c r="G167" s="340">
        <f t="shared" si="300"/>
      </c>
      <c r="H167" s="341">
        <f t="shared" si="318"/>
      </c>
      <c r="I167" s="342">
        <f t="shared" si="0"/>
      </c>
      <c r="J167" s="343">
        <f t="shared" si="17"/>
      </c>
      <c r="K167" s="344">
        <f t="shared" si="146"/>
      </c>
      <c r="L167" s="341">
        <f t="shared" si="171"/>
      </c>
      <c r="M167" s="345">
        <f t="shared" si="211"/>
      </c>
      <c r="N167" s="345">
        <f t="shared" si="221"/>
      </c>
      <c r="O167" s="345">
        <f t="shared" si="268"/>
      </c>
      <c r="P167" s="345">
        <f t="shared" si="85"/>
      </c>
      <c r="Q167" s="341">
        <f t="shared" si="117"/>
      </c>
      <c r="R167" s="343">
        <f t="shared" si="119"/>
      </c>
      <c r="S167" s="345">
        <f t="shared" si="121"/>
      </c>
      <c r="T167" s="345">
        <f t="shared" si="34"/>
      </c>
      <c r="U167" s="345">
        <f t="shared" si="51"/>
      </c>
      <c r="V167" s="345">
        <f t="shared" si="68"/>
      </c>
      <c r="W167" s="360" t="s">
        <v>181</v>
      </c>
      <c r="X167" s="347" t="s">
        <v>193</v>
      </c>
      <c r="Y167" s="350">
        <v>478634</v>
      </c>
      <c r="Z167" s="350">
        <v>10727</v>
      </c>
      <c r="AA167" s="350">
        <v>232471</v>
      </c>
      <c r="AB167" s="350">
        <v>1885</v>
      </c>
      <c r="AC167" s="350">
        <v>6</v>
      </c>
      <c r="AD167" s="350">
        <v>26956</v>
      </c>
      <c r="AE167" s="350">
        <v>489</v>
      </c>
      <c r="AF167" s="350">
        <v>186</v>
      </c>
      <c r="AG167" s="349">
        <v>33</v>
      </c>
      <c r="AH167" s="349">
        <v>0</v>
      </c>
    </row>
    <row r="168">
      <c r="A168" s="334"/>
      <c r="B168" s="335" t="s">
        <v>203</v>
      </c>
      <c r="C168" s="374" t="s">
        <v>198</v>
      </c>
      <c r="D168" s="377">
        <v>2595.468</v>
      </c>
      <c r="E168" s="378">
        <v>9</v>
      </c>
      <c r="F168" s="359">
        <v>4441.200000000001</v>
      </c>
      <c r="G168" s="340">
        <f t="shared" si="300"/>
      </c>
      <c r="H168" s="341">
        <f t="shared" si="318"/>
      </c>
      <c r="I168" s="342">
        <f t="shared" si="0"/>
      </c>
      <c r="J168" s="343">
        <f t="shared" si="17"/>
      </c>
      <c r="K168" s="344">
        <f t="shared" si="146"/>
      </c>
      <c r="L168" s="341">
        <f t="shared" si="171"/>
      </c>
      <c r="M168" s="345">
        <f t="shared" si="211"/>
      </c>
      <c r="N168" s="345">
        <f t="shared" si="221"/>
      </c>
      <c r="O168" s="345">
        <f t="shared" si="268"/>
      </c>
      <c r="P168" s="345">
        <f t="shared" si="85"/>
      </c>
      <c r="Q168" s="341">
        <f t="shared" si="117"/>
      </c>
      <c r="R168" s="343">
        <f t="shared" si="119"/>
      </c>
      <c r="S168" s="345">
        <f t="shared" si="121"/>
      </c>
      <c r="T168" s="345">
        <f t="shared" si="34"/>
      </c>
      <c r="U168" s="345">
        <f t="shared" si="51"/>
      </c>
      <c r="V168" s="345">
        <f t="shared" si="68"/>
      </c>
      <c r="W168" s="360" t="s">
        <v>181</v>
      </c>
      <c r="X168" s="347" t="s">
        <v>193</v>
      </c>
      <c r="Y168" s="350">
        <v>442076</v>
      </c>
      <c r="Z168" s="350">
        <v>9017</v>
      </c>
      <c r="AA168" s="350">
        <v>260738</v>
      </c>
      <c r="AB168" s="350">
        <v>1725</v>
      </c>
      <c r="AC168" s="350">
        <v>8</v>
      </c>
      <c r="AD168" s="350">
        <v>26928</v>
      </c>
      <c r="AE168" s="350">
        <v>479</v>
      </c>
      <c r="AF168" s="350">
        <v>183</v>
      </c>
      <c r="AG168" s="349">
        <v>21</v>
      </c>
      <c r="AH168" s="349">
        <v>1</v>
      </c>
    </row>
    <row r="169">
      <c r="A169" s="334"/>
      <c r="B169" s="335" t="s">
        <v>203</v>
      </c>
      <c r="C169" s="373" t="s">
        <v>199</v>
      </c>
      <c r="D169" s="379">
        <v>2082.539</v>
      </c>
      <c r="E169" s="338">
        <v>7</v>
      </c>
      <c r="F169" s="339">
        <v>1542</v>
      </c>
      <c r="G169" s="340">
        <f t="shared" si="300"/>
      </c>
      <c r="H169" s="341">
        <f t="shared" si="318"/>
      </c>
      <c r="I169" s="380">
        <f t="shared" si="0"/>
      </c>
      <c r="J169" s="381">
        <f t="shared" si="17"/>
      </c>
      <c r="K169" s="382">
        <f t="shared" ref="K169:K170" si="310">D169/AB169</f>
      </c>
      <c r="L169" s="383">
        <f t="shared" si="171"/>
      </c>
      <c r="M169" s="384">
        <f t="shared" ref="M169:M170" si="328">AC169/AB169</f>
      </c>
      <c r="N169" s="384">
        <f t="shared" si="221"/>
      </c>
      <c r="O169" s="384">
        <f t="shared" si="268"/>
      </c>
      <c r="P169" s="384">
        <f t="shared" si="85"/>
      </c>
      <c r="Q169" s="383">
        <f t="shared" si="117"/>
      </c>
      <c r="R169" s="381">
        <f t="shared" si="119"/>
      </c>
      <c r="S169" s="384">
        <f t="shared" si="121"/>
      </c>
      <c r="T169" s="384">
        <f t="shared" si="34"/>
      </c>
      <c r="U169" s="384">
        <f t="shared" si="51"/>
      </c>
      <c r="V169" s="384">
        <f t="shared" si="68"/>
      </c>
      <c r="W169" s="360" t="s">
        <v>181</v>
      </c>
      <c r="X169" s="347" t="s">
        <v>193</v>
      </c>
      <c r="Y169" s="350">
        <v>162184</v>
      </c>
      <c r="Z169" s="350">
        <v>4930</v>
      </c>
      <c r="AA169" s="350">
        <v>144085</v>
      </c>
      <c r="AB169" s="385">
        <v>875</v>
      </c>
      <c r="AC169" s="385">
        <v>6</v>
      </c>
      <c r="AD169" s="385">
        <v>16436</v>
      </c>
      <c r="AE169" s="385">
        <v>365</v>
      </c>
      <c r="AF169" s="385">
        <v>121</v>
      </c>
      <c r="AG169" s="385">
        <v>14</v>
      </c>
      <c r="AH169" s="349">
        <v>4</v>
      </c>
    </row>
    <row r="170">
      <c r="A170" s="334"/>
      <c r="B170" s="335" t="s">
        <v>203</v>
      </c>
      <c r="C170" s="386" t="s">
        <v>200</v>
      </c>
      <c r="D170" s="377">
        <v>1942.275</v>
      </c>
      <c r="E170" s="378">
        <v>5</v>
      </c>
      <c r="F170" s="359">
        <v>2329.2000000000007</v>
      </c>
      <c r="G170" s="340">
        <f t="shared" si="300"/>
      </c>
      <c r="H170" s="341">
        <f t="shared" si="318"/>
      </c>
      <c r="I170" s="380">
        <f t="shared" si="0"/>
      </c>
      <c r="J170" s="381">
        <f t="shared" si="17"/>
      </c>
      <c r="K170" s="382">
        <f t="shared" si="310"/>
      </c>
      <c r="L170" s="383">
        <f t="shared" si="171"/>
      </c>
      <c r="M170" s="384">
        <f t="shared" si="328"/>
      </c>
      <c r="N170" s="384">
        <f t="shared" si="221"/>
      </c>
      <c r="O170" s="384">
        <f t="shared" si="268"/>
      </c>
      <c r="P170" s="384">
        <f t="shared" si="85"/>
      </c>
      <c r="Q170" s="383">
        <f t="shared" si="117"/>
      </c>
      <c r="R170" s="381">
        <f t="shared" si="119"/>
      </c>
      <c r="S170" s="384">
        <f t="shared" si="121"/>
      </c>
      <c r="T170" s="384">
        <f t="shared" si="34"/>
      </c>
      <c r="U170" s="384">
        <f t="shared" si="51"/>
      </c>
      <c r="V170" s="384">
        <f t="shared" si="68"/>
      </c>
      <c r="W170" s="360" t="s">
        <v>181</v>
      </c>
      <c r="X170" s="347" t="s">
        <v>193</v>
      </c>
      <c r="Y170" s="350">
        <v>140891</v>
      </c>
      <c r="Z170" s="350">
        <v>4727</v>
      </c>
      <c r="AA170" s="350">
        <v>122782</v>
      </c>
      <c r="AB170" s="350">
        <v>848</v>
      </c>
      <c r="AC170" s="350">
        <v>3</v>
      </c>
      <c r="AD170" s="350">
        <v>14039</v>
      </c>
      <c r="AE170" s="350">
        <v>333</v>
      </c>
      <c r="AF170" s="350">
        <v>112</v>
      </c>
      <c r="AG170" s="349">
        <v>17</v>
      </c>
      <c r="AH170" s="349">
        <v>1</v>
      </c>
    </row>
    <row r="171">
      <c r="A171" s="334"/>
      <c r="B171" s="387" t="s">
        <v>187</v>
      </c>
      <c r="C171" s="387"/>
      <c r="D171" s="362">
        <f>SUM(D166:D170)</f>
      </c>
      <c r="E171" s="362">
        <f>SUM(E166:E170)</f>
      </c>
      <c r="F171" s="362">
        <f>SUM(F166:F170)</f>
      </c>
      <c r="G171" s="362">
        <f t="shared" si="300"/>
      </c>
      <c r="H171" s="364">
        <f t="shared" si="318"/>
      </c>
      <c r="I171" s="365">
        <f t="shared" si="0"/>
      </c>
      <c r="J171" s="366">
        <f t="shared" si="17"/>
      </c>
      <c r="K171" s="367">
        <f t="shared" ref="K171:K177" si="147">D171/AA171</f>
      </c>
      <c r="L171" s="364">
        <f t="shared" si="171"/>
      </c>
      <c r="M171" s="368">
        <f t="shared" ref="M171:M177" si="212">AB171/AA171</f>
      </c>
      <c r="N171" s="368">
        <f t="shared" si="221"/>
      </c>
      <c r="O171" s="368">
        <f t="shared" si="268"/>
      </c>
      <c r="P171" s="368">
        <f t="shared" si="85"/>
      </c>
      <c r="Q171" s="364">
        <f t="shared" si="117"/>
      </c>
      <c r="R171" s="366">
        <f t="shared" si="119"/>
      </c>
      <c r="S171" s="368">
        <f t="shared" si="121"/>
      </c>
      <c r="T171" s="368">
        <f t="shared" si="34"/>
      </c>
      <c r="U171" s="368">
        <f t="shared" si="51"/>
      </c>
      <c r="V171" s="368">
        <f t="shared" si="68"/>
      </c>
      <c r="W171" s="368"/>
      <c r="X171" s="369"/>
      <c r="Y171" s="362">
        <f>SUM(Y166:Y170)</f>
      </c>
      <c r="Z171" s="362">
        <f>SUM(Z166:Z170)</f>
      </c>
      <c r="AA171" s="362">
        <f>SUM(AA166:AA170)</f>
      </c>
      <c r="AB171" s="362">
        <f>SUM(AB166:AB170)</f>
      </c>
      <c r="AC171" s="362">
        <f>SUM(AC166:AC170)</f>
      </c>
      <c r="AD171" s="362">
        <f>SUM(AD166:AD170)</f>
      </c>
      <c r="AE171" s="362">
        <f>SUM(AE166:AE170)</f>
      </c>
      <c r="AF171" s="362">
        <f>SUM(AF166:AF170)</f>
      </c>
      <c r="AG171" s="362">
        <f>SUM(AG166:AG170)</f>
      </c>
      <c r="AH171" s="362">
        <f>SUM(AH166:AH170)</f>
      </c>
    </row>
    <row r="172">
      <c r="A172" s="334"/>
      <c r="B172" s="388" t="s">
        <v>201</v>
      </c>
      <c r="C172" s="388"/>
      <c r="D172" s="389">
        <f>SUM(D159+D171+D165)</f>
      </c>
      <c r="E172" s="389">
        <f>SUM(E159+E171+E165)</f>
      </c>
      <c r="F172" s="389">
        <f>SUM(F159+F171+F165)</f>
      </c>
      <c r="G172" s="390">
        <f t="shared" si="300"/>
      </c>
      <c r="H172" s="391">
        <f t="shared" si="318"/>
      </c>
      <c r="I172" s="392">
        <f t="shared" si="0"/>
      </c>
      <c r="J172" s="393">
        <f t="shared" si="17"/>
      </c>
      <c r="K172" s="394">
        <f t="shared" si="147"/>
      </c>
      <c r="L172" s="394">
        <f t="shared" si="171"/>
      </c>
      <c r="M172" s="395">
        <f t="shared" si="212"/>
      </c>
      <c r="N172" s="395">
        <f t="shared" si="221"/>
      </c>
      <c r="O172" s="395">
        <f t="shared" si="268"/>
      </c>
      <c r="P172" s="395">
        <f t="shared" si="85"/>
      </c>
      <c r="Q172" s="396">
        <f t="shared" si="117"/>
      </c>
      <c r="R172" s="397">
        <f t="shared" si="119"/>
      </c>
      <c r="S172" s="398">
        <f t="shared" si="121"/>
      </c>
      <c r="T172" s="398">
        <f t="shared" si="34"/>
      </c>
      <c r="U172" s="398">
        <f t="shared" si="51"/>
      </c>
      <c r="V172" s="398">
        <f t="shared" si="68"/>
      </c>
      <c r="W172" s="398"/>
      <c r="X172" s="399"/>
      <c r="Y172" s="390">
        <f>SUM(Y171+Y159+Y165)</f>
      </c>
      <c r="Z172" s="390">
        <f>SUM(Z171+Z159+Z165)</f>
      </c>
      <c r="AA172" s="390">
        <f>SUM(AA171+AA159+AA165)</f>
      </c>
      <c r="AB172" s="390">
        <f>SUM(AB171+AB159+AB165)</f>
      </c>
      <c r="AC172" s="390">
        <f>SUM(AC171+AC159+AC165)</f>
      </c>
      <c r="AD172" s="390">
        <f>SUM(AD171+AD159+AD165)</f>
      </c>
      <c r="AE172" s="390">
        <f>SUM(AE171+AE159+AE165)</f>
      </c>
      <c r="AF172" s="390">
        <f>SUM(AF171+AF159+AF165)</f>
      </c>
      <c r="AG172" s="390">
        <f>SUM(AG171+AG159+AG165)</f>
      </c>
      <c r="AH172" s="390">
        <f>SUM(AH171+AH159+AH165)</f>
      </c>
    </row>
    <row r="173">
      <c r="A173" s="401">
        <v>46244</v>
      </c>
      <c r="B173" s="402" t="s">
        <v>188</v>
      </c>
      <c r="C173" s="403" t="s">
        <v>180</v>
      </c>
      <c r="D173" s="337">
        <v>3140.666</v>
      </c>
      <c r="E173" s="338">
        <v>2</v>
      </c>
      <c r="F173" s="339">
        <v>456</v>
      </c>
      <c r="G173" s="340">
        <f t="shared" si="300"/>
      </c>
      <c r="H173" s="341">
        <f t="shared" si="318"/>
      </c>
      <c r="I173" s="342">
        <f t="shared" si="0"/>
      </c>
      <c r="J173" s="343">
        <f t="shared" si="17"/>
      </c>
      <c r="K173" s="344">
        <f t="shared" si="147"/>
      </c>
      <c r="L173" s="341">
        <f t="shared" si="171"/>
      </c>
      <c r="M173" s="345">
        <f t="shared" si="212"/>
      </c>
      <c r="N173" s="345">
        <f t="shared" si="221"/>
      </c>
      <c r="O173" s="345">
        <f t="shared" si="268"/>
      </c>
      <c r="P173" s="345">
        <f t="shared" si="85"/>
      </c>
      <c r="Q173" s="341">
        <f t="shared" si="117"/>
      </c>
      <c r="R173" s="343">
        <f t="shared" si="119"/>
      </c>
      <c r="S173" s="345">
        <f t="shared" si="121"/>
      </c>
      <c r="T173" s="345">
        <f t="shared" si="34"/>
      </c>
      <c r="U173" s="345">
        <f t="shared" si="51"/>
      </c>
      <c r="V173" s="345">
        <f t="shared" si="68"/>
      </c>
      <c r="W173" s="340" t="s">
        <v>181</v>
      </c>
      <c r="X173" s="340" t="s">
        <v>182</v>
      </c>
      <c r="Y173" s="348">
        <v>148455</v>
      </c>
      <c r="Z173" s="348">
        <v>5660</v>
      </c>
      <c r="AA173" s="348">
        <v>153650</v>
      </c>
      <c r="AB173" s="348">
        <v>1456</v>
      </c>
      <c r="AC173" s="350">
        <v>2</v>
      </c>
      <c r="AD173" s="348">
        <v>35342</v>
      </c>
      <c r="AE173" s="350">
        <v>512</v>
      </c>
      <c r="AF173" s="350">
        <v>208</v>
      </c>
      <c r="AG173" s="350">
        <v>29</v>
      </c>
      <c r="AH173" s="349">
        <v>0</v>
      </c>
      <c r="AI173" s="404"/>
    </row>
    <row r="174">
      <c r="A174" s="401"/>
      <c r="B174" s="405" t="s">
        <v>187</v>
      </c>
      <c r="C174" s="405"/>
      <c r="D174" s="362">
        <f>SUM(D173)</f>
      </c>
      <c r="E174" s="363">
        <f>SUM(E173)</f>
      </c>
      <c r="F174" s="362">
        <f>SUM(F173)</f>
      </c>
      <c r="G174" s="362">
        <f t="shared" si="300"/>
      </c>
      <c r="H174" s="364">
        <f t="shared" si="318"/>
      </c>
      <c r="I174" s="365">
        <f t="shared" si="0"/>
      </c>
      <c r="J174" s="366">
        <f t="shared" si="17"/>
      </c>
      <c r="K174" s="367">
        <f t="shared" si="147"/>
      </c>
      <c r="L174" s="364">
        <f t="shared" si="171"/>
      </c>
      <c r="M174" s="368">
        <f t="shared" si="212"/>
      </c>
      <c r="N174" s="368">
        <f t="shared" si="221"/>
      </c>
      <c r="O174" s="368">
        <f t="shared" si="268"/>
      </c>
      <c r="P174" s="368">
        <f t="shared" si="85"/>
      </c>
      <c r="Q174" s="364">
        <f t="shared" si="117"/>
      </c>
      <c r="R174" s="366">
        <f t="shared" si="119"/>
      </c>
      <c r="S174" s="368">
        <f t="shared" si="121"/>
      </c>
      <c r="T174" s="368">
        <f t="shared" si="34"/>
      </c>
      <c r="U174" s="368">
        <f t="shared" si="51"/>
      </c>
      <c r="V174" s="368">
        <f t="shared" si="68"/>
      </c>
      <c r="W174" s="368"/>
      <c r="X174" s="369"/>
      <c r="Y174" s="362">
        <f>SUM(Y173)</f>
      </c>
      <c r="Z174" s="362">
        <f>SUM(Z173)</f>
      </c>
      <c r="AA174" s="362">
        <f>SUM(AA173)</f>
      </c>
      <c r="AB174" s="362">
        <f>SUM(AB173)</f>
      </c>
      <c r="AC174" s="362">
        <f>SUM(AC173)</f>
      </c>
      <c r="AD174" s="362">
        <f>SUM(AD173)</f>
      </c>
      <c r="AE174" s="362">
        <f>SUM(AE173)</f>
      </c>
      <c r="AF174" s="362">
        <f>SUM(AF173)</f>
      </c>
      <c r="AG174" s="362">
        <f>SUM(AG173)</f>
      </c>
      <c r="AH174" s="362">
        <f>SUM(AH173)</f>
      </c>
      <c r="AI174" s="404"/>
    </row>
    <row r="175">
      <c r="A175" s="401"/>
      <c r="B175" s="402" t="s">
        <v>203</v>
      </c>
      <c r="C175" s="373" t="s">
        <v>192</v>
      </c>
      <c r="D175" s="406">
        <v>973.637</v>
      </c>
      <c r="E175" s="378">
        <v>5</v>
      </c>
      <c r="F175" s="333">
        <v>1002.3</v>
      </c>
      <c r="G175" s="340">
        <f t="shared" si="300"/>
      </c>
      <c r="H175" s="341">
        <f t="shared" si="318"/>
      </c>
      <c r="I175" s="342">
        <f t="shared" si="0"/>
      </c>
      <c r="J175" s="343">
        <f t="shared" si="17"/>
      </c>
      <c r="K175" s="344">
        <f t="shared" si="147"/>
      </c>
      <c r="L175" s="341">
        <f t="shared" si="171"/>
      </c>
      <c r="M175" s="345">
        <f t="shared" si="212"/>
      </c>
      <c r="N175" s="345">
        <f t="shared" si="221"/>
      </c>
      <c r="O175" s="345">
        <f t="shared" si="268"/>
      </c>
      <c r="P175" s="345">
        <f t="shared" si="85"/>
      </c>
      <c r="Q175" s="341">
        <f t="shared" si="117"/>
      </c>
      <c r="R175" s="343">
        <f t="shared" si="119"/>
      </c>
      <c r="S175" s="345">
        <f t="shared" si="121"/>
      </c>
      <c r="T175" s="345">
        <f t="shared" si="34"/>
      </c>
      <c r="U175" s="345">
        <f t="shared" si="51"/>
      </c>
      <c r="V175" s="345">
        <f t="shared" si="68"/>
      </c>
      <c r="W175" s="360" t="s">
        <v>181</v>
      </c>
      <c r="X175" s="346" t="s">
        <v>193</v>
      </c>
      <c r="Y175" s="350">
        <v>67691</v>
      </c>
      <c r="Z175" s="350">
        <v>5951</v>
      </c>
      <c r="AA175" s="350">
        <v>48721</v>
      </c>
      <c r="AB175" s="350">
        <v>426</v>
      </c>
      <c r="AC175" s="350">
        <v>3</v>
      </c>
      <c r="AD175" s="350">
        <v>7074</v>
      </c>
      <c r="AE175" s="350">
        <v>157</v>
      </c>
      <c r="AF175" s="350">
        <v>68</v>
      </c>
      <c r="AG175" s="350">
        <v>8</v>
      </c>
      <c r="AH175" s="349">
        <v>1</v>
      </c>
      <c r="AI175" s="404"/>
    </row>
    <row r="176">
      <c r="A176" s="401"/>
      <c r="B176" s="402" t="s">
        <v>203</v>
      </c>
      <c r="C176" s="375" t="s">
        <v>194</v>
      </c>
      <c r="D176" s="406">
        <v>1459.04</v>
      </c>
      <c r="E176" s="378">
        <v>2</v>
      </c>
      <c r="F176" s="333">
        <v>445.20000000000005</v>
      </c>
      <c r="G176" s="340">
        <f t="shared" si="300"/>
      </c>
      <c r="H176" s="341">
        <f t="shared" si="318"/>
      </c>
      <c r="I176" s="342">
        <f t="shared" si="0"/>
      </c>
      <c r="J176" s="343">
        <f t="shared" si="17"/>
      </c>
      <c r="K176" s="344">
        <f t="shared" si="147"/>
      </c>
      <c r="L176" s="341">
        <f t="shared" si="171"/>
      </c>
      <c r="M176" s="345">
        <f t="shared" si="212"/>
      </c>
      <c r="N176" s="345">
        <f t="shared" si="221"/>
      </c>
      <c r="O176" s="345">
        <f t="shared" si="268"/>
      </c>
      <c r="P176" s="345">
        <f t="shared" si="85"/>
      </c>
      <c r="Q176" s="341">
        <f t="shared" si="117"/>
      </c>
      <c r="R176" s="343">
        <f t="shared" si="119"/>
      </c>
      <c r="S176" s="345">
        <f t="shared" si="121"/>
      </c>
      <c r="T176" s="345">
        <f t="shared" si="34"/>
      </c>
      <c r="U176" s="345">
        <f t="shared" si="51"/>
      </c>
      <c r="V176" s="345">
        <f t="shared" si="68"/>
      </c>
      <c r="W176" s="360" t="s">
        <v>181</v>
      </c>
      <c r="X176" s="346" t="s">
        <v>193</v>
      </c>
      <c r="Y176" s="350">
        <v>181156</v>
      </c>
      <c r="Z176" s="350">
        <v>6089</v>
      </c>
      <c r="AA176" s="350">
        <v>117723</v>
      </c>
      <c r="AB176" s="350">
        <v>818</v>
      </c>
      <c r="AC176" s="350">
        <v>3</v>
      </c>
      <c r="AD176" s="350">
        <v>18870</v>
      </c>
      <c r="AE176" s="350">
        <v>256</v>
      </c>
      <c r="AF176" s="350">
        <v>112</v>
      </c>
      <c r="AG176" s="350">
        <v>11</v>
      </c>
      <c r="AH176" s="349">
        <v>1</v>
      </c>
      <c r="AI176" s="404"/>
    </row>
    <row r="177">
      <c r="A177" s="401"/>
      <c r="B177" s="402" t="s">
        <v>203</v>
      </c>
      <c r="C177" s="373" t="s">
        <v>196</v>
      </c>
      <c r="D177" s="406">
        <v>3143.904</v>
      </c>
      <c r="E177" s="378">
        <v>12</v>
      </c>
      <c r="F177" s="333">
        <v>3582.3</v>
      </c>
      <c r="G177" s="340">
        <f t="shared" si="300"/>
      </c>
      <c r="H177" s="341">
        <f t="shared" si="318"/>
      </c>
      <c r="I177" s="342">
        <f t="shared" si="0"/>
      </c>
      <c r="J177" s="343">
        <f t="shared" si="17"/>
      </c>
      <c r="K177" s="344">
        <f t="shared" si="147"/>
      </c>
      <c r="L177" s="341">
        <f t="shared" si="171"/>
      </c>
      <c r="M177" s="345">
        <f t="shared" si="212"/>
      </c>
      <c r="N177" s="345">
        <f t="shared" si="221"/>
      </c>
      <c r="O177" s="345">
        <f t="shared" si="268"/>
      </c>
      <c r="P177" s="345">
        <f t="shared" si="85"/>
      </c>
      <c r="Q177" s="341">
        <f t="shared" si="117"/>
      </c>
      <c r="R177" s="343">
        <f t="shared" si="119"/>
      </c>
      <c r="S177" s="345">
        <f t="shared" si="121"/>
      </c>
      <c r="T177" s="345">
        <f t="shared" si="34"/>
      </c>
      <c r="U177" s="345">
        <f t="shared" si="51"/>
      </c>
      <c r="V177" s="345">
        <f t="shared" si="68"/>
      </c>
      <c r="W177" s="360" t="s">
        <v>181</v>
      </c>
      <c r="X177" s="346" t="s">
        <v>193</v>
      </c>
      <c r="Y177" s="350">
        <v>488177</v>
      </c>
      <c r="Z177" s="350">
        <v>9219</v>
      </c>
      <c r="AA177" s="350">
        <v>267516</v>
      </c>
      <c r="AB177" s="350">
        <v>2019</v>
      </c>
      <c r="AC177" s="350">
        <v>8</v>
      </c>
      <c r="AD177" s="350">
        <v>36918</v>
      </c>
      <c r="AE177" s="350">
        <v>481</v>
      </c>
      <c r="AF177" s="350">
        <v>237</v>
      </c>
      <c r="AG177" s="350">
        <v>21</v>
      </c>
      <c r="AH177" s="349">
        <v>4</v>
      </c>
      <c r="AI177" s="404"/>
    </row>
    <row r="178">
      <c r="A178" s="401"/>
      <c r="B178" s="402" t="s">
        <v>203</v>
      </c>
      <c r="C178" s="373" t="s">
        <v>197</v>
      </c>
      <c r="D178" s="407">
        <v>3352.108</v>
      </c>
      <c r="E178" s="338">
        <v>11</v>
      </c>
      <c r="F178" s="408">
        <v>3527.499999999999</v>
      </c>
      <c r="G178" s="340">
        <f t="shared" si="300"/>
      </c>
      <c r="H178" s="341">
        <f t="shared" si="318"/>
      </c>
      <c r="I178" s="409">
        <f t="shared" si="0"/>
      </c>
      <c r="J178" s="410">
        <f t="shared" si="17"/>
      </c>
      <c r="K178" s="411">
        <f t="shared" ref="K178:K179" si="311">D178/AB178</f>
      </c>
      <c r="L178" s="412">
        <f t="shared" si="171"/>
      </c>
      <c r="M178" s="413">
        <f t="shared" ref="M178:M179" si="329">AC178/AB178</f>
      </c>
      <c r="N178" s="413">
        <f t="shared" si="221"/>
      </c>
      <c r="O178" s="413">
        <f t="shared" si="268"/>
      </c>
      <c r="P178" s="413">
        <f t="shared" si="85"/>
      </c>
      <c r="Q178" s="412">
        <f t="shared" si="117"/>
      </c>
      <c r="R178" s="410">
        <f t="shared" si="119"/>
      </c>
      <c r="S178" s="413">
        <f t="shared" si="121"/>
      </c>
      <c r="T178" s="413">
        <f t="shared" si="34"/>
      </c>
      <c r="U178" s="413">
        <f t="shared" si="51"/>
      </c>
      <c r="V178" s="413">
        <f t="shared" si="68"/>
      </c>
      <c r="W178" s="360" t="s">
        <v>181</v>
      </c>
      <c r="X178" s="346" t="s">
        <v>193</v>
      </c>
      <c r="Y178" s="350">
        <v>544874</v>
      </c>
      <c r="Z178" s="350">
        <v>7196</v>
      </c>
      <c r="AA178" s="350">
        <v>117690</v>
      </c>
      <c r="AB178" s="385">
        <v>2070</v>
      </c>
      <c r="AC178" s="385">
        <v>7</v>
      </c>
      <c r="AD178" s="385">
        <v>16991</v>
      </c>
      <c r="AE178" s="385">
        <v>337</v>
      </c>
      <c r="AF178" s="385">
        <v>109</v>
      </c>
      <c r="AG178" s="385">
        <v>11</v>
      </c>
      <c r="AH178" s="349">
        <v>4</v>
      </c>
      <c r="AI178" s="404"/>
    </row>
    <row r="179">
      <c r="A179" s="401"/>
      <c r="B179" s="402" t="s">
        <v>203</v>
      </c>
      <c r="C179" s="374" t="s">
        <v>198</v>
      </c>
      <c r="D179" s="377">
        <v>5024.32</v>
      </c>
      <c r="E179" s="378">
        <v>16</v>
      </c>
      <c r="F179" s="333">
        <v>4595.9000000000015</v>
      </c>
      <c r="G179" s="340">
        <f t="shared" si="300"/>
      </c>
      <c r="H179" s="341">
        <f t="shared" si="318"/>
      </c>
      <c r="I179" s="409">
        <f t="shared" si="0"/>
      </c>
      <c r="J179" s="410">
        <f t="shared" si="17"/>
      </c>
      <c r="K179" s="411">
        <f t="shared" si="311"/>
      </c>
      <c r="L179" s="412">
        <f t="shared" si="171"/>
      </c>
      <c r="M179" s="413">
        <f t="shared" si="329"/>
      </c>
      <c r="N179" s="413">
        <f t="shared" si="221"/>
      </c>
      <c r="O179" s="413">
        <f t="shared" si="268"/>
      </c>
      <c r="P179" s="413">
        <f t="shared" si="85"/>
      </c>
      <c r="Q179" s="412">
        <f t="shared" si="117"/>
      </c>
      <c r="R179" s="410">
        <f t="shared" si="119"/>
      </c>
      <c r="S179" s="413">
        <f t="shared" si="121"/>
      </c>
      <c r="T179" s="413">
        <f t="shared" si="34"/>
      </c>
      <c r="U179" s="413">
        <f t="shared" si="51"/>
      </c>
      <c r="V179" s="413">
        <f t="shared" si="68"/>
      </c>
      <c r="W179" s="360" t="s">
        <v>181</v>
      </c>
      <c r="X179" s="346" t="s">
        <v>193</v>
      </c>
      <c r="Y179" s="350">
        <v>913261</v>
      </c>
      <c r="Z179" s="350">
        <v>11757</v>
      </c>
      <c r="AA179" s="350">
        <v>239786</v>
      </c>
      <c r="AB179" s="350">
        <v>3585</v>
      </c>
      <c r="AC179" s="350">
        <v>10</v>
      </c>
      <c r="AD179" s="350">
        <v>29186</v>
      </c>
      <c r="AE179" s="350">
        <v>558</v>
      </c>
      <c r="AF179" s="350">
        <v>200</v>
      </c>
      <c r="AG179" s="350">
        <v>31</v>
      </c>
      <c r="AH179" s="349">
        <v>5</v>
      </c>
      <c r="AI179" s="404"/>
    </row>
    <row r="180">
      <c r="A180" s="401"/>
      <c r="B180" s="387" t="s">
        <v>187</v>
      </c>
      <c r="C180" s="387"/>
      <c r="D180" s="362">
        <f>SUM(D175:D179)</f>
      </c>
      <c r="E180" s="362">
        <f>SUM(E175:E179)</f>
      </c>
      <c r="F180" s="362">
        <f>SUM(F175:F179)</f>
      </c>
      <c r="G180" s="362">
        <f t="shared" si="300"/>
      </c>
      <c r="H180" s="364">
        <f t="shared" si="318"/>
      </c>
      <c r="I180" s="365">
        <f t="shared" si="0"/>
      </c>
      <c r="J180" s="366">
        <f t="shared" si="17"/>
      </c>
      <c r="K180" s="367">
        <f t="shared" ref="K180:K190" si="148">D180/AA180</f>
      </c>
      <c r="L180" s="364">
        <f t="shared" si="171"/>
      </c>
      <c r="M180" s="368">
        <f t="shared" ref="M180:M190" si="213">AB180/AA180</f>
      </c>
      <c r="N180" s="368">
        <f t="shared" si="221"/>
      </c>
      <c r="O180" s="368">
        <f t="shared" si="268"/>
      </c>
      <c r="P180" s="368">
        <f t="shared" si="85"/>
      </c>
      <c r="Q180" s="364">
        <f t="shared" si="117"/>
      </c>
      <c r="R180" s="366">
        <f t="shared" si="119"/>
      </c>
      <c r="S180" s="368">
        <f t="shared" si="121"/>
      </c>
      <c r="T180" s="368">
        <f t="shared" si="34"/>
      </c>
      <c r="U180" s="368">
        <f t="shared" si="51"/>
      </c>
      <c r="V180" s="368">
        <f t="shared" si="68"/>
      </c>
      <c r="W180" s="368"/>
      <c r="X180" s="369"/>
      <c r="Y180" s="362">
        <f>SUM(Y175:Y179)</f>
      </c>
      <c r="Z180" s="362">
        <f>SUM(Z175:Z179)</f>
      </c>
      <c r="AA180" s="362">
        <f>SUM(AA175:AA179)</f>
      </c>
      <c r="AB180" s="362">
        <f>SUM(AB175:AB179)</f>
      </c>
      <c r="AC180" s="362">
        <f>SUM(AC175:AC179)</f>
      </c>
      <c r="AD180" s="362">
        <f>SUM(AD175:AD179)</f>
      </c>
      <c r="AE180" s="362">
        <f>SUM(AE175:AE179)</f>
      </c>
      <c r="AF180" s="362">
        <f>SUM(AF175:AF179)</f>
      </c>
      <c r="AG180" s="362">
        <f>SUM(AG175:AG179)</f>
      </c>
      <c r="AH180" s="362">
        <f>SUM(AH175:AH179)</f>
      </c>
      <c r="AI180" s="404"/>
    </row>
    <row r="181">
      <c r="A181" s="401"/>
      <c r="B181" s="388" t="s">
        <v>201</v>
      </c>
      <c r="C181" s="388"/>
      <c r="D181" s="389">
        <f>SUM(D174+D180)</f>
      </c>
      <c r="E181" s="389">
        <f>SUM(E174+E180)</f>
      </c>
      <c r="F181" s="389">
        <f>SUM(F174+F180)</f>
      </c>
      <c r="G181" s="390">
        <f t="shared" si="300"/>
      </c>
      <c r="H181" s="391">
        <f t="shared" si="318"/>
      </c>
      <c r="I181" s="392">
        <f t="shared" si="0"/>
      </c>
      <c r="J181" s="393">
        <f t="shared" si="17"/>
      </c>
      <c r="K181" s="394">
        <f t="shared" si="148"/>
      </c>
      <c r="L181" s="394">
        <f t="shared" si="171"/>
      </c>
      <c r="M181" s="395">
        <f t="shared" si="213"/>
      </c>
      <c r="N181" s="395">
        <f t="shared" si="221"/>
      </c>
      <c r="O181" s="395">
        <f t="shared" si="268"/>
      </c>
      <c r="P181" s="395">
        <f t="shared" si="85"/>
      </c>
      <c r="Q181" s="396">
        <f t="shared" si="117"/>
      </c>
      <c r="R181" s="397">
        <f t="shared" si="119"/>
      </c>
      <c r="S181" s="398">
        <f t="shared" si="121"/>
      </c>
      <c r="T181" s="398">
        <f t="shared" si="34"/>
      </c>
      <c r="U181" s="398">
        <f t="shared" si="51"/>
      </c>
      <c r="V181" s="398">
        <f t="shared" si="68"/>
      </c>
      <c r="W181" s="398"/>
      <c r="X181" s="399"/>
      <c r="Y181" s="390">
        <f>SUM(Y180+Y174)</f>
      </c>
      <c r="Z181" s="390">
        <f>SUM(Z180+Z174)</f>
      </c>
      <c r="AA181" s="390">
        <f>SUM(AA180+AA174)</f>
      </c>
      <c r="AB181" s="390">
        <f>SUM(AB180+AB174)</f>
      </c>
      <c r="AC181" s="390">
        <f>SUM(AC180+AC174)</f>
      </c>
      <c r="AD181" s="390">
        <f>SUM(AD180+AD174)</f>
      </c>
      <c r="AE181" s="390">
        <f>SUM(AE180+AE174)</f>
      </c>
      <c r="AF181" s="390">
        <f>SUM(AF180+AF174)</f>
      </c>
      <c r="AG181" s="390">
        <f>SUM(AG180+AG174)</f>
      </c>
      <c r="AH181" s="390">
        <f>SUM(AH180+AH174)</f>
      </c>
      <c r="AI181" s="404"/>
    </row>
    <row customHeight="true" ht="16.071428571428573" r="182">
      <c r="A182" s="401">
        <v>46245</v>
      </c>
      <c r="B182" s="335" t="s">
        <v>188</v>
      </c>
      <c r="C182" s="336" t="s">
        <v>180</v>
      </c>
      <c r="D182" s="337">
        <v>791.799</v>
      </c>
      <c r="E182" s="338">
        <v>3</v>
      </c>
      <c r="F182" s="339">
        <v>673.2</v>
      </c>
      <c r="G182" s="340">
        <f t="shared" si="300"/>
      </c>
      <c r="H182" s="341">
        <f t="shared" si="318"/>
      </c>
      <c r="I182" s="342">
        <f t="shared" si="0"/>
      </c>
      <c r="J182" s="343">
        <f t="shared" si="17"/>
      </c>
      <c r="K182" s="344">
        <f t="shared" si="148"/>
      </c>
      <c r="L182" s="341">
        <f t="shared" si="171"/>
      </c>
      <c r="M182" s="345">
        <f t="shared" si="213"/>
      </c>
      <c r="N182" s="345">
        <f t="shared" si="221"/>
      </c>
      <c r="O182" s="345">
        <f t="shared" si="268"/>
      </c>
      <c r="P182" s="345">
        <f t="shared" si="85"/>
      </c>
      <c r="Q182" s="341">
        <f t="shared" si="117"/>
      </c>
      <c r="R182" s="343">
        <f t="shared" si="119"/>
      </c>
      <c r="S182" s="345">
        <f t="shared" si="121"/>
      </c>
      <c r="T182" s="345">
        <f t="shared" si="34"/>
      </c>
      <c r="U182" s="345">
        <f t="shared" si="51"/>
      </c>
      <c r="V182" s="345">
        <f t="shared" si="68"/>
      </c>
      <c r="W182" s="340" t="s">
        <v>181</v>
      </c>
      <c r="X182" s="340" t="s">
        <v>182</v>
      </c>
      <c r="Y182" s="348">
        <v>53795</v>
      </c>
      <c r="Z182" s="348">
        <v>2417</v>
      </c>
      <c r="AA182" s="348">
        <v>40106</v>
      </c>
      <c r="AB182" s="348">
        <v>505</v>
      </c>
      <c r="AC182" s="350">
        <v>3</v>
      </c>
      <c r="AD182" s="348">
        <v>10438</v>
      </c>
      <c r="AE182" s="350">
        <v>162</v>
      </c>
      <c r="AF182" s="350">
        <v>48</v>
      </c>
      <c r="AG182" s="350">
        <v>6</v>
      </c>
      <c r="AH182" s="349">
        <v>0</v>
      </c>
      <c r="AI182" s="404"/>
    </row>
    <row customHeight="true" ht="16.071428571428573" r="183">
      <c r="A183" s="401"/>
      <c r="B183" s="335" t="s">
        <v>188</v>
      </c>
      <c r="C183" s="336" t="s">
        <v>183</v>
      </c>
      <c r="D183" s="337">
        <v>1078.637</v>
      </c>
      <c r="E183" s="338">
        <v>4</v>
      </c>
      <c r="F183" s="339">
        <v>869.1999999999998</v>
      </c>
      <c r="G183" s="340">
        <f t="shared" si="300"/>
      </c>
      <c r="H183" s="341">
        <f t="shared" si="318"/>
      </c>
      <c r="I183" s="342">
        <f t="shared" si="0"/>
      </c>
      <c r="J183" s="343">
        <f t="shared" si="17"/>
      </c>
      <c r="K183" s="344">
        <f t="shared" si="148"/>
      </c>
      <c r="L183" s="341">
        <f t="shared" si="171"/>
      </c>
      <c r="M183" s="345">
        <f t="shared" si="213"/>
      </c>
      <c r="N183" s="345">
        <f t="shared" si="221"/>
      </c>
      <c r="O183" s="345">
        <f t="shared" si="268"/>
      </c>
      <c r="P183" s="345">
        <f t="shared" si="85"/>
      </c>
      <c r="Q183" s="341">
        <f t="shared" si="117"/>
      </c>
      <c r="R183" s="343">
        <f t="shared" si="119"/>
      </c>
      <c r="S183" s="345">
        <f t="shared" si="121"/>
      </c>
      <c r="T183" s="345">
        <f t="shared" si="34"/>
      </c>
      <c r="U183" s="345">
        <f t="shared" si="51"/>
      </c>
      <c r="V183" s="345">
        <f t="shared" si="68"/>
      </c>
      <c r="W183" s="340" t="s">
        <v>181</v>
      </c>
      <c r="X183" s="340" t="s">
        <v>182</v>
      </c>
      <c r="Y183" s="348">
        <v>172882</v>
      </c>
      <c r="Z183" s="348">
        <v>3143</v>
      </c>
      <c r="AA183" s="348">
        <v>41989</v>
      </c>
      <c r="AB183" s="348">
        <v>964</v>
      </c>
      <c r="AC183" s="350">
        <v>4</v>
      </c>
      <c r="AD183" s="348">
        <v>9016</v>
      </c>
      <c r="AE183" s="350">
        <v>156</v>
      </c>
      <c r="AF183" s="350">
        <v>51</v>
      </c>
      <c r="AG183" s="350">
        <v>9</v>
      </c>
      <c r="AH183" s="349">
        <v>0</v>
      </c>
      <c r="AI183" s="404"/>
    </row>
    <row customHeight="true" ht="16.071428571428573" r="184">
      <c r="A184" s="401"/>
      <c r="B184" s="335" t="s">
        <v>188</v>
      </c>
      <c r="C184" s="351" t="s">
        <v>184</v>
      </c>
      <c r="D184" s="337">
        <v>1964.624</v>
      </c>
      <c r="E184" s="338">
        <v>6</v>
      </c>
      <c r="F184" s="339">
        <v>1367.9999999999998</v>
      </c>
      <c r="G184" s="340">
        <f t="shared" si="300"/>
      </c>
      <c r="H184" s="341">
        <f t="shared" si="318"/>
      </c>
      <c r="I184" s="342">
        <f t="shared" si="0"/>
      </c>
      <c r="J184" s="343">
        <f t="shared" si="17"/>
      </c>
      <c r="K184" s="344">
        <f t="shared" si="148"/>
      </c>
      <c r="L184" s="341">
        <f t="shared" si="171"/>
      </c>
      <c r="M184" s="345">
        <f t="shared" si="213"/>
      </c>
      <c r="N184" s="345">
        <f t="shared" si="221"/>
      </c>
      <c r="O184" s="345">
        <f t="shared" si="268"/>
      </c>
      <c r="P184" s="345">
        <f t="shared" si="85"/>
      </c>
      <c r="Q184" s="341">
        <f t="shared" si="117"/>
      </c>
      <c r="R184" s="343">
        <f t="shared" si="119"/>
      </c>
      <c r="S184" s="345">
        <f t="shared" si="121"/>
      </c>
      <c r="T184" s="345">
        <f t="shared" si="34"/>
      </c>
      <c r="U184" s="345">
        <f t="shared" si="51"/>
      </c>
      <c r="V184" s="345">
        <f t="shared" si="68"/>
      </c>
      <c r="W184" s="340" t="s">
        <v>181</v>
      </c>
      <c r="X184" s="340" t="s">
        <v>182</v>
      </c>
      <c r="Y184" s="348">
        <v>285496</v>
      </c>
      <c r="Z184" s="348">
        <v>6722</v>
      </c>
      <c r="AA184" s="348">
        <v>89006</v>
      </c>
      <c r="AB184" s="348">
        <v>1628</v>
      </c>
      <c r="AC184" s="350">
        <v>6</v>
      </c>
      <c r="AD184" s="348">
        <v>19025</v>
      </c>
      <c r="AE184" s="350">
        <v>339</v>
      </c>
      <c r="AF184" s="350">
        <v>140</v>
      </c>
      <c r="AG184" s="350">
        <v>20</v>
      </c>
      <c r="AH184" s="349">
        <v>0</v>
      </c>
      <c r="AI184" s="404"/>
    </row>
    <row customHeight="true" ht="16.071428571428573" r="185">
      <c r="A185" s="401"/>
      <c r="B185" s="335" t="s">
        <v>188</v>
      </c>
      <c r="C185" s="351" t="s">
        <v>185</v>
      </c>
      <c r="D185" s="337">
        <v>2793.512</v>
      </c>
      <c r="E185" s="338">
        <v>12</v>
      </c>
      <c r="F185" s="339">
        <v>3798.3</v>
      </c>
      <c r="G185" s="340">
        <f t="shared" si="300"/>
      </c>
      <c r="H185" s="341">
        <f t="shared" si="318"/>
      </c>
      <c r="I185" s="342">
        <f t="shared" si="0"/>
      </c>
      <c r="J185" s="343">
        <f t="shared" si="17"/>
      </c>
      <c r="K185" s="344">
        <f t="shared" si="148"/>
      </c>
      <c r="L185" s="341">
        <f t="shared" si="171"/>
      </c>
      <c r="M185" s="345">
        <f t="shared" si="213"/>
      </c>
      <c r="N185" s="345">
        <f t="shared" si="221"/>
      </c>
      <c r="O185" s="345">
        <f t="shared" si="268"/>
      </c>
      <c r="P185" s="345">
        <f t="shared" si="85"/>
      </c>
      <c r="Q185" s="341">
        <f t="shared" si="117"/>
      </c>
      <c r="R185" s="343">
        <f t="shared" si="119"/>
      </c>
      <c r="S185" s="345">
        <f t="shared" si="121"/>
      </c>
      <c r="T185" s="345">
        <f t="shared" si="34"/>
      </c>
      <c r="U185" s="345">
        <f t="shared" si="51"/>
      </c>
      <c r="V185" s="345">
        <f t="shared" si="68"/>
      </c>
      <c r="W185" s="340" t="s">
        <v>181</v>
      </c>
      <c r="X185" s="340" t="s">
        <v>182</v>
      </c>
      <c r="Y185" s="348">
        <v>379916</v>
      </c>
      <c r="Z185" s="348">
        <v>11940</v>
      </c>
      <c r="AA185" s="348">
        <v>159673</v>
      </c>
      <c r="AB185" s="348">
        <v>2258</v>
      </c>
      <c r="AC185" s="350">
        <v>11</v>
      </c>
      <c r="AD185" s="348">
        <v>33435</v>
      </c>
      <c r="AE185" s="350">
        <v>447</v>
      </c>
      <c r="AF185" s="350">
        <v>278</v>
      </c>
      <c r="AG185" s="350">
        <v>33</v>
      </c>
      <c r="AH185" s="349">
        <v>1</v>
      </c>
      <c r="AI185" s="404"/>
    </row>
    <row customHeight="true" ht="16.071428571428573" r="186">
      <c r="A186" s="401"/>
      <c r="B186" s="335" t="s">
        <v>188</v>
      </c>
      <c r="C186" s="356" t="s">
        <v>186</v>
      </c>
      <c r="D186" s="337">
        <v>3435.584</v>
      </c>
      <c r="E186" s="338">
        <v>9</v>
      </c>
      <c r="F186" s="339">
        <v>3813.5999999999995</v>
      </c>
      <c r="G186" s="340">
        <f t="shared" si="300"/>
      </c>
      <c r="H186" s="341">
        <f t="shared" si="318"/>
      </c>
      <c r="I186" s="342">
        <f t="shared" si="0"/>
      </c>
      <c r="J186" s="343">
        <f t="shared" si="17"/>
      </c>
      <c r="K186" s="344">
        <f t="shared" si="148"/>
      </c>
      <c r="L186" s="341">
        <f t="shared" si="171"/>
      </c>
      <c r="M186" s="345">
        <f t="shared" si="213"/>
      </c>
      <c r="N186" s="345">
        <f t="shared" si="221"/>
      </c>
      <c r="O186" s="345">
        <f t="shared" si="268"/>
      </c>
      <c r="P186" s="345">
        <f t="shared" si="85"/>
      </c>
      <c r="Q186" s="341">
        <f t="shared" si="117"/>
      </c>
      <c r="R186" s="343">
        <f t="shared" si="119"/>
      </c>
      <c r="S186" s="345">
        <f t="shared" si="121"/>
      </c>
      <c r="T186" s="345">
        <f t="shared" si="34"/>
      </c>
      <c r="U186" s="345">
        <f t="shared" si="51"/>
      </c>
      <c r="V186" s="345">
        <f t="shared" si="68"/>
      </c>
      <c r="W186" s="340" t="s">
        <v>181</v>
      </c>
      <c r="X186" s="340" t="s">
        <v>182</v>
      </c>
      <c r="Y186" s="348">
        <v>439460</v>
      </c>
      <c r="Z186" s="348">
        <v>16176</v>
      </c>
      <c r="AA186" s="348">
        <v>228835</v>
      </c>
      <c r="AB186" s="348">
        <v>2594</v>
      </c>
      <c r="AC186" s="350">
        <v>7</v>
      </c>
      <c r="AD186" s="348">
        <v>44224</v>
      </c>
      <c r="AE186" s="350">
        <v>638</v>
      </c>
      <c r="AF186" s="350">
        <v>376</v>
      </c>
      <c r="AG186" s="350">
        <v>56</v>
      </c>
      <c r="AH186" s="349">
        <v>1</v>
      </c>
      <c r="AI186" s="404"/>
    </row>
    <row customHeight="true" ht="16.071428571428573" r="187">
      <c r="A187" s="401"/>
      <c r="B187" s="361" t="s">
        <v>187</v>
      </c>
      <c r="C187" s="361"/>
      <c r="D187" s="362">
        <f>SUM(D182:D186)</f>
      </c>
      <c r="E187" s="363">
        <f>SUM(E182:E186)</f>
      </c>
      <c r="F187" s="362">
        <f>SUM(F182:F186)</f>
      </c>
      <c r="G187" s="362">
        <f t="shared" si="300"/>
      </c>
      <c r="H187" s="364">
        <f t="shared" si="318"/>
      </c>
      <c r="I187" s="365">
        <f t="shared" si="0"/>
      </c>
      <c r="J187" s="366">
        <f t="shared" si="17"/>
      </c>
      <c r="K187" s="367">
        <f t="shared" si="148"/>
      </c>
      <c r="L187" s="364">
        <f t="shared" si="171"/>
      </c>
      <c r="M187" s="368">
        <f t="shared" si="213"/>
      </c>
      <c r="N187" s="368">
        <f t="shared" si="221"/>
      </c>
      <c r="O187" s="368">
        <f t="shared" si="268"/>
      </c>
      <c r="P187" s="368">
        <f t="shared" si="85"/>
      </c>
      <c r="Q187" s="364">
        <f t="shared" si="117"/>
      </c>
      <c r="R187" s="366">
        <f t="shared" si="119"/>
      </c>
      <c r="S187" s="368">
        <f t="shared" si="121"/>
      </c>
      <c r="T187" s="368">
        <f t="shared" si="34"/>
      </c>
      <c r="U187" s="368">
        <f t="shared" si="51"/>
      </c>
      <c r="V187" s="368">
        <f t="shared" si="68"/>
      </c>
      <c r="W187" s="368"/>
      <c r="X187" s="369"/>
      <c r="Y187" s="362">
        <f>SUM(Y182:Y186)</f>
      </c>
      <c r="Z187" s="362">
        <f>SUM(Z182:Z186)</f>
      </c>
      <c r="AA187" s="362">
        <f>SUM(AA182:AA186)</f>
      </c>
      <c r="AB187" s="362">
        <f>SUM(AB182:AB186)</f>
      </c>
      <c r="AC187" s="362">
        <f>SUM(AC182:AC186)</f>
      </c>
      <c r="AD187" s="362">
        <f>SUM(AD182:AD186)</f>
      </c>
      <c r="AE187" s="362">
        <f>SUM(AE182:AE186)</f>
      </c>
      <c r="AF187" s="362">
        <f>SUM(AF182:AF186)</f>
      </c>
      <c r="AG187" s="362">
        <f>SUM(AG182:AG186)</f>
      </c>
      <c r="AH187" s="362">
        <f>SUM(AH182:AH186)</f>
      </c>
      <c r="AI187" s="404"/>
    </row>
    <row customHeight="true" ht="16.071428571428573" r="188">
      <c r="A188" s="401"/>
      <c r="B188" s="376" t="s">
        <v>195</v>
      </c>
      <c r="C188" s="370" t="s">
        <v>189</v>
      </c>
      <c r="D188" s="377">
        <v>3415.807</v>
      </c>
      <c r="E188" s="414">
        <v>11</v>
      </c>
      <c r="F188" s="333">
        <v>4875.6</v>
      </c>
      <c r="G188" s="340">
        <f t="shared" si="300"/>
      </c>
      <c r="H188" s="341">
        <f t="shared" si="318"/>
      </c>
      <c r="I188" s="342">
        <f t="shared" si="0"/>
      </c>
      <c r="J188" s="343">
        <f t="shared" si="17"/>
      </c>
      <c r="K188" s="344">
        <f t="shared" si="148"/>
      </c>
      <c r="L188" s="341">
        <f t="shared" si="171"/>
      </c>
      <c r="M188" s="345">
        <f t="shared" si="213"/>
      </c>
      <c r="N188" s="345">
        <f t="shared" si="221"/>
      </c>
      <c r="O188" s="345">
        <f t="shared" si="268"/>
      </c>
      <c r="P188" s="345">
        <f t="shared" si="85"/>
      </c>
      <c r="Q188" s="341">
        <f t="shared" si="117"/>
      </c>
      <c r="R188" s="343">
        <f t="shared" si="119"/>
      </c>
      <c r="S188" s="345">
        <f t="shared" si="121"/>
      </c>
      <c r="T188" s="345">
        <f t="shared" si="34"/>
      </c>
      <c r="U188" s="345">
        <f t="shared" si="51"/>
      </c>
      <c r="V188" s="345">
        <f t="shared" si="68"/>
      </c>
      <c r="W188" s="360" t="s">
        <v>181</v>
      </c>
      <c r="X188" s="340" t="s">
        <v>182</v>
      </c>
      <c r="Y188" s="350">
        <v>443198</v>
      </c>
      <c r="Z188" s="350">
        <v>22951</v>
      </c>
      <c r="AA188" s="350">
        <v>237623</v>
      </c>
      <c r="AB188" s="350">
        <v>2794</v>
      </c>
      <c r="AC188" s="350">
        <v>10</v>
      </c>
      <c r="AD188" s="350">
        <v>38387</v>
      </c>
      <c r="AE188" s="350">
        <v>644</v>
      </c>
      <c r="AF188" s="350">
        <v>436</v>
      </c>
      <c r="AG188" s="350">
        <v>75</v>
      </c>
      <c r="AH188" s="349">
        <v>1</v>
      </c>
      <c r="AI188" s="404"/>
    </row>
    <row customHeight="true" ht="16.071428571428573" r="189">
      <c r="A189" s="401"/>
      <c r="B189" s="376" t="s">
        <v>195</v>
      </c>
      <c r="C189" s="372" t="s">
        <v>190</v>
      </c>
      <c r="D189" s="377">
        <v>3197.544</v>
      </c>
      <c r="E189" s="414">
        <v>14</v>
      </c>
      <c r="F189" s="333">
        <v>6022.799999999997</v>
      </c>
      <c r="G189" s="340">
        <f t="shared" si="300"/>
      </c>
      <c r="H189" s="341">
        <f t="shared" si="318"/>
      </c>
      <c r="I189" s="342">
        <f t="shared" si="0"/>
      </c>
      <c r="J189" s="343">
        <f t="shared" si="17"/>
      </c>
      <c r="K189" s="344">
        <f t="shared" si="148"/>
      </c>
      <c r="L189" s="341">
        <f t="shared" si="171"/>
      </c>
      <c r="M189" s="345">
        <f t="shared" si="213"/>
      </c>
      <c r="N189" s="345">
        <f t="shared" si="221"/>
      </c>
      <c r="O189" s="345">
        <f t="shared" si="268"/>
      </c>
      <c r="P189" s="345">
        <f t="shared" si="85"/>
      </c>
      <c r="Q189" s="341">
        <f t="shared" si="117"/>
      </c>
      <c r="R189" s="343">
        <f t="shared" si="119"/>
      </c>
      <c r="S189" s="345">
        <f t="shared" si="121"/>
      </c>
      <c r="T189" s="345">
        <f t="shared" si="34"/>
      </c>
      <c r="U189" s="345">
        <f t="shared" si="51"/>
      </c>
      <c r="V189" s="345">
        <f t="shared" si="68"/>
      </c>
      <c r="W189" s="360" t="s">
        <v>181</v>
      </c>
      <c r="X189" s="340" t="s">
        <v>182</v>
      </c>
      <c r="Y189" s="350">
        <v>397521</v>
      </c>
      <c r="Z189" s="350">
        <v>27255</v>
      </c>
      <c r="AA189" s="350">
        <v>239397</v>
      </c>
      <c r="AB189" s="350">
        <v>2457</v>
      </c>
      <c r="AC189" s="350">
        <v>12</v>
      </c>
      <c r="AD189" s="350">
        <v>34263</v>
      </c>
      <c r="AE189" s="350">
        <v>684</v>
      </c>
      <c r="AF189" s="350">
        <v>417</v>
      </c>
      <c r="AG189" s="350">
        <v>39</v>
      </c>
      <c r="AH189" s="349">
        <v>1</v>
      </c>
      <c r="AI189" s="404"/>
    </row>
    <row customHeight="true" ht="16.071428571428573" r="190">
      <c r="A190" s="401"/>
      <c r="B190" s="376" t="s">
        <v>195</v>
      </c>
      <c r="C190" s="373" t="s">
        <v>191</v>
      </c>
      <c r="D190" s="406">
        <v>3802.276</v>
      </c>
      <c r="E190" s="378">
        <v>14</v>
      </c>
      <c r="F190" s="333">
        <v>5822.200000000004</v>
      </c>
      <c r="G190" s="340">
        <f t="shared" si="300"/>
      </c>
      <c r="H190" s="341">
        <f t="shared" si="318"/>
      </c>
      <c r="I190" s="342">
        <f t="shared" si="0"/>
      </c>
      <c r="J190" s="343">
        <f t="shared" si="17"/>
      </c>
      <c r="K190" s="344">
        <f t="shared" si="148"/>
      </c>
      <c r="L190" s="341">
        <f t="shared" si="171"/>
      </c>
      <c r="M190" s="345">
        <f t="shared" si="213"/>
      </c>
      <c r="N190" s="345">
        <f t="shared" si="221"/>
      </c>
      <c r="O190" s="345">
        <f t="shared" si="268"/>
      </c>
      <c r="P190" s="345">
        <f t="shared" si="85"/>
      </c>
      <c r="Q190" s="341">
        <f t="shared" si="117"/>
      </c>
      <c r="R190" s="343">
        <f t="shared" si="119"/>
      </c>
      <c r="S190" s="345">
        <f t="shared" si="121"/>
      </c>
      <c r="T190" s="345">
        <f t="shared" si="34"/>
      </c>
      <c r="U190" s="345">
        <f t="shared" si="51"/>
      </c>
      <c r="V190" s="345">
        <f t="shared" si="68"/>
      </c>
      <c r="W190" s="360" t="s">
        <v>181</v>
      </c>
      <c r="X190" s="340" t="s">
        <v>182</v>
      </c>
      <c r="Y190" s="350">
        <v>436915</v>
      </c>
      <c r="Z190" s="350">
        <v>33243</v>
      </c>
      <c r="AA190" s="350">
        <v>307686</v>
      </c>
      <c r="AB190" s="350">
        <v>2528</v>
      </c>
      <c r="AC190" s="350">
        <v>8</v>
      </c>
      <c r="AD190" s="350">
        <v>39622</v>
      </c>
      <c r="AE190" s="350">
        <v>651</v>
      </c>
      <c r="AF190" s="350">
        <v>466</v>
      </c>
      <c r="AG190" s="350">
        <v>52</v>
      </c>
      <c r="AH190" s="349">
        <v>2</v>
      </c>
      <c r="AI190" s="404"/>
    </row>
    <row customHeight="true" ht="16.071428571428573" r="191">
      <c r="A191" s="401"/>
      <c r="B191" s="376" t="s">
        <v>195</v>
      </c>
      <c r="C191" s="374" t="s">
        <v>192</v>
      </c>
      <c r="D191" s="407">
        <v>4079.6330000000003</v>
      </c>
      <c r="E191" s="338">
        <v>6</v>
      </c>
      <c r="F191" s="408">
        <v>3674.399999999998</v>
      </c>
      <c r="G191" s="340">
        <f t="shared" si="300"/>
      </c>
      <c r="H191" s="341">
        <f t="shared" si="318"/>
      </c>
      <c r="I191" s="409">
        <f t="shared" si="0"/>
      </c>
      <c r="J191" s="410">
        <f t="shared" si="17"/>
      </c>
      <c r="K191" s="411">
        <f t="shared" ref="K191:K192" si="312">D191/AB191</f>
      </c>
      <c r="L191" s="412">
        <f t="shared" si="171"/>
      </c>
      <c r="M191" s="413">
        <f t="shared" ref="M191:M192" si="330">AC191/AB191</f>
      </c>
      <c r="N191" s="413">
        <f t="shared" si="221"/>
      </c>
      <c r="O191" s="413">
        <f t="shared" si="268"/>
      </c>
      <c r="P191" s="413">
        <f t="shared" si="85"/>
      </c>
      <c r="Q191" s="412">
        <f t="shared" si="117"/>
      </c>
      <c r="R191" s="410">
        <f t="shared" si="119"/>
      </c>
      <c r="S191" s="413">
        <f t="shared" si="121"/>
      </c>
      <c r="T191" s="413">
        <f t="shared" si="34"/>
      </c>
      <c r="U191" s="413">
        <f t="shared" si="51"/>
      </c>
      <c r="V191" s="413">
        <f t="shared" si="68"/>
      </c>
      <c r="W191" s="360" t="s">
        <v>181</v>
      </c>
      <c r="X191" s="360" t="s">
        <v>193</v>
      </c>
      <c r="Y191" s="350">
        <v>415760</v>
      </c>
      <c r="Z191" s="350">
        <v>37245</v>
      </c>
      <c r="AA191" s="350">
        <v>340342</v>
      </c>
      <c r="AB191" s="385">
        <v>2583</v>
      </c>
      <c r="AC191" s="385">
        <v>6</v>
      </c>
      <c r="AD191" s="385">
        <v>44300</v>
      </c>
      <c r="AE191" s="385">
        <v>900</v>
      </c>
      <c r="AF191" s="385">
        <v>522</v>
      </c>
      <c r="AG191" s="385">
        <v>44</v>
      </c>
      <c r="AH191" s="349">
        <v>2</v>
      </c>
      <c r="AI191" s="404"/>
    </row>
    <row customHeight="true" ht="16.071428571428573" r="192">
      <c r="A192" s="401"/>
      <c r="B192" s="376" t="s">
        <v>195</v>
      </c>
      <c r="C192" s="375" t="s">
        <v>194</v>
      </c>
      <c r="D192" s="406">
        <v>3624.467</v>
      </c>
      <c r="E192" s="378">
        <v>4</v>
      </c>
      <c r="F192" s="333">
        <v>786.7000000000007</v>
      </c>
      <c r="G192" s="340">
        <f t="shared" si="300"/>
      </c>
      <c r="H192" s="341">
        <f t="shared" si="318"/>
      </c>
      <c r="I192" s="409">
        <f t="shared" si="0"/>
      </c>
      <c r="J192" s="410">
        <f t="shared" si="17"/>
      </c>
      <c r="K192" s="411">
        <f t="shared" si="312"/>
      </c>
      <c r="L192" s="412">
        <f t="shared" si="171"/>
      </c>
      <c r="M192" s="413">
        <f t="shared" si="330"/>
      </c>
      <c r="N192" s="413">
        <f t="shared" si="221"/>
      </c>
      <c r="O192" s="413">
        <f t="shared" si="268"/>
      </c>
      <c r="P192" s="413">
        <f t="shared" si="85"/>
      </c>
      <c r="Q192" s="412">
        <f t="shared" si="117"/>
      </c>
      <c r="R192" s="410">
        <f t="shared" si="119"/>
      </c>
      <c r="S192" s="413">
        <f t="shared" si="121"/>
      </c>
      <c r="T192" s="413">
        <f t="shared" si="34"/>
      </c>
      <c r="U192" s="413">
        <f t="shared" si="51"/>
      </c>
      <c r="V192" s="413">
        <f t="shared" si="68"/>
      </c>
      <c r="W192" s="360" t="s">
        <v>181</v>
      </c>
      <c r="X192" s="360" t="s">
        <v>193</v>
      </c>
      <c r="Y192" s="350">
        <v>388172</v>
      </c>
      <c r="Z192" s="350">
        <v>36224</v>
      </c>
      <c r="AA192" s="350">
        <v>337526</v>
      </c>
      <c r="AB192" s="350">
        <v>2479</v>
      </c>
      <c r="AC192" s="350">
        <v>2</v>
      </c>
      <c r="AD192" s="350">
        <v>47533</v>
      </c>
      <c r="AE192" s="350">
        <v>782</v>
      </c>
      <c r="AF192" s="350">
        <v>540</v>
      </c>
      <c r="AG192" s="350">
        <v>39</v>
      </c>
      <c r="AH192" s="349">
        <v>2</v>
      </c>
      <c r="AI192" s="404"/>
    </row>
    <row customHeight="true" ht="16.071428571428573" r="193">
      <c r="A193" s="401"/>
      <c r="B193" s="361" t="s">
        <v>187</v>
      </c>
      <c r="C193" s="361"/>
      <c r="D193" s="362">
        <f>SUM(D188:D192)</f>
      </c>
      <c r="E193" s="363">
        <f>SUM(E188:E192)</f>
      </c>
      <c r="F193" s="362">
        <f>SUM(F188:F192)</f>
      </c>
      <c r="G193" s="362">
        <f t="shared" si="300"/>
      </c>
      <c r="H193" s="364">
        <f t="shared" si="318"/>
      </c>
      <c r="I193" s="365">
        <f t="shared" si="0"/>
      </c>
      <c r="J193" s="366">
        <f t="shared" si="17"/>
      </c>
      <c r="K193" s="367">
        <f t="shared" ref="K193:K196" si="149">D193/AA193</f>
      </c>
      <c r="L193" s="364">
        <f t="shared" si="171"/>
      </c>
      <c r="M193" s="368">
        <f t="shared" ref="M193:M196" si="214">AB193/AA193</f>
      </c>
      <c r="N193" s="368">
        <f t="shared" si="221"/>
      </c>
      <c r="O193" s="368">
        <f t="shared" si="268"/>
      </c>
      <c r="P193" s="368">
        <f t="shared" si="85"/>
      </c>
      <c r="Q193" s="364">
        <f t="shared" si="117"/>
      </c>
      <c r="R193" s="366">
        <f t="shared" si="119"/>
      </c>
      <c r="S193" s="368">
        <f t="shared" si="121"/>
      </c>
      <c r="T193" s="368">
        <f t="shared" si="34"/>
      </c>
      <c r="U193" s="368">
        <f t="shared" si="51"/>
      </c>
      <c r="V193" s="368">
        <f t="shared" si="68"/>
      </c>
      <c r="W193" s="368"/>
      <c r="X193" s="369"/>
      <c r="Y193" s="362">
        <f>SUM(Y188:Y192)</f>
      </c>
      <c r="Z193" s="362">
        <f>SUM(Z188:Z192)</f>
      </c>
      <c r="AA193" s="362">
        <f>SUM(AA188:AA192)</f>
      </c>
      <c r="AB193" s="362">
        <f>SUM(AB188:AB192)</f>
      </c>
      <c r="AC193" s="362">
        <f>SUM(AC188:AC192)</f>
      </c>
      <c r="AD193" s="362">
        <f>SUM(AD188:AD192)</f>
      </c>
      <c r="AE193" s="362">
        <f>SUM(AE188:AE192)</f>
      </c>
      <c r="AF193" s="362">
        <f>SUM(AF188:AF192)</f>
      </c>
      <c r="AG193" s="362">
        <f>SUM(AG188:AG192)</f>
      </c>
      <c r="AH193" s="362">
        <f>SUM(AH188:AH192)</f>
      </c>
      <c r="AI193" s="404"/>
    </row>
    <row customHeight="true" ht="16.071428571428573" r="194">
      <c r="A194" s="401"/>
      <c r="B194" s="335" t="s">
        <v>203</v>
      </c>
      <c r="C194" s="373" t="s">
        <v>196</v>
      </c>
      <c r="D194" s="406">
        <v>3188.944</v>
      </c>
      <c r="E194" s="378">
        <v>3</v>
      </c>
      <c r="F194" s="333">
        <v>652</v>
      </c>
      <c r="G194" s="340">
        <f t="shared" si="300"/>
      </c>
      <c r="H194" s="341">
        <f t="shared" si="318"/>
      </c>
      <c r="I194" s="342">
        <f t="shared" si="0"/>
      </c>
      <c r="J194" s="343">
        <f t="shared" si="17"/>
      </c>
      <c r="K194" s="344">
        <f t="shared" si="149"/>
      </c>
      <c r="L194" s="341">
        <f t="shared" si="171"/>
      </c>
      <c r="M194" s="345">
        <f t="shared" si="214"/>
      </c>
      <c r="N194" s="345">
        <f t="shared" si="221"/>
      </c>
      <c r="O194" s="345">
        <f t="shared" si="268"/>
      </c>
      <c r="P194" s="345">
        <f t="shared" si="85"/>
      </c>
      <c r="Q194" s="341">
        <f t="shared" si="117"/>
      </c>
      <c r="R194" s="343">
        <f t="shared" si="119"/>
      </c>
      <c r="S194" s="345">
        <f t="shared" si="121"/>
      </c>
      <c r="T194" s="345">
        <f t="shared" si="34"/>
      </c>
      <c r="U194" s="345">
        <f t="shared" si="51"/>
      </c>
      <c r="V194" s="345">
        <f t="shared" si="68"/>
      </c>
      <c r="W194" s="360" t="s">
        <v>181</v>
      </c>
      <c r="X194" s="346" t="s">
        <v>193</v>
      </c>
      <c r="Y194" s="350">
        <v>386658</v>
      </c>
      <c r="Z194" s="350">
        <v>37264</v>
      </c>
      <c r="AA194" s="350">
        <v>306915</v>
      </c>
      <c r="AB194" s="350">
        <v>2159</v>
      </c>
      <c r="AC194" s="350">
        <v>3</v>
      </c>
      <c r="AD194" s="350">
        <v>41677</v>
      </c>
      <c r="AE194" s="350">
        <v>780</v>
      </c>
      <c r="AF194" s="350">
        <v>517</v>
      </c>
      <c r="AG194" s="350">
        <v>49</v>
      </c>
      <c r="AH194" s="349">
        <v>1</v>
      </c>
      <c r="AI194" s="404"/>
    </row>
    <row customHeight="true" ht="16.071428571428573" r="195">
      <c r="A195" s="401"/>
      <c r="B195" s="335" t="s">
        <v>203</v>
      </c>
      <c r="C195" s="373" t="s">
        <v>197</v>
      </c>
      <c r="D195" s="406">
        <v>2271.6490000000003</v>
      </c>
      <c r="E195" s="378">
        <v>7</v>
      </c>
      <c r="F195" s="333">
        <v>3270.699999999997</v>
      </c>
      <c r="G195" s="340">
        <f t="shared" si="300"/>
      </c>
      <c r="H195" s="341">
        <f t="shared" si="318"/>
      </c>
      <c r="I195" s="342">
        <f t="shared" si="0"/>
      </c>
      <c r="J195" s="343">
        <f t="shared" si="17"/>
      </c>
      <c r="K195" s="344">
        <f t="shared" si="149"/>
      </c>
      <c r="L195" s="341">
        <f t="shared" si="171"/>
      </c>
      <c r="M195" s="345">
        <f t="shared" si="214"/>
      </c>
      <c r="N195" s="345">
        <f t="shared" si="221"/>
      </c>
      <c r="O195" s="345">
        <f t="shared" si="268"/>
      </c>
      <c r="P195" s="345">
        <f t="shared" si="85"/>
      </c>
      <c r="Q195" s="341">
        <f t="shared" si="117"/>
      </c>
      <c r="R195" s="343">
        <f t="shared" si="119"/>
      </c>
      <c r="S195" s="345">
        <f t="shared" si="121"/>
      </c>
      <c r="T195" s="345">
        <f t="shared" si="34"/>
      </c>
      <c r="U195" s="345">
        <f t="shared" si="51"/>
      </c>
      <c r="V195" s="345">
        <f t="shared" si="68"/>
      </c>
      <c r="W195" s="360" t="s">
        <v>181</v>
      </c>
      <c r="X195" s="346" t="s">
        <v>193</v>
      </c>
      <c r="Y195" s="350">
        <v>271123</v>
      </c>
      <c r="Z195" s="350">
        <v>28231</v>
      </c>
      <c r="AA195" s="350">
        <v>218400</v>
      </c>
      <c r="AB195" s="350">
        <v>1394</v>
      </c>
      <c r="AC195" s="350">
        <v>5</v>
      </c>
      <c r="AD195" s="350">
        <v>31222</v>
      </c>
      <c r="AE195" s="350">
        <v>583</v>
      </c>
      <c r="AF195" s="350">
        <v>375</v>
      </c>
      <c r="AG195" s="350">
        <v>34</v>
      </c>
      <c r="AH195" s="349">
        <v>2</v>
      </c>
      <c r="AI195" s="404"/>
    </row>
    <row customHeight="true" ht="16.071428571428573" r="196">
      <c r="A196" s="401"/>
      <c r="B196" s="335" t="s">
        <v>203</v>
      </c>
      <c r="C196" s="374" t="s">
        <v>198</v>
      </c>
      <c r="D196" s="406">
        <v>2772.4990000000003</v>
      </c>
      <c r="E196" s="378">
        <v>7</v>
      </c>
      <c r="F196" s="333">
        <v>3243.600000000006</v>
      </c>
      <c r="G196" s="340">
        <f t="shared" si="300"/>
      </c>
      <c r="H196" s="341">
        <f t="shared" si="318"/>
      </c>
      <c r="I196" s="342">
        <f t="shared" si="0"/>
      </c>
      <c r="J196" s="343">
        <f t="shared" si="17"/>
      </c>
      <c r="K196" s="344">
        <f t="shared" si="149"/>
      </c>
      <c r="L196" s="341">
        <f t="shared" si="171"/>
      </c>
      <c r="M196" s="345">
        <f t="shared" si="214"/>
      </c>
      <c r="N196" s="345">
        <f t="shared" si="221"/>
      </c>
      <c r="O196" s="345">
        <f t="shared" si="268"/>
      </c>
      <c r="P196" s="345">
        <f t="shared" si="85"/>
      </c>
      <c r="Q196" s="341">
        <f t="shared" si="117"/>
      </c>
      <c r="R196" s="343">
        <f t="shared" si="119"/>
      </c>
      <c r="S196" s="345">
        <f t="shared" si="121"/>
      </c>
      <c r="T196" s="345">
        <f t="shared" si="34"/>
      </c>
      <c r="U196" s="345">
        <f t="shared" si="51"/>
      </c>
      <c r="V196" s="345">
        <f t="shared" si="68"/>
      </c>
      <c r="W196" s="360" t="s">
        <v>181</v>
      </c>
      <c r="X196" s="346" t="s">
        <v>193</v>
      </c>
      <c r="Y196" s="350">
        <v>376513</v>
      </c>
      <c r="Z196" s="350">
        <v>31764</v>
      </c>
      <c r="AA196" s="350">
        <v>289771</v>
      </c>
      <c r="AB196" s="350">
        <v>1526</v>
      </c>
      <c r="AC196" s="350">
        <v>4</v>
      </c>
      <c r="AD196" s="350">
        <v>36327</v>
      </c>
      <c r="AE196" s="350">
        <v>601</v>
      </c>
      <c r="AF196" s="350">
        <v>453</v>
      </c>
      <c r="AG196" s="350">
        <v>39</v>
      </c>
      <c r="AH196" s="349">
        <v>3</v>
      </c>
    </row>
    <row customHeight="true" ht="16.071428571428573" r="197">
      <c r="A197" s="401"/>
      <c r="B197" s="335" t="s">
        <v>203</v>
      </c>
      <c r="C197" s="373" t="s">
        <v>199</v>
      </c>
      <c r="D197" s="407">
        <v>2425.2200000000003</v>
      </c>
      <c r="E197" s="338">
        <v>3</v>
      </c>
      <c r="F197" s="408">
        <v>1245.5999999999985</v>
      </c>
      <c r="G197" s="340">
        <f t="shared" si="300"/>
      </c>
      <c r="H197" s="341">
        <f t="shared" si="318"/>
      </c>
      <c r="I197" s="409">
        <f t="shared" si="0"/>
      </c>
      <c r="J197" s="410">
        <f t="shared" si="17"/>
      </c>
      <c r="K197" s="411">
        <f t="shared" ref="K197:K198" si="313">D197/AB197</f>
      </c>
      <c r="L197" s="412">
        <f t="shared" si="171"/>
      </c>
      <c r="M197" s="413">
        <f t="shared" ref="M197:M198" si="331">AC197/AB197</f>
      </c>
      <c r="N197" s="413">
        <f t="shared" si="221"/>
      </c>
      <c r="O197" s="413">
        <f t="shared" si="268"/>
      </c>
      <c r="P197" s="413">
        <f t="shared" si="85"/>
      </c>
      <c r="Q197" s="412">
        <f t="shared" si="117"/>
      </c>
      <c r="R197" s="410">
        <f t="shared" si="119"/>
      </c>
      <c r="S197" s="413">
        <f t="shared" si="121"/>
      </c>
      <c r="T197" s="413">
        <f t="shared" si="34"/>
      </c>
      <c r="U197" s="413">
        <f t="shared" si="51"/>
      </c>
      <c r="V197" s="413">
        <f t="shared" si="68"/>
      </c>
      <c r="W197" s="360" t="s">
        <v>181</v>
      </c>
      <c r="X197" s="346" t="s">
        <v>193</v>
      </c>
      <c r="Y197" s="350">
        <v>317092</v>
      </c>
      <c r="Z197" s="350">
        <v>22693</v>
      </c>
      <c r="AA197" s="350">
        <v>217102</v>
      </c>
      <c r="AB197" s="385">
        <v>1221</v>
      </c>
      <c r="AC197" s="385">
        <v>3</v>
      </c>
      <c r="AD197" s="385">
        <v>28402</v>
      </c>
      <c r="AE197" s="385">
        <v>524</v>
      </c>
      <c r="AF197" s="385">
        <v>310</v>
      </c>
      <c r="AG197" s="385">
        <v>49</v>
      </c>
      <c r="AH197" s="349">
        <v>1</v>
      </c>
    </row>
    <row customHeight="true" ht="16.071428571428573" r="198">
      <c r="A198" s="401"/>
      <c r="B198" s="335" t="s">
        <v>203</v>
      </c>
      <c r="C198" s="386" t="s">
        <v>200</v>
      </c>
      <c r="D198" s="377">
        <f>1746.81+0.295</f>
      </c>
      <c r="E198" s="378">
        <v>7</v>
      </c>
      <c r="F198" s="333">
        <v>1532</v>
      </c>
      <c r="G198" s="340">
        <f t="shared" si="300"/>
      </c>
      <c r="H198" s="341">
        <f t="shared" si="318"/>
      </c>
      <c r="I198" s="409">
        <f t="shared" si="0"/>
      </c>
      <c r="J198" s="410">
        <f t="shared" si="17"/>
      </c>
      <c r="K198" s="411">
        <f t="shared" si="313"/>
      </c>
      <c r="L198" s="412">
        <f t="shared" si="171"/>
      </c>
      <c r="M198" s="413">
        <f t="shared" si="331"/>
      </c>
      <c r="N198" s="413">
        <f t="shared" si="221"/>
      </c>
      <c r="O198" s="413">
        <f t="shared" si="268"/>
      </c>
      <c r="P198" s="413">
        <f t="shared" si="85"/>
      </c>
      <c r="Q198" s="412">
        <f t="shared" si="117"/>
      </c>
      <c r="R198" s="410">
        <f t="shared" si="119"/>
      </c>
      <c r="S198" s="413">
        <f t="shared" si="121"/>
      </c>
      <c r="T198" s="413">
        <f t="shared" si="34"/>
      </c>
      <c r="U198" s="413">
        <f t="shared" si="51"/>
      </c>
      <c r="V198" s="413">
        <f t="shared" si="68"/>
      </c>
      <c r="W198" s="360" t="s">
        <v>181</v>
      </c>
      <c r="X198" s="346" t="s">
        <v>193</v>
      </c>
      <c r="Y198" s="350">
        <v>207869</v>
      </c>
      <c r="Z198" s="350">
        <v>14469</v>
      </c>
      <c r="AA198" s="350">
        <v>189432</v>
      </c>
      <c r="AB198" s="350">
        <v>1262</v>
      </c>
      <c r="AC198" s="350">
        <v>7</v>
      </c>
      <c r="AD198" s="350">
        <v>22771</v>
      </c>
      <c r="AE198" s="350">
        <v>448</v>
      </c>
      <c r="AF198" s="350">
        <v>213</v>
      </c>
      <c r="AG198" s="350">
        <v>31</v>
      </c>
      <c r="AH198" s="349">
        <v>0</v>
      </c>
    </row>
    <row customHeight="true" ht="16.071428571428573" r="199">
      <c r="A199" s="401"/>
      <c r="B199" s="387" t="s">
        <v>187</v>
      </c>
      <c r="C199" s="387"/>
      <c r="D199" s="362">
        <f>SUM(D194:D198)</f>
      </c>
      <c r="E199" s="363">
        <f>SUM(E194:E198)</f>
      </c>
      <c r="F199" s="362">
        <f>SUM(F194:F198)</f>
      </c>
      <c r="G199" s="362">
        <f t="shared" si="300"/>
      </c>
      <c r="H199" s="364">
        <f t="shared" si="318"/>
      </c>
      <c r="I199" s="365">
        <f t="shared" si="0"/>
      </c>
      <c r="J199" s="366">
        <f t="shared" si="17"/>
      </c>
      <c r="K199" s="367">
        <f t="shared" ref="K199:K209" si="150">D199/AA199</f>
      </c>
      <c r="L199" s="364">
        <f t="shared" si="171"/>
      </c>
      <c r="M199" s="368">
        <f t="shared" ref="M199:M209" si="215">AB199/AA199</f>
      </c>
      <c r="N199" s="368">
        <f t="shared" si="221"/>
      </c>
      <c r="O199" s="368">
        <f t="shared" si="268"/>
      </c>
      <c r="P199" s="368">
        <f t="shared" si="85"/>
      </c>
      <c r="Q199" s="364">
        <f t="shared" si="117"/>
      </c>
      <c r="R199" s="366">
        <f t="shared" si="119"/>
      </c>
      <c r="S199" s="368">
        <f t="shared" si="121"/>
      </c>
      <c r="T199" s="368">
        <f t="shared" si="34"/>
      </c>
      <c r="U199" s="368">
        <f t="shared" si="51"/>
      </c>
      <c r="V199" s="368">
        <f t="shared" si="68"/>
      </c>
      <c r="W199" s="368"/>
      <c r="X199" s="369"/>
      <c r="Y199" s="362">
        <f>SUM(Y194:Y198)</f>
      </c>
      <c r="Z199" s="362">
        <f>SUM(Z194:Z198)</f>
      </c>
      <c r="AA199" s="362">
        <f>SUM(AA194:AA198)</f>
      </c>
      <c r="AB199" s="362">
        <f>SUM(AB194:AB198)</f>
      </c>
      <c r="AC199" s="362">
        <f>SUM(AC194:AC198)</f>
      </c>
      <c r="AD199" s="362">
        <f>SUM(AD194:AD198)</f>
      </c>
      <c r="AE199" s="362">
        <f>SUM(AE194:AE198)</f>
      </c>
      <c r="AF199" s="362">
        <f>SUM(AF194:AF198)</f>
      </c>
      <c r="AG199" s="362">
        <f>SUM(AG194:AG198)</f>
      </c>
      <c r="AH199" s="362">
        <f>SUM(AH194:AH198)</f>
      </c>
    </row>
    <row customHeight="true" ht="16.071428571428573" r="200">
      <c r="A200" s="401"/>
      <c r="B200" s="388" t="s">
        <v>201</v>
      </c>
      <c r="C200" s="388"/>
      <c r="D200" s="389">
        <f>SUM(D187+D199+D193)</f>
      </c>
      <c r="E200" s="389">
        <f>SUM(E187+E199+E193)</f>
      </c>
      <c r="F200" s="389">
        <f>SUM(F187+F199+F193)</f>
      </c>
      <c r="G200" s="390">
        <f t="shared" si="300"/>
      </c>
      <c r="H200" s="391">
        <f t="shared" si="318"/>
      </c>
      <c r="I200" s="392">
        <f t="shared" si="0"/>
      </c>
      <c r="J200" s="393">
        <f t="shared" si="17"/>
      </c>
      <c r="K200" s="394">
        <f t="shared" si="150"/>
      </c>
      <c r="L200" s="394">
        <f t="shared" si="171"/>
      </c>
      <c r="M200" s="395">
        <f t="shared" si="215"/>
      </c>
      <c r="N200" s="395">
        <f t="shared" si="221"/>
      </c>
      <c r="O200" s="395">
        <f t="shared" si="268"/>
      </c>
      <c r="P200" s="395">
        <f t="shared" si="85"/>
      </c>
      <c r="Q200" s="396">
        <f t="shared" si="117"/>
      </c>
      <c r="R200" s="397">
        <f t="shared" si="119"/>
      </c>
      <c r="S200" s="398">
        <f t="shared" si="121"/>
      </c>
      <c r="T200" s="398">
        <f t="shared" si="34"/>
      </c>
      <c r="U200" s="398">
        <f t="shared" si="51"/>
      </c>
      <c r="V200" s="398">
        <f t="shared" si="68"/>
      </c>
      <c r="W200" s="398"/>
      <c r="X200" s="399"/>
      <c r="Y200" s="390">
        <f>SUM(Y199+Y187+Y193)</f>
      </c>
      <c r="Z200" s="390">
        <f>SUM(Z199+Z187+Z193)</f>
      </c>
      <c r="AA200" s="390">
        <f>SUM(AA199+AA187+AA193)</f>
      </c>
      <c r="AB200" s="390">
        <f>SUM(AB199+AB187+AB193)</f>
      </c>
      <c r="AC200" s="390">
        <f>SUM(AC199+AC187+AC193)</f>
      </c>
      <c r="AD200" s="390">
        <f>SUM(AD199+AD187+AD193)</f>
      </c>
      <c r="AE200" s="390">
        <f>SUM(AE199+AE187+AE193)</f>
      </c>
      <c r="AF200" s="390">
        <f>SUM(AF199+AF187+AF193)</f>
      </c>
      <c r="AG200" s="390">
        <f>SUM(AG199+AG187+AG193)</f>
      </c>
      <c r="AH200" s="390">
        <f>SUM(AH199+AH187+AH193)</f>
      </c>
    </row>
    <row customHeight="true" ht="16.071428571428573" r="201">
      <c r="A201" s="401">
        <v>46246</v>
      </c>
      <c r="B201" s="335" t="s">
        <v>188</v>
      </c>
      <c r="C201" s="336" t="s">
        <v>180</v>
      </c>
      <c r="D201" s="337">
        <v>1956.277</v>
      </c>
      <c r="E201" s="338">
        <v>6</v>
      </c>
      <c r="F201" s="339">
        <v>2497.6000000000004</v>
      </c>
      <c r="G201" s="340">
        <f t="shared" si="300"/>
      </c>
      <c r="H201" s="341">
        <f t="shared" si="318"/>
      </c>
      <c r="I201" s="342">
        <f t="shared" si="0"/>
      </c>
      <c r="J201" s="343">
        <f t="shared" si="17"/>
      </c>
      <c r="K201" s="344">
        <f t="shared" si="150"/>
      </c>
      <c r="L201" s="341">
        <f t="shared" si="171"/>
      </c>
      <c r="M201" s="345">
        <f t="shared" si="215"/>
      </c>
      <c r="N201" s="345">
        <f t="shared" si="221"/>
      </c>
      <c r="O201" s="345">
        <f t="shared" si="268"/>
      </c>
      <c r="P201" s="345">
        <f t="shared" si="85"/>
      </c>
      <c r="Q201" s="341">
        <f t="shared" si="117"/>
      </c>
      <c r="R201" s="343">
        <f t="shared" si="119"/>
      </c>
      <c r="S201" s="345">
        <f t="shared" si="121"/>
      </c>
      <c r="T201" s="345">
        <f t="shared" si="34"/>
      </c>
      <c r="U201" s="345">
        <f t="shared" si="51"/>
      </c>
      <c r="V201" s="345">
        <f t="shared" si="68"/>
      </c>
      <c r="W201" s="340" t="s">
        <v>181</v>
      </c>
      <c r="X201" s="340" t="s">
        <v>182</v>
      </c>
      <c r="Y201" s="348">
        <v>123929</v>
      </c>
      <c r="Z201" s="348">
        <v>7895</v>
      </c>
      <c r="AA201" s="348">
        <v>112345</v>
      </c>
      <c r="AB201" s="348">
        <v>973</v>
      </c>
      <c r="AC201" s="350">
        <v>6</v>
      </c>
      <c r="AD201" s="348">
        <v>29786</v>
      </c>
      <c r="AE201" s="350">
        <v>369</v>
      </c>
      <c r="AF201" s="350">
        <v>174</v>
      </c>
      <c r="AG201" s="350">
        <v>19</v>
      </c>
      <c r="AH201" s="349">
        <v>1</v>
      </c>
    </row>
    <row customHeight="true" ht="16.071428571428573" r="202">
      <c r="A202" s="401"/>
      <c r="B202" s="335" t="s">
        <v>188</v>
      </c>
      <c r="C202" s="336" t="s">
        <v>183</v>
      </c>
      <c r="D202" s="337">
        <v>2109.036</v>
      </c>
      <c r="E202" s="338">
        <v>4</v>
      </c>
      <c r="F202" s="339">
        <v>912</v>
      </c>
      <c r="G202" s="340">
        <f t="shared" si="300"/>
      </c>
      <c r="H202" s="341">
        <f t="shared" si="318"/>
      </c>
      <c r="I202" s="342">
        <f t="shared" si="0"/>
      </c>
      <c r="J202" s="343">
        <f t="shared" si="17"/>
      </c>
      <c r="K202" s="344">
        <f t="shared" si="150"/>
      </c>
      <c r="L202" s="341">
        <f t="shared" si="171"/>
      </c>
      <c r="M202" s="345">
        <f t="shared" si="215"/>
      </c>
      <c r="N202" s="345">
        <f t="shared" si="221"/>
      </c>
      <c r="O202" s="345">
        <f t="shared" si="268"/>
      </c>
      <c r="P202" s="345">
        <f t="shared" si="85"/>
      </c>
      <c r="Q202" s="341">
        <f t="shared" si="117"/>
      </c>
      <c r="R202" s="343">
        <f t="shared" si="119"/>
      </c>
      <c r="S202" s="345">
        <f t="shared" si="121"/>
      </c>
      <c r="T202" s="345">
        <f t="shared" si="34"/>
      </c>
      <c r="U202" s="345">
        <f t="shared" si="51"/>
      </c>
      <c r="V202" s="345">
        <f t="shared" si="68"/>
      </c>
      <c r="W202" s="340" t="s">
        <v>181</v>
      </c>
      <c r="X202" s="340" t="s">
        <v>182</v>
      </c>
      <c r="Y202" s="348">
        <v>146658</v>
      </c>
      <c r="Z202" s="348">
        <v>10047</v>
      </c>
      <c r="AA202" s="348">
        <v>131630</v>
      </c>
      <c r="AB202" s="348">
        <v>1454</v>
      </c>
      <c r="AC202" s="350">
        <v>4</v>
      </c>
      <c r="AD202" s="348">
        <v>30794</v>
      </c>
      <c r="AE202" s="350">
        <v>444</v>
      </c>
      <c r="AF202" s="350">
        <v>187</v>
      </c>
      <c r="AG202" s="350">
        <v>23</v>
      </c>
      <c r="AH202" s="349">
        <v>0</v>
      </c>
    </row>
    <row customHeight="true" ht="16.071428571428573" r="203">
      <c r="A203" s="401"/>
      <c r="B203" s="335" t="s">
        <v>188</v>
      </c>
      <c r="C203" s="351" t="s">
        <v>184</v>
      </c>
      <c r="D203" s="337">
        <v>1496.471</v>
      </c>
      <c r="E203" s="338">
        <v>4</v>
      </c>
      <c r="F203" s="339">
        <v>1501.1999999999998</v>
      </c>
      <c r="G203" s="340">
        <f t="shared" si="300"/>
      </c>
      <c r="H203" s="341">
        <f t="shared" si="318"/>
      </c>
      <c r="I203" s="342">
        <f t="shared" si="0"/>
      </c>
      <c r="J203" s="343">
        <f t="shared" si="17"/>
      </c>
      <c r="K203" s="344">
        <f t="shared" si="150"/>
      </c>
      <c r="L203" s="341">
        <f t="shared" si="171"/>
      </c>
      <c r="M203" s="345">
        <f t="shared" si="215"/>
      </c>
      <c r="N203" s="345">
        <f t="shared" si="221"/>
      </c>
      <c r="O203" s="345">
        <f t="shared" si="268"/>
      </c>
      <c r="P203" s="345">
        <f t="shared" si="85"/>
      </c>
      <c r="Q203" s="341">
        <f t="shared" si="117"/>
      </c>
      <c r="R203" s="343">
        <f t="shared" si="119"/>
      </c>
      <c r="S203" s="345">
        <f t="shared" si="121"/>
      </c>
      <c r="T203" s="345">
        <f t="shared" si="34"/>
      </c>
      <c r="U203" s="345">
        <f t="shared" si="51"/>
      </c>
      <c r="V203" s="345">
        <f t="shared" si="68"/>
      </c>
      <c r="W203" s="340" t="s">
        <v>181</v>
      </c>
      <c r="X203" s="340" t="s">
        <v>182</v>
      </c>
      <c r="Y203" s="348">
        <v>108200</v>
      </c>
      <c r="Z203" s="348">
        <v>8655</v>
      </c>
      <c r="AA203" s="348">
        <v>86195</v>
      </c>
      <c r="AB203" s="348">
        <v>1143</v>
      </c>
      <c r="AC203" s="350">
        <v>3</v>
      </c>
      <c r="AD203" s="348">
        <v>17889</v>
      </c>
      <c r="AE203" s="350">
        <v>311</v>
      </c>
      <c r="AF203" s="350">
        <v>127</v>
      </c>
      <c r="AG203" s="350">
        <v>12</v>
      </c>
      <c r="AH203" s="349">
        <v>1</v>
      </c>
    </row>
    <row customHeight="true" ht="16.071428571428573" r="204">
      <c r="A204" s="401"/>
      <c r="B204" s="335" t="s">
        <v>188</v>
      </c>
      <c r="C204" s="351" t="s">
        <v>185</v>
      </c>
      <c r="D204" s="337">
        <v>2027.81</v>
      </c>
      <c r="E204" s="338">
        <v>8</v>
      </c>
      <c r="F204" s="339">
        <v>1760</v>
      </c>
      <c r="G204" s="340">
        <f t="shared" si="300"/>
      </c>
      <c r="H204" s="341">
        <f t="shared" si="318"/>
      </c>
      <c r="I204" s="342">
        <f t="shared" si="0"/>
      </c>
      <c r="J204" s="343">
        <f t="shared" si="17"/>
      </c>
      <c r="K204" s="344">
        <f t="shared" si="150"/>
      </c>
      <c r="L204" s="341">
        <f t="shared" si="171"/>
      </c>
      <c r="M204" s="345">
        <f t="shared" si="215"/>
      </c>
      <c r="N204" s="345">
        <f t="shared" si="221"/>
      </c>
      <c r="O204" s="345">
        <f t="shared" si="268"/>
      </c>
      <c r="P204" s="345">
        <f t="shared" si="85"/>
      </c>
      <c r="Q204" s="341">
        <f t="shared" si="117"/>
      </c>
      <c r="R204" s="343">
        <f t="shared" si="119"/>
      </c>
      <c r="S204" s="345">
        <f t="shared" si="121"/>
      </c>
      <c r="T204" s="345">
        <f t="shared" si="34"/>
      </c>
      <c r="U204" s="345">
        <f t="shared" si="51"/>
      </c>
      <c r="V204" s="345">
        <f t="shared" si="68"/>
      </c>
      <c r="W204" s="340" t="s">
        <v>181</v>
      </c>
      <c r="X204" s="340" t="s">
        <v>182</v>
      </c>
      <c r="Y204" s="348">
        <v>296847</v>
      </c>
      <c r="Z204" s="348">
        <v>12359</v>
      </c>
      <c r="AA204" s="348">
        <v>147729</v>
      </c>
      <c r="AB204" s="348">
        <v>1983</v>
      </c>
      <c r="AC204" s="350">
        <v>7</v>
      </c>
      <c r="AD204" s="348">
        <v>26249</v>
      </c>
      <c r="AE204" s="350">
        <v>475</v>
      </c>
      <c r="AF204" s="350">
        <v>188</v>
      </c>
      <c r="AG204" s="350">
        <v>19</v>
      </c>
      <c r="AH204" s="349">
        <v>0</v>
      </c>
    </row>
    <row customHeight="true" ht="16.071428571428573" r="205">
      <c r="A205" s="401"/>
      <c r="B205" s="335" t="s">
        <v>188</v>
      </c>
      <c r="C205" s="356" t="s">
        <v>186</v>
      </c>
      <c r="D205" s="337">
        <v>2833.851</v>
      </c>
      <c r="E205" s="338">
        <v>7</v>
      </c>
      <c r="F205" s="339">
        <v>2027.9000000000024</v>
      </c>
      <c r="G205" s="340">
        <f t="shared" si="300"/>
      </c>
      <c r="H205" s="341">
        <f t="shared" si="318"/>
      </c>
      <c r="I205" s="342">
        <f t="shared" si="0"/>
      </c>
      <c r="J205" s="343">
        <f t="shared" si="17"/>
      </c>
      <c r="K205" s="344">
        <f t="shared" si="150"/>
      </c>
      <c r="L205" s="341">
        <f t="shared" si="171"/>
      </c>
      <c r="M205" s="345">
        <f t="shared" si="215"/>
      </c>
      <c r="N205" s="345">
        <f t="shared" si="221"/>
      </c>
      <c r="O205" s="345">
        <f t="shared" si="268"/>
      </c>
      <c r="P205" s="345">
        <f t="shared" si="85"/>
      </c>
      <c r="Q205" s="341">
        <f t="shared" si="117"/>
      </c>
      <c r="R205" s="343">
        <f t="shared" si="119"/>
      </c>
      <c r="S205" s="345">
        <f t="shared" si="121"/>
      </c>
      <c r="T205" s="345">
        <f t="shared" si="34"/>
      </c>
      <c r="U205" s="345">
        <f t="shared" si="51"/>
      </c>
      <c r="V205" s="345">
        <f t="shared" si="68"/>
      </c>
      <c r="W205" s="340" t="s">
        <v>181</v>
      </c>
      <c r="X205" s="340" t="s">
        <v>182</v>
      </c>
      <c r="Y205" s="348">
        <v>466273</v>
      </c>
      <c r="Z205" s="348">
        <v>17411</v>
      </c>
      <c r="AA205" s="348">
        <v>207739</v>
      </c>
      <c r="AB205" s="348">
        <v>3058</v>
      </c>
      <c r="AC205" s="350">
        <v>4</v>
      </c>
      <c r="AD205" s="348">
        <v>37792</v>
      </c>
      <c r="AE205" s="350">
        <v>643</v>
      </c>
      <c r="AF205" s="350">
        <v>361</v>
      </c>
      <c r="AG205" s="350">
        <v>36</v>
      </c>
      <c r="AH205" s="349">
        <v>2</v>
      </c>
    </row>
    <row customHeight="true" ht="16.071428571428573" r="206">
      <c r="A206" s="401"/>
      <c r="B206" s="361" t="s">
        <v>187</v>
      </c>
      <c r="C206" s="361"/>
      <c r="D206" s="362">
        <f>SUM(D201:D205)</f>
      </c>
      <c r="E206" s="363">
        <f>SUM(E201:E205)</f>
      </c>
      <c r="F206" s="362">
        <f>SUM(F201:F205)</f>
      </c>
      <c r="G206" s="362">
        <f t="shared" si="300"/>
      </c>
      <c r="H206" s="364">
        <f t="shared" si="318"/>
      </c>
      <c r="I206" s="365">
        <f t="shared" si="0"/>
      </c>
      <c r="J206" s="366">
        <f t="shared" si="17"/>
      </c>
      <c r="K206" s="367">
        <f t="shared" si="150"/>
      </c>
      <c r="L206" s="364">
        <f t="shared" si="171"/>
      </c>
      <c r="M206" s="368">
        <f t="shared" si="215"/>
      </c>
      <c r="N206" s="368">
        <f t="shared" si="221"/>
      </c>
      <c r="O206" s="368">
        <f t="shared" si="268"/>
      </c>
      <c r="P206" s="368">
        <f t="shared" si="85"/>
      </c>
      <c r="Q206" s="364">
        <f t="shared" si="117"/>
      </c>
      <c r="R206" s="366">
        <f t="shared" si="119"/>
      </c>
      <c r="S206" s="368">
        <f t="shared" si="121"/>
      </c>
      <c r="T206" s="368">
        <f t="shared" si="34"/>
      </c>
      <c r="U206" s="368">
        <f t="shared" si="51"/>
      </c>
      <c r="V206" s="368">
        <f t="shared" si="68"/>
      </c>
      <c r="W206" s="368"/>
      <c r="X206" s="369"/>
      <c r="Y206" s="362">
        <f>SUM(Y201:Y205)</f>
      </c>
      <c r="Z206" s="362">
        <f>SUM(Z201:Z205)</f>
      </c>
      <c r="AA206" s="362">
        <f>SUM(AA201:AA205)</f>
      </c>
      <c r="AB206" s="362">
        <f>SUM(AB201:AB205)</f>
      </c>
      <c r="AC206" s="362">
        <f>SUM(AC201:AC205)</f>
      </c>
      <c r="AD206" s="362">
        <f>SUM(AD201:AD205)</f>
      </c>
      <c r="AE206" s="362">
        <f>SUM(AE201:AE205)</f>
      </c>
      <c r="AF206" s="362">
        <f>SUM(AF201:AF205)</f>
      </c>
      <c r="AG206" s="362">
        <f>SUM(AG201:AG205)</f>
      </c>
      <c r="AH206" s="362">
        <f>SUM(AH201:AH205)</f>
      </c>
    </row>
    <row customHeight="true" ht="16.071428571428573" r="207">
      <c r="A207" s="401"/>
      <c r="B207" s="376" t="s">
        <v>195</v>
      </c>
      <c r="C207" s="370" t="s">
        <v>189</v>
      </c>
      <c r="D207" s="377">
        <v>2683.864</v>
      </c>
      <c r="E207" s="414">
        <v>4</v>
      </c>
      <c r="F207" s="333">
        <v>1469.199999999999</v>
      </c>
      <c r="G207" s="340">
        <f t="shared" si="300"/>
      </c>
      <c r="H207" s="341">
        <f t="shared" si="318"/>
      </c>
      <c r="I207" s="342">
        <f t="shared" si="0"/>
      </c>
      <c r="J207" s="343">
        <f t="shared" si="17"/>
      </c>
      <c r="K207" s="344">
        <f t="shared" si="150"/>
      </c>
      <c r="L207" s="341">
        <f t="shared" si="171"/>
      </c>
      <c r="M207" s="345">
        <f t="shared" si="215"/>
      </c>
      <c r="N207" s="345">
        <f t="shared" si="221"/>
      </c>
      <c r="O207" s="345">
        <f t="shared" si="268"/>
      </c>
      <c r="P207" s="345">
        <f t="shared" si="85"/>
      </c>
      <c r="Q207" s="341">
        <f t="shared" si="117"/>
      </c>
      <c r="R207" s="343">
        <f t="shared" si="119"/>
      </c>
      <c r="S207" s="345">
        <f t="shared" si="121"/>
      </c>
      <c r="T207" s="345">
        <f t="shared" si="34"/>
      </c>
      <c r="U207" s="345">
        <f t="shared" si="51"/>
      </c>
      <c r="V207" s="345">
        <f t="shared" si="68"/>
      </c>
      <c r="W207" s="360" t="s">
        <v>181</v>
      </c>
      <c r="X207" s="340" t="s">
        <v>182</v>
      </c>
      <c r="Y207" s="350">
        <v>428806</v>
      </c>
      <c r="Z207" s="350">
        <v>23392</v>
      </c>
      <c r="AA207" s="350">
        <v>212557</v>
      </c>
      <c r="AB207" s="350">
        <v>2933</v>
      </c>
      <c r="AC207" s="350">
        <v>4</v>
      </c>
      <c r="AD207" s="350">
        <v>32658</v>
      </c>
      <c r="AE207" s="350">
        <v>713</v>
      </c>
      <c r="AF207" s="350">
        <v>351</v>
      </c>
      <c r="AG207" s="350">
        <v>44</v>
      </c>
      <c r="AH207" s="349">
        <v>1</v>
      </c>
    </row>
    <row customHeight="true" ht="16.071428571428573" r="208">
      <c r="A208" s="401"/>
      <c r="B208" s="376" t="s">
        <v>195</v>
      </c>
      <c r="C208" s="372" t="s">
        <v>190</v>
      </c>
      <c r="D208" s="377">
        <v>2787.756</v>
      </c>
      <c r="E208" s="414">
        <v>3</v>
      </c>
      <c r="F208" s="333">
        <v>1852</v>
      </c>
      <c r="G208" s="340">
        <f t="shared" si="300"/>
      </c>
      <c r="H208" s="341">
        <f t="shared" si="318"/>
      </c>
      <c r="I208" s="342">
        <f t="shared" si="0"/>
      </c>
      <c r="J208" s="343">
        <f t="shared" si="17"/>
      </c>
      <c r="K208" s="344">
        <f t="shared" si="150"/>
      </c>
      <c r="L208" s="341">
        <f t="shared" si="171"/>
      </c>
      <c r="M208" s="345">
        <f t="shared" si="215"/>
      </c>
      <c r="N208" s="345">
        <f t="shared" si="221"/>
      </c>
      <c r="O208" s="345">
        <f t="shared" si="268"/>
      </c>
      <c r="P208" s="345">
        <f t="shared" si="85"/>
      </c>
      <c r="Q208" s="341">
        <f t="shared" si="117"/>
      </c>
      <c r="R208" s="343">
        <f t="shared" si="119"/>
      </c>
      <c r="S208" s="345">
        <f t="shared" si="121"/>
      </c>
      <c r="T208" s="345">
        <f t="shared" si="34"/>
      </c>
      <c r="U208" s="345">
        <f t="shared" si="51"/>
      </c>
      <c r="V208" s="345">
        <f t="shared" si="68"/>
      </c>
      <c r="W208" s="360" t="s">
        <v>181</v>
      </c>
      <c r="X208" s="340" t="s">
        <v>182</v>
      </c>
      <c r="Y208" s="350">
        <v>478464</v>
      </c>
      <c r="Z208" s="350">
        <v>29336</v>
      </c>
      <c r="AA208" s="350">
        <v>237314</v>
      </c>
      <c r="AB208" s="350">
        <v>2807</v>
      </c>
      <c r="AC208" s="350">
        <v>2</v>
      </c>
      <c r="AD208" s="350">
        <v>32609</v>
      </c>
      <c r="AE208" s="350">
        <v>672</v>
      </c>
      <c r="AF208" s="350">
        <v>341</v>
      </c>
      <c r="AG208" s="350">
        <v>53</v>
      </c>
      <c r="AH208" s="349">
        <v>0</v>
      </c>
    </row>
    <row r="209">
      <c r="A209" s="401"/>
      <c r="B209" s="376" t="s">
        <v>195</v>
      </c>
      <c r="C209" s="373" t="s">
        <v>191</v>
      </c>
      <c r="D209" s="406">
        <v>2789.946</v>
      </c>
      <c r="E209" s="378">
        <v>5</v>
      </c>
      <c r="F209" s="333">
        <v>2082.899999999998</v>
      </c>
      <c r="G209" s="340">
        <f t="shared" si="300"/>
      </c>
      <c r="H209" s="341">
        <f t="shared" si="318"/>
      </c>
      <c r="I209" s="342">
        <f t="shared" si="0"/>
      </c>
      <c r="J209" s="343">
        <f t="shared" si="17"/>
      </c>
      <c r="K209" s="344">
        <f t="shared" si="150"/>
      </c>
      <c r="L209" s="341">
        <f t="shared" si="171"/>
      </c>
      <c r="M209" s="345">
        <f t="shared" si="215"/>
      </c>
      <c r="N209" s="345">
        <f t="shared" si="221"/>
      </c>
      <c r="O209" s="345">
        <f t="shared" si="268"/>
      </c>
      <c r="P209" s="345">
        <f t="shared" si="85"/>
      </c>
      <c r="Q209" s="341">
        <f t="shared" si="117"/>
      </c>
      <c r="R209" s="343">
        <f t="shared" si="119"/>
      </c>
      <c r="S209" s="345">
        <f t="shared" si="121"/>
      </c>
      <c r="T209" s="345">
        <f t="shared" si="34"/>
      </c>
      <c r="U209" s="345">
        <f t="shared" si="51"/>
      </c>
      <c r="V209" s="345">
        <f t="shared" si="68"/>
      </c>
      <c r="W209" s="360" t="s">
        <v>181</v>
      </c>
      <c r="X209" s="340" t="s">
        <v>182</v>
      </c>
      <c r="Y209" s="350">
        <v>439079</v>
      </c>
      <c r="Z209" s="350">
        <v>23045</v>
      </c>
      <c r="AA209" s="350">
        <v>209422</v>
      </c>
      <c r="AB209" s="350">
        <v>2659</v>
      </c>
      <c r="AC209" s="350">
        <v>4</v>
      </c>
      <c r="AD209" s="350">
        <v>30222</v>
      </c>
      <c r="AE209" s="350">
        <v>550</v>
      </c>
      <c r="AF209" s="350">
        <v>312</v>
      </c>
      <c r="AG209" s="350">
        <v>35</v>
      </c>
      <c r="AH209" s="349">
        <v>3</v>
      </c>
    </row>
    <row r="210">
      <c r="A210" s="401"/>
      <c r="B210" s="376" t="s">
        <v>195</v>
      </c>
      <c r="C210" s="374" t="s">
        <v>192</v>
      </c>
      <c r="D210" s="407">
        <v>2523.0190000000002</v>
      </c>
      <c r="E210" s="338">
        <v>6</v>
      </c>
      <c r="F210" s="408">
        <v>2525.2000000000007</v>
      </c>
      <c r="G210" s="340">
        <f t="shared" si="300"/>
      </c>
      <c r="H210" s="341">
        <f t="shared" si="318"/>
      </c>
      <c r="I210" s="409">
        <f t="shared" si="0"/>
      </c>
      <c r="J210" s="410">
        <f t="shared" si="17"/>
      </c>
      <c r="K210" s="411">
        <f t="shared" ref="K210:K211" si="314">D210/AB210</f>
      </c>
      <c r="L210" s="412">
        <f t="shared" si="171"/>
      </c>
      <c r="M210" s="413">
        <f t="shared" ref="M210:M211" si="332">AC210/AB210</f>
      </c>
      <c r="N210" s="413">
        <f t="shared" si="221"/>
      </c>
      <c r="O210" s="413">
        <f t="shared" si="268"/>
      </c>
      <c r="P210" s="413">
        <f t="shared" si="85"/>
      </c>
      <c r="Q210" s="412">
        <f t="shared" si="117"/>
      </c>
      <c r="R210" s="410">
        <f t="shared" si="119"/>
      </c>
      <c r="S210" s="413">
        <f t="shared" si="121"/>
      </c>
      <c r="T210" s="413">
        <f t="shared" si="34"/>
      </c>
      <c r="U210" s="413">
        <f t="shared" si="51"/>
      </c>
      <c r="V210" s="413">
        <f t="shared" si="68"/>
      </c>
      <c r="W210" s="360" t="s">
        <v>181</v>
      </c>
      <c r="X210" s="360" t="s">
        <v>193</v>
      </c>
      <c r="Y210" s="350">
        <v>376309</v>
      </c>
      <c r="Z210" s="350">
        <v>12071</v>
      </c>
      <c r="AA210" s="350">
        <v>157988</v>
      </c>
      <c r="AB210" s="385">
        <v>2063</v>
      </c>
      <c r="AC210" s="385">
        <v>4</v>
      </c>
      <c r="AD210" s="385">
        <v>25809</v>
      </c>
      <c r="AE210" s="385">
        <v>443</v>
      </c>
      <c r="AF210" s="385">
        <v>190</v>
      </c>
      <c r="AG210" s="385">
        <v>40</v>
      </c>
      <c r="AH210" s="349">
        <v>1</v>
      </c>
    </row>
    <row r="211">
      <c r="A211" s="401"/>
      <c r="B211" s="376" t="s">
        <v>195</v>
      </c>
      <c r="C211" s="375" t="s">
        <v>194</v>
      </c>
      <c r="D211" s="406">
        <v>2372.236</v>
      </c>
      <c r="E211" s="378">
        <v>6</v>
      </c>
      <c r="F211" s="333">
        <v>2469.5999999999985</v>
      </c>
      <c r="G211" s="340">
        <f t="shared" si="300"/>
      </c>
      <c r="H211" s="341">
        <f t="shared" si="318"/>
      </c>
      <c r="I211" s="409">
        <f t="shared" si="0"/>
      </c>
      <c r="J211" s="410">
        <f t="shared" si="17"/>
      </c>
      <c r="K211" s="411">
        <f t="shared" si="314"/>
      </c>
      <c r="L211" s="412">
        <f t="shared" si="171"/>
      </c>
      <c r="M211" s="413">
        <f t="shared" si="332"/>
      </c>
      <c r="N211" s="413">
        <f t="shared" si="221"/>
      </c>
      <c r="O211" s="413">
        <f t="shared" si="268"/>
      </c>
      <c r="P211" s="413">
        <f t="shared" si="85"/>
      </c>
      <c r="Q211" s="412">
        <f t="shared" si="117"/>
      </c>
      <c r="R211" s="410">
        <f t="shared" si="119"/>
      </c>
      <c r="S211" s="413">
        <f t="shared" si="121"/>
      </c>
      <c r="T211" s="413">
        <f t="shared" si="34"/>
      </c>
      <c r="U211" s="413">
        <f t="shared" si="51"/>
      </c>
      <c r="V211" s="413">
        <f t="shared" si="68"/>
      </c>
      <c r="W211" s="360" t="s">
        <v>181</v>
      </c>
      <c r="X211" s="360" t="s">
        <v>193</v>
      </c>
      <c r="Y211" s="350">
        <v>396323</v>
      </c>
      <c r="Z211" s="350">
        <v>9162</v>
      </c>
      <c r="AA211" s="350">
        <v>168019</v>
      </c>
      <c r="AB211" s="350">
        <v>2002</v>
      </c>
      <c r="AC211" s="350">
        <v>6</v>
      </c>
      <c r="AD211" s="350">
        <v>28864</v>
      </c>
      <c r="AE211" s="350">
        <v>521</v>
      </c>
      <c r="AF211" s="350">
        <v>223</v>
      </c>
      <c r="AG211" s="350">
        <v>33</v>
      </c>
      <c r="AH211" s="349">
        <v>1</v>
      </c>
    </row>
    <row r="212">
      <c r="A212" s="401"/>
      <c r="B212" s="361" t="s">
        <v>187</v>
      </c>
      <c r="C212" s="361"/>
      <c r="D212" s="362">
        <f>SUM(D207:D211)</f>
      </c>
      <c r="E212" s="363">
        <f>SUM(E207:E211)</f>
      </c>
      <c r="F212" s="362">
        <f>SUM(F207:F211)</f>
      </c>
      <c r="G212" s="362">
        <f t="shared" si="300"/>
      </c>
      <c r="H212" s="364">
        <f t="shared" si="318"/>
      </c>
      <c r="I212" s="365">
        <f t="shared" si="0"/>
      </c>
      <c r="J212" s="366">
        <f t="shared" si="17"/>
      </c>
      <c r="K212" s="367">
        <f t="shared" ref="K212:K215" si="151">D212/AA212</f>
      </c>
      <c r="L212" s="364">
        <f t="shared" si="171"/>
      </c>
      <c r="M212" s="368">
        <f t="shared" ref="M212:M215" si="216">AB212/AA212</f>
      </c>
      <c r="N212" s="368">
        <f t="shared" si="221"/>
      </c>
      <c r="O212" s="368">
        <f t="shared" si="268"/>
      </c>
      <c r="P212" s="368">
        <f t="shared" si="85"/>
      </c>
      <c r="Q212" s="364">
        <f t="shared" si="117"/>
      </c>
      <c r="R212" s="366">
        <f t="shared" si="119"/>
      </c>
      <c r="S212" s="368">
        <f t="shared" si="121"/>
      </c>
      <c r="T212" s="368">
        <f t="shared" si="34"/>
      </c>
      <c r="U212" s="368">
        <f t="shared" si="51"/>
      </c>
      <c r="V212" s="368">
        <f t="shared" si="68"/>
      </c>
      <c r="W212" s="368"/>
      <c r="X212" s="369"/>
      <c r="Y212" s="362">
        <f>SUM(Y207:Y211)</f>
      </c>
      <c r="Z212" s="362">
        <f>SUM(Z207:Z211)</f>
      </c>
      <c r="AA212" s="362">
        <f>SUM(AA207:AA211)</f>
      </c>
      <c r="AB212" s="362">
        <f>SUM(AB207:AB211)</f>
      </c>
      <c r="AC212" s="362">
        <f>SUM(AC207:AC211)</f>
      </c>
      <c r="AD212" s="362">
        <f>SUM(AD207:AD211)</f>
      </c>
      <c r="AE212" s="362">
        <f>SUM(AE207:AE211)</f>
      </c>
      <c r="AF212" s="362">
        <f>SUM(AF207:AF211)</f>
      </c>
      <c r="AG212" s="362">
        <f>SUM(AG207:AG211)</f>
      </c>
      <c r="AH212" s="362">
        <f>SUM(AH207:AH211)</f>
      </c>
    </row>
    <row r="213">
      <c r="A213" s="401"/>
      <c r="B213" s="335" t="s">
        <v>203</v>
      </c>
      <c r="C213" s="373" t="s">
        <v>196</v>
      </c>
      <c r="D213" s="406">
        <v>1379.6380000000001</v>
      </c>
      <c r="E213" s="378">
        <v>2</v>
      </c>
      <c r="F213" s="333">
        <v>1045.2000000000007</v>
      </c>
      <c r="G213" s="340">
        <f t="shared" si="300"/>
      </c>
      <c r="H213" s="341">
        <f t="shared" si="318"/>
      </c>
      <c r="I213" s="342">
        <f t="shared" si="0"/>
      </c>
      <c r="J213" s="343">
        <f t="shared" si="17"/>
      </c>
      <c r="K213" s="344">
        <f t="shared" si="151"/>
      </c>
      <c r="L213" s="341">
        <f t="shared" si="171"/>
      </c>
      <c r="M213" s="345">
        <f t="shared" si="216"/>
      </c>
      <c r="N213" s="345">
        <f t="shared" si="221"/>
      </c>
      <c r="O213" s="345">
        <f t="shared" si="268"/>
      </c>
      <c r="P213" s="345">
        <f t="shared" si="85"/>
      </c>
      <c r="Q213" s="341">
        <f t="shared" si="117"/>
      </c>
      <c r="R213" s="343">
        <f t="shared" si="119"/>
      </c>
      <c r="S213" s="345">
        <f t="shared" si="121"/>
      </c>
      <c r="T213" s="345">
        <f t="shared" si="34"/>
      </c>
      <c r="U213" s="345">
        <f t="shared" si="51"/>
      </c>
      <c r="V213" s="345">
        <f t="shared" si="68"/>
      </c>
      <c r="W213" s="360" t="s">
        <v>181</v>
      </c>
      <c r="X213" s="346" t="s">
        <v>193</v>
      </c>
      <c r="Y213" s="350">
        <v>145021</v>
      </c>
      <c r="Z213" s="350">
        <v>3599</v>
      </c>
      <c r="AA213" s="350">
        <v>67146</v>
      </c>
      <c r="AB213" s="350">
        <v>655</v>
      </c>
      <c r="AC213" s="350">
        <v>1</v>
      </c>
      <c r="AD213" s="350">
        <v>13263</v>
      </c>
      <c r="AE213" s="350">
        <v>262</v>
      </c>
      <c r="AF213" s="350">
        <v>90</v>
      </c>
      <c r="AG213" s="350">
        <v>9</v>
      </c>
      <c r="AH213" s="349">
        <v>1</v>
      </c>
    </row>
    <row r="214">
      <c r="A214" s="401"/>
      <c r="B214" s="335" t="s">
        <v>203</v>
      </c>
      <c r="C214" s="373" t="s">
        <v>197</v>
      </c>
      <c r="D214" s="406">
        <v>1639.663</v>
      </c>
      <c r="E214" s="378">
        <v>0</v>
      </c>
      <c r="F214" s="359">
        <v>0</v>
      </c>
      <c r="G214" s="340">
        <f t="shared" si="300"/>
      </c>
      <c r="H214" s="341">
        <f t="shared" si="318"/>
      </c>
      <c r="I214" s="342">
        <f t="shared" si="0"/>
      </c>
      <c r="J214" s="343">
        <f t="shared" si="17"/>
      </c>
      <c r="K214" s="344">
        <f t="shared" si="151"/>
      </c>
      <c r="L214" s="341">
        <f t="shared" si="171"/>
      </c>
      <c r="M214" s="345">
        <f t="shared" si="216"/>
      </c>
      <c r="N214" s="345">
        <f t="shared" si="221"/>
      </c>
      <c r="O214" s="345">
        <f t="shared" si="268"/>
      </c>
      <c r="P214" s="345">
        <f t="shared" si="85"/>
      </c>
      <c r="Q214" s="341">
        <f t="shared" si="117"/>
      </c>
      <c r="R214" s="343">
        <f t="shared" si="119"/>
      </c>
      <c r="S214" s="345">
        <f t="shared" si="121"/>
      </c>
      <c r="T214" s="345">
        <f t="shared" si="34"/>
      </c>
      <c r="U214" s="345">
        <f t="shared" si="51"/>
      </c>
      <c r="V214" s="345">
        <f t="shared" si="68"/>
      </c>
      <c r="W214" s="360" t="s">
        <v>181</v>
      </c>
      <c r="X214" s="346" t="s">
        <v>193</v>
      </c>
      <c r="Y214" s="350">
        <v>172158</v>
      </c>
      <c r="Z214" s="350">
        <v>6700</v>
      </c>
      <c r="AA214" s="350">
        <v>99695</v>
      </c>
      <c r="AB214" s="350">
        <v>864</v>
      </c>
      <c r="AC214" s="350">
        <v>0</v>
      </c>
      <c r="AD214" s="350">
        <v>16276</v>
      </c>
      <c r="AE214" s="350">
        <v>355</v>
      </c>
      <c r="AF214" s="350">
        <v>117</v>
      </c>
      <c r="AG214" s="350">
        <v>9</v>
      </c>
      <c r="AH214" s="349">
        <v>0</v>
      </c>
    </row>
    <row r="215">
      <c r="A215" s="401"/>
      <c r="B215" s="335" t="s">
        <v>203</v>
      </c>
      <c r="C215" s="374" t="s">
        <v>198</v>
      </c>
      <c r="D215" s="406">
        <v>2938.818</v>
      </c>
      <c r="E215" s="378">
        <v>6</v>
      </c>
      <c r="F215" s="333">
        <v>3232</v>
      </c>
      <c r="G215" s="340">
        <f t="shared" si="300"/>
      </c>
      <c r="H215" s="341">
        <f t="shared" si="318"/>
      </c>
      <c r="I215" s="342">
        <f t="shared" si="0"/>
      </c>
      <c r="J215" s="343">
        <f t="shared" si="17"/>
      </c>
      <c r="K215" s="344">
        <f t="shared" si="151"/>
      </c>
      <c r="L215" s="341">
        <f t="shared" si="171"/>
      </c>
      <c r="M215" s="345">
        <f t="shared" si="216"/>
      </c>
      <c r="N215" s="345">
        <f t="shared" si="221"/>
      </c>
      <c r="O215" s="345">
        <f t="shared" si="268"/>
      </c>
      <c r="P215" s="345">
        <f t="shared" si="85"/>
      </c>
      <c r="Q215" s="341">
        <f t="shared" si="117"/>
      </c>
      <c r="R215" s="343">
        <f t="shared" si="119"/>
      </c>
      <c r="S215" s="345">
        <f t="shared" si="121"/>
      </c>
      <c r="T215" s="345">
        <f t="shared" si="34"/>
      </c>
      <c r="U215" s="345">
        <f t="shared" si="51"/>
      </c>
      <c r="V215" s="345">
        <f t="shared" si="68"/>
      </c>
      <c r="W215" s="360" t="s">
        <v>181</v>
      </c>
      <c r="X215" s="346" t="s">
        <v>193</v>
      </c>
      <c r="Y215" s="350">
        <v>237913</v>
      </c>
      <c r="Z215" s="350">
        <v>8585</v>
      </c>
      <c r="AA215" s="350">
        <v>122313</v>
      </c>
      <c r="AB215" s="350">
        <v>1072</v>
      </c>
      <c r="AC215" s="350">
        <v>4</v>
      </c>
      <c r="AD215" s="350">
        <v>17140</v>
      </c>
      <c r="AE215" s="350">
        <v>484</v>
      </c>
      <c r="AF215" s="350">
        <v>158</v>
      </c>
      <c r="AG215" s="350">
        <v>19</v>
      </c>
      <c r="AH215" s="349">
        <v>2</v>
      </c>
    </row>
    <row r="216">
      <c r="A216" s="401"/>
      <c r="B216" s="335" t="s">
        <v>203</v>
      </c>
      <c r="C216" s="373" t="s">
        <v>199</v>
      </c>
      <c r="D216" s="407">
        <v>2268.956</v>
      </c>
      <c r="E216" s="338">
        <v>10</v>
      </c>
      <c r="F216" s="408">
        <v>3139.9000000000015</v>
      </c>
      <c r="G216" s="340">
        <f t="shared" si="300"/>
      </c>
      <c r="H216" s="341">
        <f t="shared" si="318"/>
      </c>
      <c r="I216" s="409">
        <f t="shared" si="0"/>
      </c>
      <c r="J216" s="410">
        <f t="shared" si="17"/>
      </c>
      <c r="K216" s="411">
        <f t="shared" ref="K216:K217" si="315">D216/AB216</f>
      </c>
      <c r="L216" s="412">
        <f t="shared" si="171"/>
      </c>
      <c r="M216" s="413">
        <f t="shared" ref="M216:M217" si="333">AC216/AB216</f>
      </c>
      <c r="N216" s="413">
        <f t="shared" si="221"/>
      </c>
      <c r="O216" s="413">
        <f t="shared" si="268"/>
      </c>
      <c r="P216" s="413">
        <f t="shared" si="85"/>
      </c>
      <c r="Q216" s="412">
        <f t="shared" si="117"/>
      </c>
      <c r="R216" s="410">
        <f t="shared" si="119"/>
      </c>
      <c r="S216" s="413">
        <f t="shared" si="121"/>
      </c>
      <c r="T216" s="413">
        <f t="shared" si="34"/>
      </c>
      <c r="U216" s="413">
        <f t="shared" si="51"/>
      </c>
      <c r="V216" s="413">
        <f t="shared" si="68"/>
      </c>
      <c r="W216" s="360" t="s">
        <v>181</v>
      </c>
      <c r="X216" s="346" t="s">
        <v>193</v>
      </c>
      <c r="Y216" s="350">
        <v>188505</v>
      </c>
      <c r="Z216" s="350">
        <v>5273</v>
      </c>
      <c r="AA216" s="350">
        <v>67671</v>
      </c>
      <c r="AB216" s="385">
        <v>721</v>
      </c>
      <c r="AC216" s="385">
        <v>6</v>
      </c>
      <c r="AD216" s="385">
        <v>11175</v>
      </c>
      <c r="AE216" s="385">
        <v>319</v>
      </c>
      <c r="AF216" s="385">
        <v>107</v>
      </c>
      <c r="AG216" s="385">
        <v>12</v>
      </c>
      <c r="AH216" s="349">
        <v>2</v>
      </c>
    </row>
    <row r="217">
      <c r="A217" s="401"/>
      <c r="B217" s="335" t="s">
        <v>203</v>
      </c>
      <c r="C217" s="386" t="s">
        <v>200</v>
      </c>
      <c r="D217" s="377">
        <f>2468.09</f>
      </c>
      <c r="E217" s="378">
        <v>10</v>
      </c>
      <c r="F217" s="333">
        <v>2096</v>
      </c>
      <c r="G217" s="340">
        <f t="shared" si="300"/>
      </c>
      <c r="H217" s="341">
        <f t="shared" si="318"/>
      </c>
      <c r="I217" s="409">
        <f t="shared" si="0"/>
      </c>
      <c r="J217" s="410">
        <f t="shared" si="17"/>
      </c>
      <c r="K217" s="411">
        <f t="shared" si="315"/>
      </c>
      <c r="L217" s="412">
        <f t="shared" si="171"/>
      </c>
      <c r="M217" s="413">
        <f t="shared" si="333"/>
      </c>
      <c r="N217" s="413">
        <f t="shared" si="221"/>
      </c>
      <c r="O217" s="413">
        <f t="shared" si="268"/>
      </c>
      <c r="P217" s="413">
        <f t="shared" si="85"/>
      </c>
      <c r="Q217" s="412">
        <f t="shared" si="117"/>
      </c>
      <c r="R217" s="410">
        <f t="shared" si="119"/>
      </c>
      <c r="S217" s="413">
        <f t="shared" si="121"/>
      </c>
      <c r="T217" s="413">
        <f t="shared" si="34"/>
      </c>
      <c r="U217" s="413">
        <f t="shared" si="51"/>
      </c>
      <c r="V217" s="413">
        <f t="shared" si="68"/>
      </c>
      <c r="W217" s="360" t="s">
        <v>181</v>
      </c>
      <c r="X217" s="346" t="s">
        <v>193</v>
      </c>
      <c r="Y217" s="350">
        <v>235282</v>
      </c>
      <c r="Z217" s="350">
        <v>6228</v>
      </c>
      <c r="AA217" s="350">
        <v>84220</v>
      </c>
      <c r="AB217" s="350">
        <v>923</v>
      </c>
      <c r="AC217" s="350">
        <v>8</v>
      </c>
      <c r="AD217" s="350">
        <v>12253</v>
      </c>
      <c r="AE217" s="350">
        <v>347</v>
      </c>
      <c r="AF217" s="350">
        <v>112</v>
      </c>
      <c r="AG217" s="350">
        <v>6</v>
      </c>
      <c r="AH217" s="349">
        <v>3</v>
      </c>
    </row>
    <row r="218">
      <c r="A218" s="401"/>
      <c r="B218" s="387" t="s">
        <v>187</v>
      </c>
      <c r="C218" s="387"/>
      <c r="D218" s="362">
        <f>SUM(D213:D217)</f>
      </c>
      <c r="E218" s="363">
        <f>SUM(E213:E217)</f>
      </c>
      <c r="F218" s="362">
        <f>SUM(F213:F217)</f>
      </c>
      <c r="G218" s="362">
        <f t="shared" si="300"/>
      </c>
      <c r="H218" s="364">
        <f t="shared" si="318"/>
      </c>
      <c r="I218" s="365">
        <f t="shared" si="0"/>
      </c>
      <c r="J218" s="366">
        <f t="shared" si="17"/>
      </c>
      <c r="K218" s="367">
        <f t="shared" ref="K218:K228" si="152">D218/AA218</f>
      </c>
      <c r="L218" s="364">
        <f t="shared" si="171"/>
      </c>
      <c r="M218" s="368">
        <f t="shared" ref="M218:M228" si="217">AB218/AA218</f>
      </c>
      <c r="N218" s="368">
        <f t="shared" si="221"/>
      </c>
      <c r="O218" s="368">
        <f t="shared" si="268"/>
      </c>
      <c r="P218" s="368">
        <f t="shared" si="85"/>
      </c>
      <c r="Q218" s="364">
        <f t="shared" si="117"/>
      </c>
      <c r="R218" s="366">
        <f t="shared" si="119"/>
      </c>
      <c r="S218" s="368">
        <f t="shared" si="121"/>
      </c>
      <c r="T218" s="368">
        <f t="shared" si="34"/>
      </c>
      <c r="U218" s="368">
        <f t="shared" si="51"/>
      </c>
      <c r="V218" s="368">
        <f t="shared" si="68"/>
      </c>
      <c r="W218" s="368"/>
      <c r="X218" s="369"/>
      <c r="Y218" s="362">
        <f>SUM(Y213:Y217)</f>
      </c>
      <c r="Z218" s="362">
        <f>SUM(Z213:Z217)</f>
      </c>
      <c r="AA218" s="362">
        <f>SUM(AA213:AA217)</f>
      </c>
      <c r="AB218" s="362">
        <f>SUM(AB213:AB217)</f>
      </c>
      <c r="AC218" s="362">
        <f>SUM(AC213:AC217)</f>
      </c>
      <c r="AD218" s="362">
        <f>SUM(AD213:AD217)</f>
      </c>
      <c r="AE218" s="362">
        <f>SUM(AE213:AE217)</f>
      </c>
      <c r="AF218" s="362">
        <f>SUM(AF213:AF217)</f>
      </c>
      <c r="AG218" s="362">
        <f>SUM(AG213:AG217)</f>
      </c>
      <c r="AH218" s="362">
        <f>SUM(AH213:AH217)</f>
      </c>
    </row>
    <row r="219">
      <c r="A219" s="401"/>
      <c r="B219" s="388" t="s">
        <v>201</v>
      </c>
      <c r="C219" s="388"/>
      <c r="D219" s="389">
        <f>SUM(D206+D218+D212)</f>
      </c>
      <c r="E219" s="389">
        <f>SUM(E206+E218+E212)</f>
      </c>
      <c r="F219" s="389">
        <f>SUM(F206+F218+F212)</f>
      </c>
      <c r="G219" s="390">
        <f t="shared" si="300"/>
      </c>
      <c r="H219" s="391">
        <f t="shared" si="318"/>
      </c>
      <c r="I219" s="392">
        <f t="shared" si="0"/>
      </c>
      <c r="J219" s="393">
        <f t="shared" si="17"/>
      </c>
      <c r="K219" s="394">
        <f t="shared" si="152"/>
      </c>
      <c r="L219" s="394">
        <f t="shared" si="171"/>
      </c>
      <c r="M219" s="395">
        <f t="shared" si="217"/>
      </c>
      <c r="N219" s="395">
        <f t="shared" si="221"/>
      </c>
      <c r="O219" s="395">
        <f t="shared" si="268"/>
      </c>
      <c r="P219" s="395">
        <f t="shared" si="85"/>
      </c>
      <c r="Q219" s="396">
        <f t="shared" si="117"/>
      </c>
      <c r="R219" s="397">
        <f t="shared" si="119"/>
      </c>
      <c r="S219" s="398">
        <f t="shared" si="121"/>
      </c>
      <c r="T219" s="398">
        <f t="shared" si="34"/>
      </c>
      <c r="U219" s="398">
        <f t="shared" si="51"/>
      </c>
      <c r="V219" s="398">
        <f t="shared" si="68"/>
      </c>
      <c r="W219" s="398"/>
      <c r="X219" s="399"/>
      <c r="Y219" s="390">
        <f>SUM(Y218+Y206+Y212)</f>
      </c>
      <c r="Z219" s="390">
        <f>SUM(Z218+Z206+Z212)</f>
      </c>
      <c r="AA219" s="390">
        <f>SUM(AA218+AA206+AA212)</f>
      </c>
      <c r="AB219" s="390">
        <f>SUM(AB218+AB206+AB212)</f>
      </c>
      <c r="AC219" s="390">
        <f>SUM(AC218+AC206+AC212)</f>
      </c>
      <c r="AD219" s="390">
        <f>SUM(AD218+AD206+AD212)</f>
      </c>
      <c r="AE219" s="390">
        <f>SUM(AE218+AE206+AE212)</f>
      </c>
      <c r="AF219" s="390">
        <f>SUM(AF218+AF206+AF212)</f>
      </c>
      <c r="AG219" s="390">
        <f>SUM(AG218+AG206+AG212)</f>
      </c>
      <c r="AH219" s="390">
        <f>SUM(AH218+AH206+AH212)</f>
      </c>
    </row>
    <row r="220">
      <c r="A220" s="401">
        <v>46247</v>
      </c>
      <c r="B220" s="335" t="s">
        <v>188</v>
      </c>
      <c r="C220" s="336" t="s">
        <v>180</v>
      </c>
      <c r="D220" s="337">
        <v>2610.744</v>
      </c>
      <c r="E220" s="338">
        <v>4</v>
      </c>
      <c r="F220" s="339">
        <v>912</v>
      </c>
      <c r="G220" s="340">
        <f t="shared" si="300"/>
      </c>
      <c r="H220" s="341">
        <f t="shared" si="318"/>
      </c>
      <c r="I220" s="342">
        <f t="shared" si="0"/>
      </c>
      <c r="J220" s="343">
        <f t="shared" si="17"/>
      </c>
      <c r="K220" s="344">
        <f t="shared" si="152"/>
      </c>
      <c r="L220" s="341">
        <f t="shared" si="171"/>
      </c>
      <c r="M220" s="345">
        <f t="shared" si="217"/>
      </c>
      <c r="N220" s="345">
        <f t="shared" si="221"/>
      </c>
      <c r="O220" s="345">
        <f t="shared" si="268"/>
      </c>
      <c r="P220" s="345">
        <f t="shared" si="85"/>
      </c>
      <c r="Q220" s="341">
        <f t="shared" si="117"/>
      </c>
      <c r="R220" s="343">
        <f t="shared" si="119"/>
      </c>
      <c r="S220" s="345">
        <f t="shared" si="121"/>
      </c>
      <c r="T220" s="345">
        <f t="shared" si="34"/>
      </c>
      <c r="U220" s="345">
        <f t="shared" si="51"/>
      </c>
      <c r="V220" s="345">
        <f t="shared" si="68"/>
      </c>
      <c r="W220" s="340" t="s">
        <v>181</v>
      </c>
      <c r="X220" s="340" t="s">
        <v>182</v>
      </c>
      <c r="Y220" s="348">
        <v>154546</v>
      </c>
      <c r="Z220" s="348">
        <v>7886</v>
      </c>
      <c r="AA220" s="348">
        <v>105138</v>
      </c>
      <c r="AB220" s="348">
        <v>1328</v>
      </c>
      <c r="AC220" s="350">
        <v>3</v>
      </c>
      <c r="AD220" s="348">
        <v>24058</v>
      </c>
      <c r="AE220" s="350">
        <v>354</v>
      </c>
      <c r="AF220" s="350">
        <v>147</v>
      </c>
      <c r="AG220" s="350">
        <v>18</v>
      </c>
      <c r="AH220" s="349">
        <v>0</v>
      </c>
    </row>
    <row r="221">
      <c r="A221" s="401"/>
      <c r="B221" s="335" t="s">
        <v>188</v>
      </c>
      <c r="C221" s="336" t="s">
        <v>183</v>
      </c>
      <c r="D221" s="337">
        <v>1906.636</v>
      </c>
      <c r="E221" s="338">
        <v>12</v>
      </c>
      <c r="F221" s="339">
        <v>3250</v>
      </c>
      <c r="G221" s="340">
        <f t="shared" si="300"/>
      </c>
      <c r="H221" s="341">
        <f t="shared" si="318"/>
      </c>
      <c r="I221" s="342">
        <f t="shared" si="0"/>
      </c>
      <c r="J221" s="343">
        <f t="shared" si="17"/>
      </c>
      <c r="K221" s="344">
        <f t="shared" si="152"/>
      </c>
      <c r="L221" s="341">
        <f t="shared" si="171"/>
      </c>
      <c r="M221" s="345">
        <f t="shared" si="217"/>
      </c>
      <c r="N221" s="345">
        <f t="shared" si="221"/>
      </c>
      <c r="O221" s="345">
        <f t="shared" si="268"/>
      </c>
      <c r="P221" s="345">
        <f t="shared" si="85"/>
      </c>
      <c r="Q221" s="341">
        <f t="shared" si="117"/>
      </c>
      <c r="R221" s="343">
        <f t="shared" si="119"/>
      </c>
      <c r="S221" s="345">
        <f t="shared" si="121"/>
      </c>
      <c r="T221" s="345">
        <f t="shared" si="34"/>
      </c>
      <c r="U221" s="345">
        <f t="shared" si="51"/>
      </c>
      <c r="V221" s="345">
        <f t="shared" si="68"/>
      </c>
      <c r="W221" s="340" t="s">
        <v>181</v>
      </c>
      <c r="X221" s="340" t="s">
        <v>182</v>
      </c>
      <c r="Y221" s="348">
        <v>119376</v>
      </c>
      <c r="Z221" s="348">
        <v>7220</v>
      </c>
      <c r="AA221" s="348">
        <v>67948</v>
      </c>
      <c r="AB221" s="348">
        <v>1181</v>
      </c>
      <c r="AC221" s="350">
        <v>8</v>
      </c>
      <c r="AD221" s="348">
        <v>14026</v>
      </c>
      <c r="AE221" s="350">
        <v>358</v>
      </c>
      <c r="AF221" s="350">
        <v>82</v>
      </c>
      <c r="AG221" s="350">
        <v>18</v>
      </c>
      <c r="AH221" s="349">
        <v>3</v>
      </c>
    </row>
    <row r="222">
      <c r="A222" s="401"/>
      <c r="B222" s="335" t="s">
        <v>188</v>
      </c>
      <c r="C222" s="351" t="s">
        <v>184</v>
      </c>
      <c r="D222" s="337">
        <v>2047.638</v>
      </c>
      <c r="E222" s="338">
        <v>6</v>
      </c>
      <c r="F222" s="339">
        <v>2442.4000000000005</v>
      </c>
      <c r="G222" s="340">
        <f t="shared" si="300"/>
      </c>
      <c r="H222" s="341">
        <f t="shared" si="318"/>
      </c>
      <c r="I222" s="342">
        <f t="shared" si="0"/>
      </c>
      <c r="J222" s="343">
        <f t="shared" si="17"/>
      </c>
      <c r="K222" s="344">
        <f t="shared" si="152"/>
      </c>
      <c r="L222" s="341">
        <f t="shared" si="171"/>
      </c>
      <c r="M222" s="345">
        <f t="shared" si="217"/>
      </c>
      <c r="N222" s="345">
        <f t="shared" si="221"/>
      </c>
      <c r="O222" s="345">
        <f t="shared" si="268"/>
      </c>
      <c r="P222" s="345">
        <f t="shared" si="85"/>
      </c>
      <c r="Q222" s="341">
        <f t="shared" si="117"/>
      </c>
      <c r="R222" s="343">
        <f t="shared" si="119"/>
      </c>
      <c r="S222" s="345">
        <f t="shared" si="121"/>
      </c>
      <c r="T222" s="345">
        <f t="shared" si="34"/>
      </c>
      <c r="U222" s="345">
        <f t="shared" si="51"/>
      </c>
      <c r="V222" s="345">
        <f t="shared" si="68"/>
      </c>
      <c r="W222" s="340" t="s">
        <v>181</v>
      </c>
      <c r="X222" s="340" t="s">
        <v>182</v>
      </c>
      <c r="Y222" s="348">
        <v>131758</v>
      </c>
      <c r="Z222" s="348">
        <v>8446</v>
      </c>
      <c r="AA222" s="348">
        <v>67700</v>
      </c>
      <c r="AB222" s="348">
        <v>1120</v>
      </c>
      <c r="AC222" s="350">
        <v>4</v>
      </c>
      <c r="AD222" s="348">
        <v>11375</v>
      </c>
      <c r="AE222" s="350">
        <v>330</v>
      </c>
      <c r="AF222" s="350">
        <v>95</v>
      </c>
      <c r="AG222" s="350">
        <v>14</v>
      </c>
      <c r="AH222" s="349">
        <v>0</v>
      </c>
    </row>
    <row r="223">
      <c r="A223" s="401"/>
      <c r="B223" s="335" t="s">
        <v>188</v>
      </c>
      <c r="C223" s="351" t="s">
        <v>185</v>
      </c>
      <c r="D223" s="337">
        <v>1531.418</v>
      </c>
      <c r="E223" s="338">
        <v>2</v>
      </c>
      <c r="F223" s="339">
        <v>700</v>
      </c>
      <c r="G223" s="340">
        <f t="shared" si="300"/>
      </c>
      <c r="H223" s="341">
        <f t="shared" si="318"/>
      </c>
      <c r="I223" s="342">
        <f t="shared" si="0"/>
      </c>
      <c r="J223" s="343">
        <f t="shared" si="17"/>
      </c>
      <c r="K223" s="344">
        <f t="shared" si="152"/>
      </c>
      <c r="L223" s="341">
        <f t="shared" si="171"/>
      </c>
      <c r="M223" s="345">
        <f t="shared" si="217"/>
      </c>
      <c r="N223" s="345">
        <f t="shared" si="221"/>
      </c>
      <c r="O223" s="345">
        <f t="shared" si="268"/>
      </c>
      <c r="P223" s="345">
        <f t="shared" si="85"/>
      </c>
      <c r="Q223" s="341">
        <f t="shared" si="117"/>
      </c>
      <c r="R223" s="343">
        <f t="shared" si="119"/>
      </c>
      <c r="S223" s="345">
        <f t="shared" si="121"/>
      </c>
      <c r="T223" s="345">
        <f t="shared" si="34"/>
      </c>
      <c r="U223" s="345">
        <f t="shared" si="51"/>
      </c>
      <c r="V223" s="345">
        <f t="shared" si="68"/>
      </c>
      <c r="W223" s="340" t="s">
        <v>181</v>
      </c>
      <c r="X223" s="340" t="s">
        <v>182</v>
      </c>
      <c r="Y223" s="348">
        <v>128420</v>
      </c>
      <c r="Z223" s="348">
        <v>7731</v>
      </c>
      <c r="AA223" s="348">
        <v>62294</v>
      </c>
      <c r="AB223" s="348">
        <v>1005</v>
      </c>
      <c r="AC223" s="350">
        <v>2</v>
      </c>
      <c r="AD223" s="348">
        <v>8904</v>
      </c>
      <c r="AE223" s="350">
        <v>281</v>
      </c>
      <c r="AF223" s="350">
        <v>79</v>
      </c>
      <c r="AG223" s="350">
        <v>17</v>
      </c>
      <c r="AH223" s="349">
        <v>0</v>
      </c>
    </row>
    <row r="224">
      <c r="A224" s="401"/>
      <c r="B224" s="335" t="s">
        <v>188</v>
      </c>
      <c r="C224" s="356" t="s">
        <v>186</v>
      </c>
      <c r="D224" s="337">
        <v>937.059</v>
      </c>
      <c r="E224" s="338">
        <v>8</v>
      </c>
      <c r="F224" s="339">
        <v>1469.1999999999998</v>
      </c>
      <c r="G224" s="340">
        <f t="shared" si="300"/>
      </c>
      <c r="H224" s="341">
        <f t="shared" si="318"/>
      </c>
      <c r="I224" s="342">
        <f t="shared" si="0"/>
      </c>
      <c r="J224" s="343">
        <f t="shared" si="17"/>
      </c>
      <c r="K224" s="344">
        <f t="shared" si="152"/>
      </c>
      <c r="L224" s="341">
        <f t="shared" si="171"/>
      </c>
      <c r="M224" s="345">
        <f t="shared" si="217"/>
      </c>
      <c r="N224" s="345">
        <f t="shared" si="221"/>
      </c>
      <c r="O224" s="345">
        <f t="shared" si="268"/>
      </c>
      <c r="P224" s="345">
        <f t="shared" si="85"/>
      </c>
      <c r="Q224" s="341">
        <f t="shared" si="117"/>
      </c>
      <c r="R224" s="343">
        <f t="shared" si="119"/>
      </c>
      <c r="S224" s="345">
        <f t="shared" si="121"/>
      </c>
      <c r="T224" s="345">
        <f t="shared" si="34"/>
      </c>
      <c r="U224" s="345">
        <f t="shared" si="51"/>
      </c>
      <c r="V224" s="345">
        <f t="shared" si="68"/>
      </c>
      <c r="W224" s="340" t="s">
        <v>181</v>
      </c>
      <c r="X224" s="340" t="s">
        <v>182</v>
      </c>
      <c r="Y224" s="348">
        <v>117878</v>
      </c>
      <c r="Z224" s="348">
        <v>3884</v>
      </c>
      <c r="AA224" s="348">
        <v>43659</v>
      </c>
      <c r="AB224" s="348">
        <v>874</v>
      </c>
      <c r="AC224" s="350">
        <v>3</v>
      </c>
      <c r="AD224" s="348">
        <v>4788</v>
      </c>
      <c r="AE224" s="350">
        <v>193</v>
      </c>
      <c r="AF224" s="350">
        <v>29</v>
      </c>
      <c r="AG224" s="350">
        <v>4</v>
      </c>
      <c r="AH224" s="349">
        <v>0</v>
      </c>
    </row>
    <row r="225">
      <c r="A225" s="401"/>
      <c r="B225" s="361" t="s">
        <v>187</v>
      </c>
      <c r="C225" s="361"/>
      <c r="D225" s="362">
        <f>SUM(D220:D224)</f>
      </c>
      <c r="E225" s="363">
        <f>SUM(E220:E224)</f>
      </c>
      <c r="F225" s="362">
        <f>SUM(F220:F224)</f>
      </c>
      <c r="G225" s="362">
        <f t="shared" si="300"/>
      </c>
      <c r="H225" s="364">
        <f t="shared" si="318"/>
      </c>
      <c r="I225" s="365">
        <f t="shared" si="0"/>
      </c>
      <c r="J225" s="366">
        <f t="shared" si="17"/>
      </c>
      <c r="K225" s="367">
        <f t="shared" si="152"/>
      </c>
      <c r="L225" s="364">
        <f t="shared" si="171"/>
      </c>
      <c r="M225" s="368">
        <f t="shared" si="217"/>
      </c>
      <c r="N225" s="368">
        <f t="shared" si="221"/>
      </c>
      <c r="O225" s="368">
        <f t="shared" si="268"/>
      </c>
      <c r="P225" s="368">
        <f t="shared" si="85"/>
      </c>
      <c r="Q225" s="364">
        <f t="shared" si="117"/>
      </c>
      <c r="R225" s="366">
        <f t="shared" si="119"/>
      </c>
      <c r="S225" s="368">
        <f t="shared" si="121"/>
      </c>
      <c r="T225" s="368">
        <f t="shared" si="34"/>
      </c>
      <c r="U225" s="368">
        <f t="shared" si="51"/>
      </c>
      <c r="V225" s="368">
        <f t="shared" si="68"/>
      </c>
      <c r="W225" s="368"/>
      <c r="X225" s="369"/>
      <c r="Y225" s="362">
        <f>SUM(Y220:Y224)</f>
      </c>
      <c r="Z225" s="362">
        <f>SUM(Z220:Z224)</f>
      </c>
      <c r="AA225" s="362">
        <f>SUM(AA220:AA224)</f>
      </c>
      <c r="AB225" s="362">
        <f>SUM(AB220:AB224)</f>
      </c>
      <c r="AC225" s="362">
        <f>SUM(AC220:AC224)</f>
      </c>
      <c r="AD225" s="362">
        <f>SUM(AD220:AD224)</f>
      </c>
      <c r="AE225" s="362">
        <f>SUM(AE220:AE224)</f>
      </c>
      <c r="AF225" s="362">
        <f>SUM(AF220:AF224)</f>
      </c>
      <c r="AG225" s="362">
        <f>SUM(AG220:AG224)</f>
      </c>
      <c r="AH225" s="362">
        <f>SUM(AH220:AH224)</f>
      </c>
    </row>
    <row r="226">
      <c r="A226" s="401"/>
      <c r="B226" s="335" t="s">
        <v>179</v>
      </c>
      <c r="C226" s="370" t="s">
        <v>189</v>
      </c>
      <c r="D226" s="377">
        <v>815.316</v>
      </c>
      <c r="E226" s="414">
        <v>4</v>
      </c>
      <c r="F226" s="333">
        <v>1358.3999999999996</v>
      </c>
      <c r="G226" s="340">
        <f t="shared" si="300"/>
      </c>
      <c r="H226" s="341">
        <f t="shared" si="318"/>
      </c>
      <c r="I226" s="342">
        <f t="shared" si="0"/>
      </c>
      <c r="J226" s="343">
        <f t="shared" si="17"/>
      </c>
      <c r="K226" s="344">
        <f t="shared" si="152"/>
      </c>
      <c r="L226" s="341">
        <f t="shared" si="171"/>
      </c>
      <c r="M226" s="345">
        <f t="shared" si="217"/>
      </c>
      <c r="N226" s="345">
        <f t="shared" si="221"/>
      </c>
      <c r="O226" s="345">
        <f t="shared" si="268"/>
      </c>
      <c r="P226" s="345">
        <f t="shared" si="85"/>
      </c>
      <c r="Q226" s="341">
        <f t="shared" si="117"/>
      </c>
      <c r="R226" s="343">
        <f t="shared" si="119"/>
      </c>
      <c r="S226" s="345">
        <f t="shared" si="121"/>
      </c>
      <c r="T226" s="345">
        <f t="shared" si="34"/>
      </c>
      <c r="U226" s="345">
        <f t="shared" si="51"/>
      </c>
      <c r="V226" s="345">
        <f t="shared" si="68"/>
      </c>
      <c r="W226" s="360" t="s">
        <v>181</v>
      </c>
      <c r="X226" s="340" t="s">
        <v>182</v>
      </c>
      <c r="Y226" s="350">
        <v>84495</v>
      </c>
      <c r="Z226" s="350">
        <v>2566</v>
      </c>
      <c r="AA226" s="350">
        <v>30594</v>
      </c>
      <c r="AB226" s="350">
        <v>731</v>
      </c>
      <c r="AC226" s="350">
        <v>2</v>
      </c>
      <c r="AD226" s="350">
        <v>3774</v>
      </c>
      <c r="AE226" s="350">
        <v>183</v>
      </c>
      <c r="AF226" s="350">
        <v>24</v>
      </c>
      <c r="AG226" s="350">
        <v>15</v>
      </c>
      <c r="AH226" s="349">
        <v>1</v>
      </c>
    </row>
    <row r="227">
      <c r="A227" s="401"/>
      <c r="B227" s="335" t="s">
        <v>179</v>
      </c>
      <c r="C227" s="372" t="s">
        <v>190</v>
      </c>
      <c r="D227" s="377">
        <v>1435.238</v>
      </c>
      <c r="E227" s="414">
        <v>2</v>
      </c>
      <c r="F227" s="333">
        <v>456</v>
      </c>
      <c r="G227" s="340">
        <f t="shared" si="300"/>
      </c>
      <c r="H227" s="341">
        <f t="shared" si="318"/>
      </c>
      <c r="I227" s="342">
        <f t="shared" si="0"/>
      </c>
      <c r="J227" s="343">
        <f t="shared" si="17"/>
      </c>
      <c r="K227" s="344">
        <f t="shared" si="152"/>
      </c>
      <c r="L227" s="341">
        <f t="shared" si="171"/>
      </c>
      <c r="M227" s="345">
        <f t="shared" si="217"/>
      </c>
      <c r="N227" s="345">
        <f t="shared" si="221"/>
      </c>
      <c r="O227" s="345">
        <f t="shared" si="268"/>
      </c>
      <c r="P227" s="345">
        <f t="shared" si="85"/>
      </c>
      <c r="Q227" s="341">
        <f t="shared" si="117"/>
      </c>
      <c r="R227" s="343">
        <f t="shared" si="119"/>
      </c>
      <c r="S227" s="345">
        <f t="shared" si="121"/>
      </c>
      <c r="T227" s="345">
        <f t="shared" si="34"/>
      </c>
      <c r="U227" s="345">
        <f t="shared" si="51"/>
      </c>
      <c r="V227" s="345">
        <f t="shared" si="68"/>
      </c>
      <c r="W227" s="360" t="s">
        <v>181</v>
      </c>
      <c r="X227" s="340" t="s">
        <v>182</v>
      </c>
      <c r="Y227" s="350">
        <v>246100</v>
      </c>
      <c r="Z227" s="350">
        <v>4550</v>
      </c>
      <c r="AA227" s="350">
        <v>100716</v>
      </c>
      <c r="AB227" s="350">
        <v>1358</v>
      </c>
      <c r="AC227" s="350">
        <v>2</v>
      </c>
      <c r="AD227" s="350">
        <v>12504</v>
      </c>
      <c r="AE227" s="350">
        <v>281</v>
      </c>
      <c r="AF227" s="350">
        <v>86</v>
      </c>
      <c r="AG227" s="350">
        <v>28</v>
      </c>
      <c r="AH227" s="349">
        <v>0</v>
      </c>
    </row>
    <row r="228">
      <c r="A228" s="401"/>
      <c r="B228" s="335" t="s">
        <v>179</v>
      </c>
      <c r="C228" s="373" t="s">
        <v>191</v>
      </c>
      <c r="D228" s="406">
        <v>4964.172</v>
      </c>
      <c r="E228" s="378">
        <v>7</v>
      </c>
      <c r="F228" s="333">
        <v>3364</v>
      </c>
      <c r="G228" s="340">
        <f t="shared" si="300"/>
      </c>
      <c r="H228" s="341">
        <f t="shared" si="318"/>
      </c>
      <c r="I228" s="342">
        <f t="shared" si="0"/>
      </c>
      <c r="J228" s="343">
        <f t="shared" si="17"/>
      </c>
      <c r="K228" s="344">
        <f t="shared" si="152"/>
      </c>
      <c r="L228" s="341">
        <f t="shared" si="171"/>
      </c>
      <c r="M228" s="345">
        <f t="shared" si="217"/>
      </c>
      <c r="N228" s="345">
        <f t="shared" si="221"/>
      </c>
      <c r="O228" s="345">
        <f t="shared" si="268"/>
      </c>
      <c r="P228" s="345">
        <f t="shared" si="85"/>
      </c>
      <c r="Q228" s="341">
        <f t="shared" si="117"/>
      </c>
      <c r="R228" s="343">
        <f t="shared" si="119"/>
      </c>
      <c r="S228" s="345">
        <f t="shared" si="121"/>
      </c>
      <c r="T228" s="345">
        <f t="shared" si="34"/>
      </c>
      <c r="U228" s="345">
        <f t="shared" si="51"/>
      </c>
      <c r="V228" s="345">
        <f t="shared" si="68"/>
      </c>
      <c r="W228" s="360" t="s">
        <v>181</v>
      </c>
      <c r="X228" s="340" t="s">
        <v>182</v>
      </c>
      <c r="Y228" s="350">
        <v>908023</v>
      </c>
      <c r="Z228" s="350">
        <v>11289</v>
      </c>
      <c r="AA228" s="350">
        <v>474390</v>
      </c>
      <c r="AB228" s="350">
        <v>3940</v>
      </c>
      <c r="AC228" s="350">
        <v>7</v>
      </c>
      <c r="AD228" s="350">
        <v>42247</v>
      </c>
      <c r="AE228" s="350">
        <v>836</v>
      </c>
      <c r="AF228" s="350">
        <v>361</v>
      </c>
      <c r="AG228" s="350">
        <v>75</v>
      </c>
      <c r="AH228" s="349">
        <v>0</v>
      </c>
    </row>
    <row r="229">
      <c r="A229" s="401"/>
      <c r="B229" s="335" t="s">
        <v>179</v>
      </c>
      <c r="C229" s="374" t="s">
        <v>192</v>
      </c>
      <c r="D229" s="407">
        <v>2559.701</v>
      </c>
      <c r="E229" s="338">
        <v>13</v>
      </c>
      <c r="F229" s="408">
        <v>3384.5999999999985</v>
      </c>
      <c r="G229" s="340">
        <f t="shared" si="300"/>
      </c>
      <c r="H229" s="341">
        <f t="shared" si="318"/>
      </c>
      <c r="I229" s="409">
        <f t="shared" si="0"/>
      </c>
      <c r="J229" s="410">
        <f t="shared" si="17"/>
      </c>
      <c r="K229" s="411">
        <f t="shared" ref="K229:K230" si="316">D229/AB229</f>
      </c>
      <c r="L229" s="412">
        <f t="shared" si="171"/>
      </c>
      <c r="M229" s="413">
        <f t="shared" ref="M229:M230" si="334">AC229/AB229</f>
      </c>
      <c r="N229" s="413">
        <f t="shared" si="221"/>
      </c>
      <c r="O229" s="413">
        <f t="shared" si="268"/>
      </c>
      <c r="P229" s="413">
        <f t="shared" si="85"/>
      </c>
      <c r="Q229" s="412">
        <f t="shared" si="117"/>
      </c>
      <c r="R229" s="410">
        <f t="shared" si="119"/>
      </c>
      <c r="S229" s="413">
        <f t="shared" si="121"/>
      </c>
      <c r="T229" s="413">
        <f t="shared" si="34"/>
      </c>
      <c r="U229" s="413">
        <f t="shared" si="51"/>
      </c>
      <c r="V229" s="413">
        <f t="shared" si="68"/>
      </c>
      <c r="W229" s="360" t="s">
        <v>181</v>
      </c>
      <c r="X229" s="375" t="s">
        <v>205</v>
      </c>
      <c r="Y229" s="350">
        <v>465508</v>
      </c>
      <c r="Z229" s="350">
        <v>6971</v>
      </c>
      <c r="AA229" s="350">
        <v>196795</v>
      </c>
      <c r="AB229" s="385">
        <v>2337</v>
      </c>
      <c r="AC229" s="385">
        <v>12</v>
      </c>
      <c r="AD229" s="385">
        <v>19311</v>
      </c>
      <c r="AE229" s="385">
        <v>549</v>
      </c>
      <c r="AF229" s="385">
        <v>160</v>
      </c>
      <c r="AG229" s="385">
        <v>44</v>
      </c>
      <c r="AH229" s="349">
        <v>1</v>
      </c>
    </row>
    <row r="230">
      <c r="A230" s="401"/>
      <c r="B230" s="335" t="s">
        <v>179</v>
      </c>
      <c r="C230" s="375" t="s">
        <v>194</v>
      </c>
      <c r="D230" s="406">
        <v>2797.6559999999995</v>
      </c>
      <c r="E230" s="378">
        <v>17</v>
      </c>
      <c r="F230" s="333">
        <v>5656.800000000003</v>
      </c>
      <c r="G230" s="340">
        <f t="shared" si="300"/>
      </c>
      <c r="H230" s="341">
        <f t="shared" si="318"/>
      </c>
      <c r="I230" s="409">
        <f t="shared" si="0"/>
      </c>
      <c r="J230" s="410">
        <f t="shared" si="17"/>
      </c>
      <c r="K230" s="411">
        <f t="shared" si="316"/>
      </c>
      <c r="L230" s="412">
        <f t="shared" si="171"/>
      </c>
      <c r="M230" s="413">
        <f t="shared" si="334"/>
      </c>
      <c r="N230" s="413">
        <f t="shared" si="221"/>
      </c>
      <c r="O230" s="413">
        <f t="shared" si="268"/>
      </c>
      <c r="P230" s="413">
        <f t="shared" si="85"/>
      </c>
      <c r="Q230" s="412">
        <f t="shared" si="117"/>
      </c>
      <c r="R230" s="410">
        <f t="shared" si="119"/>
      </c>
      <c r="S230" s="413">
        <f t="shared" si="121"/>
      </c>
      <c r="T230" s="413">
        <f t="shared" si="34"/>
      </c>
      <c r="U230" s="413">
        <f t="shared" si="51"/>
      </c>
      <c r="V230" s="413">
        <f t="shared" si="68"/>
      </c>
      <c r="W230" s="360" t="s">
        <v>181</v>
      </c>
      <c r="X230" s="375" t="s">
        <v>205</v>
      </c>
      <c r="Y230" s="350">
        <v>456931</v>
      </c>
      <c r="Z230" s="350">
        <v>7424</v>
      </c>
      <c r="AA230" s="350">
        <v>241154</v>
      </c>
      <c r="AB230" s="350">
        <v>1895</v>
      </c>
      <c r="AC230" s="350">
        <v>9</v>
      </c>
      <c r="AD230" s="350">
        <v>24973</v>
      </c>
      <c r="AE230" s="350">
        <v>461</v>
      </c>
      <c r="AF230" s="350">
        <v>225</v>
      </c>
      <c r="AG230" s="350">
        <v>26</v>
      </c>
      <c r="AH230" s="349">
        <v>3</v>
      </c>
    </row>
    <row r="231">
      <c r="A231" s="401"/>
      <c r="B231" s="361" t="s">
        <v>187</v>
      </c>
      <c r="C231" s="361"/>
      <c r="D231" s="362">
        <f>SUM(D226:D230)</f>
      </c>
      <c r="E231" s="363">
        <f>SUM(E226:E230)</f>
      </c>
      <c r="F231" s="362">
        <f>SUM(F226:F230)</f>
      </c>
      <c r="G231" s="362">
        <f t="shared" si="300"/>
      </c>
      <c r="H231" s="364">
        <f t="shared" si="318"/>
      </c>
      <c r="I231" s="365">
        <f t="shared" si="0"/>
      </c>
      <c r="J231" s="366">
        <f t="shared" si="17"/>
      </c>
      <c r="K231" s="367">
        <f t="shared" ref="K231:K234" si="153">D231/AA231</f>
      </c>
      <c r="L231" s="364">
        <f t="shared" si="171"/>
      </c>
      <c r="M231" s="368">
        <f t="shared" ref="M231:M234" si="218">AB231/AA231</f>
      </c>
      <c r="N231" s="368">
        <f t="shared" si="221"/>
      </c>
      <c r="O231" s="368">
        <f t="shared" si="268"/>
      </c>
      <c r="P231" s="368">
        <f t="shared" si="85"/>
      </c>
      <c r="Q231" s="364">
        <f t="shared" si="117"/>
      </c>
      <c r="R231" s="366">
        <f t="shared" si="119"/>
      </c>
      <c r="S231" s="368">
        <f t="shared" si="121"/>
      </c>
      <c r="T231" s="368">
        <f t="shared" si="34"/>
      </c>
      <c r="U231" s="368">
        <f t="shared" si="51"/>
      </c>
      <c r="V231" s="368">
        <f t="shared" si="68"/>
      </c>
      <c r="W231" s="368"/>
      <c r="X231" s="369"/>
      <c r="Y231" s="362">
        <f>SUM(Y226:Y230)</f>
      </c>
      <c r="Z231" s="362">
        <f>SUM(Z226:Z230)</f>
      </c>
      <c r="AA231" s="362">
        <f>SUM(AA226:AA230)</f>
      </c>
      <c r="AB231" s="362">
        <f>SUM(AB226:AB230)</f>
      </c>
      <c r="AC231" s="362">
        <f>SUM(AC226:AC230)</f>
      </c>
      <c r="AD231" s="362">
        <f>SUM(AD226:AD230)</f>
      </c>
      <c r="AE231" s="362">
        <f>SUM(AE226:AE230)</f>
      </c>
      <c r="AF231" s="362">
        <f>SUM(AF226:AF230)</f>
      </c>
      <c r="AG231" s="362">
        <f>SUM(AG226:AG230)</f>
      </c>
      <c r="AH231" s="362">
        <f>SUM(AH226:AH230)</f>
      </c>
    </row>
    <row r="232">
      <c r="A232" s="401"/>
      <c r="B232" s="376" t="s">
        <v>195</v>
      </c>
      <c r="C232" s="373" t="s">
        <v>196</v>
      </c>
      <c r="D232" s="406">
        <v>5111.145</v>
      </c>
      <c r="E232" s="378">
        <v>8</v>
      </c>
      <c r="F232" s="333">
        <v>2992</v>
      </c>
      <c r="G232" s="340">
        <f t="shared" si="300"/>
      </c>
      <c r="H232" s="341">
        <f t="shared" si="318"/>
      </c>
      <c r="I232" s="342">
        <f t="shared" si="0"/>
      </c>
      <c r="J232" s="343">
        <f t="shared" si="17"/>
      </c>
      <c r="K232" s="344">
        <f t="shared" si="153"/>
      </c>
      <c r="L232" s="341">
        <f t="shared" si="171"/>
      </c>
      <c r="M232" s="345">
        <f t="shared" si="218"/>
      </c>
      <c r="N232" s="345">
        <f t="shared" si="221"/>
      </c>
      <c r="O232" s="345">
        <f t="shared" si="268"/>
      </c>
      <c r="P232" s="345">
        <f t="shared" si="85"/>
      </c>
      <c r="Q232" s="341">
        <f t="shared" si="117"/>
      </c>
      <c r="R232" s="343">
        <f t="shared" si="119"/>
      </c>
      <c r="S232" s="345">
        <f t="shared" si="121"/>
      </c>
      <c r="T232" s="345">
        <f t="shared" si="34"/>
      </c>
      <c r="U232" s="345">
        <f t="shared" si="51"/>
      </c>
      <c r="V232" s="345">
        <f t="shared" si="68"/>
      </c>
      <c r="W232" s="360" t="s">
        <v>181</v>
      </c>
      <c r="X232" s="375" t="s">
        <v>205</v>
      </c>
      <c r="Y232" s="350">
        <v>1013770</v>
      </c>
      <c r="Z232" s="350">
        <v>13645</v>
      </c>
      <c r="AA232" s="350">
        <v>456678</v>
      </c>
      <c r="AB232" s="350">
        <v>4103</v>
      </c>
      <c r="AC232" s="350">
        <v>8</v>
      </c>
      <c r="AD232" s="350">
        <v>42855</v>
      </c>
      <c r="AE232" s="350">
        <v>819</v>
      </c>
      <c r="AF232" s="350">
        <v>352</v>
      </c>
      <c r="AG232" s="350">
        <v>35</v>
      </c>
      <c r="AH232" s="349">
        <v>0</v>
      </c>
    </row>
    <row r="233">
      <c r="A233" s="401"/>
      <c r="B233" s="376" t="s">
        <v>195</v>
      </c>
      <c r="C233" s="373" t="s">
        <v>197</v>
      </c>
      <c r="D233" s="406">
        <v>2183.197</v>
      </c>
      <c r="E233" s="378">
        <v>7</v>
      </c>
      <c r="F233" s="359">
        <v>3313.5999999999985</v>
      </c>
      <c r="G233" s="340">
        <f t="shared" si="300"/>
      </c>
      <c r="H233" s="341">
        <f t="shared" si="318"/>
      </c>
      <c r="I233" s="342">
        <f t="shared" si="0"/>
      </c>
      <c r="J233" s="343">
        <f t="shared" si="17"/>
      </c>
      <c r="K233" s="344">
        <f t="shared" si="153"/>
      </c>
      <c r="L233" s="341">
        <f t="shared" si="171"/>
      </c>
      <c r="M233" s="345">
        <f t="shared" si="218"/>
      </c>
      <c r="N233" s="345">
        <f t="shared" si="221"/>
      </c>
      <c r="O233" s="345">
        <f t="shared" si="268"/>
      </c>
      <c r="P233" s="345">
        <f t="shared" si="85"/>
      </c>
      <c r="Q233" s="341">
        <f t="shared" si="117"/>
      </c>
      <c r="R233" s="343">
        <f t="shared" si="119"/>
      </c>
      <c r="S233" s="345">
        <f t="shared" si="121"/>
      </c>
      <c r="T233" s="345">
        <f t="shared" si="34"/>
      </c>
      <c r="U233" s="345">
        <f t="shared" si="51"/>
      </c>
      <c r="V233" s="345">
        <f t="shared" si="68"/>
      </c>
      <c r="W233" s="360" t="s">
        <v>181</v>
      </c>
      <c r="X233" s="375" t="s">
        <v>205</v>
      </c>
      <c r="Y233" s="350">
        <v>472210</v>
      </c>
      <c r="Z233" s="350">
        <v>6497</v>
      </c>
      <c r="AA233" s="350">
        <v>141963</v>
      </c>
      <c r="AB233" s="350">
        <v>2154</v>
      </c>
      <c r="AC233" s="350">
        <v>6</v>
      </c>
      <c r="AD233" s="350">
        <v>10135</v>
      </c>
      <c r="AE233" s="350">
        <v>302</v>
      </c>
      <c r="AF233" s="350">
        <v>56</v>
      </c>
      <c r="AG233" s="350">
        <v>9</v>
      </c>
      <c r="AH233" s="349">
        <v>1</v>
      </c>
    </row>
    <row r="234">
      <c r="A234" s="401"/>
      <c r="B234" s="376" t="s">
        <v>195</v>
      </c>
      <c r="C234" s="374" t="s">
        <v>198</v>
      </c>
      <c r="D234" s="406">
        <v>2234.626</v>
      </c>
      <c r="E234" s="378">
        <v>8</v>
      </c>
      <c r="F234" s="333">
        <v>1718.2999999999993</v>
      </c>
      <c r="G234" s="340">
        <f t="shared" si="300"/>
      </c>
      <c r="H234" s="341">
        <f t="shared" si="318"/>
      </c>
      <c r="I234" s="342">
        <f t="shared" si="0"/>
      </c>
      <c r="J234" s="343">
        <f t="shared" si="17"/>
      </c>
      <c r="K234" s="344">
        <f t="shared" si="153"/>
      </c>
      <c r="L234" s="341">
        <f t="shared" si="171"/>
      </c>
      <c r="M234" s="345">
        <f t="shared" si="218"/>
      </c>
      <c r="N234" s="345">
        <f t="shared" si="221"/>
      </c>
      <c r="O234" s="345">
        <f t="shared" si="268"/>
      </c>
      <c r="P234" s="345">
        <f t="shared" si="85"/>
      </c>
      <c r="Q234" s="341">
        <f t="shared" si="117"/>
      </c>
      <c r="R234" s="343">
        <f t="shared" si="119"/>
      </c>
      <c r="S234" s="345">
        <f t="shared" si="121"/>
      </c>
      <c r="T234" s="345">
        <f t="shared" si="34"/>
      </c>
      <c r="U234" s="345">
        <f t="shared" si="51"/>
      </c>
      <c r="V234" s="345">
        <f t="shared" si="68"/>
      </c>
      <c r="W234" s="360" t="s">
        <v>181</v>
      </c>
      <c r="X234" s="375" t="s">
        <v>205</v>
      </c>
      <c r="Y234" s="350">
        <v>490416</v>
      </c>
      <c r="Z234" s="350">
        <v>6980</v>
      </c>
      <c r="AA234" s="350">
        <v>201736</v>
      </c>
      <c r="AB234" s="350">
        <v>2218</v>
      </c>
      <c r="AC234" s="350">
        <v>7</v>
      </c>
      <c r="AD234" s="350">
        <v>13775</v>
      </c>
      <c r="AE234" s="350">
        <v>375</v>
      </c>
      <c r="AF234" s="350">
        <v>123</v>
      </c>
      <c r="AG234" s="350">
        <v>16</v>
      </c>
      <c r="AH234" s="349">
        <v>0</v>
      </c>
    </row>
    <row r="235">
      <c r="A235" s="401"/>
      <c r="B235" s="376" t="s">
        <v>195</v>
      </c>
      <c r="C235" s="373" t="s">
        <v>199</v>
      </c>
      <c r="D235" s="407">
        <v>3647.866</v>
      </c>
      <c r="E235" s="338">
        <v>8</v>
      </c>
      <c r="F235" s="408">
        <v>2359.5999999999985</v>
      </c>
      <c r="G235" s="340">
        <f t="shared" si="300"/>
      </c>
      <c r="H235" s="341">
        <f t="shared" si="318"/>
      </c>
      <c r="I235" s="409">
        <f t="shared" si="0"/>
      </c>
      <c r="J235" s="410">
        <f t="shared" si="17"/>
      </c>
      <c r="K235" s="411">
        <f t="shared" ref="K235:K236" si="317">D235/AB235</f>
      </c>
      <c r="L235" s="412">
        <f t="shared" si="171"/>
      </c>
      <c r="M235" s="413">
        <f t="shared" ref="M235:M236" si="335">AC235/AB235</f>
      </c>
      <c r="N235" s="413">
        <f t="shared" si="221"/>
      </c>
      <c r="O235" s="413">
        <f t="shared" si="268"/>
      </c>
      <c r="P235" s="413">
        <f t="shared" si="85"/>
      </c>
      <c r="Q235" s="412">
        <f t="shared" si="117"/>
      </c>
      <c r="R235" s="410">
        <f t="shared" si="119"/>
      </c>
      <c r="S235" s="413">
        <f t="shared" si="121"/>
      </c>
      <c r="T235" s="413">
        <f t="shared" si="34"/>
      </c>
      <c r="U235" s="413">
        <f t="shared" si="51"/>
      </c>
      <c r="V235" s="413">
        <f t="shared" si="68"/>
      </c>
      <c r="W235" s="360" t="s">
        <v>181</v>
      </c>
      <c r="X235" s="375" t="s">
        <v>205</v>
      </c>
      <c r="Y235" s="350">
        <v>676730</v>
      </c>
      <c r="Z235" s="350">
        <v>11897</v>
      </c>
      <c r="AA235" s="350">
        <v>392840</v>
      </c>
      <c r="AB235" s="385">
        <v>3403</v>
      </c>
      <c r="AC235" s="385">
        <v>8</v>
      </c>
      <c r="AD235" s="385">
        <v>41960</v>
      </c>
      <c r="AE235" s="385">
        <v>746</v>
      </c>
      <c r="AF235" s="385">
        <v>327</v>
      </c>
      <c r="AG235" s="385">
        <v>37</v>
      </c>
      <c r="AH235" s="349">
        <v>1</v>
      </c>
    </row>
    <row r="236">
      <c r="A236" s="401"/>
      <c r="B236" s="376" t="s">
        <v>195</v>
      </c>
      <c r="C236" s="386" t="s">
        <v>200</v>
      </c>
      <c r="D236" s="377">
        <v>2815.2110000000002</v>
      </c>
      <c r="E236" s="378">
        <v>5</v>
      </c>
      <c r="F236" s="333">
        <v>2455.5999999999985</v>
      </c>
      <c r="G236" s="340">
        <f t="shared" si="300"/>
      </c>
      <c r="H236" s="341">
        <f t="shared" si="318"/>
      </c>
      <c r="I236" s="409">
        <f t="shared" si="0"/>
      </c>
      <c r="J236" s="410">
        <f t="shared" si="17"/>
      </c>
      <c r="K236" s="411">
        <f t="shared" si="317"/>
      </c>
      <c r="L236" s="412">
        <f t="shared" si="171"/>
      </c>
      <c r="M236" s="413">
        <f t="shared" si="335"/>
      </c>
      <c r="N236" s="413">
        <f t="shared" si="221"/>
      </c>
      <c r="O236" s="413">
        <f t="shared" si="268"/>
      </c>
      <c r="P236" s="413">
        <f t="shared" si="85"/>
      </c>
      <c r="Q236" s="412">
        <f t="shared" si="117"/>
      </c>
      <c r="R236" s="410">
        <f t="shared" si="119"/>
      </c>
      <c r="S236" s="413">
        <f t="shared" si="121"/>
      </c>
      <c r="T236" s="413">
        <f t="shared" si="34"/>
      </c>
      <c r="U236" s="413">
        <f t="shared" si="51"/>
      </c>
      <c r="V236" s="413">
        <f t="shared" si="68"/>
      </c>
      <c r="W236" s="360" t="s">
        <v>181</v>
      </c>
      <c r="X236" s="375" t="s">
        <v>205</v>
      </c>
      <c r="Y236" s="350">
        <v>332644</v>
      </c>
      <c r="Z236" s="350">
        <v>4624</v>
      </c>
      <c r="AA236" s="350">
        <v>94552</v>
      </c>
      <c r="AB236" s="350">
        <v>1620</v>
      </c>
      <c r="AC236" s="350">
        <v>4</v>
      </c>
      <c r="AD236" s="350">
        <v>6661</v>
      </c>
      <c r="AE236" s="350">
        <v>201</v>
      </c>
      <c r="AF236" s="350">
        <v>61</v>
      </c>
      <c r="AG236" s="350">
        <v>10</v>
      </c>
      <c r="AH236" s="349">
        <v>1</v>
      </c>
    </row>
    <row r="237">
      <c r="A237" s="401"/>
      <c r="B237" s="387" t="s">
        <v>187</v>
      </c>
      <c r="C237" s="387"/>
      <c r="D237" s="362">
        <f>SUM(D232:D236)</f>
      </c>
      <c r="E237" s="363">
        <f>SUM(E232:E236)</f>
      </c>
      <c r="F237" s="362">
        <f>SUM(F232:F236)</f>
      </c>
      <c r="G237" s="362">
        <f t="shared" si="300"/>
      </c>
      <c r="H237" s="364">
        <f t="shared" si="318"/>
      </c>
      <c r="I237" s="365">
        <f t="shared" si="0"/>
      </c>
      <c r="J237" s="366">
        <f t="shared" si="17"/>
      </c>
      <c r="K237" s="367">
        <f t="shared" ref="K237:K278" si="154">D237/AA237</f>
      </c>
      <c r="L237" s="364">
        <f t="shared" si="171"/>
      </c>
      <c r="M237" s="368">
        <f t="shared" ref="M237:M278" si="219">AB237/AA237</f>
      </c>
      <c r="N237" s="368">
        <f t="shared" si="221"/>
      </c>
      <c r="O237" s="368">
        <f t="shared" si="268"/>
      </c>
      <c r="P237" s="368">
        <f t="shared" si="85"/>
      </c>
      <c r="Q237" s="364">
        <f t="shared" si="117"/>
      </c>
      <c r="R237" s="366">
        <f t="shared" si="119"/>
      </c>
      <c r="S237" s="368">
        <f t="shared" si="121"/>
      </c>
      <c r="T237" s="368">
        <f t="shared" si="34"/>
      </c>
      <c r="U237" s="368">
        <f t="shared" si="51"/>
      </c>
      <c r="V237" s="368">
        <f t="shared" si="68"/>
      </c>
      <c r="W237" s="368"/>
      <c r="X237" s="369"/>
      <c r="Y237" s="362">
        <f>SUM(Y232:Y236)</f>
      </c>
      <c r="Z237" s="362">
        <f>SUM(Z232:Z236)</f>
      </c>
      <c r="AA237" s="362">
        <f>SUM(AA232:AA236)</f>
      </c>
      <c r="AB237" s="362">
        <f>SUM(AB232:AB236)</f>
      </c>
      <c r="AC237" s="362">
        <f>SUM(AC232:AC236)</f>
      </c>
      <c r="AD237" s="362">
        <f>SUM(AD232:AD236)</f>
      </c>
      <c r="AE237" s="362">
        <f>SUM(AE232:AE236)</f>
      </c>
      <c r="AF237" s="362">
        <f>SUM(AF232:AF236)</f>
      </c>
      <c r="AG237" s="362">
        <f>SUM(AG232:AG236)</f>
      </c>
      <c r="AH237" s="362">
        <f>SUM(AH232:AH236)</f>
      </c>
    </row>
    <row r="238">
      <c r="A238" s="401"/>
      <c r="B238" s="388" t="s">
        <v>201</v>
      </c>
      <c r="C238" s="388"/>
      <c r="D238" s="389">
        <f>SUM(D225+D237+D231)</f>
      </c>
      <c r="E238" s="389">
        <f>SUM(E225+E237+E231)</f>
      </c>
      <c r="F238" s="389">
        <f>SUM(F225+F237+F231)</f>
      </c>
      <c r="G238" s="390">
        <f t="shared" si="300"/>
      </c>
      <c r="H238" s="391">
        <f t="shared" si="318"/>
      </c>
      <c r="I238" s="392">
        <f t="shared" si="0"/>
      </c>
      <c r="J238" s="393">
        <f t="shared" si="17"/>
      </c>
      <c r="K238" s="394">
        <f t="shared" si="154"/>
      </c>
      <c r="L238" s="394">
        <f t="shared" si="171"/>
      </c>
      <c r="M238" s="395">
        <f t="shared" si="219"/>
      </c>
      <c r="N238" s="395">
        <f t="shared" si="221"/>
      </c>
      <c r="O238" s="395">
        <f t="shared" si="268"/>
      </c>
      <c r="P238" s="395">
        <f t="shared" si="85"/>
      </c>
      <c r="Q238" s="396">
        <f t="shared" si="117"/>
      </c>
      <c r="R238" s="397">
        <f t="shared" si="119"/>
      </c>
      <c r="S238" s="398">
        <f t="shared" si="121"/>
      </c>
      <c r="T238" s="398">
        <f t="shared" si="34"/>
      </c>
      <c r="U238" s="398">
        <f t="shared" si="51"/>
      </c>
      <c r="V238" s="398">
        <f t="shared" si="68"/>
      </c>
      <c r="W238" s="398"/>
      <c r="X238" s="399"/>
      <c r="Y238" s="390">
        <f>SUM(Y237+Y225+Y231)</f>
      </c>
      <c r="Z238" s="390">
        <f>SUM(Z237+Z225+Z231)</f>
      </c>
      <c r="AA238" s="390">
        <f>SUM(AA237+AA225+AA231)</f>
      </c>
      <c r="AB238" s="390">
        <f>SUM(AB237+AB225+AB231)</f>
      </c>
      <c r="AC238" s="390">
        <f>SUM(AC237+AC225+AC231)</f>
      </c>
      <c r="AD238" s="390">
        <f>SUM(AD237+AD225+AD231)</f>
      </c>
      <c r="AE238" s="390">
        <f>SUM(AE237+AE225+AE231)</f>
      </c>
      <c r="AF238" s="390">
        <f>SUM(AF237+AF225+AF231)</f>
      </c>
      <c r="AG238" s="390">
        <f>SUM(AG237+AG225+AG231)</f>
      </c>
      <c r="AH238" s="390">
        <f>SUM(AH237+AH225+AH231)</f>
      </c>
    </row>
    <row r="239">
      <c r="A239" s="334">
        <v>46248</v>
      </c>
      <c r="B239" s="415" t="s">
        <v>179</v>
      </c>
      <c r="C239" s="336" t="s">
        <v>180</v>
      </c>
      <c r="D239" s="337">
        <v>1863.845</v>
      </c>
      <c r="E239" s="338">
        <v>3</v>
      </c>
      <c r="F239" s="339">
        <v>620</v>
      </c>
      <c r="G239" s="340">
        <f t="shared" si="300"/>
      </c>
      <c r="H239" s="341">
        <f t="shared" si="318"/>
      </c>
      <c r="I239" s="342">
        <f t="shared" si="0"/>
      </c>
      <c r="J239" s="343">
        <f t="shared" si="17"/>
      </c>
      <c r="K239" s="344">
        <f t="shared" si="154"/>
      </c>
      <c r="L239" s="341">
        <f t="shared" si="171"/>
      </c>
      <c r="M239" s="345">
        <f t="shared" si="219"/>
      </c>
      <c r="N239" s="345">
        <f t="shared" si="221"/>
      </c>
      <c r="O239" s="345">
        <f t="shared" si="268"/>
      </c>
      <c r="P239" s="345">
        <f t="shared" si="85"/>
      </c>
      <c r="Q239" s="341">
        <f t="shared" si="117"/>
      </c>
      <c r="R239" s="343">
        <f t="shared" si="119"/>
      </c>
      <c r="S239" s="345">
        <f t="shared" si="121"/>
      </c>
      <c r="T239" s="345">
        <f t="shared" si="34"/>
      </c>
      <c r="U239" s="345">
        <f t="shared" si="51"/>
      </c>
      <c r="V239" s="345">
        <f t="shared" si="68"/>
      </c>
      <c r="W239" s="346" t="s">
        <v>181</v>
      </c>
      <c r="X239" s="347" t="s">
        <v>206</v>
      </c>
      <c r="Y239" s="348">
        <v>130042</v>
      </c>
      <c r="Z239" s="348">
        <v>3989</v>
      </c>
      <c r="AA239" s="348">
        <v>54301</v>
      </c>
      <c r="AB239" s="348">
        <v>1180</v>
      </c>
      <c r="AC239" s="349">
        <v>3</v>
      </c>
      <c r="AD239" s="348">
        <v>12659</v>
      </c>
      <c r="AE239" s="350">
        <v>233</v>
      </c>
      <c r="AF239" s="350">
        <v>54</v>
      </c>
      <c r="AG239" s="350">
        <v>10</v>
      </c>
      <c r="AH239" s="349">
        <v>0</v>
      </c>
    </row>
    <row r="240">
      <c r="A240" s="334"/>
      <c r="B240" s="415" t="s">
        <v>179</v>
      </c>
      <c r="C240" s="336" t="s">
        <v>183</v>
      </c>
      <c r="D240" s="337">
        <v>1852.7789999999998</v>
      </c>
      <c r="E240" s="338">
        <v>3</v>
      </c>
      <c r="F240" s="339">
        <v>1220</v>
      </c>
      <c r="G240" s="340">
        <f t="shared" si="300"/>
      </c>
      <c r="H240" s="341">
        <f t="shared" si="318"/>
      </c>
      <c r="I240" s="342">
        <f t="shared" si="0"/>
      </c>
      <c r="J240" s="343">
        <f t="shared" si="17"/>
      </c>
      <c r="K240" s="344">
        <f t="shared" si="154"/>
      </c>
      <c r="L240" s="341">
        <f t="shared" si="171"/>
      </c>
      <c r="M240" s="345">
        <f t="shared" si="219"/>
      </c>
      <c r="N240" s="345">
        <f t="shared" si="221"/>
      </c>
      <c r="O240" s="345">
        <f t="shared" si="268"/>
      </c>
      <c r="P240" s="345">
        <f t="shared" si="85"/>
      </c>
      <c r="Q240" s="341">
        <f t="shared" si="117"/>
      </c>
      <c r="R240" s="343">
        <f t="shared" si="119"/>
      </c>
      <c r="S240" s="345">
        <f t="shared" si="121"/>
      </c>
      <c r="T240" s="345">
        <f t="shared" si="34"/>
      </c>
      <c r="U240" s="345">
        <f t="shared" si="51"/>
      </c>
      <c r="V240" s="345">
        <f t="shared" si="68"/>
      </c>
      <c r="W240" s="346" t="s">
        <v>181</v>
      </c>
      <c r="X240" s="347" t="s">
        <v>206</v>
      </c>
      <c r="Y240" s="350">
        <v>118782</v>
      </c>
      <c r="Z240" s="348">
        <v>4957</v>
      </c>
      <c r="AA240" s="348">
        <v>50707</v>
      </c>
      <c r="AB240" s="348">
        <v>1340</v>
      </c>
      <c r="AC240" s="350">
        <v>3</v>
      </c>
      <c r="AD240" s="348">
        <v>11355</v>
      </c>
      <c r="AE240" s="350">
        <v>301</v>
      </c>
      <c r="AF240" s="350">
        <v>64</v>
      </c>
      <c r="AG240" s="349">
        <v>13</v>
      </c>
      <c r="AH240" s="349">
        <v>0</v>
      </c>
    </row>
    <row r="241">
      <c r="A241" s="334"/>
      <c r="B241" s="415" t="s">
        <v>179</v>
      </c>
      <c r="C241" s="351" t="s">
        <v>184</v>
      </c>
      <c r="D241" s="337">
        <v>1530.8770000000002</v>
      </c>
      <c r="E241" s="338">
        <v>5</v>
      </c>
      <c r="F241" s="339">
        <v>1108</v>
      </c>
      <c r="G241" s="340">
        <f t="shared" si="300"/>
      </c>
      <c r="H241" s="341">
        <f t="shared" si="318"/>
      </c>
      <c r="I241" s="342">
        <f t="shared" si="0"/>
      </c>
      <c r="J241" s="343">
        <f t="shared" si="17"/>
      </c>
      <c r="K241" s="344">
        <f t="shared" si="154"/>
      </c>
      <c r="L241" s="341">
        <f t="shared" si="171"/>
      </c>
      <c r="M241" s="345">
        <f t="shared" si="219"/>
      </c>
      <c r="N241" s="345">
        <f t="shared" si="221"/>
      </c>
      <c r="O241" s="345">
        <f t="shared" si="268"/>
      </c>
      <c r="P241" s="345">
        <f t="shared" si="85"/>
      </c>
      <c r="Q241" s="341">
        <f t="shared" si="117"/>
      </c>
      <c r="R241" s="343">
        <f t="shared" si="119"/>
      </c>
      <c r="S241" s="345">
        <f t="shared" si="121"/>
      </c>
      <c r="T241" s="345">
        <f t="shared" si="34"/>
      </c>
      <c r="U241" s="345">
        <f t="shared" si="51"/>
      </c>
      <c r="V241" s="345">
        <f t="shared" si="68"/>
      </c>
      <c r="W241" s="346" t="s">
        <v>181</v>
      </c>
      <c r="X241" s="347" t="s">
        <v>206</v>
      </c>
      <c r="Y241" s="350">
        <v>102655</v>
      </c>
      <c r="Z241" s="348">
        <v>5571</v>
      </c>
      <c r="AA241" s="348">
        <v>45392</v>
      </c>
      <c r="AB241" s="348">
        <v>928</v>
      </c>
      <c r="AC241" s="350">
        <v>5</v>
      </c>
      <c r="AD241" s="348">
        <v>7140</v>
      </c>
      <c r="AE241" s="350">
        <v>188</v>
      </c>
      <c r="AF241" s="350">
        <v>48</v>
      </c>
      <c r="AG241" s="350">
        <v>11</v>
      </c>
      <c r="AH241" s="349">
        <v>0</v>
      </c>
    </row>
    <row r="242">
      <c r="A242" s="334"/>
      <c r="B242" s="415" t="s">
        <v>179</v>
      </c>
      <c r="C242" s="416" t="s">
        <v>207</v>
      </c>
      <c r="D242" s="357">
        <v>2282.958</v>
      </c>
      <c r="E242" s="358">
        <v>3</v>
      </c>
      <c r="F242" s="359">
        <v>641.1999999999998</v>
      </c>
      <c r="G242" s="340">
        <f t="shared" si="300"/>
      </c>
      <c r="H242" s="341">
        <f t="shared" si="318"/>
      </c>
      <c r="I242" s="342">
        <f t="shared" si="0"/>
      </c>
      <c r="J242" s="343">
        <f t="shared" si="17"/>
      </c>
      <c r="K242" s="344">
        <f t="shared" si="154"/>
      </c>
      <c r="L242" s="341">
        <f t="shared" si="171"/>
      </c>
      <c r="M242" s="345">
        <f t="shared" si="219"/>
      </c>
      <c r="N242" s="345">
        <f t="shared" si="221"/>
      </c>
      <c r="O242" s="345">
        <f t="shared" si="268"/>
      </c>
      <c r="P242" s="345">
        <f t="shared" si="85"/>
      </c>
      <c r="Q242" s="341">
        <f t="shared" si="117"/>
      </c>
      <c r="R242" s="343">
        <f t="shared" si="119"/>
      </c>
      <c r="S242" s="345">
        <f t="shared" si="121"/>
      </c>
      <c r="T242" s="345">
        <f t="shared" si="34"/>
      </c>
      <c r="U242" s="345">
        <f t="shared" si="51"/>
      </c>
      <c r="V242" s="345">
        <f t="shared" si="68"/>
      </c>
      <c r="W242" s="360" t="s">
        <v>181</v>
      </c>
      <c r="X242" s="347" t="s">
        <v>206</v>
      </c>
      <c r="Y242" s="350">
        <v>137616</v>
      </c>
      <c r="Z242" s="350">
        <v>7595</v>
      </c>
      <c r="AA242" s="350">
        <v>96476</v>
      </c>
      <c r="AB242" s="350">
        <v>762</v>
      </c>
      <c r="AC242" s="350">
        <v>4</v>
      </c>
      <c r="AD242" s="350">
        <v>10127</v>
      </c>
      <c r="AE242" s="350">
        <v>211</v>
      </c>
      <c r="AF242" s="350">
        <v>107</v>
      </c>
      <c r="AG242" s="349">
        <v>13</v>
      </c>
      <c r="AH242" s="349">
        <v>0</v>
      </c>
    </row>
    <row r="243">
      <c r="A243" s="334"/>
      <c r="B243" s="361" t="s">
        <v>187</v>
      </c>
      <c r="C243" s="361"/>
      <c r="D243" s="362">
        <f>SUM(D239:D242)</f>
      </c>
      <c r="E243" s="363">
        <f>SUM(E239:E242)</f>
      </c>
      <c r="F243" s="362">
        <f>SUM(F239:F242)</f>
      </c>
      <c r="G243" s="362">
        <f t="shared" si="300"/>
      </c>
      <c r="H243" s="364">
        <f t="shared" si="318"/>
      </c>
      <c r="I243" s="365">
        <f t="shared" si="0"/>
      </c>
      <c r="J243" s="366">
        <f t="shared" si="17"/>
      </c>
      <c r="K243" s="367">
        <f t="shared" si="154"/>
      </c>
      <c r="L243" s="364">
        <f t="shared" si="171"/>
      </c>
      <c r="M243" s="368">
        <f t="shared" si="219"/>
      </c>
      <c r="N243" s="368">
        <f t="shared" si="221"/>
      </c>
      <c r="O243" s="368">
        <f t="shared" si="268"/>
      </c>
      <c r="P243" s="368">
        <f t="shared" si="85"/>
      </c>
      <c r="Q243" s="364">
        <f t="shared" si="117"/>
      </c>
      <c r="R243" s="366">
        <f t="shared" si="119"/>
      </c>
      <c r="S243" s="368">
        <f t="shared" si="121"/>
      </c>
      <c r="T243" s="368">
        <f t="shared" si="34"/>
      </c>
      <c r="U243" s="368">
        <f t="shared" si="51"/>
      </c>
      <c r="V243" s="368">
        <f t="shared" si="68"/>
      </c>
      <c r="W243" s="368"/>
      <c r="X243" s="369"/>
      <c r="Y243" s="362">
        <f>SUM(Y239:Y242)</f>
      </c>
      <c r="Z243" s="362">
        <f>SUM(Z239:Z242)</f>
      </c>
      <c r="AA243" s="362">
        <f>SUM(AA239:AA242)</f>
      </c>
      <c r="AB243" s="362">
        <f>SUM(AB239:AB242)</f>
      </c>
      <c r="AC243" s="362">
        <f>SUM(AC239:AC242)</f>
      </c>
      <c r="AD243" s="362">
        <f>SUM(AD239:AD242)</f>
      </c>
      <c r="AE243" s="362">
        <f>SUM(AE239:AE242)</f>
      </c>
      <c r="AF243" s="362">
        <f>SUM(AF239:AF242)</f>
      </c>
      <c r="AG243" s="362">
        <f>SUM(AG239:AG242)</f>
      </c>
      <c r="AH243" s="362">
        <f>SUM(AH239:AH242)</f>
      </c>
    </row>
    <row r="244">
      <c r="A244" s="334"/>
      <c r="B244" s="335" t="s">
        <v>208</v>
      </c>
      <c r="C244" s="416" t="s">
        <v>209</v>
      </c>
      <c r="D244" s="371">
        <v>4507.862</v>
      </c>
      <c r="E244" s="338">
        <v>8</v>
      </c>
      <c r="F244" s="339">
        <v>2992</v>
      </c>
      <c r="G244" s="340">
        <f t="shared" si="300"/>
      </c>
      <c r="H244" s="341">
        <f t="shared" si="318"/>
      </c>
      <c r="I244" s="342">
        <f t="shared" si="0"/>
      </c>
      <c r="J244" s="343">
        <f t="shared" si="17"/>
      </c>
      <c r="K244" s="344">
        <f t="shared" si="154"/>
      </c>
      <c r="L244" s="341">
        <f t="shared" si="171"/>
      </c>
      <c r="M244" s="345">
        <f t="shared" si="219"/>
      </c>
      <c r="N244" s="345">
        <f t="shared" si="221"/>
      </c>
      <c r="O244" s="345">
        <f t="shared" si="268"/>
      </c>
      <c r="P244" s="345">
        <f t="shared" si="85"/>
      </c>
      <c r="Q244" s="341">
        <f t="shared" si="117"/>
      </c>
      <c r="R244" s="343">
        <f t="shared" si="119"/>
      </c>
      <c r="S244" s="345">
        <f t="shared" si="121"/>
      </c>
      <c r="T244" s="345">
        <f t="shared" si="34"/>
      </c>
      <c r="U244" s="345">
        <f t="shared" si="51"/>
      </c>
      <c r="V244" s="345">
        <f t="shared" si="68"/>
      </c>
      <c r="W244" s="360" t="s">
        <v>181</v>
      </c>
      <c r="X244" s="347" t="s">
        <v>206</v>
      </c>
      <c r="Y244" s="348">
        <v>339281</v>
      </c>
      <c r="Z244" s="348">
        <v>14901</v>
      </c>
      <c r="AA244" s="348">
        <v>201616</v>
      </c>
      <c r="AB244" s="350">
        <v>1587</v>
      </c>
      <c r="AC244" s="350">
        <v>7</v>
      </c>
      <c r="AD244" s="348">
        <v>16596</v>
      </c>
      <c r="AE244" s="350">
        <v>403</v>
      </c>
      <c r="AF244" s="350">
        <v>236</v>
      </c>
      <c r="AG244" s="350">
        <v>33</v>
      </c>
      <c r="AH244" s="349">
        <v>0</v>
      </c>
    </row>
    <row r="245">
      <c r="A245" s="334"/>
      <c r="B245" s="335" t="s">
        <v>208</v>
      </c>
      <c r="C245" s="370" t="s">
        <v>189</v>
      </c>
      <c r="D245" s="371">
        <v>3066.707</v>
      </c>
      <c r="E245" s="358">
        <v>11</v>
      </c>
      <c r="F245" s="359">
        <v>2937.2000000000016</v>
      </c>
      <c r="G245" s="340">
        <f t="shared" si="300"/>
      </c>
      <c r="H245" s="341">
        <f t="shared" si="318"/>
      </c>
      <c r="I245" s="342">
        <f t="shared" si="0"/>
      </c>
      <c r="J245" s="343">
        <f t="shared" si="17"/>
      </c>
      <c r="K245" s="344">
        <f t="shared" si="154"/>
      </c>
      <c r="L245" s="341">
        <f t="shared" si="171"/>
      </c>
      <c r="M245" s="345">
        <f t="shared" si="219"/>
      </c>
      <c r="N245" s="345">
        <f t="shared" si="221"/>
      </c>
      <c r="O245" s="345">
        <f t="shared" si="268"/>
      </c>
      <c r="P245" s="345">
        <f t="shared" si="85"/>
      </c>
      <c r="Q245" s="341">
        <f t="shared" si="117"/>
      </c>
      <c r="R245" s="343">
        <f t="shared" si="119"/>
      </c>
      <c r="S245" s="345">
        <f t="shared" si="121"/>
      </c>
      <c r="T245" s="345">
        <f t="shared" si="34"/>
      </c>
      <c r="U245" s="345">
        <f t="shared" si="51"/>
      </c>
      <c r="V245" s="345">
        <f t="shared" si="68"/>
      </c>
      <c r="W245" s="360" t="s">
        <v>181</v>
      </c>
      <c r="X245" s="347" t="s">
        <v>206</v>
      </c>
      <c r="Y245" s="350">
        <v>219964</v>
      </c>
      <c r="Z245" s="350">
        <v>11501</v>
      </c>
      <c r="AA245" s="350">
        <v>142555</v>
      </c>
      <c r="AB245" s="350">
        <v>1311</v>
      </c>
      <c r="AC245" s="350">
        <v>10</v>
      </c>
      <c r="AD245" s="350">
        <v>11725</v>
      </c>
      <c r="AE245" s="350">
        <v>341</v>
      </c>
      <c r="AF245" s="350">
        <v>161</v>
      </c>
      <c r="AG245" s="350">
        <v>36</v>
      </c>
      <c r="AH245" s="349">
        <v>0</v>
      </c>
    </row>
    <row r="246">
      <c r="A246" s="334"/>
      <c r="B246" s="361" t="s">
        <v>187</v>
      </c>
      <c r="C246" s="361"/>
      <c r="D246" s="362">
        <f>SUM(D244:D245)</f>
      </c>
      <c r="E246" s="362">
        <f>SUM(E244:E245)</f>
      </c>
      <c r="F246" s="362">
        <f>SUM(F244:F245)</f>
      </c>
      <c r="G246" s="362">
        <f t="shared" si="300"/>
      </c>
      <c r="H246" s="364">
        <f t="shared" si="318"/>
      </c>
      <c r="I246" s="365">
        <f t="shared" si="0"/>
      </c>
      <c r="J246" s="366">
        <f t="shared" si="17"/>
      </c>
      <c r="K246" s="367">
        <f t="shared" si="154"/>
      </c>
      <c r="L246" s="364">
        <f t="shared" si="171"/>
      </c>
      <c r="M246" s="368">
        <f t="shared" si="219"/>
      </c>
      <c r="N246" s="368">
        <f t="shared" si="221"/>
      </c>
      <c r="O246" s="368">
        <f t="shared" si="268"/>
      </c>
      <c r="P246" s="368">
        <f t="shared" si="85"/>
      </c>
      <c r="Q246" s="364">
        <f t="shared" si="117"/>
      </c>
      <c r="R246" s="366">
        <f t="shared" si="119"/>
      </c>
      <c r="S246" s="368">
        <f t="shared" si="121"/>
      </c>
      <c r="T246" s="368">
        <f t="shared" si="34"/>
      </c>
      <c r="U246" s="368">
        <f t="shared" si="51"/>
      </c>
      <c r="V246" s="368">
        <f t="shared" si="68"/>
      </c>
      <c r="W246" s="368"/>
      <c r="X246" s="369"/>
      <c r="Y246" s="362">
        <f>SUM(Y244:Y245)</f>
      </c>
      <c r="Z246" s="362">
        <f>SUM(Z244:Z245)</f>
      </c>
      <c r="AA246" s="362">
        <f>SUM(AA244:AA245)</f>
      </c>
      <c r="AB246" s="362">
        <f>SUM(AB244:AB245)</f>
      </c>
      <c r="AC246" s="362">
        <f>SUM(AC244:AC245)</f>
      </c>
      <c r="AD246" s="362">
        <f>SUM(AD244:AD245)</f>
      </c>
      <c r="AE246" s="362">
        <f>SUM(AE244:AE245)</f>
      </c>
      <c r="AF246" s="362">
        <f>SUM(AF244:AF245)</f>
      </c>
      <c r="AG246" s="362">
        <f>SUM(AG244:AG245)</f>
      </c>
      <c r="AH246" s="362">
        <f>SUM(AH244:AH245)</f>
      </c>
    </row>
    <row r="247">
      <c r="A247" s="334"/>
      <c r="B247" s="375" t="s">
        <v>195</v>
      </c>
      <c r="C247" s="372" t="s">
        <v>190</v>
      </c>
      <c r="D247" s="377">
        <v>2249.834</v>
      </c>
      <c r="E247" s="378">
        <v>7</v>
      </c>
      <c r="F247" s="359">
        <v>2753.2000000000007</v>
      </c>
      <c r="G247" s="340">
        <f t="shared" si="300"/>
      </c>
      <c r="H247" s="341">
        <f t="shared" si="318"/>
      </c>
      <c r="I247" s="342">
        <f t="shared" si="0"/>
      </c>
      <c r="J247" s="343">
        <f t="shared" si="17"/>
      </c>
      <c r="K247" s="344">
        <f t="shared" si="154"/>
      </c>
      <c r="L247" s="341">
        <f t="shared" si="171"/>
      </c>
      <c r="M247" s="345">
        <f t="shared" si="219"/>
      </c>
      <c r="N247" s="345">
        <f t="shared" si="221"/>
      </c>
      <c r="O247" s="345">
        <f t="shared" si="268"/>
      </c>
      <c r="P247" s="345">
        <f t="shared" si="85"/>
      </c>
      <c r="Q247" s="341">
        <f t="shared" si="117"/>
      </c>
      <c r="R247" s="343">
        <f t="shared" si="119"/>
      </c>
      <c r="S247" s="345">
        <f t="shared" si="121"/>
      </c>
      <c r="T247" s="345">
        <f t="shared" si="34"/>
      </c>
      <c r="U247" s="345">
        <f t="shared" si="51"/>
      </c>
      <c r="V247" s="345">
        <f t="shared" si="68"/>
      </c>
      <c r="W247" s="360" t="s">
        <v>181</v>
      </c>
      <c r="X247" s="347" t="s">
        <v>206</v>
      </c>
      <c r="Y247" s="350">
        <v>116005</v>
      </c>
      <c r="Z247" s="350">
        <v>7650</v>
      </c>
      <c r="AA247" s="350">
        <v>84649</v>
      </c>
      <c r="AB247" s="350">
        <v>627</v>
      </c>
      <c r="AC247" s="350">
        <v>7</v>
      </c>
      <c r="AD247" s="350">
        <v>7539</v>
      </c>
      <c r="AE247" s="350">
        <v>258</v>
      </c>
      <c r="AF247" s="350">
        <v>95</v>
      </c>
      <c r="AG247" s="350">
        <v>31</v>
      </c>
      <c r="AH247" s="349">
        <v>0</v>
      </c>
    </row>
    <row r="248">
      <c r="A248" s="334"/>
      <c r="B248" s="375" t="s">
        <v>195</v>
      </c>
      <c r="C248" s="373" t="s">
        <v>191</v>
      </c>
      <c r="D248" s="377">
        <v>3521.397</v>
      </c>
      <c r="E248" s="378">
        <v>1</v>
      </c>
      <c r="F248" s="359">
        <v>227.99999999999818</v>
      </c>
      <c r="G248" s="340">
        <f t="shared" si="300"/>
      </c>
      <c r="H248" s="341">
        <f t="shared" si="318"/>
      </c>
      <c r="I248" s="342">
        <f t="shared" si="0"/>
      </c>
      <c r="J248" s="343">
        <f t="shared" si="17"/>
      </c>
      <c r="K248" s="344">
        <f t="shared" si="154"/>
      </c>
      <c r="L248" s="341">
        <f t="shared" si="171"/>
      </c>
      <c r="M248" s="345">
        <f t="shared" si="219"/>
      </c>
      <c r="N248" s="345">
        <f t="shared" si="221"/>
      </c>
      <c r="O248" s="345">
        <f t="shared" si="268"/>
      </c>
      <c r="P248" s="345">
        <f t="shared" si="85"/>
      </c>
      <c r="Q248" s="341">
        <f t="shared" si="117"/>
      </c>
      <c r="R248" s="343">
        <f t="shared" si="119"/>
      </c>
      <c r="S248" s="345">
        <f t="shared" si="121"/>
      </c>
      <c r="T248" s="345">
        <f t="shared" si="34"/>
      </c>
      <c r="U248" s="345">
        <f t="shared" si="51"/>
      </c>
      <c r="V248" s="345">
        <f t="shared" si="68"/>
      </c>
      <c r="W248" s="360" t="s">
        <v>181</v>
      </c>
      <c r="X248" s="347" t="s">
        <v>206</v>
      </c>
      <c r="Y248" s="350">
        <v>337530</v>
      </c>
      <c r="Z248" s="350">
        <v>14051</v>
      </c>
      <c r="AA248" s="350">
        <v>179102</v>
      </c>
      <c r="AB248" s="350">
        <v>1522</v>
      </c>
      <c r="AC248" s="350">
        <v>1</v>
      </c>
      <c r="AD248" s="350">
        <v>13803</v>
      </c>
      <c r="AE248" s="350">
        <v>292</v>
      </c>
      <c r="AF248" s="350">
        <v>176</v>
      </c>
      <c r="AG248" s="350">
        <v>16</v>
      </c>
      <c r="AH248" s="349">
        <v>0</v>
      </c>
    </row>
    <row r="249">
      <c r="A249" s="334"/>
      <c r="B249" s="375" t="s">
        <v>195</v>
      </c>
      <c r="C249" s="374" t="s">
        <v>192</v>
      </c>
      <c r="D249" s="377">
        <v>1322.4720000000002</v>
      </c>
      <c r="E249" s="378">
        <v>1</v>
      </c>
      <c r="F249" s="359">
        <v>228.00000000000182</v>
      </c>
      <c r="G249" s="340">
        <f t="shared" si="300"/>
      </c>
      <c r="H249" s="341">
        <f t="shared" si="318"/>
      </c>
      <c r="I249" s="342">
        <f t="shared" si="0"/>
      </c>
      <c r="J249" s="343">
        <f t="shared" si="17"/>
      </c>
      <c r="K249" s="344">
        <f t="shared" si="154"/>
      </c>
      <c r="L249" s="341">
        <f t="shared" si="171"/>
      </c>
      <c r="M249" s="345">
        <f t="shared" si="219"/>
      </c>
      <c r="N249" s="345">
        <f t="shared" si="221"/>
      </c>
      <c r="O249" s="345">
        <f t="shared" si="268"/>
      </c>
      <c r="P249" s="345">
        <f t="shared" si="85"/>
      </c>
      <c r="Q249" s="341">
        <f t="shared" si="117"/>
      </c>
      <c r="R249" s="343">
        <f t="shared" si="119"/>
      </c>
      <c r="S249" s="345">
        <f t="shared" si="121"/>
      </c>
      <c r="T249" s="345">
        <f t="shared" si="34"/>
      </c>
      <c r="U249" s="345">
        <f t="shared" si="51"/>
      </c>
      <c r="V249" s="345">
        <f t="shared" si="68"/>
      </c>
      <c r="W249" s="360" t="s">
        <v>181</v>
      </c>
      <c r="X249" s="375" t="s">
        <v>205</v>
      </c>
      <c r="Y249" s="350">
        <v>148186</v>
      </c>
      <c r="Z249" s="350">
        <v>8406</v>
      </c>
      <c r="AA249" s="350">
        <v>89242</v>
      </c>
      <c r="AB249" s="350">
        <v>779</v>
      </c>
      <c r="AC249" s="350">
        <v>1</v>
      </c>
      <c r="AD249" s="350">
        <v>7754</v>
      </c>
      <c r="AE249" s="350">
        <v>196</v>
      </c>
      <c r="AF249" s="350">
        <v>104</v>
      </c>
      <c r="AG249" s="350">
        <v>28</v>
      </c>
      <c r="AH249" s="349">
        <v>0</v>
      </c>
    </row>
    <row r="250">
      <c r="A250" s="334"/>
      <c r="B250" s="375" t="s">
        <v>195</v>
      </c>
      <c r="C250" s="375" t="s">
        <v>194</v>
      </c>
      <c r="D250" s="377">
        <v>1690.9070000000002</v>
      </c>
      <c r="E250" s="378">
        <v>4</v>
      </c>
      <c r="F250" s="359">
        <v>2073.5999999999985</v>
      </c>
      <c r="G250" s="340">
        <f t="shared" si="300"/>
      </c>
      <c r="H250" s="341">
        <f t="shared" si="318"/>
      </c>
      <c r="I250" s="342">
        <f t="shared" si="0"/>
      </c>
      <c r="J250" s="343">
        <f t="shared" si="17"/>
      </c>
      <c r="K250" s="344">
        <f t="shared" si="154"/>
      </c>
      <c r="L250" s="341">
        <f t="shared" si="171"/>
      </c>
      <c r="M250" s="345">
        <f t="shared" si="219"/>
      </c>
      <c r="N250" s="345">
        <f t="shared" si="221"/>
      </c>
      <c r="O250" s="345">
        <f t="shared" si="268"/>
      </c>
      <c r="P250" s="345">
        <f t="shared" si="85"/>
      </c>
      <c r="Q250" s="341">
        <f t="shared" si="117"/>
      </c>
      <c r="R250" s="343">
        <f t="shared" si="119"/>
      </c>
      <c r="S250" s="345">
        <f t="shared" si="121"/>
      </c>
      <c r="T250" s="345">
        <f t="shared" si="34"/>
      </c>
      <c r="U250" s="345">
        <f t="shared" si="51"/>
      </c>
      <c r="V250" s="345">
        <f t="shared" si="68"/>
      </c>
      <c r="W250" s="360" t="s">
        <v>181</v>
      </c>
      <c r="X250" s="375" t="s">
        <v>205</v>
      </c>
      <c r="Y250" s="350">
        <v>153976</v>
      </c>
      <c r="Z250" s="350">
        <v>5495</v>
      </c>
      <c r="AA250" s="350">
        <v>105294</v>
      </c>
      <c r="AB250" s="350">
        <v>921</v>
      </c>
      <c r="AC250" s="350">
        <v>4</v>
      </c>
      <c r="AD250" s="350">
        <v>14657</v>
      </c>
      <c r="AE250" s="350">
        <v>251</v>
      </c>
      <c r="AF250" s="350">
        <v>125</v>
      </c>
      <c r="AG250" s="349">
        <v>17</v>
      </c>
      <c r="AH250" s="349">
        <v>0</v>
      </c>
    </row>
    <row r="251">
      <c r="A251" s="334"/>
      <c r="B251" s="387" t="s">
        <v>187</v>
      </c>
      <c r="C251" s="387"/>
      <c r="D251" s="362">
        <f>SUM(D247:D250)</f>
      </c>
      <c r="E251" s="362">
        <f>SUM(E247:E250)</f>
      </c>
      <c r="F251" s="362">
        <f>SUM(F247:F250)</f>
      </c>
      <c r="G251" s="362">
        <f t="shared" si="300"/>
      </c>
      <c r="H251" s="364">
        <f t="shared" si="318"/>
      </c>
      <c r="I251" s="365">
        <f t="shared" si="0"/>
      </c>
      <c r="J251" s="366">
        <f t="shared" si="17"/>
      </c>
      <c r="K251" s="367">
        <f t="shared" si="154"/>
      </c>
      <c r="L251" s="364">
        <f t="shared" si="171"/>
      </c>
      <c r="M251" s="368">
        <f t="shared" si="219"/>
      </c>
      <c r="N251" s="368">
        <f t="shared" si="221"/>
      </c>
      <c r="O251" s="368">
        <f t="shared" si="268"/>
      </c>
      <c r="P251" s="368">
        <f t="shared" si="85"/>
      </c>
      <c r="Q251" s="364">
        <f t="shared" si="117"/>
      </c>
      <c r="R251" s="366">
        <f t="shared" si="119"/>
      </c>
      <c r="S251" s="368">
        <f t="shared" si="121"/>
      </c>
      <c r="T251" s="368">
        <f t="shared" si="34"/>
      </c>
      <c r="U251" s="368">
        <f t="shared" si="51"/>
      </c>
      <c r="V251" s="368">
        <f t="shared" si="68"/>
      </c>
      <c r="W251" s="368"/>
      <c r="X251" s="369"/>
      <c r="Y251" s="362">
        <f>SUM(Y247:Y250)</f>
      </c>
      <c r="Z251" s="362">
        <f>SUM(Z247:Z250)</f>
      </c>
      <c r="AA251" s="362">
        <f>SUM(AA247:AA250)</f>
      </c>
      <c r="AB251" s="362">
        <f>SUM(AB247:AB250)</f>
      </c>
      <c r="AC251" s="362">
        <f>SUM(AC247:AC250)</f>
      </c>
      <c r="AD251" s="362">
        <f>SUM(AD247:AD250)</f>
      </c>
      <c r="AE251" s="362">
        <f>SUM(AE247:AE250)</f>
      </c>
      <c r="AF251" s="362">
        <f>SUM(AF247:AF250)</f>
      </c>
      <c r="AG251" s="362">
        <f>SUM(AG247:AG250)</f>
      </c>
      <c r="AH251" s="362">
        <f>SUM(AH247:AH250)</f>
      </c>
    </row>
    <row r="252">
      <c r="A252" s="334"/>
      <c r="B252" s="335" t="s">
        <v>203</v>
      </c>
      <c r="C252" s="373" t="s">
        <v>196</v>
      </c>
      <c r="D252" s="379">
        <v>2459.569</v>
      </c>
      <c r="E252" s="338">
        <v>5</v>
      </c>
      <c r="F252" s="339">
        <v>1666.2999999999993</v>
      </c>
      <c r="G252" s="340">
        <f t="shared" si="300"/>
      </c>
      <c r="H252" s="341">
        <f t="shared" si="318"/>
      </c>
      <c r="I252" s="342">
        <f t="shared" si="0"/>
      </c>
      <c r="J252" s="343">
        <f t="shared" si="17"/>
      </c>
      <c r="K252" s="382">
        <f t="shared" si="154"/>
      </c>
      <c r="L252" s="383">
        <f t="shared" si="171"/>
      </c>
      <c r="M252" s="384">
        <f t="shared" si="219"/>
      </c>
      <c r="N252" s="384">
        <f t="shared" si="221"/>
      </c>
      <c r="O252" s="384">
        <f t="shared" si="268"/>
      </c>
      <c r="P252" s="384">
        <f t="shared" si="85"/>
      </c>
      <c r="Q252" s="383">
        <f t="shared" si="117"/>
      </c>
      <c r="R252" s="381">
        <f t="shared" si="119"/>
      </c>
      <c r="S252" s="384">
        <f t="shared" si="121"/>
      </c>
      <c r="T252" s="384">
        <f t="shared" si="34"/>
      </c>
      <c r="U252" s="384">
        <f t="shared" si="51"/>
      </c>
      <c r="V252" s="384">
        <f t="shared" si="68"/>
      </c>
      <c r="W252" s="360" t="s">
        <v>181</v>
      </c>
      <c r="X252" s="375" t="s">
        <v>205</v>
      </c>
      <c r="Y252" s="350">
        <v>310741</v>
      </c>
      <c r="Z252" s="350">
        <v>6325</v>
      </c>
      <c r="AA252" s="350">
        <v>179944</v>
      </c>
      <c r="AB252" s="385">
        <v>1617</v>
      </c>
      <c r="AC252" s="385">
        <v>4</v>
      </c>
      <c r="AD252" s="385">
        <v>21117</v>
      </c>
      <c r="AE252" s="385">
        <v>440</v>
      </c>
      <c r="AF252" s="385">
        <v>148</v>
      </c>
      <c r="AG252" s="385">
        <v>15</v>
      </c>
      <c r="AH252" s="349">
        <v>1</v>
      </c>
    </row>
    <row r="253">
      <c r="A253" s="334"/>
      <c r="B253" s="335" t="s">
        <v>203</v>
      </c>
      <c r="C253" s="373" t="s">
        <v>197</v>
      </c>
      <c r="D253" s="379">
        <v>2084.5930000000003</v>
      </c>
      <c r="E253" s="338">
        <v>6</v>
      </c>
      <c r="F253" s="339">
        <v>2536</v>
      </c>
      <c r="G253" s="340">
        <f t="shared" si="300"/>
      </c>
      <c r="H253" s="341">
        <f t="shared" si="318"/>
      </c>
      <c r="I253" s="342">
        <f t="shared" si="0"/>
      </c>
      <c r="J253" s="343">
        <f t="shared" si="17"/>
      </c>
      <c r="K253" s="382">
        <f t="shared" si="154"/>
      </c>
      <c r="L253" s="383">
        <f t="shared" si="171"/>
      </c>
      <c r="M253" s="384">
        <f t="shared" si="219"/>
      </c>
      <c r="N253" s="384">
        <f t="shared" si="221"/>
      </c>
      <c r="O253" s="384">
        <f t="shared" si="268"/>
      </c>
      <c r="P253" s="384">
        <f t="shared" si="85"/>
      </c>
      <c r="Q253" s="383">
        <f t="shared" si="117"/>
      </c>
      <c r="R253" s="381">
        <f t="shared" si="119"/>
      </c>
      <c r="S253" s="384">
        <f t="shared" si="121"/>
      </c>
      <c r="T253" s="384">
        <f t="shared" si="34"/>
      </c>
      <c r="U253" s="384">
        <f t="shared" si="51"/>
      </c>
      <c r="V253" s="384">
        <f t="shared" si="68"/>
      </c>
      <c r="W253" s="360" t="s">
        <v>181</v>
      </c>
      <c r="X253" s="375" t="s">
        <v>205</v>
      </c>
      <c r="Y253" s="350">
        <v>187950</v>
      </c>
      <c r="Z253" s="350">
        <v>4227</v>
      </c>
      <c r="AA253" s="350">
        <v>134518</v>
      </c>
      <c r="AB253" s="385">
        <v>939</v>
      </c>
      <c r="AC253" s="385">
        <v>5</v>
      </c>
      <c r="AD253" s="385">
        <v>16566</v>
      </c>
      <c r="AE253" s="385">
        <v>313</v>
      </c>
      <c r="AF253" s="385">
        <v>99</v>
      </c>
      <c r="AG253" s="385">
        <v>11</v>
      </c>
      <c r="AH253" s="349">
        <v>0</v>
      </c>
    </row>
    <row r="254">
      <c r="A254" s="334"/>
      <c r="B254" s="335" t="s">
        <v>203</v>
      </c>
      <c r="C254" s="374" t="s">
        <v>198</v>
      </c>
      <c r="D254" s="379">
        <v>2919.565</v>
      </c>
      <c r="E254" s="338">
        <v>6</v>
      </c>
      <c r="F254" s="339">
        <v>1315.5</v>
      </c>
      <c r="G254" s="340">
        <f t="shared" si="300"/>
      </c>
      <c r="H254" s="341">
        <f t="shared" si="318"/>
      </c>
      <c r="I254" s="342">
        <f t="shared" si="0"/>
      </c>
      <c r="J254" s="343">
        <f t="shared" si="17"/>
      </c>
      <c r="K254" s="382">
        <f t="shared" si="154"/>
      </c>
      <c r="L254" s="383">
        <f t="shared" si="171"/>
      </c>
      <c r="M254" s="384">
        <f t="shared" si="219"/>
      </c>
      <c r="N254" s="384">
        <f t="shared" si="221"/>
      </c>
      <c r="O254" s="384">
        <f t="shared" si="268"/>
      </c>
      <c r="P254" s="384">
        <f t="shared" si="85"/>
      </c>
      <c r="Q254" s="383">
        <f t="shared" si="117"/>
      </c>
      <c r="R254" s="381">
        <f t="shared" si="119"/>
      </c>
      <c r="S254" s="384">
        <f t="shared" si="121"/>
      </c>
      <c r="T254" s="384">
        <f t="shared" si="34"/>
      </c>
      <c r="U254" s="384">
        <f t="shared" si="51"/>
      </c>
      <c r="V254" s="384">
        <f t="shared" si="68"/>
      </c>
      <c r="W254" s="360" t="s">
        <v>181</v>
      </c>
      <c r="X254" s="375" t="s">
        <v>205</v>
      </c>
      <c r="Y254" s="350">
        <v>304833</v>
      </c>
      <c r="Z254" s="350">
        <v>7669</v>
      </c>
      <c r="AA254" s="350">
        <v>236320</v>
      </c>
      <c r="AB254" s="385">
        <v>1246</v>
      </c>
      <c r="AC254" s="385">
        <v>7</v>
      </c>
      <c r="AD254" s="385">
        <v>23187</v>
      </c>
      <c r="AE254" s="385">
        <v>409</v>
      </c>
      <c r="AF254" s="385">
        <v>172</v>
      </c>
      <c r="AG254" s="385">
        <v>16</v>
      </c>
      <c r="AH254" s="349">
        <v>2</v>
      </c>
    </row>
    <row r="255">
      <c r="A255" s="334"/>
      <c r="B255" s="335" t="s">
        <v>203</v>
      </c>
      <c r="C255" s="373" t="s">
        <v>199</v>
      </c>
      <c r="D255" s="377">
        <v>2656.861</v>
      </c>
      <c r="E255" s="378">
        <v>7</v>
      </c>
      <c r="F255" s="359">
        <v>1504</v>
      </c>
      <c r="G255" s="340">
        <f t="shared" si="300"/>
      </c>
      <c r="H255" s="341">
        <f t="shared" si="318"/>
      </c>
      <c r="I255" s="342">
        <f t="shared" si="0"/>
      </c>
      <c r="J255" s="343">
        <f t="shared" si="17"/>
      </c>
      <c r="K255" s="382">
        <f t="shared" si="154"/>
      </c>
      <c r="L255" s="383">
        <f t="shared" si="171"/>
      </c>
      <c r="M255" s="384">
        <f t="shared" si="219"/>
      </c>
      <c r="N255" s="384">
        <f t="shared" si="221"/>
      </c>
      <c r="O255" s="384">
        <f t="shared" si="268"/>
      </c>
      <c r="P255" s="384">
        <f t="shared" si="85"/>
      </c>
      <c r="Q255" s="383">
        <f t="shared" si="117"/>
      </c>
      <c r="R255" s="381">
        <f t="shared" si="119"/>
      </c>
      <c r="S255" s="384">
        <f t="shared" si="121"/>
      </c>
      <c r="T255" s="384">
        <f t="shared" si="34"/>
      </c>
      <c r="U255" s="384">
        <f t="shared" si="51"/>
      </c>
      <c r="V255" s="384">
        <f t="shared" si="68"/>
      </c>
      <c r="W255" s="360" t="s">
        <v>181</v>
      </c>
      <c r="X255" s="375" t="s">
        <v>205</v>
      </c>
      <c r="Y255" s="350">
        <v>289850</v>
      </c>
      <c r="Z255" s="350">
        <v>6282</v>
      </c>
      <c r="AA255" s="350">
        <v>203006</v>
      </c>
      <c r="AB255" s="350">
        <v>1237</v>
      </c>
      <c r="AC255" s="350">
        <v>6</v>
      </c>
      <c r="AD255" s="350">
        <v>21402</v>
      </c>
      <c r="AE255" s="350">
        <v>364</v>
      </c>
      <c r="AF255" s="350">
        <v>148</v>
      </c>
      <c r="AG255" s="349">
        <v>30</v>
      </c>
      <c r="AH255" s="349">
        <v>0</v>
      </c>
    </row>
    <row r="256">
      <c r="A256" s="334"/>
      <c r="B256" s="335" t="s">
        <v>203</v>
      </c>
      <c r="C256" s="386" t="s">
        <v>200</v>
      </c>
      <c r="D256" s="377">
        <v>2879.274</v>
      </c>
      <c r="E256" s="378">
        <v>8</v>
      </c>
      <c r="F256" s="359">
        <v>2771.5</v>
      </c>
      <c r="G256" s="340">
        <f t="shared" si="300"/>
      </c>
      <c r="H256" s="341">
        <f t="shared" si="318"/>
      </c>
      <c r="I256" s="342">
        <f t="shared" si="0"/>
      </c>
      <c r="J256" s="343">
        <f t="shared" si="17"/>
      </c>
      <c r="K256" s="382">
        <f t="shared" si="154"/>
      </c>
      <c r="L256" s="383">
        <f t="shared" si="171"/>
      </c>
      <c r="M256" s="384">
        <f t="shared" si="219"/>
      </c>
      <c r="N256" s="384">
        <f t="shared" si="221"/>
      </c>
      <c r="O256" s="384">
        <f t="shared" si="268"/>
      </c>
      <c r="P256" s="384">
        <f t="shared" si="85"/>
      </c>
      <c r="Q256" s="383">
        <f t="shared" si="117"/>
      </c>
      <c r="R256" s="381">
        <f t="shared" si="119"/>
      </c>
      <c r="S256" s="384">
        <f t="shared" si="121"/>
      </c>
      <c r="T256" s="384">
        <f t="shared" si="34"/>
      </c>
      <c r="U256" s="384">
        <f t="shared" si="51"/>
      </c>
      <c r="V256" s="384">
        <f t="shared" si="68"/>
      </c>
      <c r="W256" s="360" t="s">
        <v>181</v>
      </c>
      <c r="X256" s="375" t="s">
        <v>205</v>
      </c>
      <c r="Y256" s="350">
        <v>370267</v>
      </c>
      <c r="Z256" s="350">
        <v>8127</v>
      </c>
      <c r="AA256" s="350">
        <v>246870</v>
      </c>
      <c r="AB256" s="350">
        <v>1785</v>
      </c>
      <c r="AC256" s="350">
        <v>6</v>
      </c>
      <c r="AD256" s="350">
        <v>22776</v>
      </c>
      <c r="AE256" s="350">
        <v>397</v>
      </c>
      <c r="AF256" s="350">
        <v>209</v>
      </c>
      <c r="AG256" s="349">
        <v>37</v>
      </c>
      <c r="AH256" s="349">
        <v>1</v>
      </c>
    </row>
    <row r="257">
      <c r="A257" s="334"/>
      <c r="B257" s="387" t="s">
        <v>187</v>
      </c>
      <c r="C257" s="387"/>
      <c r="D257" s="362">
        <f>SUM(D252:D256)</f>
      </c>
      <c r="E257" s="362">
        <f>SUM(E252:E256)</f>
      </c>
      <c r="F257" s="362">
        <f>SUM(F252:F256)</f>
      </c>
      <c r="G257" s="362">
        <f t="shared" si="300"/>
      </c>
      <c r="H257" s="364">
        <f t="shared" si="318"/>
      </c>
      <c r="I257" s="365">
        <f t="shared" si="0"/>
      </c>
      <c r="J257" s="366">
        <f t="shared" si="17"/>
      </c>
      <c r="K257" s="367">
        <f t="shared" si="154"/>
      </c>
      <c r="L257" s="364">
        <f t="shared" si="171"/>
      </c>
      <c r="M257" s="368">
        <f t="shared" si="219"/>
      </c>
      <c r="N257" s="368">
        <f t="shared" si="221"/>
      </c>
      <c r="O257" s="368">
        <f t="shared" si="268"/>
      </c>
      <c r="P257" s="368">
        <f t="shared" si="85"/>
      </c>
      <c r="Q257" s="364">
        <f t="shared" si="117"/>
      </c>
      <c r="R257" s="366">
        <f t="shared" si="119"/>
      </c>
      <c r="S257" s="368">
        <f t="shared" si="121"/>
      </c>
      <c r="T257" s="368">
        <f t="shared" si="34"/>
      </c>
      <c r="U257" s="368">
        <f t="shared" si="51"/>
      </c>
      <c r="V257" s="368">
        <f t="shared" si="68"/>
      </c>
      <c r="W257" s="368"/>
      <c r="X257" s="369"/>
      <c r="Y257" s="362">
        <f>SUM(Y252:Y256)</f>
      </c>
      <c r="Z257" s="362">
        <f>SUM(Z252:Z256)</f>
      </c>
      <c r="AA257" s="362">
        <f>SUM(AA252:AA256)</f>
      </c>
      <c r="AB257" s="362">
        <f>SUM(AB252:AB256)</f>
      </c>
      <c r="AC257" s="362">
        <f>SUM(AC252:AC256)</f>
      </c>
      <c r="AD257" s="362">
        <f>SUM(AD252:AD256)</f>
      </c>
      <c r="AE257" s="362">
        <f>SUM(AE252:AE256)</f>
      </c>
      <c r="AF257" s="362">
        <f>SUM(AF252:AF256)</f>
      </c>
      <c r="AG257" s="362">
        <f>SUM(AG252:AG256)</f>
      </c>
      <c r="AH257" s="362">
        <f>SUM(AH252:AH256)</f>
      </c>
    </row>
    <row r="258">
      <c r="A258" s="334"/>
      <c r="B258" s="388" t="s">
        <v>201</v>
      </c>
      <c r="C258" s="388"/>
      <c r="D258" s="389">
        <f>SUM(D243+D257+D251+D246)</f>
      </c>
      <c r="E258" s="389">
        <f>SUM(E243+E257+E251+E246)</f>
      </c>
      <c r="F258" s="389">
        <f>SUM(F243+F257+F251+F246)</f>
      </c>
      <c r="G258" s="390">
        <f t="shared" si="300"/>
      </c>
      <c r="H258" s="391">
        <f t="shared" si="318"/>
      </c>
      <c r="I258" s="392">
        <f t="shared" si="0"/>
      </c>
      <c r="J258" s="393">
        <f t="shared" si="17"/>
      </c>
      <c r="K258" s="394">
        <f t="shared" si="154"/>
      </c>
      <c r="L258" s="394">
        <f t="shared" si="171"/>
      </c>
      <c r="M258" s="395">
        <f t="shared" si="219"/>
      </c>
      <c r="N258" s="395">
        <f t="shared" si="221"/>
      </c>
      <c r="O258" s="395">
        <f t="shared" si="268"/>
      </c>
      <c r="P258" s="395">
        <f t="shared" si="85"/>
      </c>
      <c r="Q258" s="396">
        <f t="shared" si="117"/>
      </c>
      <c r="R258" s="397">
        <f t="shared" si="119"/>
      </c>
      <c r="S258" s="398">
        <f t="shared" si="121"/>
      </c>
      <c r="T258" s="398">
        <f t="shared" si="34"/>
      </c>
      <c r="U258" s="398">
        <f t="shared" si="51"/>
      </c>
      <c r="V258" s="398">
        <f t="shared" si="68"/>
      </c>
      <c r="W258" s="398"/>
      <c r="X258" s="399"/>
      <c r="Y258" s="390">
        <f>SUM(Y251+Y257+Y243+Y246)</f>
      </c>
      <c r="Z258" s="390">
        <f>SUM(Z251+Z257+Z243+Z246)</f>
      </c>
      <c r="AA258" s="390">
        <f>SUM(AA251+AA257+AA243+AA246)</f>
      </c>
      <c r="AB258" s="390">
        <f>SUM(AB251+AB257+AB243+AB246)</f>
      </c>
      <c r="AC258" s="390">
        <f>SUM(AC251+AC257+AC243+AC246)</f>
      </c>
      <c r="AD258" s="390">
        <f>SUM(AD251+AD257+AD243+AD246)</f>
      </c>
      <c r="AE258" s="390">
        <f>SUM(AE251+AE257+AE243+AE246)</f>
      </c>
      <c r="AF258" s="390">
        <f>SUM(AF251+AF257+AF243+AF246)</f>
      </c>
      <c r="AG258" s="390">
        <f>SUM(AG251+AG257+AG243+AG246)</f>
      </c>
      <c r="AH258" s="390">
        <f>SUM(AH251+AH257+AH243+AH246)</f>
      </c>
    </row>
    <row r="259">
      <c r="A259" s="334">
        <v>46249</v>
      </c>
      <c r="B259" s="415" t="s">
        <v>188</v>
      </c>
      <c r="C259" s="336" t="s">
        <v>180</v>
      </c>
      <c r="D259" s="337">
        <v>3056.13</v>
      </c>
      <c r="E259" s="417">
        <v>6</v>
      </c>
      <c r="F259" s="339">
        <v>1957.1999999999998</v>
      </c>
      <c r="G259" s="340">
        <f t="shared" si="300"/>
      </c>
      <c r="H259" s="341">
        <f t="shared" si="318"/>
      </c>
      <c r="I259" s="342">
        <f t="shared" si="0"/>
      </c>
      <c r="J259" s="343">
        <f t="shared" si="17"/>
      </c>
      <c r="K259" s="344">
        <f t="shared" si="154"/>
      </c>
      <c r="L259" s="341">
        <f t="shared" si="171"/>
      </c>
      <c r="M259" s="345">
        <f t="shared" si="219"/>
      </c>
      <c r="N259" s="345">
        <f t="shared" si="221"/>
      </c>
      <c r="O259" s="345">
        <f t="shared" si="268"/>
      </c>
      <c r="P259" s="345">
        <f t="shared" si="85"/>
      </c>
      <c r="Q259" s="341">
        <f t="shared" si="117"/>
      </c>
      <c r="R259" s="343">
        <f t="shared" si="119"/>
      </c>
      <c r="S259" s="345">
        <f t="shared" si="121"/>
      </c>
      <c r="T259" s="345">
        <f t="shared" si="34"/>
      </c>
      <c r="U259" s="345">
        <f t="shared" si="51"/>
      </c>
      <c r="V259" s="345">
        <f t="shared" si="68"/>
      </c>
      <c r="W259" s="346" t="s">
        <v>181</v>
      </c>
      <c r="X259" s="347" t="s">
        <v>210</v>
      </c>
      <c r="Y259" s="348">
        <v>359225</v>
      </c>
      <c r="Z259" s="348">
        <v>8677</v>
      </c>
      <c r="AA259" s="348">
        <v>107819</v>
      </c>
      <c r="AB259" s="348">
        <v>1356</v>
      </c>
      <c r="AC259" s="349">
        <v>5</v>
      </c>
      <c r="AD259" s="348">
        <v>20998</v>
      </c>
      <c r="AE259" s="350">
        <v>311</v>
      </c>
      <c r="AF259" s="350">
        <v>143</v>
      </c>
      <c r="AG259" s="350">
        <v>18</v>
      </c>
      <c r="AH259" s="418">
        <v>1</v>
      </c>
    </row>
    <row r="260">
      <c r="A260" s="334"/>
      <c r="B260" s="415" t="s">
        <v>188</v>
      </c>
      <c r="C260" s="336" t="s">
        <v>183</v>
      </c>
      <c r="D260" s="337">
        <v>3241.068</v>
      </c>
      <c r="E260" s="417">
        <v>7</v>
      </c>
      <c r="F260" s="339">
        <v>2090.3</v>
      </c>
      <c r="G260" s="340">
        <f t="shared" si="300"/>
      </c>
      <c r="H260" s="341">
        <f t="shared" si="318"/>
      </c>
      <c r="I260" s="342">
        <f t="shared" si="0"/>
      </c>
      <c r="J260" s="343">
        <f t="shared" si="17"/>
      </c>
      <c r="K260" s="344">
        <f t="shared" si="154"/>
      </c>
      <c r="L260" s="341">
        <f t="shared" si="171"/>
      </c>
      <c r="M260" s="345">
        <f t="shared" si="219"/>
      </c>
      <c r="N260" s="345">
        <f t="shared" si="221"/>
      </c>
      <c r="O260" s="345">
        <f t="shared" si="268"/>
      </c>
      <c r="P260" s="345">
        <f t="shared" si="85"/>
      </c>
      <c r="Q260" s="341">
        <f t="shared" si="117"/>
      </c>
      <c r="R260" s="343">
        <f t="shared" si="119"/>
      </c>
      <c r="S260" s="345">
        <f t="shared" si="121"/>
      </c>
      <c r="T260" s="345">
        <f t="shared" si="34"/>
      </c>
      <c r="U260" s="345">
        <f t="shared" si="51"/>
      </c>
      <c r="V260" s="345">
        <f t="shared" si="68"/>
      </c>
      <c r="W260" s="346" t="s">
        <v>181</v>
      </c>
      <c r="X260" s="347" t="s">
        <v>210</v>
      </c>
      <c r="Y260" s="350">
        <v>326181</v>
      </c>
      <c r="Z260" s="348">
        <v>10538</v>
      </c>
      <c r="AA260" s="348">
        <v>121819</v>
      </c>
      <c r="AB260" s="348">
        <v>1168</v>
      </c>
      <c r="AC260" s="350">
        <v>7</v>
      </c>
      <c r="AD260" s="348">
        <v>24088</v>
      </c>
      <c r="AE260" s="350">
        <v>461</v>
      </c>
      <c r="AF260" s="350">
        <v>188</v>
      </c>
      <c r="AG260" s="349">
        <v>25</v>
      </c>
      <c r="AH260" s="418">
        <v>0</v>
      </c>
    </row>
    <row r="261">
      <c r="A261" s="334"/>
      <c r="B261" s="415" t="s">
        <v>188</v>
      </c>
      <c r="C261" s="351" t="s">
        <v>184</v>
      </c>
      <c r="D261" s="337">
        <v>3270.3810000000003</v>
      </c>
      <c r="E261" s="417">
        <v>7</v>
      </c>
      <c r="F261" s="339">
        <v>5897.200000000001</v>
      </c>
      <c r="G261" s="340">
        <f t="shared" si="300"/>
      </c>
      <c r="H261" s="341">
        <f t="shared" si="318"/>
      </c>
      <c r="I261" s="342">
        <f t="shared" si="0"/>
      </c>
      <c r="J261" s="343">
        <f t="shared" si="17"/>
      </c>
      <c r="K261" s="344">
        <f t="shared" si="154"/>
      </c>
      <c r="L261" s="341">
        <f t="shared" si="171"/>
      </c>
      <c r="M261" s="345">
        <f t="shared" si="219"/>
      </c>
      <c r="N261" s="345">
        <f t="shared" si="221"/>
      </c>
      <c r="O261" s="345">
        <f t="shared" si="268"/>
      </c>
      <c r="P261" s="345">
        <f t="shared" si="85"/>
      </c>
      <c r="Q261" s="341">
        <f t="shared" si="117"/>
      </c>
      <c r="R261" s="343">
        <f t="shared" si="119"/>
      </c>
      <c r="S261" s="345">
        <f t="shared" si="121"/>
      </c>
      <c r="T261" s="345">
        <f t="shared" si="34"/>
      </c>
      <c r="U261" s="345">
        <f t="shared" si="51"/>
      </c>
      <c r="V261" s="345">
        <f t="shared" si="68"/>
      </c>
      <c r="W261" s="346" t="s">
        <v>181</v>
      </c>
      <c r="X261" s="347" t="s">
        <v>210</v>
      </c>
      <c r="Y261" s="350">
        <v>329208</v>
      </c>
      <c r="Z261" s="348">
        <v>13552</v>
      </c>
      <c r="AA261" s="348">
        <v>169160</v>
      </c>
      <c r="AB261" s="348">
        <v>821</v>
      </c>
      <c r="AC261" s="350">
        <v>6</v>
      </c>
      <c r="AD261" s="348">
        <v>23580</v>
      </c>
      <c r="AE261" s="350">
        <v>463</v>
      </c>
      <c r="AF261" s="350">
        <v>222</v>
      </c>
      <c r="AG261" s="350">
        <v>21</v>
      </c>
      <c r="AH261" s="418">
        <v>1</v>
      </c>
    </row>
    <row r="262">
      <c r="A262" s="334"/>
      <c r="B262" s="415" t="s">
        <v>188</v>
      </c>
      <c r="C262" s="416" t="s">
        <v>185</v>
      </c>
      <c r="D262" s="357">
        <v>3062.908</v>
      </c>
      <c r="E262" s="419">
        <v>9</v>
      </c>
      <c r="F262" s="359">
        <v>4377.200000000001</v>
      </c>
      <c r="G262" s="340">
        <f t="shared" si="300"/>
      </c>
      <c r="H262" s="341">
        <f t="shared" si="318"/>
      </c>
      <c r="I262" s="342">
        <f t="shared" si="0"/>
      </c>
      <c r="J262" s="343">
        <f t="shared" si="17"/>
      </c>
      <c r="K262" s="344">
        <f t="shared" si="154"/>
      </c>
      <c r="L262" s="341">
        <f t="shared" si="171"/>
      </c>
      <c r="M262" s="345">
        <f t="shared" si="219"/>
      </c>
      <c r="N262" s="345">
        <f t="shared" si="221"/>
      </c>
      <c r="O262" s="345">
        <f t="shared" si="268"/>
      </c>
      <c r="P262" s="345">
        <f t="shared" si="85"/>
      </c>
      <c r="Q262" s="341">
        <f t="shared" si="117"/>
      </c>
      <c r="R262" s="343">
        <f t="shared" si="119"/>
      </c>
      <c r="S262" s="345">
        <f t="shared" si="121"/>
      </c>
      <c r="T262" s="345">
        <f t="shared" si="34"/>
      </c>
      <c r="U262" s="345">
        <f t="shared" si="51"/>
      </c>
      <c r="V262" s="345">
        <f t="shared" si="68"/>
      </c>
      <c r="W262" s="360" t="s">
        <v>181</v>
      </c>
      <c r="X262" s="347" t="s">
        <v>210</v>
      </c>
      <c r="Y262" s="350">
        <v>335186</v>
      </c>
      <c r="Z262" s="350">
        <v>15240</v>
      </c>
      <c r="AA262" s="350">
        <v>163274</v>
      </c>
      <c r="AB262" s="350">
        <v>877</v>
      </c>
      <c r="AC262" s="350">
        <v>7</v>
      </c>
      <c r="AD262" s="350">
        <v>20425</v>
      </c>
      <c r="AE262" s="350">
        <v>416</v>
      </c>
      <c r="AF262" s="350">
        <v>228</v>
      </c>
      <c r="AG262" s="349">
        <v>26</v>
      </c>
      <c r="AH262" s="418">
        <v>1</v>
      </c>
    </row>
    <row r="263">
      <c r="A263" s="334"/>
      <c r="B263" s="361" t="s">
        <v>187</v>
      </c>
      <c r="C263" s="361"/>
      <c r="D263" s="362">
        <f>SUM(D259:D262)</f>
      </c>
      <c r="E263" s="420">
        <f>SUM(E259:E262)</f>
      </c>
      <c r="F263" s="362">
        <f>SUM(F259:F262)</f>
      </c>
      <c r="G263" s="362">
        <f t="shared" si="300"/>
      </c>
      <c r="H263" s="364">
        <f t="shared" si="318"/>
      </c>
      <c r="I263" s="365">
        <f t="shared" si="0"/>
      </c>
      <c r="J263" s="366">
        <f t="shared" si="17"/>
      </c>
      <c r="K263" s="367">
        <f t="shared" si="154"/>
      </c>
      <c r="L263" s="364">
        <f t="shared" si="171"/>
      </c>
      <c r="M263" s="368">
        <f t="shared" si="219"/>
      </c>
      <c r="N263" s="368">
        <f t="shared" si="221"/>
      </c>
      <c r="O263" s="368">
        <f t="shared" si="268"/>
      </c>
      <c r="P263" s="368">
        <f t="shared" si="85"/>
      </c>
      <c r="Q263" s="364">
        <f t="shared" si="117"/>
      </c>
      <c r="R263" s="366">
        <f t="shared" si="119"/>
      </c>
      <c r="S263" s="368">
        <f t="shared" si="121"/>
      </c>
      <c r="T263" s="368">
        <f t="shared" si="34"/>
      </c>
      <c r="U263" s="368">
        <f t="shared" si="51"/>
      </c>
      <c r="V263" s="368">
        <f t="shared" si="68"/>
      </c>
      <c r="W263" s="368"/>
      <c r="X263" s="369"/>
      <c r="Y263" s="362">
        <f>SUM(Y259:Y262)</f>
      </c>
      <c r="Z263" s="362">
        <f>SUM(Z259:Z262)</f>
      </c>
      <c r="AA263" s="362">
        <f>SUM(AA259:AA262)</f>
      </c>
      <c r="AB263" s="362">
        <f>SUM(AB259:AB262)</f>
      </c>
      <c r="AC263" s="362">
        <f>SUM(AC259:AC262)</f>
      </c>
      <c r="AD263" s="362">
        <f>SUM(AD259:AD262)</f>
      </c>
      <c r="AE263" s="362">
        <f>SUM(AE259:AE262)</f>
      </c>
      <c r="AF263" s="362">
        <f>SUM(AF259:AF262)</f>
      </c>
      <c r="AG263" s="362">
        <f>SUM(AG259:AG262)</f>
      </c>
      <c r="AH263" s="420">
        <f>SUM(AH259:AH262)</f>
      </c>
    </row>
    <row r="264">
      <c r="A264" s="334"/>
      <c r="B264" s="335" t="s">
        <v>208</v>
      </c>
      <c r="C264" s="416" t="s">
        <v>186</v>
      </c>
      <c r="D264" s="371">
        <v>3436.278</v>
      </c>
      <c r="E264" s="417">
        <v>14</v>
      </c>
      <c r="F264" s="339">
        <v>5931.700000000001</v>
      </c>
      <c r="G264" s="340">
        <f t="shared" si="300"/>
      </c>
      <c r="H264" s="341">
        <f t="shared" si="318"/>
      </c>
      <c r="I264" s="342">
        <f t="shared" si="0"/>
      </c>
      <c r="J264" s="343">
        <f t="shared" si="17"/>
      </c>
      <c r="K264" s="344">
        <f t="shared" si="154"/>
      </c>
      <c r="L264" s="341">
        <f t="shared" si="171"/>
      </c>
      <c r="M264" s="345">
        <f t="shared" si="219"/>
      </c>
      <c r="N264" s="345">
        <f t="shared" si="221"/>
      </c>
      <c r="O264" s="345">
        <f t="shared" si="268"/>
      </c>
      <c r="P264" s="345">
        <f t="shared" si="85"/>
      </c>
      <c r="Q264" s="341">
        <f t="shared" si="117"/>
      </c>
      <c r="R264" s="343">
        <f t="shared" si="119"/>
      </c>
      <c r="S264" s="345">
        <f t="shared" si="121"/>
      </c>
      <c r="T264" s="345">
        <f t="shared" si="34"/>
      </c>
      <c r="U264" s="345">
        <f t="shared" si="51"/>
      </c>
      <c r="V264" s="345">
        <f t="shared" si="68"/>
      </c>
      <c r="W264" s="360" t="s">
        <v>181</v>
      </c>
      <c r="X264" s="347" t="s">
        <v>210</v>
      </c>
      <c r="Y264" s="348">
        <v>376928</v>
      </c>
      <c r="Z264" s="348">
        <v>9190</v>
      </c>
      <c r="AA264" s="348">
        <v>137920</v>
      </c>
      <c r="AB264" s="350">
        <v>1169</v>
      </c>
      <c r="AC264" s="350">
        <v>13</v>
      </c>
      <c r="AD264" s="348">
        <v>18438</v>
      </c>
      <c r="AE264" s="350">
        <v>408</v>
      </c>
      <c r="AF264" s="350">
        <v>192</v>
      </c>
      <c r="AG264" s="350">
        <v>21</v>
      </c>
      <c r="AH264" s="418">
        <v>3</v>
      </c>
    </row>
    <row r="265">
      <c r="A265" s="334"/>
      <c r="B265" s="335" t="s">
        <v>208</v>
      </c>
      <c r="C265" s="370" t="s">
        <v>189</v>
      </c>
      <c r="D265" s="371">
        <v>2492.859</v>
      </c>
      <c r="E265" s="419">
        <v>13</v>
      </c>
      <c r="F265" s="359">
        <v>5651</v>
      </c>
      <c r="G265" s="340">
        <f t="shared" si="300"/>
      </c>
      <c r="H265" s="341">
        <f t="shared" si="318"/>
      </c>
      <c r="I265" s="342">
        <f t="shared" si="0"/>
      </c>
      <c r="J265" s="343">
        <f t="shared" si="17"/>
      </c>
      <c r="K265" s="344">
        <f t="shared" si="154"/>
      </c>
      <c r="L265" s="341">
        <f t="shared" si="171"/>
      </c>
      <c r="M265" s="345">
        <f t="shared" si="219"/>
      </c>
      <c r="N265" s="345">
        <f t="shared" si="221"/>
      </c>
      <c r="O265" s="345">
        <f t="shared" si="268"/>
      </c>
      <c r="P265" s="345">
        <f t="shared" si="85"/>
      </c>
      <c r="Q265" s="341">
        <f t="shared" si="117"/>
      </c>
      <c r="R265" s="343">
        <f t="shared" si="119"/>
      </c>
      <c r="S265" s="345">
        <f t="shared" si="121"/>
      </c>
      <c r="T265" s="345">
        <f t="shared" si="34"/>
      </c>
      <c r="U265" s="345">
        <f t="shared" si="51"/>
      </c>
      <c r="V265" s="345">
        <f t="shared" si="68"/>
      </c>
      <c r="W265" s="360" t="s">
        <v>181</v>
      </c>
      <c r="X265" s="347" t="s">
        <v>210</v>
      </c>
      <c r="Y265" s="350">
        <v>241059</v>
      </c>
      <c r="Z265" s="350">
        <v>5571</v>
      </c>
      <c r="AA265" s="350">
        <v>135998</v>
      </c>
      <c r="AB265" s="350">
        <v>847</v>
      </c>
      <c r="AC265" s="350">
        <v>10</v>
      </c>
      <c r="AD265" s="350">
        <v>18345</v>
      </c>
      <c r="AE265" s="350">
        <v>343</v>
      </c>
      <c r="AF265" s="350">
        <v>129</v>
      </c>
      <c r="AG265" s="350">
        <v>27</v>
      </c>
      <c r="AH265" s="418">
        <v>2</v>
      </c>
    </row>
    <row r="266">
      <c r="A266" s="334"/>
      <c r="B266" s="361" t="s">
        <v>187</v>
      </c>
      <c r="C266" s="361"/>
      <c r="D266" s="362">
        <f>SUM(D264:D265)</f>
      </c>
      <c r="E266" s="420">
        <f>SUM(E264:E265)</f>
      </c>
      <c r="F266" s="362">
        <f>SUM(F264:F265)</f>
      </c>
      <c r="G266" s="362">
        <f t="shared" si="300"/>
      </c>
      <c r="H266" s="364">
        <f t="shared" si="318"/>
      </c>
      <c r="I266" s="365">
        <f t="shared" si="0"/>
      </c>
      <c r="J266" s="366">
        <f t="shared" si="17"/>
      </c>
      <c r="K266" s="367">
        <f t="shared" si="154"/>
      </c>
      <c r="L266" s="364">
        <f t="shared" si="171"/>
      </c>
      <c r="M266" s="368">
        <f t="shared" si="219"/>
      </c>
      <c r="N266" s="368">
        <f t="shared" si="221"/>
      </c>
      <c r="O266" s="368">
        <f t="shared" si="268"/>
      </c>
      <c r="P266" s="368">
        <f t="shared" si="85"/>
      </c>
      <c r="Q266" s="364">
        <f t="shared" si="117"/>
      </c>
      <c r="R266" s="366">
        <f t="shared" si="119"/>
      </c>
      <c r="S266" s="368">
        <f t="shared" si="121"/>
      </c>
      <c r="T266" s="368">
        <f t="shared" si="34"/>
      </c>
      <c r="U266" s="368">
        <f t="shared" si="51"/>
      </c>
      <c r="V266" s="368">
        <f t="shared" si="68"/>
      </c>
      <c r="W266" s="368"/>
      <c r="X266" s="369"/>
      <c r="Y266" s="362">
        <f>SUM(Y264:Y265)</f>
      </c>
      <c r="Z266" s="362">
        <f>SUM(Z264:Z265)</f>
      </c>
      <c r="AA266" s="362">
        <f>SUM(AA264:AA265)</f>
      </c>
      <c r="AB266" s="362">
        <f>SUM(AB264:AB265)</f>
      </c>
      <c r="AC266" s="362">
        <f>SUM(AC264:AC265)</f>
      </c>
      <c r="AD266" s="362">
        <f>SUM(AD264:AD265)</f>
      </c>
      <c r="AE266" s="362">
        <f>SUM(AE264:AE265)</f>
      </c>
      <c r="AF266" s="362">
        <f>SUM(AF264:AF265)</f>
      </c>
      <c r="AG266" s="362">
        <f>SUM(AG264:AG265)</f>
      </c>
      <c r="AH266" s="420">
        <f>SUM(AH264:AH265)</f>
      </c>
    </row>
    <row r="267">
      <c r="A267" s="334"/>
      <c r="B267" s="415" t="s">
        <v>179</v>
      </c>
      <c r="C267" s="372" t="s">
        <v>190</v>
      </c>
      <c r="D267" s="377">
        <v>2604.2799999999997</v>
      </c>
      <c r="E267" s="359">
        <v>7</v>
      </c>
      <c r="F267" s="359">
        <v>2640</v>
      </c>
      <c r="G267" s="340">
        <f t="shared" si="300"/>
      </c>
      <c r="H267" s="341">
        <f t="shared" si="318"/>
      </c>
      <c r="I267" s="342">
        <f t="shared" si="0"/>
      </c>
      <c r="J267" s="343">
        <f t="shared" si="17"/>
      </c>
      <c r="K267" s="344">
        <f t="shared" si="154"/>
      </c>
      <c r="L267" s="341">
        <f t="shared" si="171"/>
      </c>
      <c r="M267" s="345">
        <f t="shared" si="219"/>
      </c>
      <c r="N267" s="345">
        <f t="shared" si="221"/>
      </c>
      <c r="O267" s="345">
        <f t="shared" si="268"/>
      </c>
      <c r="P267" s="345">
        <f t="shared" si="85"/>
      </c>
      <c r="Q267" s="341">
        <f t="shared" si="117"/>
      </c>
      <c r="R267" s="343">
        <f t="shared" si="119"/>
      </c>
      <c r="S267" s="345">
        <f t="shared" si="121"/>
      </c>
      <c r="T267" s="345">
        <f t="shared" si="34"/>
      </c>
      <c r="U267" s="345">
        <f t="shared" si="51"/>
      </c>
      <c r="V267" s="345">
        <f t="shared" si="68"/>
      </c>
      <c r="W267" s="360" t="s">
        <v>181</v>
      </c>
      <c r="X267" s="347" t="s">
        <v>210</v>
      </c>
      <c r="Y267" s="350">
        <v>242827</v>
      </c>
      <c r="Z267" s="350">
        <v>6224</v>
      </c>
      <c r="AA267" s="350">
        <v>139150</v>
      </c>
      <c r="AB267" s="350">
        <v>928</v>
      </c>
      <c r="AC267" s="350">
        <v>5</v>
      </c>
      <c r="AD267" s="350">
        <v>18590</v>
      </c>
      <c r="AE267" s="350">
        <v>375</v>
      </c>
      <c r="AF267" s="350">
        <v>137</v>
      </c>
      <c r="AG267" s="350">
        <v>29</v>
      </c>
      <c r="AH267" s="418">
        <v>0</v>
      </c>
    </row>
    <row r="268">
      <c r="A268" s="334"/>
      <c r="B268" s="415" t="s">
        <v>179</v>
      </c>
      <c r="C268" s="373" t="s">
        <v>191</v>
      </c>
      <c r="D268" s="377">
        <v>3300.319</v>
      </c>
      <c r="E268" s="359">
        <v>5</v>
      </c>
      <c r="F268" s="359">
        <v>1076</v>
      </c>
      <c r="G268" s="340">
        <f t="shared" si="300"/>
      </c>
      <c r="H268" s="341">
        <f t="shared" si="318"/>
      </c>
      <c r="I268" s="342">
        <f t="shared" si="0"/>
      </c>
      <c r="J268" s="343">
        <f t="shared" si="17"/>
      </c>
      <c r="K268" s="344">
        <f t="shared" si="154"/>
      </c>
      <c r="L268" s="341">
        <f t="shared" si="171"/>
      </c>
      <c r="M268" s="345">
        <f t="shared" si="219"/>
      </c>
      <c r="N268" s="345">
        <f t="shared" si="221"/>
      </c>
      <c r="O268" s="345">
        <f t="shared" si="268"/>
      </c>
      <c r="P268" s="345">
        <f t="shared" si="85"/>
      </c>
      <c r="Q268" s="341">
        <f t="shared" si="117"/>
      </c>
      <c r="R268" s="343">
        <f t="shared" si="119"/>
      </c>
      <c r="S268" s="345">
        <f t="shared" si="121"/>
      </c>
      <c r="T268" s="345">
        <f t="shared" si="34"/>
      </c>
      <c r="U268" s="345">
        <f t="shared" si="51"/>
      </c>
      <c r="V268" s="345">
        <f t="shared" si="68"/>
      </c>
      <c r="W268" s="360" t="s">
        <v>181</v>
      </c>
      <c r="X268" s="347" t="s">
        <v>210</v>
      </c>
      <c r="Y268" s="350">
        <v>349331</v>
      </c>
      <c r="Z268" s="350">
        <v>7713</v>
      </c>
      <c r="AA268" s="350">
        <v>152317</v>
      </c>
      <c r="AB268" s="350">
        <v>1112</v>
      </c>
      <c r="AC268" s="350">
        <v>8</v>
      </c>
      <c r="AD268" s="350">
        <v>19265</v>
      </c>
      <c r="AE268" s="350">
        <v>362</v>
      </c>
      <c r="AF268" s="350">
        <v>164</v>
      </c>
      <c r="AG268" s="350">
        <v>18</v>
      </c>
      <c r="AH268" s="418">
        <v>0</v>
      </c>
    </row>
    <row r="269">
      <c r="A269" s="334"/>
      <c r="B269" s="415" t="s">
        <v>179</v>
      </c>
      <c r="C269" s="374" t="s">
        <v>192</v>
      </c>
      <c r="D269" s="377">
        <v>4611.747</v>
      </c>
      <c r="E269" s="359">
        <v>9</v>
      </c>
      <c r="F269" s="359">
        <v>3025.2000000000007</v>
      </c>
      <c r="G269" s="340">
        <f t="shared" si="300"/>
      </c>
      <c r="H269" s="341">
        <f t="shared" si="318"/>
      </c>
      <c r="I269" s="342">
        <f t="shared" si="0"/>
      </c>
      <c r="J269" s="343">
        <f t="shared" si="17"/>
      </c>
      <c r="K269" s="344">
        <f t="shared" si="154"/>
      </c>
      <c r="L269" s="341">
        <f t="shared" si="171"/>
      </c>
      <c r="M269" s="345">
        <f t="shared" si="219"/>
      </c>
      <c r="N269" s="345">
        <f t="shared" si="221"/>
      </c>
      <c r="O269" s="345">
        <f t="shared" si="268"/>
      </c>
      <c r="P269" s="345">
        <f t="shared" si="85"/>
      </c>
      <c r="Q269" s="341">
        <f t="shared" si="117"/>
      </c>
      <c r="R269" s="343">
        <f t="shared" si="119"/>
      </c>
      <c r="S269" s="345">
        <f t="shared" si="121"/>
      </c>
      <c r="T269" s="345">
        <f t="shared" si="34"/>
      </c>
      <c r="U269" s="345">
        <f t="shared" si="51"/>
      </c>
      <c r="V269" s="345">
        <f t="shared" si="68"/>
      </c>
      <c r="W269" s="360" t="s">
        <v>181</v>
      </c>
      <c r="X269" s="375" t="s">
        <v>205</v>
      </c>
      <c r="Y269" s="350">
        <v>556812</v>
      </c>
      <c r="Z269" s="350">
        <v>9235</v>
      </c>
      <c r="AA269" s="350">
        <v>182468</v>
      </c>
      <c r="AB269" s="350">
        <v>1747</v>
      </c>
      <c r="AC269" s="350">
        <v>8</v>
      </c>
      <c r="AD269" s="350">
        <v>20438</v>
      </c>
      <c r="AE269" s="350">
        <v>475</v>
      </c>
      <c r="AF269" s="350">
        <v>185</v>
      </c>
      <c r="AG269" s="350">
        <v>22</v>
      </c>
      <c r="AH269" s="418">
        <v>2</v>
      </c>
    </row>
    <row r="270">
      <c r="A270" s="334"/>
      <c r="B270" s="415" t="s">
        <v>179</v>
      </c>
      <c r="C270" s="375" t="s">
        <v>194</v>
      </c>
      <c r="D270" s="377">
        <v>3675.6240000000003</v>
      </c>
      <c r="E270" s="359">
        <v>11</v>
      </c>
      <c r="F270" s="359">
        <v>2980.699999999997</v>
      </c>
      <c r="G270" s="340">
        <f t="shared" si="300"/>
      </c>
      <c r="H270" s="341">
        <f t="shared" si="318"/>
      </c>
      <c r="I270" s="342">
        <f t="shared" si="0"/>
      </c>
      <c r="J270" s="343">
        <f t="shared" si="17"/>
      </c>
      <c r="K270" s="344">
        <f t="shared" si="154"/>
      </c>
      <c r="L270" s="341">
        <f t="shared" si="171"/>
      </c>
      <c r="M270" s="345">
        <f t="shared" si="219"/>
      </c>
      <c r="N270" s="345">
        <f t="shared" si="221"/>
      </c>
      <c r="O270" s="345">
        <f t="shared" si="268"/>
      </c>
      <c r="P270" s="345">
        <f t="shared" si="85"/>
      </c>
      <c r="Q270" s="341">
        <f t="shared" si="117"/>
      </c>
      <c r="R270" s="343">
        <f t="shared" si="119"/>
      </c>
      <c r="S270" s="345">
        <f t="shared" si="121"/>
      </c>
      <c r="T270" s="345">
        <f t="shared" si="34"/>
      </c>
      <c r="U270" s="345">
        <f t="shared" si="51"/>
      </c>
      <c r="V270" s="345">
        <f t="shared" si="68"/>
      </c>
      <c r="W270" s="360" t="s">
        <v>181</v>
      </c>
      <c r="X270" s="375" t="s">
        <v>205</v>
      </c>
      <c r="Y270" s="350">
        <v>406162</v>
      </c>
      <c r="Z270" s="350">
        <v>8341</v>
      </c>
      <c r="AA270" s="350">
        <v>219664</v>
      </c>
      <c r="AB270" s="350">
        <v>1165</v>
      </c>
      <c r="AC270" s="350">
        <v>8</v>
      </c>
      <c r="AD270" s="350">
        <v>24263</v>
      </c>
      <c r="AE270" s="350">
        <v>411</v>
      </c>
      <c r="AF270" s="350">
        <v>177</v>
      </c>
      <c r="AG270" s="349">
        <v>17</v>
      </c>
      <c r="AH270" s="418">
        <v>1</v>
      </c>
    </row>
    <row r="271">
      <c r="A271" s="334"/>
      <c r="B271" s="387" t="s">
        <v>187</v>
      </c>
      <c r="C271" s="387"/>
      <c r="D271" s="362">
        <f>SUM(D267:D270)</f>
      </c>
      <c r="E271" s="420">
        <f>SUM(E267:E270)</f>
      </c>
      <c r="F271" s="362">
        <f>SUM(F267:F270)</f>
      </c>
      <c r="G271" s="362">
        <f t="shared" si="300"/>
      </c>
      <c r="H271" s="364">
        <f t="shared" si="318"/>
      </c>
      <c r="I271" s="365">
        <f t="shared" si="0"/>
      </c>
      <c r="J271" s="366">
        <f t="shared" si="17"/>
      </c>
      <c r="K271" s="367">
        <f t="shared" si="154"/>
      </c>
      <c r="L271" s="364">
        <f t="shared" si="171"/>
      </c>
      <c r="M271" s="368">
        <f t="shared" si="219"/>
      </c>
      <c r="N271" s="368">
        <f t="shared" si="221"/>
      </c>
      <c r="O271" s="368">
        <f t="shared" si="268"/>
      </c>
      <c r="P271" s="368">
        <f t="shared" si="85"/>
      </c>
      <c r="Q271" s="364">
        <f t="shared" si="117"/>
      </c>
      <c r="R271" s="366">
        <f t="shared" si="119"/>
      </c>
      <c r="S271" s="368">
        <f t="shared" si="121"/>
      </c>
      <c r="T271" s="368">
        <f t="shared" si="34"/>
      </c>
      <c r="U271" s="368">
        <f t="shared" si="51"/>
      </c>
      <c r="V271" s="368">
        <f t="shared" si="68"/>
      </c>
      <c r="W271" s="368"/>
      <c r="X271" s="369"/>
      <c r="Y271" s="362">
        <f>SUM(Y267:Y270)</f>
      </c>
      <c r="Z271" s="362">
        <f>SUM(Z267:Z270)</f>
      </c>
      <c r="AA271" s="362">
        <f>SUM(AA267:AA270)</f>
      </c>
      <c r="AB271" s="362">
        <f>SUM(AB267:AB270)</f>
      </c>
      <c r="AC271" s="362">
        <f>SUM(AC267:AC270)</f>
      </c>
      <c r="AD271" s="362">
        <f>SUM(AD267:AD270)</f>
      </c>
      <c r="AE271" s="362">
        <f>SUM(AE267:AE270)</f>
      </c>
      <c r="AF271" s="362">
        <f>SUM(AF267:AF270)</f>
      </c>
      <c r="AG271" s="362">
        <f>SUM(AG267:AG270)</f>
      </c>
      <c r="AH271" s="420">
        <f>SUM(AH267:AH270)</f>
      </c>
    </row>
    <row r="272">
      <c r="A272" s="334"/>
      <c r="B272" s="335" t="s">
        <v>203</v>
      </c>
      <c r="C272" s="373" t="s">
        <v>196</v>
      </c>
      <c r="D272" s="379">
        <v>3468.755</v>
      </c>
      <c r="E272" s="417">
        <v>8</v>
      </c>
      <c r="F272" s="339">
        <v>2203.5</v>
      </c>
      <c r="G272" s="340">
        <f t="shared" si="300"/>
      </c>
      <c r="H272" s="341">
        <f t="shared" si="318"/>
      </c>
      <c r="I272" s="342">
        <f t="shared" si="0"/>
      </c>
      <c r="J272" s="343">
        <f t="shared" si="17"/>
      </c>
      <c r="K272" s="382">
        <f t="shared" si="154"/>
      </c>
      <c r="L272" s="383">
        <f t="shared" si="171"/>
      </c>
      <c r="M272" s="384">
        <f t="shared" si="219"/>
      </c>
      <c r="N272" s="384">
        <f t="shared" si="221"/>
      </c>
      <c r="O272" s="384">
        <f t="shared" si="268"/>
      </c>
      <c r="P272" s="384">
        <f t="shared" si="85"/>
      </c>
      <c r="Q272" s="383">
        <f t="shared" si="117"/>
      </c>
      <c r="R272" s="381">
        <f t="shared" si="119"/>
      </c>
      <c r="S272" s="384">
        <f t="shared" si="121"/>
      </c>
      <c r="T272" s="384">
        <f t="shared" si="34"/>
      </c>
      <c r="U272" s="384">
        <f t="shared" si="51"/>
      </c>
      <c r="V272" s="384">
        <f t="shared" si="68"/>
      </c>
      <c r="W272" s="360" t="s">
        <v>181</v>
      </c>
      <c r="X272" s="375" t="s">
        <v>205</v>
      </c>
      <c r="Y272" s="350">
        <v>372989</v>
      </c>
      <c r="Z272" s="350">
        <v>7615</v>
      </c>
      <c r="AA272" s="350">
        <v>182304</v>
      </c>
      <c r="AB272" s="385">
        <v>1109</v>
      </c>
      <c r="AC272" s="385">
        <v>7</v>
      </c>
      <c r="AD272" s="385">
        <v>19663</v>
      </c>
      <c r="AE272" s="385">
        <v>308</v>
      </c>
      <c r="AF272" s="385">
        <v>154</v>
      </c>
      <c r="AG272" s="385">
        <v>14</v>
      </c>
      <c r="AH272" s="418">
        <v>1</v>
      </c>
    </row>
    <row r="273">
      <c r="A273" s="334"/>
      <c r="B273" s="335" t="s">
        <v>203</v>
      </c>
      <c r="C273" s="373" t="s">
        <v>197</v>
      </c>
      <c r="D273" s="379">
        <v>3341.631</v>
      </c>
      <c r="E273" s="417">
        <v>3</v>
      </c>
      <c r="F273" s="339">
        <v>1284</v>
      </c>
      <c r="G273" s="340">
        <f t="shared" si="300"/>
      </c>
      <c r="H273" s="341">
        <f t="shared" si="318"/>
      </c>
      <c r="I273" s="342">
        <f t="shared" si="0"/>
      </c>
      <c r="J273" s="343">
        <f t="shared" si="17"/>
      </c>
      <c r="K273" s="382">
        <f t="shared" si="154"/>
      </c>
      <c r="L273" s="383">
        <f t="shared" si="171"/>
      </c>
      <c r="M273" s="384">
        <f t="shared" si="219"/>
      </c>
      <c r="N273" s="384">
        <f t="shared" si="221"/>
      </c>
      <c r="O273" s="384">
        <f t="shared" si="268"/>
      </c>
      <c r="P273" s="384">
        <f t="shared" si="85"/>
      </c>
      <c r="Q273" s="383">
        <f t="shared" si="117"/>
      </c>
      <c r="R273" s="381">
        <f t="shared" si="119"/>
      </c>
      <c r="S273" s="384">
        <f t="shared" si="121"/>
      </c>
      <c r="T273" s="384">
        <f t="shared" si="34"/>
      </c>
      <c r="U273" s="384">
        <f t="shared" si="51"/>
      </c>
      <c r="V273" s="384">
        <f t="shared" si="68"/>
      </c>
      <c r="W273" s="360" t="s">
        <v>181</v>
      </c>
      <c r="X273" s="375" t="s">
        <v>205</v>
      </c>
      <c r="Y273" s="350">
        <v>369196</v>
      </c>
      <c r="Z273" s="350">
        <v>5708</v>
      </c>
      <c r="AA273" s="350">
        <v>205088</v>
      </c>
      <c r="AB273" s="385">
        <v>886</v>
      </c>
      <c r="AC273" s="385">
        <v>3</v>
      </c>
      <c r="AD273" s="385">
        <v>18882</v>
      </c>
      <c r="AE273" s="385">
        <v>339</v>
      </c>
      <c r="AF273" s="385">
        <v>145</v>
      </c>
      <c r="AG273" s="385">
        <v>17</v>
      </c>
      <c r="AH273" s="418">
        <v>0</v>
      </c>
    </row>
    <row r="274">
      <c r="A274" s="334"/>
      <c r="B274" s="335" t="s">
        <v>203</v>
      </c>
      <c r="C274" s="374" t="s">
        <v>198</v>
      </c>
      <c r="D274" s="379">
        <v>3926.065</v>
      </c>
      <c r="E274" s="417">
        <v>2</v>
      </c>
      <c r="F274" s="339">
        <v>424</v>
      </c>
      <c r="G274" s="340">
        <f t="shared" si="300"/>
      </c>
      <c r="H274" s="341">
        <f t="shared" si="318"/>
      </c>
      <c r="I274" s="342">
        <f t="shared" si="0"/>
      </c>
      <c r="J274" s="343">
        <f t="shared" si="17"/>
      </c>
      <c r="K274" s="382">
        <f t="shared" si="154"/>
      </c>
      <c r="L274" s="383">
        <f t="shared" si="171"/>
      </c>
      <c r="M274" s="384">
        <f t="shared" si="219"/>
      </c>
      <c r="N274" s="384">
        <f t="shared" si="221"/>
      </c>
      <c r="O274" s="384">
        <f t="shared" si="268"/>
      </c>
      <c r="P274" s="384">
        <f t="shared" si="85"/>
      </c>
      <c r="Q274" s="383">
        <f t="shared" si="117"/>
      </c>
      <c r="R274" s="381">
        <f t="shared" si="119"/>
      </c>
      <c r="S274" s="384">
        <f t="shared" si="121"/>
      </c>
      <c r="T274" s="384">
        <f t="shared" si="34"/>
      </c>
      <c r="U274" s="384">
        <f t="shared" si="51"/>
      </c>
      <c r="V274" s="384">
        <f t="shared" si="68"/>
      </c>
      <c r="W274" s="360" t="s">
        <v>181</v>
      </c>
      <c r="X274" s="375" t="s">
        <v>205</v>
      </c>
      <c r="Y274" s="350">
        <v>518277</v>
      </c>
      <c r="Z274" s="350">
        <v>7284</v>
      </c>
      <c r="AA274" s="350">
        <v>251173</v>
      </c>
      <c r="AB274" s="385">
        <v>1274</v>
      </c>
      <c r="AC274" s="385">
        <v>2</v>
      </c>
      <c r="AD274" s="385">
        <v>23026</v>
      </c>
      <c r="AE274" s="385">
        <v>512</v>
      </c>
      <c r="AF274" s="385">
        <v>173</v>
      </c>
      <c r="AG274" s="385">
        <v>23</v>
      </c>
      <c r="AH274" s="418">
        <v>0</v>
      </c>
    </row>
    <row r="275">
      <c r="A275" s="334"/>
      <c r="B275" s="335" t="s">
        <v>203</v>
      </c>
      <c r="C275" s="373" t="s">
        <v>199</v>
      </c>
      <c r="D275" s="377">
        <v>3208.8860000000004</v>
      </c>
      <c r="E275" s="359">
        <v>6</v>
      </c>
      <c r="F275" s="359">
        <v>2536</v>
      </c>
      <c r="G275" s="340">
        <f t="shared" si="300"/>
      </c>
      <c r="H275" s="341">
        <f t="shared" si="318"/>
      </c>
      <c r="I275" s="342">
        <f t="shared" si="0"/>
      </c>
      <c r="J275" s="343">
        <f t="shared" si="17"/>
      </c>
      <c r="K275" s="382">
        <f t="shared" si="154"/>
      </c>
      <c r="L275" s="383">
        <f t="shared" si="171"/>
      </c>
      <c r="M275" s="384">
        <f t="shared" si="219"/>
      </c>
      <c r="N275" s="384">
        <f t="shared" si="221"/>
      </c>
      <c r="O275" s="384">
        <f t="shared" si="268"/>
      </c>
      <c r="P275" s="384">
        <f t="shared" si="85"/>
      </c>
      <c r="Q275" s="383">
        <f t="shared" si="117"/>
      </c>
      <c r="R275" s="381">
        <f t="shared" si="119"/>
      </c>
      <c r="S275" s="384">
        <f t="shared" si="121"/>
      </c>
      <c r="T275" s="384">
        <f t="shared" si="34"/>
      </c>
      <c r="U275" s="384">
        <f t="shared" si="51"/>
      </c>
      <c r="V275" s="384">
        <f t="shared" si="68"/>
      </c>
      <c r="W275" s="360" t="s">
        <v>181</v>
      </c>
      <c r="X275" s="375" t="s">
        <v>205</v>
      </c>
      <c r="Y275" s="350">
        <v>484362</v>
      </c>
      <c r="Z275" s="350">
        <v>6845</v>
      </c>
      <c r="AA275" s="350">
        <v>218715</v>
      </c>
      <c r="AB275" s="350">
        <v>1216</v>
      </c>
      <c r="AC275" s="350">
        <v>6</v>
      </c>
      <c r="AD275" s="350">
        <v>19195</v>
      </c>
      <c r="AE275" s="350">
        <v>411</v>
      </c>
      <c r="AF275" s="350">
        <v>151</v>
      </c>
      <c r="AG275" s="349">
        <v>14</v>
      </c>
      <c r="AH275" s="418">
        <v>0</v>
      </c>
    </row>
    <row r="276">
      <c r="A276" s="334"/>
      <c r="B276" s="335" t="s">
        <v>203</v>
      </c>
      <c r="C276" s="386" t="s">
        <v>200</v>
      </c>
      <c r="D276" s="377">
        <v>1980.777</v>
      </c>
      <c r="E276" s="359">
        <v>5</v>
      </c>
      <c r="F276" s="359">
        <v>1638.300000000003</v>
      </c>
      <c r="G276" s="340">
        <f t="shared" si="300"/>
      </c>
      <c r="H276" s="341">
        <f t="shared" si="318"/>
      </c>
      <c r="I276" s="342">
        <f t="shared" si="0"/>
      </c>
      <c r="J276" s="343">
        <f t="shared" si="17"/>
      </c>
      <c r="K276" s="382">
        <f t="shared" si="154"/>
      </c>
      <c r="L276" s="383">
        <f t="shared" si="171"/>
      </c>
      <c r="M276" s="384">
        <f t="shared" si="219"/>
      </c>
      <c r="N276" s="384">
        <f t="shared" si="221"/>
      </c>
      <c r="O276" s="384">
        <f t="shared" si="268"/>
      </c>
      <c r="P276" s="384">
        <f t="shared" si="85"/>
      </c>
      <c r="Q276" s="383">
        <f t="shared" si="117"/>
      </c>
      <c r="R276" s="381">
        <f t="shared" si="119"/>
      </c>
      <c r="S276" s="384">
        <f t="shared" si="121"/>
      </c>
      <c r="T276" s="384">
        <f t="shared" si="34"/>
      </c>
      <c r="U276" s="384">
        <f t="shared" si="51"/>
      </c>
      <c r="V276" s="384">
        <f t="shared" si="68"/>
      </c>
      <c r="W276" s="360" t="s">
        <v>181</v>
      </c>
      <c r="X276" s="375" t="s">
        <v>205</v>
      </c>
      <c r="Y276" s="350">
        <v>308155</v>
      </c>
      <c r="Z276" s="350">
        <v>5020</v>
      </c>
      <c r="AA276" s="350">
        <v>156593</v>
      </c>
      <c r="AB276" s="350">
        <v>879</v>
      </c>
      <c r="AC276" s="350">
        <v>3</v>
      </c>
      <c r="AD276" s="350">
        <v>13075</v>
      </c>
      <c r="AE276" s="350">
        <v>378</v>
      </c>
      <c r="AF276" s="350">
        <v>83</v>
      </c>
      <c r="AG276" s="349">
        <v>11</v>
      </c>
      <c r="AH276" s="418">
        <v>0</v>
      </c>
    </row>
    <row r="277">
      <c r="A277" s="334"/>
      <c r="B277" s="387" t="s">
        <v>187</v>
      </c>
      <c r="C277" s="387"/>
      <c r="D277" s="362">
        <f>SUM(D272:D276)</f>
      </c>
      <c r="E277" s="420">
        <f>SUM(E272:E276)</f>
      </c>
      <c r="F277" s="362">
        <f>SUM(F272:F276)</f>
      </c>
      <c r="G277" s="362">
        <f t="shared" si="300"/>
      </c>
      <c r="H277" s="364">
        <f t="shared" si="318"/>
      </c>
      <c r="I277" s="365">
        <f t="shared" si="0"/>
      </c>
      <c r="J277" s="366">
        <f t="shared" si="17"/>
      </c>
      <c r="K277" s="367">
        <f t="shared" si="154"/>
      </c>
      <c r="L277" s="364">
        <f t="shared" si="171"/>
      </c>
      <c r="M277" s="368">
        <f t="shared" si="219"/>
      </c>
      <c r="N277" s="368">
        <f t="shared" si="221"/>
      </c>
      <c r="O277" s="368">
        <f t="shared" si="268"/>
      </c>
      <c r="P277" s="368">
        <f t="shared" si="85"/>
      </c>
      <c r="Q277" s="364">
        <f t="shared" si="117"/>
      </c>
      <c r="R277" s="366">
        <f t="shared" si="119"/>
      </c>
      <c r="S277" s="368">
        <f t="shared" si="121"/>
      </c>
      <c r="T277" s="368">
        <f t="shared" si="34"/>
      </c>
      <c r="U277" s="368">
        <f t="shared" si="51"/>
      </c>
      <c r="V277" s="368">
        <f t="shared" si="68"/>
      </c>
      <c r="W277" s="368"/>
      <c r="X277" s="369"/>
      <c r="Y277" s="362">
        <f>SUM(Y272:Y276)</f>
      </c>
      <c r="Z277" s="362">
        <f>SUM(Z272:Z276)</f>
      </c>
      <c r="AA277" s="362">
        <f>SUM(AA272:AA276)</f>
      </c>
      <c r="AB277" s="362">
        <f>SUM(AB272:AB276)</f>
      </c>
      <c r="AC277" s="362">
        <f>SUM(AC272:AC276)</f>
      </c>
      <c r="AD277" s="362">
        <f>SUM(AD272:AD276)</f>
      </c>
      <c r="AE277" s="362">
        <f>SUM(AE272:AE276)</f>
      </c>
      <c r="AF277" s="362">
        <f>SUM(AF272:AF276)</f>
      </c>
      <c r="AG277" s="362">
        <f>SUM(AG272:AG276)</f>
      </c>
      <c r="AH277" s="420">
        <f>SUM(AH272:AH276)</f>
      </c>
    </row>
    <row r="278">
      <c r="A278" s="334"/>
      <c r="B278" s="388" t="s">
        <v>201</v>
      </c>
      <c r="C278" s="388"/>
      <c r="D278" s="389">
        <f>SUM(D263+D277+D271+D266)</f>
      </c>
      <c r="E278" s="421">
        <f>SUM(E263+E277+E271+E266)</f>
      </c>
      <c r="F278" s="389">
        <f>SUM(F263+F277+F271+F266)</f>
      </c>
      <c r="G278" s="390">
        <f t="shared" si="300"/>
      </c>
      <c r="H278" s="391">
        <f t="shared" si="318"/>
      </c>
      <c r="I278" s="392">
        <f t="shared" si="0"/>
      </c>
      <c r="J278" s="393">
        <f t="shared" si="17"/>
      </c>
      <c r="K278" s="394">
        <f t="shared" si="154"/>
      </c>
      <c r="L278" s="394">
        <f t="shared" si="171"/>
      </c>
      <c r="M278" s="395">
        <f t="shared" si="219"/>
      </c>
      <c r="N278" s="395">
        <f t="shared" si="221"/>
      </c>
      <c r="O278" s="395">
        <f t="shared" si="268"/>
      </c>
      <c r="P278" s="395">
        <f t="shared" si="85"/>
      </c>
      <c r="Q278" s="396">
        <f t="shared" si="117"/>
      </c>
      <c r="R278" s="397">
        <f t="shared" si="119"/>
      </c>
      <c r="S278" s="398">
        <f t="shared" si="121"/>
      </c>
      <c r="T278" s="398">
        <f t="shared" si="34"/>
      </c>
      <c r="U278" s="398">
        <f t="shared" si="51"/>
      </c>
      <c r="V278" s="398">
        <f t="shared" si="68"/>
      </c>
      <c r="W278" s="398"/>
      <c r="X278" s="399"/>
      <c r="Y278" s="390">
        <f>SUM(Y271+Y277+Y263+Y266)</f>
      </c>
      <c r="Z278" s="390">
        <f>SUM(Z271+Z277+Z263+Z266)</f>
      </c>
      <c r="AA278" s="390">
        <f>SUM(AA271+AA277+AA263+AA266)</f>
      </c>
      <c r="AB278" s="390">
        <f>SUM(AB271+AB277+AB263+AB266)</f>
      </c>
      <c r="AC278" s="390">
        <f>SUM(AC271+AC277+AC263+AC266)</f>
      </c>
      <c r="AD278" s="390">
        <f>SUM(AD271+AD277+AD263+AD266)</f>
      </c>
      <c r="AE278" s="390">
        <f>SUM(AE271+AE277+AE263+AE266)</f>
      </c>
      <c r="AF278" s="390">
        <f>SUM(AF271+AF277+AF263+AF266)</f>
      </c>
      <c r="AG278" s="390">
        <f>SUM(AG271+AG277+AG263+AG266)</f>
      </c>
      <c r="AH278" s="421">
        <f>SUM(AH271+AH277+AH263+AH266)</f>
      </c>
    </row>
    <row r="279">
      <c r="A279" s="319" t="s">
        <v>145</v>
      </c>
      <c r="B279" s="320" t="s">
        <v>146</v>
      </c>
      <c r="C279" s="321" t="s">
        <v>147</v>
      </c>
      <c r="D279" s="322" t="s">
        <v>148</v>
      </c>
      <c r="E279" s="323" t="s">
        <v>149</v>
      </c>
      <c r="F279" s="324" t="s">
        <v>150</v>
      </c>
      <c r="G279" s="324" t="s">
        <v>151</v>
      </c>
      <c r="H279" s="325" t="s">
        <v>152</v>
      </c>
      <c r="I279" s="325" t="s">
        <v>153</v>
      </c>
      <c r="J279" s="325" t="s">
        <v>154</v>
      </c>
      <c r="K279" s="326" t="s">
        <v>155</v>
      </c>
      <c r="L279" s="326" t="s">
        <v>156</v>
      </c>
      <c r="M279" s="326" t="s">
        <v>157</v>
      </c>
      <c r="N279" s="326" t="s">
        <v>158</v>
      </c>
      <c r="O279" s="326" t="s">
        <v>159</v>
      </c>
      <c r="P279" s="326" t="s">
        <v>160</v>
      </c>
      <c r="Q279" s="326" t="s">
        <v>161</v>
      </c>
      <c r="R279" s="326" t="s">
        <v>162</v>
      </c>
      <c r="S279" s="327" t="s">
        <v>163</v>
      </c>
      <c r="T279" s="327" t="s">
        <v>164</v>
      </c>
      <c r="U279" s="327" t="s">
        <v>165</v>
      </c>
      <c r="V279" s="327" t="s">
        <v>166</v>
      </c>
      <c r="W279" s="328" t="s">
        <v>167</v>
      </c>
      <c r="X279" s="328" t="s">
        <v>168</v>
      </c>
      <c r="Y279" s="329" t="s">
        <v>169</v>
      </c>
      <c r="Z279" s="329" t="s">
        <v>170</v>
      </c>
      <c r="AA279" s="329" t="s">
        <v>171</v>
      </c>
      <c r="AB279" s="330" t="s">
        <v>172</v>
      </c>
      <c r="AC279" s="330" t="s">
        <v>173</v>
      </c>
      <c r="AD279" s="331" t="s">
        <v>174</v>
      </c>
      <c r="AE279" s="330" t="s">
        <v>175</v>
      </c>
      <c r="AF279" s="330" t="s">
        <v>176</v>
      </c>
      <c r="AG279" s="332" t="s">
        <v>177</v>
      </c>
      <c r="AH279" s="333" t="s">
        <v>178</v>
      </c>
    </row>
    <row r="280">
      <c r="A280" s="334">
        <v>46250</v>
      </c>
      <c r="B280" s="415" t="s">
        <v>188</v>
      </c>
      <c r="C280" s="336" t="s">
        <v>180</v>
      </c>
      <c r="D280" s="337">
        <v>2185.7309999999998</v>
      </c>
      <c r="E280" s="417">
        <v>5</v>
      </c>
      <c r="F280" s="339">
        <v>1689.6</v>
      </c>
      <c r="G280" s="340">
        <f t="shared" ref="G280:G300" si="301">D280/AC280</f>
      </c>
      <c r="H280" s="341">
        <f t="shared" ref="H280:H300" si="319">F280/E280</f>
      </c>
      <c r="I280" s="342">
        <f t="shared" ref="I280:I300" si="1">D280/E280</f>
      </c>
      <c r="J280" s="343">
        <f t="shared" ref="J280:J300" si="18">F280/D280</f>
      </c>
      <c r="K280" s="344">
        <f t="shared" ref="K280:K300" si="155">D280/AA280</f>
      </c>
      <c r="L280" s="341">
        <f t="shared" ref="L280:L300" si="172">D280/AB280</f>
      </c>
      <c r="M280" s="345">
        <f t="shared" ref="M280:M300" si="220">AB280/AA280</f>
      </c>
      <c r="N280" s="345">
        <f t="shared" ref="N280:N300" si="222">AC280/AB280</f>
      </c>
      <c r="O280" s="345">
        <f t="shared" ref="O280:O300" si="269">Z280/Y280</f>
      </c>
      <c r="P280" s="345">
        <f t="shared" ref="P280:P300" si="86">AC280/Z280</f>
      </c>
      <c r="Q280" s="341">
        <f t="shared" ref="Q280:Q300" si="118">D280/Y280*1000</f>
      </c>
      <c r="R280" s="343">
        <f t="shared" ref="R280:R300" si="120">D280/Z280</f>
      </c>
      <c r="S280" s="345">
        <f t="shared" ref="S280:S300" si="122">AD280/AA280</f>
      </c>
      <c r="T280" s="345">
        <f t="shared" ref="T280:T300" si="35">AE280/AA280</f>
      </c>
      <c r="U280" s="345">
        <f t="shared" ref="U280:U300" si="52">AF280/AA280</f>
      </c>
      <c r="V280" s="345">
        <f t="shared" ref="V280:V300" si="69">AG280/AA280</f>
      </c>
      <c r="W280" s="346" t="s">
        <v>181</v>
      </c>
      <c r="X280" s="347" t="s">
        <v>193</v>
      </c>
      <c r="Y280" s="348">
        <v>179895</v>
      </c>
      <c r="Z280" s="348">
        <v>4337</v>
      </c>
      <c r="AA280" s="348">
        <v>85716</v>
      </c>
      <c r="AB280" s="348">
        <v>1320</v>
      </c>
      <c r="AC280" s="349">
        <v>3</v>
      </c>
      <c r="AD280" s="348">
        <v>20195</v>
      </c>
      <c r="AE280" s="350">
        <v>307</v>
      </c>
      <c r="AF280" s="350">
        <v>133</v>
      </c>
      <c r="AG280" s="350">
        <v>18</v>
      </c>
      <c r="AH280" s="418">
        <v>1</v>
      </c>
    </row>
    <row r="281">
      <c r="A281" s="334"/>
      <c r="B281" s="415" t="s">
        <v>188</v>
      </c>
      <c r="C281" s="336" t="s">
        <v>183</v>
      </c>
      <c r="D281" s="337">
        <v>3646.208</v>
      </c>
      <c r="E281" s="417">
        <v>14</v>
      </c>
      <c r="F281" s="339">
        <v>5253.5</v>
      </c>
      <c r="G281" s="340">
        <f t="shared" si="301"/>
      </c>
      <c r="H281" s="341">
        <f t="shared" si="319"/>
      </c>
      <c r="I281" s="342">
        <f t="shared" si="1"/>
      </c>
      <c r="J281" s="343">
        <f t="shared" si="18"/>
      </c>
      <c r="K281" s="344">
        <f t="shared" si="155"/>
      </c>
      <c r="L281" s="341">
        <f t="shared" si="172"/>
      </c>
      <c r="M281" s="345">
        <f t="shared" si="220"/>
      </c>
      <c r="N281" s="345">
        <f t="shared" si="222"/>
      </c>
      <c r="O281" s="345">
        <f t="shared" si="269"/>
      </c>
      <c r="P281" s="345">
        <f t="shared" si="86"/>
      </c>
      <c r="Q281" s="341">
        <f t="shared" si="118"/>
      </c>
      <c r="R281" s="343">
        <f t="shared" si="120"/>
      </c>
      <c r="S281" s="345">
        <f t="shared" si="122"/>
      </c>
      <c r="T281" s="345">
        <f t="shared" si="35"/>
      </c>
      <c r="U281" s="345">
        <f t="shared" si="52"/>
      </c>
      <c r="V281" s="345">
        <f t="shared" si="69"/>
      </c>
      <c r="W281" s="346" t="s">
        <v>181</v>
      </c>
      <c r="X281" s="347" t="s">
        <v>193</v>
      </c>
      <c r="Y281" s="350">
        <v>228251</v>
      </c>
      <c r="Z281" s="348">
        <v>5997</v>
      </c>
      <c r="AA281" s="348">
        <v>136332</v>
      </c>
      <c r="AB281" s="348">
        <v>1839</v>
      </c>
      <c r="AC281" s="350">
        <v>9</v>
      </c>
      <c r="AD281" s="348">
        <v>28965</v>
      </c>
      <c r="AE281" s="350">
        <v>560</v>
      </c>
      <c r="AF281" s="350">
        <v>191</v>
      </c>
      <c r="AG281" s="349">
        <v>28</v>
      </c>
      <c r="AH281" s="418">
        <v>2</v>
      </c>
    </row>
    <row r="282">
      <c r="A282" s="334"/>
      <c r="B282" s="415" t="s">
        <v>188</v>
      </c>
      <c r="C282" s="351" t="s">
        <v>184</v>
      </c>
      <c r="D282" s="337">
        <v>2860.7980000000002</v>
      </c>
      <c r="E282" s="417">
        <v>4</v>
      </c>
      <c r="F282" s="339">
        <v>1512</v>
      </c>
      <c r="G282" s="340">
        <f t="shared" si="301"/>
      </c>
      <c r="H282" s="341">
        <f t="shared" si="319"/>
      </c>
      <c r="I282" s="342">
        <f t="shared" si="1"/>
      </c>
      <c r="J282" s="343">
        <f t="shared" si="18"/>
      </c>
      <c r="K282" s="344">
        <f t="shared" si="155"/>
      </c>
      <c r="L282" s="341">
        <f t="shared" si="172"/>
      </c>
      <c r="M282" s="345">
        <f t="shared" si="220"/>
      </c>
      <c r="N282" s="345">
        <f t="shared" si="222"/>
      </c>
      <c r="O282" s="345">
        <f t="shared" si="269"/>
      </c>
      <c r="P282" s="345">
        <f t="shared" si="86"/>
      </c>
      <c r="Q282" s="341">
        <f t="shared" si="118"/>
      </c>
      <c r="R282" s="343">
        <f t="shared" si="120"/>
      </c>
      <c r="S282" s="345">
        <f t="shared" si="122"/>
      </c>
      <c r="T282" s="345">
        <f t="shared" si="35"/>
      </c>
      <c r="U282" s="345">
        <f t="shared" si="52"/>
      </c>
      <c r="V282" s="345">
        <f t="shared" si="69"/>
      </c>
      <c r="W282" s="346" t="s">
        <v>181</v>
      </c>
      <c r="X282" s="347" t="s">
        <v>193</v>
      </c>
      <c r="Y282" s="350">
        <v>190924</v>
      </c>
      <c r="Z282" s="348">
        <v>6140</v>
      </c>
      <c r="AA282" s="348">
        <v>124454</v>
      </c>
      <c r="AB282" s="348">
        <v>1516</v>
      </c>
      <c r="AC282" s="350">
        <v>6</v>
      </c>
      <c r="AD282" s="348">
        <v>22487</v>
      </c>
      <c r="AE282" s="350">
        <v>562</v>
      </c>
      <c r="AF282" s="350">
        <v>152</v>
      </c>
      <c r="AG282" s="350">
        <v>22</v>
      </c>
      <c r="AH282" s="418">
        <v>0</v>
      </c>
    </row>
    <row r="283">
      <c r="A283" s="334"/>
      <c r="B283" s="415" t="s">
        <v>188</v>
      </c>
      <c r="C283" s="416" t="s">
        <v>185</v>
      </c>
      <c r="D283" s="357">
        <v>1900.361</v>
      </c>
      <c r="E283" s="419">
        <v>7</v>
      </c>
      <c r="F283" s="359">
        <v>2164</v>
      </c>
      <c r="G283" s="340">
        <f t="shared" si="301"/>
      </c>
      <c r="H283" s="341">
        <f t="shared" si="319"/>
      </c>
      <c r="I283" s="342">
        <f t="shared" si="1"/>
      </c>
      <c r="J283" s="343">
        <f t="shared" si="18"/>
      </c>
      <c r="K283" s="344">
        <f t="shared" si="155"/>
      </c>
      <c r="L283" s="341">
        <f t="shared" si="172"/>
      </c>
      <c r="M283" s="345">
        <f t="shared" si="220"/>
      </c>
      <c r="N283" s="345">
        <f t="shared" si="222"/>
      </c>
      <c r="O283" s="345">
        <f t="shared" si="269"/>
      </c>
      <c r="P283" s="345">
        <f t="shared" si="86"/>
      </c>
      <c r="Q283" s="341">
        <f t="shared" si="118"/>
      </c>
      <c r="R283" s="343">
        <f t="shared" si="120"/>
      </c>
      <c r="S283" s="345">
        <f t="shared" si="122"/>
      </c>
      <c r="T283" s="345">
        <f t="shared" si="35"/>
      </c>
      <c r="U283" s="345">
        <f t="shared" si="52"/>
      </c>
      <c r="V283" s="345">
        <f t="shared" si="69"/>
      </c>
      <c r="W283" s="360" t="s">
        <v>181</v>
      </c>
      <c r="X283" s="347" t="s">
        <v>193</v>
      </c>
      <c r="Y283" s="350">
        <v>152125</v>
      </c>
      <c r="Z283" s="350">
        <v>5422</v>
      </c>
      <c r="AA283" s="350">
        <v>93777</v>
      </c>
      <c r="AB283" s="350">
        <v>1133</v>
      </c>
      <c r="AC283" s="350">
        <v>6</v>
      </c>
      <c r="AD283" s="350">
        <v>16057</v>
      </c>
      <c r="AE283" s="350">
        <v>336</v>
      </c>
      <c r="AF283" s="350">
        <v>107</v>
      </c>
      <c r="AG283" s="349">
        <v>15</v>
      </c>
      <c r="AH283" s="418">
        <v>0</v>
      </c>
    </row>
    <row customHeight="true" ht="16.071428571428573" r="284">
      <c r="A284" s="334"/>
      <c r="B284" s="415" t="s">
        <v>188</v>
      </c>
      <c r="C284" s="416" t="s">
        <v>186</v>
      </c>
      <c r="D284" s="371">
        <v>3005.429</v>
      </c>
      <c r="E284" s="417">
        <v>10</v>
      </c>
      <c r="F284" s="339">
        <v>2805.199999999999</v>
      </c>
      <c r="G284" s="340">
        <f t="shared" si="301"/>
      </c>
      <c r="H284" s="341">
        <f t="shared" si="319"/>
      </c>
      <c r="I284" s="342">
        <f t="shared" si="1"/>
      </c>
      <c r="J284" s="343">
        <f t="shared" si="18"/>
      </c>
      <c r="K284" s="344">
        <f t="shared" si="155"/>
      </c>
      <c r="L284" s="341">
        <f t="shared" si="172"/>
      </c>
      <c r="M284" s="345">
        <f t="shared" si="220"/>
      </c>
      <c r="N284" s="345">
        <f t="shared" si="222"/>
      </c>
      <c r="O284" s="345">
        <f t="shared" si="269"/>
      </c>
      <c r="P284" s="345">
        <f t="shared" si="86"/>
      </c>
      <c r="Q284" s="341">
        <f t="shared" si="118"/>
      </c>
      <c r="R284" s="343">
        <f t="shared" si="120"/>
      </c>
      <c r="S284" s="345">
        <f t="shared" si="122"/>
      </c>
      <c r="T284" s="345">
        <f t="shared" si="35"/>
      </c>
      <c r="U284" s="345">
        <f t="shared" si="52"/>
      </c>
      <c r="V284" s="345">
        <f t="shared" si="69"/>
      </c>
      <c r="W284" s="360" t="s">
        <v>181</v>
      </c>
      <c r="X284" s="347" t="s">
        <v>193</v>
      </c>
      <c r="Y284" s="348">
        <v>227344</v>
      </c>
      <c r="Z284" s="348">
        <v>8806</v>
      </c>
      <c r="AA284" s="348">
        <v>186243</v>
      </c>
      <c r="AB284" s="350">
        <v>1263</v>
      </c>
      <c r="AC284" s="350">
        <v>7</v>
      </c>
      <c r="AD284" s="348">
        <v>23394</v>
      </c>
      <c r="AE284" s="350">
        <v>352</v>
      </c>
      <c r="AF284" s="350">
        <v>202</v>
      </c>
      <c r="AG284" s="350">
        <v>24</v>
      </c>
      <c r="AH284" s="418">
        <v>1</v>
      </c>
    </row>
    <row r="285">
      <c r="A285" s="334"/>
      <c r="B285" s="361" t="s">
        <v>187</v>
      </c>
      <c r="C285" s="361"/>
      <c r="D285" s="362">
        <f>SUM(D280:D284)</f>
      </c>
      <c r="E285" s="362">
        <f>SUM(E280:E284)</f>
      </c>
      <c r="F285" s="362">
        <f>SUM(F280:F284)</f>
      </c>
      <c r="G285" s="362">
        <f t="shared" si="301"/>
      </c>
      <c r="H285" s="364">
        <f t="shared" si="319"/>
      </c>
      <c r="I285" s="365">
        <f t="shared" si="1"/>
      </c>
      <c r="J285" s="366">
        <f t="shared" si="18"/>
      </c>
      <c r="K285" s="367">
        <f t="shared" si="155"/>
      </c>
      <c r="L285" s="364">
        <f t="shared" si="172"/>
      </c>
      <c r="M285" s="368">
        <f t="shared" si="220"/>
      </c>
      <c r="N285" s="368">
        <f t="shared" si="222"/>
      </c>
      <c r="O285" s="368">
        <f t="shared" si="269"/>
      </c>
      <c r="P285" s="368">
        <f t="shared" si="86"/>
      </c>
      <c r="Q285" s="364">
        <f t="shared" si="118"/>
      </c>
      <c r="R285" s="366">
        <f t="shared" si="120"/>
      </c>
      <c r="S285" s="368">
        <f t="shared" si="122"/>
      </c>
      <c r="T285" s="368">
        <f t="shared" si="35"/>
      </c>
      <c r="U285" s="368">
        <f t="shared" si="52"/>
      </c>
      <c r="V285" s="368">
        <f t="shared" si="69"/>
      </c>
      <c r="W285" s="368"/>
      <c r="X285" s="369"/>
      <c r="Y285" s="362">
        <f>SUM(Y280:Y284)</f>
      </c>
      <c r="Z285" s="362">
        <f>SUM(Z280:Z284)</f>
      </c>
      <c r="AA285" s="362">
        <f>SUM(AA280:AA284)</f>
      </c>
      <c r="AB285" s="362">
        <f>SUM(AB280:AB284)</f>
      </c>
      <c r="AC285" s="362">
        <f>SUM(AC280:AC284)</f>
      </c>
      <c r="AD285" s="362">
        <f>SUM(AD280:AD284)</f>
      </c>
      <c r="AE285" s="362">
        <f>SUM(AE280:AE284)</f>
      </c>
      <c r="AF285" s="362">
        <f>SUM(AF280:AF284)</f>
      </c>
      <c r="AG285" s="362">
        <f>SUM(AG280:AG284)</f>
      </c>
      <c r="AH285" s="362">
        <f>SUM(AH280:AH284)</f>
      </c>
    </row>
    <row r="286">
      <c r="A286" s="334"/>
      <c r="B286" s="335" t="s">
        <v>195</v>
      </c>
      <c r="C286" s="416" t="s">
        <v>189</v>
      </c>
      <c r="D286" s="352">
        <v>3727.86</v>
      </c>
      <c r="E286" s="417">
        <v>6</v>
      </c>
      <c r="F286" s="339">
        <v>1904</v>
      </c>
      <c r="G286" s="340">
        <f t="shared" si="301"/>
      </c>
      <c r="H286" s="341">
        <f t="shared" si="319"/>
      </c>
      <c r="I286" s="342">
        <f t="shared" si="1"/>
      </c>
      <c r="J286" s="343">
        <f t="shared" si="18"/>
      </c>
      <c r="K286" s="344">
        <f t="shared" si="155"/>
      </c>
      <c r="L286" s="341">
        <f t="shared" si="172"/>
      </c>
      <c r="M286" s="345">
        <f t="shared" si="220"/>
      </c>
      <c r="N286" s="345">
        <f t="shared" si="222"/>
      </c>
      <c r="O286" s="345">
        <f t="shared" si="269"/>
      </c>
      <c r="P286" s="345">
        <f t="shared" si="86"/>
      </c>
      <c r="Q286" s="341">
        <f t="shared" si="118"/>
      </c>
      <c r="R286" s="343">
        <f t="shared" si="120"/>
      </c>
      <c r="S286" s="345">
        <f t="shared" si="122"/>
      </c>
      <c r="T286" s="345">
        <f t="shared" si="35"/>
      </c>
      <c r="U286" s="345">
        <f t="shared" si="52"/>
      </c>
      <c r="V286" s="345">
        <f t="shared" si="69"/>
      </c>
      <c r="W286" s="346" t="s">
        <v>181</v>
      </c>
      <c r="X286" s="347" t="s">
        <v>193</v>
      </c>
      <c r="Y286" s="348">
        <v>343647</v>
      </c>
      <c r="Z286" s="348">
        <v>12799</v>
      </c>
      <c r="AA286" s="348">
        <v>167738</v>
      </c>
      <c r="AB286" s="348">
        <v>1803</v>
      </c>
      <c r="AC286" s="349">
        <v>9</v>
      </c>
      <c r="AD286" s="348">
        <v>20103</v>
      </c>
      <c r="AE286" s="350">
        <v>401</v>
      </c>
      <c r="AF286" s="350">
        <v>214</v>
      </c>
      <c r="AG286" s="350">
        <v>30</v>
      </c>
      <c r="AH286" s="418">
        <v>0</v>
      </c>
    </row>
    <row r="287">
      <c r="A287" s="334"/>
      <c r="B287" s="335" t="s">
        <v>195</v>
      </c>
      <c r="C287" s="372" t="s">
        <v>190</v>
      </c>
      <c r="D287" s="422">
        <v>3426.897</v>
      </c>
      <c r="E287" s="423">
        <v>12</v>
      </c>
      <c r="F287" s="339">
        <v>3706.5</v>
      </c>
      <c r="G287" s="340">
        <f t="shared" si="301"/>
      </c>
      <c r="H287" s="341">
        <f t="shared" si="319"/>
      </c>
      <c r="I287" s="342">
        <f t="shared" si="1"/>
      </c>
      <c r="J287" s="343">
        <f t="shared" si="18"/>
      </c>
      <c r="K287" s="344">
        <f t="shared" si="155"/>
      </c>
      <c r="L287" s="341">
        <f t="shared" si="172"/>
      </c>
      <c r="M287" s="345">
        <f t="shared" si="220"/>
      </c>
      <c r="N287" s="345">
        <f t="shared" si="222"/>
      </c>
      <c r="O287" s="345">
        <f t="shared" si="269"/>
      </c>
      <c r="P287" s="345">
        <f t="shared" si="86"/>
      </c>
      <c r="Q287" s="341">
        <f t="shared" si="118"/>
      </c>
      <c r="R287" s="343">
        <f t="shared" si="120"/>
      </c>
      <c r="S287" s="345">
        <f t="shared" si="122"/>
      </c>
      <c r="T287" s="345">
        <f t="shared" si="35"/>
      </c>
      <c r="U287" s="345">
        <f t="shared" si="52"/>
      </c>
      <c r="V287" s="345">
        <f t="shared" si="69"/>
      </c>
      <c r="W287" s="346" t="s">
        <v>181</v>
      </c>
      <c r="X287" s="347" t="s">
        <v>193</v>
      </c>
      <c r="Y287" s="350">
        <v>327733</v>
      </c>
      <c r="Z287" s="348">
        <v>13606</v>
      </c>
      <c r="AA287" s="348">
        <v>136779</v>
      </c>
      <c r="AB287" s="348">
        <v>1847</v>
      </c>
      <c r="AC287" s="350">
        <v>8</v>
      </c>
      <c r="AD287" s="348">
        <v>15912</v>
      </c>
      <c r="AE287" s="350">
        <v>359</v>
      </c>
      <c r="AF287" s="350">
        <v>187</v>
      </c>
      <c r="AG287" s="349">
        <v>28</v>
      </c>
      <c r="AH287" s="418">
        <v>5</v>
      </c>
    </row>
    <row customHeight="true" ht="16.071428571428573" r="288">
      <c r="A288" s="334"/>
      <c r="B288" s="335" t="s">
        <v>195</v>
      </c>
      <c r="C288" s="373" t="s">
        <v>191</v>
      </c>
      <c r="D288" s="424">
        <v>2807.077</v>
      </c>
      <c r="E288" s="417">
        <v>12</v>
      </c>
      <c r="F288" s="339">
        <v>3615</v>
      </c>
      <c r="G288" s="340">
        <f t="shared" si="301"/>
      </c>
      <c r="H288" s="341">
        <f t="shared" si="319"/>
      </c>
      <c r="I288" s="342">
        <f t="shared" si="1"/>
      </c>
      <c r="J288" s="343">
        <f t="shared" si="18"/>
      </c>
      <c r="K288" s="344">
        <f t="shared" si="155"/>
      </c>
      <c r="L288" s="341">
        <f t="shared" si="172"/>
      </c>
      <c r="M288" s="345">
        <f t="shared" si="220"/>
      </c>
      <c r="N288" s="345">
        <f t="shared" si="222"/>
      </c>
      <c r="O288" s="345">
        <f t="shared" si="269"/>
      </c>
      <c r="P288" s="345">
        <f t="shared" si="86"/>
      </c>
      <c r="Q288" s="341">
        <f t="shared" si="118"/>
      </c>
      <c r="R288" s="343">
        <f t="shared" si="120"/>
      </c>
      <c r="S288" s="345">
        <f t="shared" si="122"/>
      </c>
      <c r="T288" s="345">
        <f t="shared" si="35"/>
      </c>
      <c r="U288" s="345">
        <f t="shared" si="52"/>
      </c>
      <c r="V288" s="345">
        <f t="shared" si="69"/>
      </c>
      <c r="W288" s="346" t="s">
        <v>181</v>
      </c>
      <c r="X288" s="347" t="s">
        <v>193</v>
      </c>
      <c r="Y288" s="350">
        <v>296132</v>
      </c>
      <c r="Z288" s="348">
        <v>13807</v>
      </c>
      <c r="AA288" s="348">
        <v>133547</v>
      </c>
      <c r="AB288" s="348">
        <v>1470</v>
      </c>
      <c r="AC288" s="350">
        <v>8</v>
      </c>
      <c r="AD288" s="348">
        <v>14491</v>
      </c>
      <c r="AE288" s="350">
        <v>332</v>
      </c>
      <c r="AF288" s="350">
        <v>160</v>
      </c>
      <c r="AG288" s="350">
        <v>19</v>
      </c>
      <c r="AH288" s="418">
        <v>3</v>
      </c>
    </row>
    <row customHeight="true" ht="16.071428571428573" r="289">
      <c r="A289" s="334"/>
      <c r="B289" s="335" t="s">
        <v>195</v>
      </c>
      <c r="C289" s="374" t="s">
        <v>192</v>
      </c>
      <c r="D289" s="357">
        <v>2775.987</v>
      </c>
      <c r="E289" s="419">
        <v>3</v>
      </c>
      <c r="F289" s="359">
        <v>684.0000000000036</v>
      </c>
      <c r="G289" s="340">
        <f t="shared" si="301"/>
      </c>
      <c r="H289" s="341">
        <f t="shared" si="319"/>
      </c>
      <c r="I289" s="342">
        <f t="shared" si="1"/>
      </c>
      <c r="J289" s="343">
        <f t="shared" si="18"/>
      </c>
      <c r="K289" s="344">
        <f t="shared" si="155"/>
      </c>
      <c r="L289" s="341">
        <f t="shared" si="172"/>
      </c>
      <c r="M289" s="345">
        <f t="shared" si="220"/>
      </c>
      <c r="N289" s="345">
        <f t="shared" si="222"/>
      </c>
      <c r="O289" s="345">
        <f t="shared" si="269"/>
      </c>
      <c r="P289" s="345">
        <f t="shared" si="86"/>
      </c>
      <c r="Q289" s="341">
        <f t="shared" si="118"/>
      </c>
      <c r="R289" s="343">
        <f t="shared" si="120"/>
      </c>
      <c r="S289" s="345">
        <f t="shared" si="122"/>
      </c>
      <c r="T289" s="345">
        <f t="shared" si="35"/>
      </c>
      <c r="U289" s="345">
        <f t="shared" si="52"/>
      </c>
      <c r="V289" s="345">
        <f t="shared" si="69"/>
      </c>
      <c r="W289" s="360" t="s">
        <v>181</v>
      </c>
      <c r="X289" s="347" t="s">
        <v>182</v>
      </c>
      <c r="Y289" s="350">
        <v>270961</v>
      </c>
      <c r="Z289" s="350">
        <v>12405</v>
      </c>
      <c r="AA289" s="350">
        <v>121032</v>
      </c>
      <c r="AB289" s="350">
        <v>1540</v>
      </c>
      <c r="AC289" s="350">
        <v>3</v>
      </c>
      <c r="AD289" s="350">
        <v>16417</v>
      </c>
      <c r="AE289" s="350">
        <v>453</v>
      </c>
      <c r="AF289" s="350">
        <v>173</v>
      </c>
      <c r="AG289" s="349">
        <v>25</v>
      </c>
      <c r="AH289" s="418">
        <v>0</v>
      </c>
    </row>
    <row customHeight="true" ht="16.071428571428573" r="290">
      <c r="A290" s="334"/>
      <c r="B290" s="335" t="s">
        <v>195</v>
      </c>
      <c r="C290" s="375" t="s">
        <v>194</v>
      </c>
      <c r="D290" s="371">
        <v>2399.729</v>
      </c>
      <c r="E290" s="417">
        <v>1</v>
      </c>
      <c r="F290" s="339">
        <v>196</v>
      </c>
      <c r="G290" s="340">
        <f t="shared" si="301"/>
      </c>
      <c r="H290" s="341">
        <f t="shared" si="319"/>
      </c>
      <c r="I290" s="342">
        <f t="shared" si="1"/>
      </c>
      <c r="J290" s="343">
        <f t="shared" si="18"/>
      </c>
      <c r="K290" s="344">
        <f t="shared" si="155"/>
      </c>
      <c r="L290" s="341">
        <f t="shared" si="172"/>
      </c>
      <c r="M290" s="345">
        <f t="shared" si="220"/>
      </c>
      <c r="N290" s="345">
        <f t="shared" si="222"/>
      </c>
      <c r="O290" s="345">
        <f t="shared" si="269"/>
      </c>
      <c r="P290" s="345">
        <f t="shared" si="86"/>
      </c>
      <c r="Q290" s="341">
        <f t="shared" si="118"/>
      </c>
      <c r="R290" s="343">
        <f t="shared" si="120"/>
      </c>
      <c r="S290" s="345">
        <f t="shared" si="122"/>
      </c>
      <c r="T290" s="345">
        <f t="shared" si="35"/>
      </c>
      <c r="U290" s="345">
        <f t="shared" si="52"/>
      </c>
      <c r="V290" s="345">
        <f t="shared" si="69"/>
      </c>
      <c r="W290" s="360" t="s">
        <v>181</v>
      </c>
      <c r="X290" s="347" t="s">
        <v>182</v>
      </c>
      <c r="Y290" s="348">
        <v>240387</v>
      </c>
      <c r="Z290" s="348">
        <v>6670</v>
      </c>
      <c r="AA290" s="348">
        <v>91751</v>
      </c>
      <c r="AB290" s="350">
        <v>1577</v>
      </c>
      <c r="AC290" s="350">
        <v>1</v>
      </c>
      <c r="AD290" s="348">
        <v>16039</v>
      </c>
      <c r="AE290" s="350">
        <v>451</v>
      </c>
      <c r="AF290" s="350">
        <v>128</v>
      </c>
      <c r="AG290" s="350">
        <v>13</v>
      </c>
      <c r="AH290" s="418">
        <v>0</v>
      </c>
    </row>
    <row r="291">
      <c r="A291" s="334"/>
      <c r="B291" s="361" t="s">
        <v>187</v>
      </c>
      <c r="C291" s="361"/>
      <c r="D291" s="362">
        <f>SUM(D286:D290)</f>
      </c>
      <c r="E291" s="362">
        <f>SUM(E286:E290)</f>
      </c>
      <c r="F291" s="362">
        <f>SUM(F286:F290)</f>
      </c>
      <c r="G291" s="362">
        <f t="shared" si="301"/>
      </c>
      <c r="H291" s="364">
        <f t="shared" si="319"/>
      </c>
      <c r="I291" s="365">
        <f t="shared" si="1"/>
      </c>
      <c r="J291" s="366">
        <f t="shared" si="18"/>
      </c>
      <c r="K291" s="367">
        <f t="shared" si="155"/>
      </c>
      <c r="L291" s="364">
        <f t="shared" si="172"/>
      </c>
      <c r="M291" s="368">
        <f t="shared" si="220"/>
      </c>
      <c r="N291" s="368">
        <f t="shared" si="222"/>
      </c>
      <c r="O291" s="368">
        <f t="shared" si="269"/>
      </c>
      <c r="P291" s="368">
        <f t="shared" si="86"/>
      </c>
      <c r="Q291" s="364">
        <f t="shared" si="118"/>
      </c>
      <c r="R291" s="366">
        <f t="shared" si="120"/>
      </c>
      <c r="S291" s="368">
        <f t="shared" si="122"/>
      </c>
      <c r="T291" s="368">
        <f t="shared" si="35"/>
      </c>
      <c r="U291" s="368">
        <f t="shared" si="52"/>
      </c>
      <c r="V291" s="368">
        <f t="shared" si="69"/>
      </c>
      <c r="W291" s="368"/>
      <c r="X291" s="369"/>
      <c r="Y291" s="362">
        <f>SUM(Y286:Y290)</f>
      </c>
      <c r="Z291" s="362">
        <f>SUM(Z286:Z290)</f>
      </c>
      <c r="AA291" s="362">
        <f>SUM(AA286:AA290)</f>
      </c>
      <c r="AB291" s="362">
        <f>SUM(AB286:AB290)</f>
      </c>
      <c r="AC291" s="362">
        <f>SUM(AC286:AC290)</f>
      </c>
      <c r="AD291" s="362">
        <f>SUM(AD286:AD290)</f>
      </c>
      <c r="AE291" s="362">
        <f>SUM(AE286:AE290)</f>
      </c>
      <c r="AF291" s="362">
        <f>SUM(AF286:AF290)</f>
      </c>
      <c r="AG291" s="362">
        <f>SUM(AG286:AG290)</f>
      </c>
      <c r="AH291" s="362">
        <f>SUM(AH286:AH290)</f>
      </c>
    </row>
    <row r="292">
      <c r="A292" s="334"/>
      <c r="B292" s="415" t="s">
        <v>211</v>
      </c>
      <c r="C292" s="425" t="s">
        <v>196</v>
      </c>
      <c r="D292" s="377">
        <v>2289.046</v>
      </c>
      <c r="E292" s="359">
        <v>3</v>
      </c>
      <c r="F292" s="359">
        <v>684</v>
      </c>
      <c r="G292" s="340">
        <f t="shared" si="301"/>
      </c>
      <c r="H292" s="341">
        <f t="shared" si="319"/>
      </c>
      <c r="I292" s="342">
        <f t="shared" si="1"/>
      </c>
      <c r="J292" s="343">
        <f t="shared" si="18"/>
      </c>
      <c r="K292" s="344">
        <f t="shared" si="155"/>
      </c>
      <c r="L292" s="341">
        <f t="shared" si="172"/>
      </c>
      <c r="M292" s="345">
        <f t="shared" si="220"/>
      </c>
      <c r="N292" s="345">
        <f t="shared" si="222"/>
      </c>
      <c r="O292" s="345">
        <f t="shared" si="269"/>
      </c>
      <c r="P292" s="345">
        <f t="shared" si="86"/>
      </c>
      <c r="Q292" s="341">
        <f t="shared" si="118"/>
      </c>
      <c r="R292" s="343">
        <f t="shared" si="120"/>
      </c>
      <c r="S292" s="345">
        <f t="shared" si="122"/>
      </c>
      <c r="T292" s="345">
        <f t="shared" si="35"/>
      </c>
      <c r="U292" s="345">
        <f t="shared" si="52"/>
      </c>
      <c r="V292" s="345">
        <f t="shared" si="69"/>
      </c>
      <c r="W292" s="360" t="s">
        <v>181</v>
      </c>
      <c r="X292" s="347" t="s">
        <v>182</v>
      </c>
      <c r="Y292" s="350">
        <v>222792</v>
      </c>
      <c r="Z292" s="350">
        <v>5199</v>
      </c>
      <c r="AA292" s="350">
        <v>80017</v>
      </c>
      <c r="AB292" s="350">
        <v>1360</v>
      </c>
      <c r="AC292" s="350">
        <v>3</v>
      </c>
      <c r="AD292" s="350">
        <v>14653</v>
      </c>
      <c r="AE292" s="350">
        <v>342</v>
      </c>
      <c r="AF292" s="350">
        <v>106</v>
      </c>
      <c r="AG292" s="350">
        <v>15</v>
      </c>
      <c r="AH292" s="418">
        <v>0</v>
      </c>
    </row>
    <row r="293">
      <c r="A293" s="334"/>
      <c r="B293" s="415" t="s">
        <v>211</v>
      </c>
      <c r="C293" s="373" t="s">
        <v>197</v>
      </c>
      <c r="D293" s="377">
        <v>2386.886</v>
      </c>
      <c r="E293" s="359">
        <v>5</v>
      </c>
      <c r="F293" s="359">
        <v>1118.4000000000015</v>
      </c>
      <c r="G293" s="340">
        <f t="shared" si="301"/>
      </c>
      <c r="H293" s="341">
        <f t="shared" si="319"/>
      </c>
      <c r="I293" s="342">
        <f t="shared" si="1"/>
      </c>
      <c r="J293" s="343">
        <f t="shared" si="18"/>
      </c>
      <c r="K293" s="344">
        <f t="shared" si="155"/>
      </c>
      <c r="L293" s="341">
        <f t="shared" si="172"/>
      </c>
      <c r="M293" s="345">
        <f t="shared" si="220"/>
      </c>
      <c r="N293" s="345">
        <f t="shared" si="222"/>
      </c>
      <c r="O293" s="345">
        <f t="shared" si="269"/>
      </c>
      <c r="P293" s="345">
        <f t="shared" si="86"/>
      </c>
      <c r="Q293" s="341">
        <f t="shared" si="118"/>
      </c>
      <c r="R293" s="343">
        <f t="shared" si="120"/>
      </c>
      <c r="S293" s="345">
        <f t="shared" si="122"/>
      </c>
      <c r="T293" s="345">
        <f t="shared" si="35"/>
      </c>
      <c r="U293" s="345">
        <f t="shared" si="52"/>
      </c>
      <c r="V293" s="345">
        <f t="shared" si="69"/>
      </c>
      <c r="W293" s="360" t="s">
        <v>181</v>
      </c>
      <c r="X293" s="347" t="s">
        <v>182</v>
      </c>
      <c r="Y293" s="350">
        <v>251097</v>
      </c>
      <c r="Z293" s="350">
        <v>4939</v>
      </c>
      <c r="AA293" s="350">
        <v>103570</v>
      </c>
      <c r="AB293" s="350">
        <v>1433</v>
      </c>
      <c r="AC293" s="350">
        <v>3</v>
      </c>
      <c r="AD293" s="350">
        <v>16963</v>
      </c>
      <c r="AE293" s="350">
        <v>419</v>
      </c>
      <c r="AF293" s="350">
        <v>127</v>
      </c>
      <c r="AG293" s="350">
        <v>15</v>
      </c>
      <c r="AH293" s="418">
        <v>2</v>
      </c>
    </row>
    <row r="294">
      <c r="A294" s="334"/>
      <c r="B294" s="387" t="s">
        <v>187</v>
      </c>
      <c r="C294" s="387"/>
      <c r="D294" s="362">
        <f>SUM(D292:D293)</f>
      </c>
      <c r="E294" s="420">
        <f>SUM(E292:E293)</f>
      </c>
      <c r="F294" s="362">
        <f>SUM(F292:F293)</f>
      </c>
      <c r="G294" s="362">
        <f t="shared" si="301"/>
      </c>
      <c r="H294" s="364">
        <f t="shared" si="319"/>
      </c>
      <c r="I294" s="365">
        <f t="shared" si="1"/>
      </c>
      <c r="J294" s="366">
        <f t="shared" si="18"/>
      </c>
      <c r="K294" s="367">
        <f t="shared" si="155"/>
      </c>
      <c r="L294" s="364">
        <f t="shared" si="172"/>
      </c>
      <c r="M294" s="368">
        <f t="shared" si="220"/>
      </c>
      <c r="N294" s="368">
        <f t="shared" si="222"/>
      </c>
      <c r="O294" s="368">
        <f t="shared" si="269"/>
      </c>
      <c r="P294" s="368">
        <f t="shared" si="86"/>
      </c>
      <c r="Q294" s="364">
        <f t="shared" si="118"/>
      </c>
      <c r="R294" s="366">
        <f t="shared" si="120"/>
      </c>
      <c r="S294" s="368">
        <f t="shared" si="122"/>
      </c>
      <c r="T294" s="368">
        <f t="shared" si="35"/>
      </c>
      <c r="U294" s="368">
        <f t="shared" si="52"/>
      </c>
      <c r="V294" s="368">
        <f t="shared" si="69"/>
      </c>
      <c r="W294" s="368"/>
      <c r="X294" s="369"/>
      <c r="Y294" s="362">
        <f>SUM(Y292:Y293)</f>
      </c>
      <c r="Z294" s="362">
        <f>SUM(Z292:Z293)</f>
      </c>
      <c r="AA294" s="362">
        <f>SUM(AA292:AA293)</f>
      </c>
      <c r="AB294" s="362">
        <f>SUM(AB292:AB293)</f>
      </c>
      <c r="AC294" s="362">
        <f>SUM(AC292:AC293)</f>
      </c>
      <c r="AD294" s="362">
        <f>SUM(AD292:AD293)</f>
      </c>
      <c r="AE294" s="362">
        <f>SUM(AE292:AE293)</f>
      </c>
      <c r="AF294" s="362">
        <f>SUM(AF292:AF293)</f>
      </c>
      <c r="AG294" s="362">
        <f>SUM(AG292:AG293)</f>
      </c>
      <c r="AH294" s="420">
        <f>SUM(AH292:AH293)</f>
      </c>
    </row>
    <row r="295">
      <c r="A295" s="334"/>
      <c r="B295" s="335" t="s">
        <v>179</v>
      </c>
      <c r="C295" s="374" t="s">
        <v>198</v>
      </c>
      <c r="D295" s="379">
        <v>3046.863</v>
      </c>
      <c r="E295" s="417">
        <v>3</v>
      </c>
      <c r="F295" s="339">
        <v>620</v>
      </c>
      <c r="G295" s="340">
        <f t="shared" si="301"/>
      </c>
      <c r="H295" s="341">
        <f t="shared" si="319"/>
      </c>
      <c r="I295" s="342">
        <f t="shared" si="1"/>
      </c>
      <c r="J295" s="343">
        <f t="shared" si="18"/>
      </c>
      <c r="K295" s="382">
        <f t="shared" si="155"/>
      </c>
      <c r="L295" s="383">
        <f t="shared" si="172"/>
      </c>
      <c r="M295" s="384">
        <f t="shared" si="220"/>
      </c>
      <c r="N295" s="384">
        <f t="shared" si="222"/>
      </c>
      <c r="O295" s="384">
        <f t="shared" si="269"/>
      </c>
      <c r="P295" s="384">
        <f t="shared" si="86"/>
      </c>
      <c r="Q295" s="383">
        <f t="shared" si="118"/>
      </c>
      <c r="R295" s="381">
        <f t="shared" si="120"/>
      </c>
      <c r="S295" s="384">
        <f t="shared" si="122"/>
      </c>
      <c r="T295" s="384">
        <f t="shared" si="35"/>
      </c>
      <c r="U295" s="384">
        <f t="shared" si="52"/>
      </c>
      <c r="V295" s="384">
        <f t="shared" si="69"/>
      </c>
      <c r="W295" s="360" t="s">
        <v>181</v>
      </c>
      <c r="X295" s="347" t="s">
        <v>182</v>
      </c>
      <c r="Y295" s="350">
        <v>330745</v>
      </c>
      <c r="Z295" s="350">
        <v>6222</v>
      </c>
      <c r="AA295" s="350">
        <v>164972</v>
      </c>
      <c r="AB295" s="385">
        <v>1658</v>
      </c>
      <c r="AC295" s="385">
        <v>4</v>
      </c>
      <c r="AD295" s="385">
        <v>22063</v>
      </c>
      <c r="AE295" s="385">
        <v>548</v>
      </c>
      <c r="AF295" s="385">
        <v>166</v>
      </c>
      <c r="AG295" s="385">
        <v>19</v>
      </c>
      <c r="AH295" s="418">
        <v>0</v>
      </c>
    </row>
    <row r="296">
      <c r="A296" s="334"/>
      <c r="B296" s="335" t="s">
        <v>179</v>
      </c>
      <c r="C296" s="373" t="s">
        <v>199</v>
      </c>
      <c r="D296" s="379">
        <v>2658.3</v>
      </c>
      <c r="E296" s="417">
        <v>3</v>
      </c>
      <c r="F296" s="339">
        <v>684</v>
      </c>
      <c r="G296" s="340">
        <f t="shared" si="301"/>
      </c>
      <c r="H296" s="341">
        <f t="shared" si="319"/>
      </c>
      <c r="I296" s="342">
        <f t="shared" si="1"/>
      </c>
      <c r="J296" s="343">
        <f t="shared" si="18"/>
      </c>
      <c r="K296" s="382">
        <f t="shared" si="155"/>
      </c>
      <c r="L296" s="383">
        <f t="shared" si="172"/>
      </c>
      <c r="M296" s="384">
        <f t="shared" si="220"/>
      </c>
      <c r="N296" s="384">
        <f t="shared" si="222"/>
      </c>
      <c r="O296" s="384">
        <f t="shared" si="269"/>
      </c>
      <c r="P296" s="384">
        <f t="shared" si="86"/>
      </c>
      <c r="Q296" s="383">
        <f t="shared" si="118"/>
      </c>
      <c r="R296" s="381">
        <f t="shared" si="120"/>
      </c>
      <c r="S296" s="384">
        <f t="shared" si="122"/>
      </c>
      <c r="T296" s="384">
        <f t="shared" si="35"/>
      </c>
      <c r="U296" s="384">
        <f t="shared" si="52"/>
      </c>
      <c r="V296" s="384">
        <f t="shared" si="69"/>
      </c>
      <c r="W296" s="360" t="s">
        <v>181</v>
      </c>
      <c r="X296" s="347" t="s">
        <v>182</v>
      </c>
      <c r="Y296" s="350">
        <v>256220</v>
      </c>
      <c r="Z296" s="350">
        <v>5007</v>
      </c>
      <c r="AA296" s="350">
        <v>168555</v>
      </c>
      <c r="AB296" s="385">
        <v>1144</v>
      </c>
      <c r="AC296" s="385">
        <v>3</v>
      </c>
      <c r="AD296" s="385">
        <v>19958</v>
      </c>
      <c r="AE296" s="385">
        <v>356</v>
      </c>
      <c r="AF296" s="385">
        <v>139</v>
      </c>
      <c r="AG296" s="385">
        <v>19</v>
      </c>
      <c r="AH296" s="418">
        <v>0</v>
      </c>
    </row>
    <row r="297">
      <c r="A297" s="334"/>
      <c r="B297" s="335" t="s">
        <v>179</v>
      </c>
      <c r="C297" s="386" t="s">
        <v>200</v>
      </c>
      <c r="D297" s="377">
        <v>2661.396</v>
      </c>
      <c r="E297" s="359">
        <v>11</v>
      </c>
      <c r="F297" s="359">
        <v>6973.200000000004</v>
      </c>
      <c r="G297" s="340">
        <f t="shared" si="301"/>
      </c>
      <c r="H297" s="341">
        <f t="shared" si="319"/>
      </c>
      <c r="I297" s="342">
        <f t="shared" si="1"/>
      </c>
      <c r="J297" s="343">
        <f t="shared" si="18"/>
      </c>
      <c r="K297" s="382">
        <f t="shared" si="155"/>
      </c>
      <c r="L297" s="383">
        <f t="shared" si="172"/>
      </c>
      <c r="M297" s="384">
        <f t="shared" si="220"/>
      </c>
      <c r="N297" s="384">
        <f t="shared" si="222"/>
      </c>
      <c r="O297" s="384">
        <f t="shared" si="269"/>
      </c>
      <c r="P297" s="384">
        <f t="shared" si="86"/>
      </c>
      <c r="Q297" s="383">
        <f t="shared" si="118"/>
      </c>
      <c r="R297" s="381">
        <f t="shared" si="120"/>
      </c>
      <c r="S297" s="384">
        <f t="shared" si="122"/>
      </c>
      <c r="T297" s="384">
        <f t="shared" si="35"/>
      </c>
      <c r="U297" s="384">
        <f t="shared" si="52"/>
      </c>
      <c r="V297" s="384">
        <f t="shared" si="69"/>
      </c>
      <c r="W297" s="360" t="s">
        <v>181</v>
      </c>
      <c r="X297" s="347" t="s">
        <v>182</v>
      </c>
      <c r="Y297" s="350">
        <v>371498</v>
      </c>
      <c r="Z297" s="350">
        <v>6699</v>
      </c>
      <c r="AA297" s="350">
        <v>153359</v>
      </c>
      <c r="AB297" s="350">
        <v>1745</v>
      </c>
      <c r="AC297" s="350">
        <v>9</v>
      </c>
      <c r="AD297" s="350">
        <v>16102</v>
      </c>
      <c r="AE297" s="350">
        <v>319</v>
      </c>
      <c r="AF297" s="350">
        <v>130</v>
      </c>
      <c r="AG297" s="349">
        <v>22</v>
      </c>
      <c r="AH297" s="418">
        <v>1</v>
      </c>
    </row>
    <row r="298">
      <c r="A298" s="334"/>
      <c r="B298" s="335" t="s">
        <v>179</v>
      </c>
      <c r="C298" s="386" t="s">
        <v>212</v>
      </c>
      <c r="D298" s="377">
        <v>1578.02</v>
      </c>
      <c r="E298" s="359">
        <v>3</v>
      </c>
      <c r="F298" s="359">
        <v>652</v>
      </c>
      <c r="G298" s="340">
        <f t="shared" si="301"/>
      </c>
      <c r="H298" s="341">
        <f t="shared" si="319"/>
      </c>
      <c r="I298" s="342">
        <f t="shared" si="1"/>
      </c>
      <c r="J298" s="343">
        <f t="shared" si="18"/>
      </c>
      <c r="K298" s="382">
        <f t="shared" si="155"/>
      </c>
      <c r="L298" s="383">
        <f t="shared" si="172"/>
      </c>
      <c r="M298" s="384">
        <f t="shared" si="220"/>
      </c>
      <c r="N298" s="384">
        <f t="shared" si="222"/>
      </c>
      <c r="O298" s="384">
        <f t="shared" si="269"/>
      </c>
      <c r="P298" s="384">
        <f t="shared" si="86"/>
      </c>
      <c r="Q298" s="383">
        <f t="shared" si="118"/>
      </c>
      <c r="R298" s="381">
        <f t="shared" si="120"/>
      </c>
      <c r="S298" s="384">
        <f t="shared" si="122"/>
      </c>
      <c r="T298" s="384">
        <f t="shared" si="35"/>
      </c>
      <c r="U298" s="384">
        <f t="shared" si="52"/>
      </c>
      <c r="V298" s="384">
        <f t="shared" si="69"/>
      </c>
      <c r="W298" s="360" t="s">
        <v>181</v>
      </c>
      <c r="X298" s="347" t="s">
        <v>182</v>
      </c>
      <c r="Y298" s="350">
        <v>240741</v>
      </c>
      <c r="Z298" s="350">
        <v>4861</v>
      </c>
      <c r="AA298" s="350">
        <v>96912</v>
      </c>
      <c r="AB298" s="350">
        <v>1182</v>
      </c>
      <c r="AC298" s="350">
        <v>3</v>
      </c>
      <c r="AD298" s="350">
        <v>8517</v>
      </c>
      <c r="AE298" s="350">
        <v>158</v>
      </c>
      <c r="AF298" s="350">
        <v>75</v>
      </c>
      <c r="AG298" s="349">
        <v>17</v>
      </c>
      <c r="AH298" s="418">
        <v>0</v>
      </c>
    </row>
    <row r="299">
      <c r="A299" s="334"/>
      <c r="B299" s="387" t="s">
        <v>187</v>
      </c>
      <c r="C299" s="387"/>
      <c r="D299" s="362">
        <f>SUM(D295:D298)</f>
      </c>
      <c r="E299" s="420">
        <f>SUM(E295:E298)</f>
      </c>
      <c r="F299" s="362">
        <f>SUM(F295:F298)</f>
      </c>
      <c r="G299" s="362">
        <f t="shared" si="301"/>
      </c>
      <c r="H299" s="364">
        <f t="shared" si="319"/>
      </c>
      <c r="I299" s="365">
        <f t="shared" si="1"/>
      </c>
      <c r="J299" s="366">
        <f t="shared" si="18"/>
      </c>
      <c r="K299" s="367">
        <f t="shared" si="155"/>
      </c>
      <c r="L299" s="364">
        <f t="shared" si="172"/>
      </c>
      <c r="M299" s="368">
        <f t="shared" si="220"/>
      </c>
      <c r="N299" s="368">
        <f t="shared" si="222"/>
      </c>
      <c r="O299" s="368">
        <f t="shared" si="269"/>
      </c>
      <c r="P299" s="368">
        <f t="shared" si="86"/>
      </c>
      <c r="Q299" s="364">
        <f t="shared" si="118"/>
      </c>
      <c r="R299" s="366">
        <f t="shared" si="120"/>
      </c>
      <c r="S299" s="368">
        <f t="shared" si="122"/>
      </c>
      <c r="T299" s="368">
        <f t="shared" si="35"/>
      </c>
      <c r="U299" s="368">
        <f t="shared" si="52"/>
      </c>
      <c r="V299" s="368">
        <f t="shared" si="69"/>
      </c>
      <c r="W299" s="368"/>
      <c r="X299" s="369"/>
      <c r="Y299" s="362">
        <f>SUM(Y295:Y298)</f>
      </c>
      <c r="Z299" s="362">
        <f>SUM(Z295:Z298)</f>
      </c>
      <c r="AA299" s="362">
        <f>SUM(AA295:AA298)</f>
      </c>
      <c r="AB299" s="362">
        <f>SUM(AB295:AB298)</f>
      </c>
      <c r="AC299" s="362">
        <f>SUM(AC295:AC298)</f>
      </c>
      <c r="AD299" s="362">
        <f>SUM(AD295:AD298)</f>
      </c>
      <c r="AE299" s="362">
        <f>SUM(AE295:AE298)</f>
      </c>
      <c r="AF299" s="362">
        <f>SUM(AF295:AF298)</f>
      </c>
      <c r="AG299" s="362">
        <f>SUM(AG295:AG298)</f>
      </c>
      <c r="AH299" s="420">
        <f>SUM(AH295:AH298)</f>
      </c>
    </row>
    <row r="300">
      <c r="A300" s="334"/>
      <c r="B300" s="388" t="s">
        <v>201</v>
      </c>
      <c r="C300" s="388"/>
      <c r="D300" s="389">
        <f>SUM(D285+D299+D294+D291)</f>
      </c>
      <c r="E300" s="421">
        <f>SUM(E285+E299+E294+E291)</f>
      </c>
      <c r="F300" s="389">
        <f>SUM(F285+F299+F294+F291)</f>
      </c>
      <c r="G300" s="390">
        <f t="shared" si="301"/>
      </c>
      <c r="H300" s="391">
        <f t="shared" si="319"/>
      </c>
      <c r="I300" s="392">
        <f t="shared" si="1"/>
      </c>
      <c r="J300" s="393">
        <f t="shared" si="18"/>
      </c>
      <c r="K300" s="394">
        <f t="shared" si="155"/>
      </c>
      <c r="L300" s="394">
        <f t="shared" si="172"/>
      </c>
      <c r="M300" s="395">
        <f t="shared" si="220"/>
      </c>
      <c r="N300" s="395">
        <f t="shared" si="222"/>
      </c>
      <c r="O300" s="395">
        <f t="shared" si="269"/>
      </c>
      <c r="P300" s="395">
        <f t="shared" si="86"/>
      </c>
      <c r="Q300" s="396">
        <f t="shared" si="118"/>
      </c>
      <c r="R300" s="397">
        <f t="shared" si="120"/>
      </c>
      <c r="S300" s="398">
        <f t="shared" si="122"/>
      </c>
      <c r="T300" s="398">
        <f t="shared" si="35"/>
      </c>
      <c r="U300" s="398">
        <f t="shared" si="52"/>
      </c>
      <c r="V300" s="398">
        <f t="shared" si="69"/>
      </c>
      <c r="W300" s="398"/>
      <c r="X300" s="399"/>
      <c r="Y300" s="390">
        <f>SUM(Y294+Y299+Y285+Y291)</f>
      </c>
      <c r="Z300" s="390">
        <f>SUM(Z294+Z299+Z285+Z291)</f>
      </c>
      <c r="AA300" s="390">
        <f>SUM(AA294+AA299+AA285+AA291)</f>
      </c>
      <c r="AB300" s="390">
        <f>SUM(AB294+AB299+AB285+AB291)</f>
      </c>
      <c r="AC300" s="390">
        <f>SUM(AC294+AC299+AC285+AC291)</f>
      </c>
      <c r="AD300" s="390">
        <f>SUM(AD294+AD299+AD285+AD291)</f>
      </c>
      <c r="AE300" s="390">
        <f>SUM(AE294+AE299+AE285+AE291)</f>
      </c>
      <c r="AF300" s="390">
        <f>SUM(AF294+AF299+AF285+AF291)</f>
      </c>
      <c r="AG300" s="390">
        <f>SUM(AG294+AG299+AG285+AG291)</f>
      </c>
      <c r="AH300" s="421">
        <f>SUM(AH294+AH299+AH285+AH291)</f>
      </c>
    </row>
    <row customHeight="true" ht="16.071428571428573" r="301">
      <c r="A301" s="319" t="s">
        <v>145</v>
      </c>
      <c r="B301" s="320" t="s">
        <v>146</v>
      </c>
      <c r="C301" s="321" t="s">
        <v>147</v>
      </c>
      <c r="D301" s="322" t="s">
        <v>148</v>
      </c>
      <c r="E301" s="426" t="s">
        <v>213</v>
      </c>
      <c r="F301" s="427" t="s">
        <v>214</v>
      </c>
      <c r="G301" s="324" t="s">
        <v>150</v>
      </c>
      <c r="H301" s="427" t="s">
        <v>215</v>
      </c>
      <c r="I301" s="324" t="s">
        <v>151</v>
      </c>
      <c r="J301" s="325" t="s">
        <v>152</v>
      </c>
      <c r="K301" s="325" t="s">
        <v>154</v>
      </c>
      <c r="L301" s="326" t="s">
        <v>155</v>
      </c>
      <c r="M301" s="326" t="s">
        <v>156</v>
      </c>
      <c r="N301" s="326" t="s">
        <v>157</v>
      </c>
      <c r="O301" s="326" t="s">
        <v>158</v>
      </c>
      <c r="P301" s="326" t="s">
        <v>159</v>
      </c>
      <c r="Q301" s="326" t="s">
        <v>160</v>
      </c>
      <c r="R301" s="326" t="s">
        <v>161</v>
      </c>
      <c r="S301" s="326" t="s">
        <v>162</v>
      </c>
      <c r="T301" s="327" t="s">
        <v>163</v>
      </c>
      <c r="U301" s="327" t="s">
        <v>164</v>
      </c>
      <c r="V301" s="327" t="s">
        <v>165</v>
      </c>
      <c r="W301" s="327" t="s">
        <v>166</v>
      </c>
      <c r="X301" s="328" t="s">
        <v>167</v>
      </c>
      <c r="Y301" s="328" t="s">
        <v>168</v>
      </c>
      <c r="Z301" s="329" t="s">
        <v>169</v>
      </c>
      <c r="AA301" s="329" t="s">
        <v>170</v>
      </c>
      <c r="AB301" s="329" t="s">
        <v>171</v>
      </c>
      <c r="AC301" s="330" t="s">
        <v>172</v>
      </c>
      <c r="AD301" s="330" t="s">
        <v>173</v>
      </c>
      <c r="AE301" s="331" t="s">
        <v>174</v>
      </c>
      <c r="AF301" s="330" t="s">
        <v>175</v>
      </c>
      <c r="AG301" s="330" t="s">
        <v>176</v>
      </c>
      <c r="AH301" s="332" t="s">
        <v>177</v>
      </c>
      <c r="AI301" s="333" t="s">
        <v>178</v>
      </c>
    </row>
    <row r="302">
      <c r="A302" s="334">
        <v>46251</v>
      </c>
      <c r="B302" s="415" t="s">
        <v>188</v>
      </c>
      <c r="C302" s="336" t="s">
        <v>180</v>
      </c>
      <c r="D302" s="337">
        <v>2855.943</v>
      </c>
      <c r="E302" s="417">
        <v>4</v>
      </c>
      <c r="F302" s="342">
        <f t="shared" ref="F302:F321" si="336">D302/E302</f>
      </c>
      <c r="G302" s="339">
        <v>1512</v>
      </c>
      <c r="H302" s="428">
        <f t="shared" ref="H302:H321" si="2">AD302</f>
      </c>
      <c r="I302" s="340">
        <f t="shared" ref="I302:I321" si="19">D302/AD302</f>
      </c>
      <c r="J302" s="341">
        <f t="shared" ref="J302:J321" si="156">G302/E302</f>
      </c>
      <c r="K302" s="343">
        <f t="shared" ref="K302:K321" si="188">G302/D302</f>
      </c>
      <c r="L302" s="344">
        <f t="shared" ref="L302:L321" si="173">D302/AB302</f>
      </c>
      <c r="M302" s="341">
        <f t="shared" ref="M302:M321" si="253">D302/AC302</f>
      </c>
      <c r="N302" s="345">
        <f t="shared" ref="N302:N321" si="223">AC302/AB302</f>
      </c>
      <c r="O302" s="345">
        <f t="shared" ref="O302:O321" si="238">AD302/AC302</f>
      </c>
      <c r="P302" s="345">
        <f t="shared" ref="P302:P321" si="270">AA302/Z302</f>
      </c>
      <c r="Q302" s="345">
        <f t="shared" ref="Q302:Q321" si="87">AD302/AA302</f>
      </c>
      <c r="R302" s="341">
        <f t="shared" ref="R302:R321" si="285">D302/Z302*1000</f>
      </c>
      <c r="S302" s="343">
        <f t="shared" ref="S302:S321" si="102">D302/AA302</f>
      </c>
      <c r="T302" s="345">
        <f t="shared" ref="T302:T321" si="123">AE302/AB302</f>
      </c>
      <c r="U302" s="345">
        <f t="shared" ref="U302:U321" si="36">AF302/AB302</f>
      </c>
      <c r="V302" s="345">
        <f t="shared" ref="V302:V321" si="53">AG302/AB302</f>
      </c>
      <c r="W302" s="345">
        <f t="shared" ref="W302:W321" si="70">AH302/AB302</f>
      </c>
      <c r="X302" s="346" t="s">
        <v>181</v>
      </c>
      <c r="Y302" s="347" t="s">
        <v>193</v>
      </c>
      <c r="Z302" s="348">
        <v>225234</v>
      </c>
      <c r="AA302" s="348">
        <v>5864</v>
      </c>
      <c r="AB302" s="348">
        <v>101276</v>
      </c>
      <c r="AC302" s="348">
        <v>1485</v>
      </c>
      <c r="AD302" s="349">
        <v>4</v>
      </c>
      <c r="AE302" s="348">
        <v>26191</v>
      </c>
      <c r="AF302" s="350">
        <v>406</v>
      </c>
      <c r="AG302" s="350">
        <v>174</v>
      </c>
      <c r="AH302" s="350">
        <v>14</v>
      </c>
      <c r="AI302" s="418">
        <v>0</v>
      </c>
    </row>
    <row r="303">
      <c r="A303" s="334"/>
      <c r="B303" s="415" t="s">
        <v>188</v>
      </c>
      <c r="C303" s="336" t="s">
        <v>183</v>
      </c>
      <c r="D303" s="337">
        <v>4846.869000000001</v>
      </c>
      <c r="E303" s="417">
        <v>13</v>
      </c>
      <c r="F303" s="342">
        <f t="shared" si="336"/>
      </c>
      <c r="G303" s="339">
        <v>3133.6</v>
      </c>
      <c r="H303" s="428">
        <f t="shared" si="2"/>
      </c>
      <c r="I303" s="340">
        <f t="shared" si="19"/>
      </c>
      <c r="J303" s="341">
        <f t="shared" si="156"/>
      </c>
      <c r="K303" s="343">
        <f t="shared" si="188"/>
      </c>
      <c r="L303" s="344">
        <f t="shared" si="173"/>
      </c>
      <c r="M303" s="341">
        <f t="shared" si="253"/>
      </c>
      <c r="N303" s="345">
        <f t="shared" si="223"/>
      </c>
      <c r="O303" s="345">
        <f t="shared" si="238"/>
      </c>
      <c r="P303" s="345">
        <f t="shared" si="270"/>
      </c>
      <c r="Q303" s="345">
        <f t="shared" si="87"/>
      </c>
      <c r="R303" s="341">
        <f t="shared" si="285"/>
      </c>
      <c r="S303" s="343">
        <f t="shared" si="102"/>
      </c>
      <c r="T303" s="345">
        <f t="shared" si="123"/>
      </c>
      <c r="U303" s="345">
        <f t="shared" si="36"/>
      </c>
      <c r="V303" s="345">
        <f t="shared" si="53"/>
      </c>
      <c r="W303" s="345">
        <f t="shared" si="70"/>
      </c>
      <c r="X303" s="346" t="s">
        <v>181</v>
      </c>
      <c r="Y303" s="347" t="s">
        <v>193</v>
      </c>
      <c r="Z303" s="350">
        <v>306421</v>
      </c>
      <c r="AA303" s="348">
        <v>8720</v>
      </c>
      <c r="AB303" s="348">
        <v>171518</v>
      </c>
      <c r="AC303" s="348">
        <v>2182</v>
      </c>
      <c r="AD303" s="350">
        <v>9</v>
      </c>
      <c r="AE303" s="348">
        <v>36250</v>
      </c>
      <c r="AF303" s="350">
        <v>588</v>
      </c>
      <c r="AG303" s="350">
        <v>236</v>
      </c>
      <c r="AH303" s="349">
        <v>33</v>
      </c>
      <c r="AI303" s="418">
        <v>3</v>
      </c>
    </row>
    <row r="304">
      <c r="A304" s="334"/>
      <c r="B304" s="415" t="s">
        <v>188</v>
      </c>
      <c r="C304" s="351" t="s">
        <v>184</v>
      </c>
      <c r="D304" s="337">
        <v>2831.121</v>
      </c>
      <c r="E304" s="417">
        <v>5</v>
      </c>
      <c r="F304" s="342">
        <f t="shared" si="336"/>
      </c>
      <c r="G304" s="339">
        <v>2266.2999999999993</v>
      </c>
      <c r="H304" s="428">
        <f t="shared" si="2"/>
      </c>
      <c r="I304" s="340">
        <f t="shared" si="19"/>
      </c>
      <c r="J304" s="341">
        <f t="shared" si="156"/>
      </c>
      <c r="K304" s="343">
        <f t="shared" si="188"/>
      </c>
      <c r="L304" s="344">
        <f t="shared" si="173"/>
      </c>
      <c r="M304" s="341">
        <f t="shared" si="253"/>
      </c>
      <c r="N304" s="345">
        <f t="shared" si="223"/>
      </c>
      <c r="O304" s="345">
        <f t="shared" si="238"/>
      </c>
      <c r="P304" s="345">
        <f t="shared" si="270"/>
      </c>
      <c r="Q304" s="345">
        <f t="shared" si="87"/>
      </c>
      <c r="R304" s="341">
        <f t="shared" si="285"/>
      </c>
      <c r="S304" s="343">
        <f t="shared" si="102"/>
      </c>
      <c r="T304" s="345">
        <f t="shared" si="123"/>
      </c>
      <c r="U304" s="345">
        <f t="shared" si="36"/>
      </c>
      <c r="V304" s="345">
        <f t="shared" si="53"/>
      </c>
      <c r="W304" s="345">
        <f t="shared" si="70"/>
      </c>
      <c r="X304" s="346" t="s">
        <v>181</v>
      </c>
      <c r="Y304" s="347" t="s">
        <v>193</v>
      </c>
      <c r="Z304" s="350">
        <v>202066</v>
      </c>
      <c r="AA304" s="348">
        <v>7797</v>
      </c>
      <c r="AB304" s="348">
        <v>121857</v>
      </c>
      <c r="AC304" s="348">
        <v>1380</v>
      </c>
      <c r="AD304" s="350">
        <v>4</v>
      </c>
      <c r="AE304" s="348">
        <v>21131</v>
      </c>
      <c r="AF304" s="350">
        <v>414</v>
      </c>
      <c r="AG304" s="350">
        <v>157</v>
      </c>
      <c r="AH304" s="350">
        <v>42</v>
      </c>
      <c r="AI304" s="418">
        <v>1</v>
      </c>
    </row>
    <row r="305">
      <c r="A305" s="334"/>
      <c r="B305" s="415" t="s">
        <v>188</v>
      </c>
      <c r="C305" s="416" t="s">
        <v>185</v>
      </c>
      <c r="D305" s="357">
        <v>2533.313</v>
      </c>
      <c r="E305" s="419">
        <v>6</v>
      </c>
      <c r="F305" s="342">
        <f t="shared" si="336"/>
      </c>
      <c r="G305" s="359">
        <v>1304</v>
      </c>
      <c r="H305" s="428">
        <f t="shared" si="2"/>
      </c>
      <c r="I305" s="340">
        <f t="shared" si="19"/>
      </c>
      <c r="J305" s="341">
        <f t="shared" si="156"/>
      </c>
      <c r="K305" s="343">
        <f t="shared" si="188"/>
      </c>
      <c r="L305" s="344">
        <f t="shared" si="173"/>
      </c>
      <c r="M305" s="341">
        <f t="shared" si="253"/>
      </c>
      <c r="N305" s="345">
        <f t="shared" si="223"/>
      </c>
      <c r="O305" s="345">
        <f t="shared" si="238"/>
      </c>
      <c r="P305" s="345">
        <f t="shared" si="270"/>
      </c>
      <c r="Q305" s="345">
        <f t="shared" si="87"/>
      </c>
      <c r="R305" s="341">
        <f t="shared" si="285"/>
      </c>
      <c r="S305" s="343">
        <f t="shared" si="102"/>
      </c>
      <c r="T305" s="345">
        <f t="shared" si="123"/>
      </c>
      <c r="U305" s="345">
        <f t="shared" si="36"/>
      </c>
      <c r="V305" s="345">
        <f t="shared" si="53"/>
      </c>
      <c r="W305" s="345">
        <f t="shared" si="70"/>
      </c>
      <c r="X305" s="360" t="s">
        <v>181</v>
      </c>
      <c r="Y305" s="347" t="s">
        <v>193</v>
      </c>
      <c r="Z305" s="350">
        <v>187675</v>
      </c>
      <c r="AA305" s="350">
        <v>8210</v>
      </c>
      <c r="AB305" s="350">
        <v>135614</v>
      </c>
      <c r="AC305" s="350">
        <v>1345</v>
      </c>
      <c r="AD305" s="350">
        <v>5</v>
      </c>
      <c r="AE305" s="350">
        <v>20404</v>
      </c>
      <c r="AF305" s="350">
        <v>409</v>
      </c>
      <c r="AG305" s="350">
        <v>166</v>
      </c>
      <c r="AH305" s="349">
        <v>9</v>
      </c>
      <c r="AI305" s="418">
        <v>0</v>
      </c>
    </row>
    <row r="306">
      <c r="A306" s="334"/>
      <c r="B306" s="361" t="s">
        <v>187</v>
      </c>
      <c r="C306" s="361"/>
      <c r="D306" s="362">
        <f>SUM(D302:D305)</f>
      </c>
      <c r="E306" s="420">
        <f>SUM(E302:E305)</f>
      </c>
      <c r="F306" s="365">
        <f t="shared" si="336"/>
      </c>
      <c r="G306" s="362">
        <f>SUM(G302:G305)</f>
      </c>
      <c r="H306" s="429">
        <f t="shared" si="2"/>
      </c>
      <c r="I306" s="362">
        <f t="shared" si="19"/>
      </c>
      <c r="J306" s="364">
        <f t="shared" si="156"/>
      </c>
      <c r="K306" s="366">
        <f t="shared" si="188"/>
      </c>
      <c r="L306" s="367">
        <f t="shared" si="173"/>
      </c>
      <c r="M306" s="364">
        <f t="shared" si="253"/>
      </c>
      <c r="N306" s="368">
        <f t="shared" si="223"/>
      </c>
      <c r="O306" s="368">
        <f t="shared" si="238"/>
      </c>
      <c r="P306" s="368">
        <f t="shared" si="270"/>
      </c>
      <c r="Q306" s="368">
        <f t="shared" si="87"/>
      </c>
      <c r="R306" s="364">
        <f t="shared" si="285"/>
      </c>
      <c r="S306" s="366">
        <f t="shared" si="102"/>
      </c>
      <c r="T306" s="368">
        <f t="shared" si="123"/>
      </c>
      <c r="U306" s="368">
        <f t="shared" si="36"/>
      </c>
      <c r="V306" s="368">
        <f t="shared" si="53"/>
      </c>
      <c r="W306" s="368">
        <f t="shared" si="70"/>
      </c>
      <c r="X306" s="368"/>
      <c r="Y306" s="369"/>
      <c r="Z306" s="362">
        <f>SUM(Z302:Z305)</f>
      </c>
      <c r="AA306" s="362">
        <f>SUM(AA302:AA305)</f>
      </c>
      <c r="AB306" s="362">
        <f>SUM(AB302:AB305)</f>
      </c>
      <c r="AC306" s="362">
        <f>SUM(AC302:AC305)</f>
      </c>
      <c r="AD306" s="362">
        <f>SUM(AD302:AD305)</f>
      </c>
      <c r="AE306" s="362">
        <f>SUM(AE302:AE305)</f>
      </c>
      <c r="AF306" s="362">
        <f>SUM(AF302:AF305)</f>
      </c>
      <c r="AG306" s="362">
        <f>SUM(AG302:AG305)</f>
      </c>
      <c r="AH306" s="362">
        <f>SUM(AH302:AH305)</f>
      </c>
      <c r="AI306" s="420">
        <f>SUM(AI302:AI305)</f>
      </c>
    </row>
    <row r="307">
      <c r="A307" s="334"/>
      <c r="B307" s="335" t="s">
        <v>208</v>
      </c>
      <c r="C307" s="416" t="s">
        <v>186</v>
      </c>
      <c r="D307" s="371">
        <v>2110.153</v>
      </c>
      <c r="E307" s="417">
        <v>6</v>
      </c>
      <c r="F307" s="342">
        <f t="shared" si="336"/>
      </c>
      <c r="G307" s="339">
        <v>1368</v>
      </c>
      <c r="H307" s="428">
        <f t="shared" si="2"/>
      </c>
      <c r="I307" s="340">
        <f t="shared" si="19"/>
      </c>
      <c r="J307" s="341">
        <f t="shared" si="156"/>
      </c>
      <c r="K307" s="343">
        <f t="shared" si="188"/>
      </c>
      <c r="L307" s="344">
        <f t="shared" si="173"/>
      </c>
      <c r="M307" s="341">
        <f t="shared" si="253"/>
      </c>
      <c r="N307" s="345">
        <f t="shared" si="223"/>
      </c>
      <c r="O307" s="345">
        <f t="shared" si="238"/>
      </c>
      <c r="P307" s="345">
        <f t="shared" si="270"/>
      </c>
      <c r="Q307" s="345">
        <f t="shared" si="87"/>
      </c>
      <c r="R307" s="341">
        <f t="shared" si="285"/>
      </c>
      <c r="S307" s="343">
        <f t="shared" si="102"/>
      </c>
      <c r="T307" s="345">
        <f t="shared" si="123"/>
      </c>
      <c r="U307" s="345">
        <f t="shared" si="36"/>
      </c>
      <c r="V307" s="345">
        <f t="shared" si="53"/>
      </c>
      <c r="W307" s="345">
        <f t="shared" si="70"/>
      </c>
      <c r="X307" s="360" t="s">
        <v>181</v>
      </c>
      <c r="Y307" s="347" t="s">
        <v>193</v>
      </c>
      <c r="Z307" s="348">
        <v>165563</v>
      </c>
      <c r="AA307" s="348">
        <v>9872</v>
      </c>
      <c r="AB307" s="348">
        <v>128391</v>
      </c>
      <c r="AC307" s="350">
        <v>966</v>
      </c>
      <c r="AD307" s="350">
        <v>7</v>
      </c>
      <c r="AE307" s="348">
        <v>15976</v>
      </c>
      <c r="AF307" s="350">
        <v>356</v>
      </c>
      <c r="AG307" s="350">
        <v>157</v>
      </c>
      <c r="AH307" s="350">
        <v>34</v>
      </c>
      <c r="AI307" s="418">
        <v>1</v>
      </c>
    </row>
    <row r="308">
      <c r="A308" s="334"/>
      <c r="B308" s="335" t="s">
        <v>208</v>
      </c>
      <c r="C308" s="370" t="s">
        <v>189</v>
      </c>
      <c r="D308" s="371">
        <v>2300.053</v>
      </c>
      <c r="E308" s="419">
        <v>10</v>
      </c>
      <c r="F308" s="342">
        <f t="shared" si="336"/>
      </c>
      <c r="G308" s="359">
        <v>3330.4</v>
      </c>
      <c r="H308" s="428">
        <f t="shared" si="2"/>
      </c>
      <c r="I308" s="340">
        <f t="shared" si="19"/>
      </c>
      <c r="J308" s="341">
        <f t="shared" si="156"/>
      </c>
      <c r="K308" s="343">
        <f t="shared" si="188"/>
      </c>
      <c r="L308" s="344">
        <f t="shared" si="173"/>
      </c>
      <c r="M308" s="341">
        <f t="shared" si="253"/>
      </c>
      <c r="N308" s="345">
        <f t="shared" si="223"/>
      </c>
      <c r="O308" s="345">
        <f t="shared" si="238"/>
      </c>
      <c r="P308" s="345">
        <f t="shared" si="270"/>
      </c>
      <c r="Q308" s="345">
        <f t="shared" si="87"/>
      </c>
      <c r="R308" s="341">
        <f t="shared" si="285"/>
      </c>
      <c r="S308" s="343">
        <f t="shared" si="102"/>
      </c>
      <c r="T308" s="345">
        <f t="shared" si="123"/>
      </c>
      <c r="U308" s="345">
        <f t="shared" si="36"/>
      </c>
      <c r="V308" s="345">
        <f t="shared" si="53"/>
      </c>
      <c r="W308" s="345">
        <f t="shared" si="70"/>
      </c>
      <c r="X308" s="360" t="s">
        <v>181</v>
      </c>
      <c r="Y308" s="347" t="s">
        <v>193</v>
      </c>
      <c r="Z308" s="350">
        <v>202479</v>
      </c>
      <c r="AA308" s="350">
        <v>14011</v>
      </c>
      <c r="AB308" s="350">
        <v>144701</v>
      </c>
      <c r="AC308" s="350">
        <v>1247</v>
      </c>
      <c r="AD308" s="350">
        <v>9</v>
      </c>
      <c r="AE308" s="350">
        <v>15728</v>
      </c>
      <c r="AF308" s="350">
        <v>415</v>
      </c>
      <c r="AG308" s="350">
        <v>203</v>
      </c>
      <c r="AH308" s="350">
        <v>48</v>
      </c>
      <c r="AI308" s="418">
        <v>1</v>
      </c>
    </row>
    <row r="309">
      <c r="A309" s="334"/>
      <c r="B309" s="361" t="s">
        <v>187</v>
      </c>
      <c r="C309" s="361"/>
      <c r="D309" s="362">
        <f>SUM(D307:D308)</f>
      </c>
      <c r="E309" s="420">
        <f>SUM(E307:E308)</f>
      </c>
      <c r="F309" s="365">
        <f t="shared" si="336"/>
      </c>
      <c r="G309" s="362">
        <f>SUM(G307:G308)</f>
      </c>
      <c r="H309" s="429">
        <f t="shared" si="2"/>
      </c>
      <c r="I309" s="362">
        <f t="shared" si="19"/>
      </c>
      <c r="J309" s="364">
        <f t="shared" si="156"/>
      </c>
      <c r="K309" s="366">
        <f t="shared" si="188"/>
      </c>
      <c r="L309" s="367">
        <f t="shared" si="173"/>
      </c>
      <c r="M309" s="364">
        <f t="shared" si="253"/>
      </c>
      <c r="N309" s="368">
        <f t="shared" si="223"/>
      </c>
      <c r="O309" s="368">
        <f t="shared" si="238"/>
      </c>
      <c r="P309" s="368">
        <f t="shared" si="270"/>
      </c>
      <c r="Q309" s="368">
        <f t="shared" si="87"/>
      </c>
      <c r="R309" s="364">
        <f t="shared" si="285"/>
      </c>
      <c r="S309" s="366">
        <f t="shared" si="102"/>
      </c>
      <c r="T309" s="368">
        <f t="shared" si="123"/>
      </c>
      <c r="U309" s="368">
        <f t="shared" si="36"/>
      </c>
      <c r="V309" s="368">
        <f t="shared" si="53"/>
      </c>
      <c r="W309" s="368">
        <f t="shared" si="70"/>
      </c>
      <c r="X309" s="368"/>
      <c r="Y309" s="369"/>
      <c r="Z309" s="362">
        <f>SUM(Z307:Z308)</f>
      </c>
      <c r="AA309" s="362">
        <f>SUM(AA307:AA308)</f>
      </c>
      <c r="AB309" s="362">
        <f>SUM(AB307:AB308)</f>
      </c>
      <c r="AC309" s="362">
        <f>SUM(AC307:AC308)</f>
      </c>
      <c r="AD309" s="362">
        <f>SUM(AD307:AD308)</f>
      </c>
      <c r="AE309" s="362">
        <f>SUM(AE307:AE308)</f>
      </c>
      <c r="AF309" s="362">
        <f>SUM(AF307:AF308)</f>
      </c>
      <c r="AG309" s="362">
        <f>SUM(AG307:AG308)</f>
      </c>
      <c r="AH309" s="362">
        <f>SUM(AH307:AH308)</f>
      </c>
      <c r="AI309" s="420">
        <f>SUM(AI307:AI308)</f>
      </c>
    </row>
    <row r="310">
      <c r="A310" s="334"/>
      <c r="B310" s="415" t="s">
        <v>195</v>
      </c>
      <c r="C310" s="372" t="s">
        <v>190</v>
      </c>
      <c r="D310" s="377">
        <v>1780.943</v>
      </c>
      <c r="E310" s="359">
        <v>3</v>
      </c>
      <c r="F310" s="342">
        <f t="shared" si="336"/>
      </c>
      <c r="G310" s="359">
        <v>684</v>
      </c>
      <c r="H310" s="428">
        <f t="shared" si="2"/>
      </c>
      <c r="I310" s="340">
        <f t="shared" si="19"/>
      </c>
      <c r="J310" s="341">
        <f t="shared" si="156"/>
      </c>
      <c r="K310" s="343">
        <f t="shared" si="188"/>
      </c>
      <c r="L310" s="344">
        <f t="shared" si="173"/>
      </c>
      <c r="M310" s="341">
        <f t="shared" si="253"/>
      </c>
      <c r="N310" s="345">
        <f t="shared" si="223"/>
      </c>
      <c r="O310" s="345">
        <f t="shared" si="238"/>
      </c>
      <c r="P310" s="345">
        <f t="shared" si="270"/>
      </c>
      <c r="Q310" s="345">
        <f t="shared" si="87"/>
      </c>
      <c r="R310" s="341">
        <f t="shared" si="285"/>
      </c>
      <c r="S310" s="343">
        <f t="shared" si="102"/>
      </c>
      <c r="T310" s="345">
        <f t="shared" si="123"/>
      </c>
      <c r="U310" s="345">
        <f t="shared" si="36"/>
      </c>
      <c r="V310" s="345">
        <f t="shared" si="53"/>
      </c>
      <c r="W310" s="345">
        <f t="shared" si="70"/>
      </c>
      <c r="X310" s="360" t="s">
        <v>181</v>
      </c>
      <c r="Y310" s="347" t="s">
        <v>193</v>
      </c>
      <c r="Z310" s="350">
        <v>159181</v>
      </c>
      <c r="AA310" s="350">
        <v>6924</v>
      </c>
      <c r="AB310" s="350">
        <v>97510</v>
      </c>
      <c r="AC310" s="350">
        <v>1136</v>
      </c>
      <c r="AD310" s="349">
        <v>3</v>
      </c>
      <c r="AE310" s="350">
        <v>11568</v>
      </c>
      <c r="AF310" s="350">
        <v>322</v>
      </c>
      <c r="AG310" s="350">
        <v>99</v>
      </c>
      <c r="AH310" s="350">
        <v>29</v>
      </c>
      <c r="AI310" s="418">
        <v>0</v>
      </c>
    </row>
    <row r="311">
      <c r="A311" s="334"/>
      <c r="B311" s="415" t="s">
        <v>195</v>
      </c>
      <c r="C311" s="373" t="s">
        <v>191</v>
      </c>
      <c r="D311" s="377">
        <v>1462.098</v>
      </c>
      <c r="E311" s="359">
        <v>2</v>
      </c>
      <c r="F311" s="342">
        <f t="shared" si="336"/>
      </c>
      <c r="G311" s="359">
        <v>1056</v>
      </c>
      <c r="H311" s="428">
        <f t="shared" si="2"/>
      </c>
      <c r="I311" s="340">
        <f t="shared" si="19"/>
      </c>
      <c r="J311" s="341">
        <f t="shared" si="156"/>
      </c>
      <c r="K311" s="343">
        <f t="shared" si="188"/>
      </c>
      <c r="L311" s="344">
        <f t="shared" si="173"/>
      </c>
      <c r="M311" s="341">
        <f t="shared" si="253"/>
      </c>
      <c r="N311" s="345">
        <f t="shared" si="223"/>
      </c>
      <c r="O311" s="345">
        <f t="shared" si="238"/>
      </c>
      <c r="P311" s="345">
        <f t="shared" si="270"/>
      </c>
      <c r="Q311" s="345">
        <f t="shared" si="87"/>
      </c>
      <c r="R311" s="341">
        <f t="shared" si="285"/>
      </c>
      <c r="S311" s="343">
        <f t="shared" si="102"/>
      </c>
      <c r="T311" s="345">
        <f t="shared" si="123"/>
      </c>
      <c r="U311" s="345">
        <f t="shared" si="36"/>
      </c>
      <c r="V311" s="345">
        <f t="shared" si="53"/>
      </c>
      <c r="W311" s="345">
        <f t="shared" si="70"/>
      </c>
      <c r="X311" s="360" t="s">
        <v>181</v>
      </c>
      <c r="Y311" s="347" t="s">
        <v>193</v>
      </c>
      <c r="Z311" s="350">
        <v>143760</v>
      </c>
      <c r="AA311" s="350">
        <v>3857</v>
      </c>
      <c r="AB311" s="350">
        <v>69501</v>
      </c>
      <c r="AC311" s="350">
        <v>1036</v>
      </c>
      <c r="AD311" s="349">
        <v>2</v>
      </c>
      <c r="AE311" s="350">
        <v>9764</v>
      </c>
      <c r="AF311" s="350">
        <v>248</v>
      </c>
      <c r="AG311" s="350">
        <v>49</v>
      </c>
      <c r="AH311" s="350">
        <v>7</v>
      </c>
      <c r="AI311" s="418">
        <v>0</v>
      </c>
    </row>
    <row r="312">
      <c r="A312" s="334"/>
      <c r="B312" s="415" t="s">
        <v>195</v>
      </c>
      <c r="C312" s="374" t="s">
        <v>192</v>
      </c>
      <c r="D312" s="377">
        <v>734.075</v>
      </c>
      <c r="E312" s="359">
        <v>1</v>
      </c>
      <c r="F312" s="342">
        <f t="shared" si="336"/>
      </c>
      <c r="G312" s="359">
        <v>228</v>
      </c>
      <c r="H312" s="428">
        <f t="shared" si="2"/>
      </c>
      <c r="I312" s="340">
        <f t="shared" si="19"/>
      </c>
      <c r="J312" s="341">
        <f t="shared" si="156"/>
      </c>
      <c r="K312" s="343">
        <f t="shared" si="188"/>
      </c>
      <c r="L312" s="344">
        <f t="shared" si="173"/>
      </c>
      <c r="M312" s="341">
        <f t="shared" si="253"/>
      </c>
      <c r="N312" s="345">
        <f t="shared" si="223"/>
      </c>
      <c r="O312" s="345">
        <f t="shared" si="238"/>
      </c>
      <c r="P312" s="345">
        <f t="shared" si="270"/>
      </c>
      <c r="Q312" s="345">
        <f t="shared" si="87"/>
      </c>
      <c r="R312" s="341">
        <f t="shared" si="285"/>
      </c>
      <c r="S312" s="343">
        <f t="shared" si="102"/>
      </c>
      <c r="T312" s="345">
        <f t="shared" si="123"/>
      </c>
      <c r="U312" s="345">
        <f t="shared" si="36"/>
      </c>
      <c r="V312" s="345">
        <f t="shared" si="53"/>
      </c>
      <c r="W312" s="345">
        <f t="shared" si="70"/>
      </c>
      <c r="X312" s="360" t="s">
        <v>181</v>
      </c>
      <c r="Y312" s="347" t="s">
        <v>205</v>
      </c>
      <c r="Z312" s="350">
        <v>74619</v>
      </c>
      <c r="AA312" s="350">
        <v>2504</v>
      </c>
      <c r="AB312" s="350">
        <v>40775</v>
      </c>
      <c r="AC312" s="350">
        <v>458</v>
      </c>
      <c r="AD312" s="350">
        <v>1</v>
      </c>
      <c r="AE312" s="350">
        <v>5387</v>
      </c>
      <c r="AF312" s="350">
        <v>133</v>
      </c>
      <c r="AG312" s="350">
        <v>23</v>
      </c>
      <c r="AH312" s="350">
        <v>6</v>
      </c>
      <c r="AI312" s="418">
        <v>0</v>
      </c>
    </row>
    <row r="313">
      <c r="A313" s="334"/>
      <c r="B313" s="415" t="s">
        <v>195</v>
      </c>
      <c r="C313" s="375" t="s">
        <v>194</v>
      </c>
      <c r="D313" s="377">
        <v>1728.426</v>
      </c>
      <c r="E313" s="359">
        <v>1</v>
      </c>
      <c r="F313" s="342">
        <f t="shared" si="336"/>
      </c>
      <c r="G313" s="359">
        <v>228</v>
      </c>
      <c r="H313" s="428">
        <f t="shared" si="2"/>
      </c>
      <c r="I313" s="340">
        <f t="shared" si="19"/>
      </c>
      <c r="J313" s="341">
        <f t="shared" si="156"/>
      </c>
      <c r="K313" s="343">
        <f t="shared" si="188"/>
      </c>
      <c r="L313" s="344">
        <f t="shared" si="173"/>
      </c>
      <c r="M313" s="341">
        <f t="shared" si="253"/>
      </c>
      <c r="N313" s="345">
        <f t="shared" si="223"/>
      </c>
      <c r="O313" s="345">
        <f t="shared" si="238"/>
      </c>
      <c r="P313" s="345">
        <f t="shared" si="270"/>
      </c>
      <c r="Q313" s="345">
        <f t="shared" si="87"/>
      </c>
      <c r="R313" s="341">
        <f t="shared" si="285"/>
      </c>
      <c r="S313" s="343">
        <f t="shared" si="102"/>
      </c>
      <c r="T313" s="345">
        <f t="shared" si="123"/>
      </c>
      <c r="U313" s="345">
        <f t="shared" si="36"/>
      </c>
      <c r="V313" s="345">
        <f t="shared" si="53"/>
      </c>
      <c r="W313" s="345">
        <f t="shared" si="70"/>
      </c>
      <c r="X313" s="360" t="s">
        <v>181</v>
      </c>
      <c r="Y313" s="347" t="s">
        <v>205</v>
      </c>
      <c r="Z313" s="350">
        <v>205896</v>
      </c>
      <c r="AA313" s="350">
        <v>5257</v>
      </c>
      <c r="AB313" s="350">
        <v>92304</v>
      </c>
      <c r="AC313" s="350">
        <v>1072</v>
      </c>
      <c r="AD313" s="350">
        <v>1</v>
      </c>
      <c r="AE313" s="350">
        <v>13022</v>
      </c>
      <c r="AF313" s="350">
        <v>281</v>
      </c>
      <c r="AG313" s="350">
        <v>88</v>
      </c>
      <c r="AH313" s="349">
        <v>12</v>
      </c>
      <c r="AI313" s="418">
        <v>0</v>
      </c>
    </row>
    <row r="314">
      <c r="A314" s="334"/>
      <c r="B314" s="387" t="s">
        <v>187</v>
      </c>
      <c r="C314" s="387"/>
      <c r="D314" s="362">
        <f>SUM(D310:D313)</f>
      </c>
      <c r="E314" s="420">
        <f>SUM(E310:E313)</f>
      </c>
      <c r="F314" s="365">
        <f t="shared" si="336"/>
      </c>
      <c r="G314" s="362">
        <f>SUM(G310:G313)</f>
      </c>
      <c r="H314" s="429">
        <f t="shared" si="2"/>
      </c>
      <c r="I314" s="362">
        <f t="shared" si="19"/>
      </c>
      <c r="J314" s="364">
        <f t="shared" si="156"/>
      </c>
      <c r="K314" s="366">
        <f t="shared" si="188"/>
      </c>
      <c r="L314" s="367">
        <f t="shared" si="173"/>
      </c>
      <c r="M314" s="364">
        <f t="shared" si="253"/>
      </c>
      <c r="N314" s="368">
        <f t="shared" si="223"/>
      </c>
      <c r="O314" s="368">
        <f t="shared" si="238"/>
      </c>
      <c r="P314" s="368">
        <f t="shared" si="270"/>
      </c>
      <c r="Q314" s="368">
        <f t="shared" si="87"/>
      </c>
      <c r="R314" s="364">
        <f t="shared" si="285"/>
      </c>
      <c r="S314" s="366">
        <f t="shared" si="102"/>
      </c>
      <c r="T314" s="368">
        <f t="shared" si="123"/>
      </c>
      <c r="U314" s="368">
        <f t="shared" si="36"/>
      </c>
      <c r="V314" s="368">
        <f t="shared" si="53"/>
      </c>
      <c r="W314" s="368">
        <f t="shared" si="70"/>
      </c>
      <c r="X314" s="368"/>
      <c r="Y314" s="369"/>
      <c r="Z314" s="362">
        <f>SUM(Z310:Z313)</f>
      </c>
      <c r="AA314" s="362">
        <f>SUM(AA310:AA313)</f>
      </c>
      <c r="AB314" s="362">
        <f>SUM(AB310:AB313)</f>
      </c>
      <c r="AC314" s="362">
        <f>SUM(AC310:AC313)</f>
      </c>
      <c r="AD314" s="362">
        <f>SUM(AD310:AD313)</f>
      </c>
      <c r="AE314" s="362">
        <f>SUM(AE310:AE313)</f>
      </c>
      <c r="AF314" s="362">
        <f>SUM(AF310:AF313)</f>
      </c>
      <c r="AG314" s="362">
        <f>SUM(AG310:AG313)</f>
      </c>
      <c r="AH314" s="362">
        <f>SUM(AH310:AH313)</f>
      </c>
      <c r="AI314" s="420">
        <f>SUM(AI310:AI313)</f>
      </c>
    </row>
    <row r="315">
      <c r="A315" s="334"/>
      <c r="B315" s="335" t="s">
        <v>203</v>
      </c>
      <c r="C315" s="373" t="s">
        <v>196</v>
      </c>
      <c r="D315" s="379">
        <v>2615.368</v>
      </c>
      <c r="E315" s="417">
        <v>10</v>
      </c>
      <c r="F315" s="342">
        <f t="shared" si="336"/>
      </c>
      <c r="G315" s="339">
        <v>2732.4000000000015</v>
      </c>
      <c r="H315" s="428">
        <f t="shared" si="2"/>
      </c>
      <c r="I315" s="340">
        <f t="shared" si="19"/>
      </c>
      <c r="J315" s="341">
        <f t="shared" si="156"/>
      </c>
      <c r="K315" s="343">
        <f t="shared" si="188"/>
      </c>
      <c r="L315" s="382">
        <f t="shared" si="173"/>
      </c>
      <c r="M315" s="383">
        <f t="shared" si="253"/>
      </c>
      <c r="N315" s="384">
        <f t="shared" si="223"/>
      </c>
      <c r="O315" s="384">
        <f t="shared" si="238"/>
      </c>
      <c r="P315" s="384">
        <f t="shared" si="270"/>
      </c>
      <c r="Q315" s="384">
        <f t="shared" si="87"/>
      </c>
      <c r="R315" s="383">
        <f t="shared" si="285"/>
      </c>
      <c r="S315" s="381">
        <f t="shared" si="102"/>
      </c>
      <c r="T315" s="384">
        <f t="shared" si="123"/>
      </c>
      <c r="U315" s="384">
        <f t="shared" si="36"/>
      </c>
      <c r="V315" s="384">
        <f t="shared" si="53"/>
      </c>
      <c r="W315" s="384">
        <f t="shared" si="70"/>
      </c>
      <c r="X315" s="360" t="s">
        <v>181</v>
      </c>
      <c r="Y315" s="347" t="s">
        <v>205</v>
      </c>
      <c r="Z315" s="350">
        <v>376158</v>
      </c>
      <c r="AA315" s="350">
        <v>6300</v>
      </c>
      <c r="AB315" s="350">
        <v>100352</v>
      </c>
      <c r="AC315" s="385">
        <v>1864</v>
      </c>
      <c r="AD315" s="385">
        <v>9</v>
      </c>
      <c r="AE315" s="385">
        <v>14618</v>
      </c>
      <c r="AF315" s="385">
        <v>300</v>
      </c>
      <c r="AG315" s="385">
        <v>101</v>
      </c>
      <c r="AH315" s="385">
        <v>14</v>
      </c>
      <c r="AI315" s="418">
        <v>0</v>
      </c>
    </row>
    <row r="316">
      <c r="A316" s="334"/>
      <c r="B316" s="335" t="s">
        <v>203</v>
      </c>
      <c r="C316" s="373" t="s">
        <v>197</v>
      </c>
      <c r="D316" s="379">
        <v>2225.073</v>
      </c>
      <c r="E316" s="417">
        <v>5</v>
      </c>
      <c r="F316" s="342">
        <f t="shared" si="336"/>
      </c>
      <c r="G316" s="339">
        <v>1740</v>
      </c>
      <c r="H316" s="428">
        <f t="shared" si="2"/>
      </c>
      <c r="I316" s="340">
        <f t="shared" si="19"/>
      </c>
      <c r="J316" s="341">
        <f t="shared" si="156"/>
      </c>
      <c r="K316" s="343">
        <f t="shared" si="188"/>
      </c>
      <c r="L316" s="382">
        <f t="shared" si="173"/>
      </c>
      <c r="M316" s="383">
        <f t="shared" si="253"/>
      </c>
      <c r="N316" s="384">
        <f t="shared" si="223"/>
      </c>
      <c r="O316" s="384">
        <f t="shared" si="238"/>
      </c>
      <c r="P316" s="384">
        <f t="shared" si="270"/>
      </c>
      <c r="Q316" s="384">
        <f t="shared" si="87"/>
      </c>
      <c r="R316" s="383">
        <f t="shared" si="285"/>
      </c>
      <c r="S316" s="381">
        <f t="shared" si="102"/>
      </c>
      <c r="T316" s="384">
        <f t="shared" si="123"/>
      </c>
      <c r="U316" s="384">
        <f t="shared" si="36"/>
      </c>
      <c r="V316" s="384">
        <f t="shared" si="53"/>
      </c>
      <c r="W316" s="384">
        <f t="shared" si="70"/>
      </c>
      <c r="X316" s="360" t="s">
        <v>181</v>
      </c>
      <c r="Y316" s="347" t="s">
        <v>205</v>
      </c>
      <c r="Z316" s="350">
        <v>301705</v>
      </c>
      <c r="AA316" s="350">
        <v>11925</v>
      </c>
      <c r="AB316" s="350">
        <v>137186</v>
      </c>
      <c r="AC316" s="385">
        <v>1351</v>
      </c>
      <c r="AD316" s="385">
        <v>5</v>
      </c>
      <c r="AE316" s="385">
        <v>13787</v>
      </c>
      <c r="AF316" s="385">
        <v>245</v>
      </c>
      <c r="AG316" s="385">
        <v>149</v>
      </c>
      <c r="AH316" s="385">
        <v>18</v>
      </c>
      <c r="AI316" s="418">
        <v>0</v>
      </c>
    </row>
    <row r="317">
      <c r="A317" s="334"/>
      <c r="B317" s="335" t="s">
        <v>203</v>
      </c>
      <c r="C317" s="374" t="s">
        <v>198</v>
      </c>
      <c r="D317" s="379">
        <v>2211.2039999999997</v>
      </c>
      <c r="E317" s="417">
        <v>6</v>
      </c>
      <c r="F317" s="342">
        <f t="shared" si="336"/>
      </c>
      <c r="G317" s="339">
        <v>1855.2000000000007</v>
      </c>
      <c r="H317" s="428">
        <f t="shared" si="2"/>
      </c>
      <c r="I317" s="340">
        <f t="shared" si="19"/>
      </c>
      <c r="J317" s="341">
        <f t="shared" si="156"/>
      </c>
      <c r="K317" s="343">
        <f t="shared" si="188"/>
      </c>
      <c r="L317" s="382">
        <f t="shared" si="173"/>
      </c>
      <c r="M317" s="383">
        <f t="shared" si="253"/>
      </c>
      <c r="N317" s="384">
        <f t="shared" si="223"/>
      </c>
      <c r="O317" s="384">
        <f t="shared" si="238"/>
      </c>
      <c r="P317" s="384">
        <f t="shared" si="270"/>
      </c>
      <c r="Q317" s="384">
        <f t="shared" si="87"/>
      </c>
      <c r="R317" s="383">
        <f t="shared" si="285"/>
      </c>
      <c r="S317" s="381">
        <f t="shared" si="102"/>
      </c>
      <c r="T317" s="384">
        <f t="shared" si="123"/>
      </c>
      <c r="U317" s="384">
        <f t="shared" si="36"/>
      </c>
      <c r="V317" s="384">
        <f t="shared" si="53"/>
      </c>
      <c r="W317" s="384">
        <f t="shared" si="70"/>
      </c>
      <c r="X317" s="360" t="s">
        <v>181</v>
      </c>
      <c r="Y317" s="347" t="s">
        <v>205</v>
      </c>
      <c r="Z317" s="350">
        <v>285817</v>
      </c>
      <c r="AA317" s="350">
        <v>13277</v>
      </c>
      <c r="AB317" s="350">
        <v>146735</v>
      </c>
      <c r="AC317" s="385">
        <v>1330</v>
      </c>
      <c r="AD317" s="385">
        <v>3</v>
      </c>
      <c r="AE317" s="385">
        <v>13745</v>
      </c>
      <c r="AF317" s="385">
        <v>297</v>
      </c>
      <c r="AG317" s="385">
        <v>160</v>
      </c>
      <c r="AH317" s="385">
        <v>14</v>
      </c>
      <c r="AI317" s="418">
        <v>1</v>
      </c>
    </row>
    <row r="318">
      <c r="A318" s="334"/>
      <c r="B318" s="335" t="s">
        <v>203</v>
      </c>
      <c r="C318" s="373" t="s">
        <v>199</v>
      </c>
      <c r="D318" s="377">
        <v>2358.116</v>
      </c>
      <c r="E318" s="359">
        <v>5</v>
      </c>
      <c r="F318" s="342">
        <f t="shared" si="336"/>
      </c>
      <c r="G318" s="359">
        <v>1695.5999999999985</v>
      </c>
      <c r="H318" s="428">
        <f t="shared" si="2"/>
      </c>
      <c r="I318" s="340">
        <f t="shared" si="19"/>
      </c>
      <c r="J318" s="341">
        <f t="shared" si="156"/>
      </c>
      <c r="K318" s="343">
        <f t="shared" si="188"/>
      </c>
      <c r="L318" s="382">
        <f t="shared" si="173"/>
      </c>
      <c r="M318" s="383">
        <f t="shared" si="253"/>
      </c>
      <c r="N318" s="384">
        <f t="shared" si="223"/>
      </c>
      <c r="O318" s="384">
        <f t="shared" si="238"/>
      </c>
      <c r="P318" s="384">
        <f t="shared" si="270"/>
      </c>
      <c r="Q318" s="384">
        <f t="shared" si="87"/>
      </c>
      <c r="R318" s="383">
        <f t="shared" si="285"/>
      </c>
      <c r="S318" s="381">
        <f t="shared" si="102"/>
      </c>
      <c r="T318" s="384">
        <f t="shared" si="123"/>
      </c>
      <c r="U318" s="384">
        <f t="shared" si="36"/>
      </c>
      <c r="V318" s="384">
        <f t="shared" si="53"/>
      </c>
      <c r="W318" s="384">
        <f t="shared" si="70"/>
      </c>
      <c r="X318" s="360" t="s">
        <v>181</v>
      </c>
      <c r="Y318" s="347" t="s">
        <v>205</v>
      </c>
      <c r="Z318" s="350">
        <v>309883</v>
      </c>
      <c r="AA318" s="350">
        <v>13986</v>
      </c>
      <c r="AB318" s="350">
        <v>171684</v>
      </c>
      <c r="AC318" s="350">
        <v>1442</v>
      </c>
      <c r="AD318" s="350">
        <v>5</v>
      </c>
      <c r="AE318" s="350">
        <v>15251</v>
      </c>
      <c r="AF318" s="350">
        <v>377</v>
      </c>
      <c r="AG318" s="350">
        <v>154</v>
      </c>
      <c r="AH318" s="349">
        <v>12</v>
      </c>
      <c r="AI318" s="418">
        <v>0</v>
      </c>
    </row>
    <row r="319">
      <c r="A319" s="334"/>
      <c r="B319" s="335" t="s">
        <v>203</v>
      </c>
      <c r="C319" s="386" t="s">
        <v>200</v>
      </c>
      <c r="D319" s="377">
        <v>2044.591</v>
      </c>
      <c r="E319" s="359">
        <v>5</v>
      </c>
      <c r="F319" s="342">
        <f t="shared" si="336"/>
      </c>
      <c r="G319" s="359">
        <v>1697.2000000000044</v>
      </c>
      <c r="H319" s="430">
        <f t="shared" si="2"/>
      </c>
      <c r="I319" s="340">
        <f t="shared" si="19"/>
      </c>
      <c r="J319" s="341">
        <f t="shared" si="156"/>
      </c>
      <c r="K319" s="343">
        <f t="shared" si="188"/>
      </c>
      <c r="L319" s="382">
        <f t="shared" si="173"/>
      </c>
      <c r="M319" s="383">
        <f t="shared" si="253"/>
      </c>
      <c r="N319" s="384">
        <f t="shared" si="223"/>
      </c>
      <c r="O319" s="384">
        <f t="shared" si="238"/>
      </c>
      <c r="P319" s="384">
        <f t="shared" si="270"/>
      </c>
      <c r="Q319" s="384">
        <f t="shared" si="87"/>
      </c>
      <c r="R319" s="383">
        <f t="shared" si="285"/>
      </c>
      <c r="S319" s="381">
        <f t="shared" si="102"/>
      </c>
      <c r="T319" s="384">
        <f t="shared" si="123"/>
      </c>
      <c r="U319" s="384">
        <f t="shared" si="36"/>
      </c>
      <c r="V319" s="384">
        <f t="shared" si="53"/>
      </c>
      <c r="W319" s="384">
        <f t="shared" si="70"/>
      </c>
      <c r="X319" s="360" t="s">
        <v>181</v>
      </c>
      <c r="Y319" s="347" t="s">
        <v>205</v>
      </c>
      <c r="Z319" s="350">
        <v>276213</v>
      </c>
      <c r="AA319" s="350">
        <v>12603</v>
      </c>
      <c r="AB319" s="350">
        <v>162887</v>
      </c>
      <c r="AC319" s="350">
        <v>1465</v>
      </c>
      <c r="AD319" s="350">
        <v>5</v>
      </c>
      <c r="AE319" s="350">
        <v>13012</v>
      </c>
      <c r="AF319" s="350">
        <v>295</v>
      </c>
      <c r="AG319" s="350">
        <v>132</v>
      </c>
      <c r="AH319" s="349">
        <v>17</v>
      </c>
      <c r="AI319" s="418">
        <v>0</v>
      </c>
    </row>
    <row r="320">
      <c r="A320" s="334"/>
      <c r="B320" s="387" t="s">
        <v>187</v>
      </c>
      <c r="C320" s="387"/>
      <c r="D320" s="362">
        <f>SUM(D315:D319)</f>
      </c>
      <c r="E320" s="420">
        <f>SUM(E315:E319)</f>
      </c>
      <c r="F320" s="366">
        <f t="shared" si="336"/>
      </c>
      <c r="G320" s="431">
        <f>SUM(G315:G319)</f>
      </c>
      <c r="H320" s="432">
        <f t="shared" si="2"/>
      </c>
      <c r="I320" s="433">
        <f t="shared" si="19"/>
      </c>
      <c r="J320" s="364">
        <f t="shared" si="156"/>
      </c>
      <c r="K320" s="366">
        <f t="shared" si="188"/>
      </c>
      <c r="L320" s="367">
        <f t="shared" si="173"/>
      </c>
      <c r="M320" s="364">
        <f t="shared" si="253"/>
      </c>
      <c r="N320" s="368">
        <f t="shared" si="223"/>
      </c>
      <c r="O320" s="368">
        <f t="shared" si="238"/>
      </c>
      <c r="P320" s="368">
        <f t="shared" si="270"/>
      </c>
      <c r="Q320" s="368">
        <f t="shared" si="87"/>
      </c>
      <c r="R320" s="364">
        <f t="shared" si="285"/>
      </c>
      <c r="S320" s="366">
        <f t="shared" si="102"/>
      </c>
      <c r="T320" s="368">
        <f t="shared" si="123"/>
      </c>
      <c r="U320" s="368">
        <f t="shared" si="36"/>
      </c>
      <c r="V320" s="368">
        <f t="shared" si="53"/>
      </c>
      <c r="W320" s="368">
        <f t="shared" si="70"/>
      </c>
      <c r="X320" s="368"/>
      <c r="Y320" s="369"/>
      <c r="Z320" s="362">
        <f>SUM(Z315:Z319)</f>
      </c>
      <c r="AA320" s="362">
        <f>SUM(AA315:AA319)</f>
      </c>
      <c r="AB320" s="362">
        <f>SUM(AB315:AB319)</f>
      </c>
      <c r="AC320" s="362">
        <f>SUM(AC315:AC319)</f>
      </c>
      <c r="AD320" s="362">
        <f>SUM(AD315:AD319)</f>
      </c>
      <c r="AE320" s="362">
        <f>SUM(AE315:AE319)</f>
      </c>
      <c r="AF320" s="362">
        <f>SUM(AF315:AF319)</f>
      </c>
      <c r="AG320" s="362">
        <f>SUM(AG315:AG319)</f>
      </c>
      <c r="AH320" s="362">
        <f>SUM(AH315:AH319)</f>
      </c>
      <c r="AI320" s="420">
        <f>SUM(AI315:AI319)</f>
      </c>
    </row>
    <row r="321">
      <c r="A321" s="334"/>
      <c r="B321" s="388" t="s">
        <v>201</v>
      </c>
      <c r="C321" s="388"/>
      <c r="D321" s="389">
        <f>SUM(D306+D320+D314+D309)</f>
      </c>
      <c r="E321" s="421">
        <f>SUM(E306+E320+E314+E309)</f>
      </c>
      <c r="F321" s="393">
        <f t="shared" si="336"/>
      </c>
      <c r="G321" s="434">
        <f>SUM(G306+G320+G314+G309)</f>
      </c>
      <c r="H321" s="435">
        <f t="shared" si="2"/>
      </c>
      <c r="I321" s="436">
        <f t="shared" si="19"/>
      </c>
      <c r="J321" s="391">
        <f t="shared" si="156"/>
      </c>
      <c r="K321" s="393">
        <f t="shared" si="188"/>
      </c>
      <c r="L321" s="394">
        <f t="shared" si="173"/>
      </c>
      <c r="M321" s="394">
        <f t="shared" si="253"/>
      </c>
      <c r="N321" s="395">
        <f t="shared" si="223"/>
      </c>
      <c r="O321" s="395">
        <f t="shared" si="238"/>
      </c>
      <c r="P321" s="395">
        <f t="shared" si="270"/>
      </c>
      <c r="Q321" s="395">
        <f t="shared" si="87"/>
      </c>
      <c r="R321" s="396">
        <f t="shared" si="285"/>
      </c>
      <c r="S321" s="397">
        <f t="shared" si="102"/>
      </c>
      <c r="T321" s="398">
        <f t="shared" si="123"/>
      </c>
      <c r="U321" s="398">
        <f t="shared" si="36"/>
      </c>
      <c r="V321" s="398">
        <f t="shared" si="53"/>
      </c>
      <c r="W321" s="398">
        <f t="shared" si="70"/>
      </c>
      <c r="X321" s="398"/>
      <c r="Y321" s="399"/>
      <c r="Z321" s="390">
        <f>SUM(Z314+Z320+Z306+Z309)</f>
      </c>
      <c r="AA321" s="390">
        <f>SUM(AA314+AA320+AA306+AA309)</f>
      </c>
      <c r="AB321" s="390">
        <f>SUM(AB314+AB320+AB306+AB309)</f>
      </c>
      <c r="AC321" s="390">
        <f>SUM(AC314+AC320+AC306+AC309)</f>
      </c>
      <c r="AD321" s="390">
        <f>SUM(AD314+AD320+AD306+AD309)</f>
      </c>
      <c r="AE321" s="390">
        <f>SUM(AE314+AE320+AE306+AE309)</f>
      </c>
      <c r="AF321" s="390">
        <f>SUM(AF314+AF320+AF306+AF309)</f>
      </c>
      <c r="AG321" s="390">
        <f>SUM(AG314+AG320+AG306+AG309)</f>
      </c>
      <c r="AH321" s="390">
        <f>SUM(AH314+AH320+AH306+AH309)</f>
      </c>
      <c r="AI321" s="421">
        <f>SUM(AI314+AI320+AI306+AI309)</f>
      </c>
    </row>
    <row r="322">
      <c r="A322" s="319" t="s">
        <v>145</v>
      </c>
      <c r="B322" s="320" t="s">
        <v>146</v>
      </c>
      <c r="C322" s="321" t="s">
        <v>147</v>
      </c>
      <c r="D322" s="322" t="s">
        <v>148</v>
      </c>
      <c r="E322" s="426" t="s">
        <v>213</v>
      </c>
      <c r="F322" s="427" t="s">
        <v>214</v>
      </c>
      <c r="G322" s="324" t="s">
        <v>150</v>
      </c>
      <c r="H322" s="427" t="s">
        <v>215</v>
      </c>
      <c r="I322" s="324" t="s">
        <v>151</v>
      </c>
      <c r="J322" s="325" t="s">
        <v>152</v>
      </c>
      <c r="K322" s="325" t="s">
        <v>154</v>
      </c>
      <c r="L322" s="326" t="s">
        <v>155</v>
      </c>
      <c r="M322" s="326" t="s">
        <v>156</v>
      </c>
      <c r="N322" s="326" t="s">
        <v>157</v>
      </c>
      <c r="O322" s="326" t="s">
        <v>158</v>
      </c>
      <c r="P322" s="326" t="s">
        <v>159</v>
      </c>
      <c r="Q322" s="326" t="s">
        <v>160</v>
      </c>
      <c r="R322" s="326" t="s">
        <v>161</v>
      </c>
      <c r="S322" s="326" t="s">
        <v>162</v>
      </c>
      <c r="T322" s="327" t="s">
        <v>163</v>
      </c>
      <c r="U322" s="327" t="s">
        <v>164</v>
      </c>
      <c r="V322" s="327" t="s">
        <v>165</v>
      </c>
      <c r="W322" s="327" t="s">
        <v>166</v>
      </c>
      <c r="X322" s="328" t="s">
        <v>167</v>
      </c>
      <c r="Y322" s="328" t="s">
        <v>168</v>
      </c>
      <c r="Z322" s="329" t="s">
        <v>169</v>
      </c>
      <c r="AA322" s="329" t="s">
        <v>170</v>
      </c>
      <c r="AB322" s="329" t="s">
        <v>171</v>
      </c>
      <c r="AC322" s="330" t="s">
        <v>172</v>
      </c>
      <c r="AD322" s="330" t="s">
        <v>173</v>
      </c>
      <c r="AE322" s="331" t="s">
        <v>174</v>
      </c>
      <c r="AF322" s="330" t="s">
        <v>175</v>
      </c>
      <c r="AG322" s="330" t="s">
        <v>176</v>
      </c>
      <c r="AH322" s="332" t="s">
        <v>177</v>
      </c>
      <c r="AI322" s="333" t="s">
        <v>178</v>
      </c>
    </row>
    <row r="323">
      <c r="A323" s="334">
        <v>46252</v>
      </c>
      <c r="B323" s="415" t="s">
        <v>188</v>
      </c>
      <c r="C323" s="354" t="s">
        <v>180</v>
      </c>
      <c r="D323" s="337">
        <v>1295.635</v>
      </c>
      <c r="E323" s="417">
        <v>0</v>
      </c>
      <c r="F323" s="342">
        <f t="shared" ref="F323:F344" si="337">D323/E323</f>
      </c>
      <c r="G323" s="339">
        <v>0</v>
      </c>
      <c r="H323" s="428">
        <f t="shared" ref="H323:H344" si="3">AD323</f>
      </c>
      <c r="I323" s="340">
        <f t="shared" ref="I323:I344" si="20">D323/AD323</f>
      </c>
      <c r="J323" s="341">
        <f t="shared" ref="J323:J344" si="157">G323/E323</f>
      </c>
      <c r="K323" s="343">
        <f t="shared" ref="K323:K344" si="189">G323/D323</f>
      </c>
      <c r="L323" s="344">
        <f t="shared" ref="L323:L344" si="174">D323/AB323</f>
      </c>
      <c r="M323" s="341">
        <f t="shared" ref="M323:M344" si="254">D323/AC323</f>
      </c>
      <c r="N323" s="345">
        <f t="shared" ref="N323:N344" si="224">AC323/AB323</f>
      </c>
      <c r="O323" s="345">
        <f t="shared" ref="O323:O344" si="239">AD323/AC323</f>
      </c>
      <c r="P323" s="345">
        <f t="shared" ref="P323:P344" si="271">AA323/Z323</f>
      </c>
      <c r="Q323" s="345">
        <f t="shared" ref="Q323:Q344" si="88">AD323/AA323</f>
      </c>
      <c r="R323" s="341">
        <f t="shared" ref="R323:R344" si="286">D323/Z323*1000</f>
      </c>
      <c r="S323" s="343">
        <f t="shared" ref="S323:S344" si="103">D323/AA323</f>
      </c>
      <c r="T323" s="345">
        <f t="shared" ref="T323:T344" si="124">AE323/AB323</f>
      </c>
      <c r="U323" s="345">
        <f t="shared" ref="U323:U344" si="37">AF323/AB323</f>
      </c>
      <c r="V323" s="345">
        <f t="shared" ref="V323:V344" si="54">AG323/AB323</f>
      </c>
      <c r="W323" s="345">
        <f t="shared" ref="W323:W344" si="71">AH323/AB323</f>
      </c>
      <c r="X323" s="346" t="s">
        <v>181</v>
      </c>
      <c r="Y323" s="347" t="s">
        <v>193</v>
      </c>
      <c r="Z323" s="348">
        <v>75195</v>
      </c>
      <c r="AA323" s="348">
        <v>2859</v>
      </c>
      <c r="AB323" s="348">
        <v>55303</v>
      </c>
      <c r="AC323" s="348">
        <v>640</v>
      </c>
      <c r="AD323" s="349">
        <v>0</v>
      </c>
      <c r="AE323" s="348">
        <v>13707</v>
      </c>
      <c r="AF323" s="350">
        <v>243</v>
      </c>
      <c r="AG323" s="350">
        <v>60</v>
      </c>
      <c r="AH323" s="350">
        <v>5</v>
      </c>
      <c r="AI323" s="418">
        <v>0</v>
      </c>
    </row>
    <row r="324">
      <c r="A324" s="334"/>
      <c r="B324" s="361" t="s">
        <v>187</v>
      </c>
      <c r="C324" s="361"/>
      <c r="D324" s="362">
        <f>SUM(D323)</f>
      </c>
      <c r="E324" s="420">
        <f>SUM(E323)</f>
      </c>
      <c r="F324" s="365">
        <f t="shared" si="337"/>
      </c>
      <c r="G324" s="362">
        <f>SUM(G323)</f>
      </c>
      <c r="H324" s="429">
        <f t="shared" si="3"/>
      </c>
      <c r="I324" s="362">
        <f t="shared" si="20"/>
      </c>
      <c r="J324" s="364">
        <f t="shared" si="157"/>
      </c>
      <c r="K324" s="366">
        <f t="shared" si="189"/>
      </c>
      <c r="L324" s="367">
        <f t="shared" si="174"/>
      </c>
      <c r="M324" s="364">
        <f t="shared" si="254"/>
      </c>
      <c r="N324" s="368">
        <f t="shared" si="224"/>
      </c>
      <c r="O324" s="368">
        <f t="shared" si="239"/>
      </c>
      <c r="P324" s="368">
        <f t="shared" si="271"/>
      </c>
      <c r="Q324" s="368">
        <f t="shared" si="88"/>
      </c>
      <c r="R324" s="364">
        <f t="shared" si="286"/>
      </c>
      <c r="S324" s="366">
        <f t="shared" si="103"/>
      </c>
      <c r="T324" s="368">
        <f t="shared" si="124"/>
      </c>
      <c r="U324" s="368">
        <f t="shared" si="37"/>
      </c>
      <c r="V324" s="368">
        <f t="shared" si="54"/>
      </c>
      <c r="W324" s="368">
        <f t="shared" si="71"/>
      </c>
      <c r="X324" s="368"/>
      <c r="Y324" s="369"/>
      <c r="Z324" s="362">
        <f>SUM(Z323)</f>
      </c>
      <c r="AA324" s="362">
        <f>SUM(AA323)</f>
      </c>
      <c r="AB324" s="362">
        <f>SUM(AB323)</f>
      </c>
      <c r="AC324" s="362">
        <f>SUM(AC323)</f>
      </c>
      <c r="AD324" s="362">
        <f>SUM(AD323)</f>
      </c>
      <c r="AE324" s="362">
        <f>SUM(AE323)</f>
      </c>
      <c r="AF324" s="362">
        <f>SUM(AF323)</f>
      </c>
      <c r="AG324" s="362">
        <f>SUM(AG323)</f>
      </c>
      <c r="AH324" s="362">
        <f>SUM(AH323)</f>
      </c>
      <c r="AI324" s="420">
        <f>SUM(AI323)</f>
      </c>
    </row>
    <row customHeight="true" ht="16.071428571428573" r="325">
      <c r="A325" s="334"/>
      <c r="B325" s="415" t="s">
        <v>179</v>
      </c>
      <c r="C325" s="336" t="s">
        <v>183</v>
      </c>
      <c r="D325" s="377">
        <v>2365.1530000000002</v>
      </c>
      <c r="E325" s="359">
        <v>7</v>
      </c>
      <c r="F325" s="342">
        <f t="shared" si="337"/>
      </c>
      <c r="G325" s="359">
        <v>2657.2</v>
      </c>
      <c r="H325" s="428">
        <f t="shared" si="3"/>
      </c>
      <c r="I325" s="340">
        <f t="shared" si="20"/>
      </c>
      <c r="J325" s="341">
        <f t="shared" si="157"/>
      </c>
      <c r="K325" s="343">
        <f t="shared" si="189"/>
      </c>
      <c r="L325" s="344">
        <f t="shared" si="174"/>
      </c>
      <c r="M325" s="341">
        <f t="shared" si="254"/>
      </c>
      <c r="N325" s="345">
        <f t="shared" si="224"/>
      </c>
      <c r="O325" s="345">
        <f t="shared" si="239"/>
      </c>
      <c r="P325" s="345">
        <f t="shared" si="271"/>
      </c>
      <c r="Q325" s="345">
        <f t="shared" si="88"/>
      </c>
      <c r="R325" s="341">
        <f t="shared" si="286"/>
      </c>
      <c r="S325" s="343">
        <f t="shared" si="103"/>
      </c>
      <c r="T325" s="345">
        <f t="shared" si="124"/>
      </c>
      <c r="U325" s="345">
        <f t="shared" si="37"/>
      </c>
      <c r="V325" s="345">
        <f t="shared" si="54"/>
      </c>
      <c r="W325" s="345">
        <f t="shared" si="71"/>
      </c>
      <c r="X325" s="360" t="s">
        <v>181</v>
      </c>
      <c r="Y325" s="347" t="s">
        <v>193</v>
      </c>
      <c r="Z325" s="350">
        <v>141313</v>
      </c>
      <c r="AA325" s="350">
        <v>4312</v>
      </c>
      <c r="AB325" s="350">
        <v>87314</v>
      </c>
      <c r="AC325" s="350">
        <v>1083</v>
      </c>
      <c r="AD325" s="349">
        <v>7</v>
      </c>
      <c r="AE325" s="350">
        <v>18571</v>
      </c>
      <c r="AF325" s="350">
        <v>378</v>
      </c>
      <c r="AG325" s="350">
        <v>140</v>
      </c>
      <c r="AH325" s="350">
        <v>14</v>
      </c>
      <c r="AI325" s="418">
        <v>1</v>
      </c>
    </row>
    <row customHeight="true" ht="16.071428571428573" r="326">
      <c r="A326" s="334"/>
      <c r="B326" s="415" t="s">
        <v>179</v>
      </c>
      <c r="C326" s="351" t="s">
        <v>184</v>
      </c>
      <c r="D326" s="377">
        <v>2086.942</v>
      </c>
      <c r="E326" s="359">
        <v>15</v>
      </c>
      <c r="F326" s="342">
        <f t="shared" si="337"/>
      </c>
      <c r="G326" s="359">
        <v>5605.099999999999</v>
      </c>
      <c r="H326" s="428">
        <f t="shared" si="3"/>
      </c>
      <c r="I326" s="340">
        <f t="shared" si="20"/>
      </c>
      <c r="J326" s="341">
        <f t="shared" si="157"/>
      </c>
      <c r="K326" s="343">
        <f t="shared" si="189"/>
      </c>
      <c r="L326" s="344">
        <f t="shared" si="174"/>
      </c>
      <c r="M326" s="341">
        <f t="shared" si="254"/>
      </c>
      <c r="N326" s="345">
        <f t="shared" si="224"/>
      </c>
      <c r="O326" s="345">
        <f t="shared" si="239"/>
      </c>
      <c r="P326" s="345">
        <f t="shared" si="271"/>
      </c>
      <c r="Q326" s="345">
        <f t="shared" si="88"/>
      </c>
      <c r="R326" s="341">
        <f t="shared" si="286"/>
      </c>
      <c r="S326" s="343">
        <f t="shared" si="103"/>
      </c>
      <c r="T326" s="345">
        <f t="shared" si="124"/>
      </c>
      <c r="U326" s="345">
        <f t="shared" si="37"/>
      </c>
      <c r="V326" s="345">
        <f t="shared" si="54"/>
      </c>
      <c r="W326" s="345">
        <f t="shared" si="71"/>
      </c>
      <c r="X326" s="360" t="s">
        <v>181</v>
      </c>
      <c r="Y326" s="347" t="s">
        <v>193</v>
      </c>
      <c r="Z326" s="350">
        <v>146254</v>
      </c>
      <c r="AA326" s="350">
        <v>4336</v>
      </c>
      <c r="AB326" s="350">
        <v>85900</v>
      </c>
      <c r="AC326" s="350">
        <v>1108</v>
      </c>
      <c r="AD326" s="350">
        <v>15</v>
      </c>
      <c r="AE326" s="350">
        <v>14054</v>
      </c>
      <c r="AF326" s="350">
        <v>342</v>
      </c>
      <c r="AG326" s="350">
        <v>102</v>
      </c>
      <c r="AH326" s="350">
        <v>14</v>
      </c>
      <c r="AI326" s="418">
        <v>3</v>
      </c>
    </row>
    <row customHeight="true" ht="16.071428571428573" r="327">
      <c r="A327" s="334"/>
      <c r="B327" s="415" t="s">
        <v>179</v>
      </c>
      <c r="C327" s="416" t="s">
        <v>185</v>
      </c>
      <c r="D327" s="377">
        <v>2373.2870000000003</v>
      </c>
      <c r="E327" s="359">
        <v>10</v>
      </c>
      <c r="F327" s="342">
        <f t="shared" si="337"/>
      </c>
      <c r="G327" s="359">
        <v>3395.5</v>
      </c>
      <c r="H327" s="428">
        <f t="shared" si="3"/>
      </c>
      <c r="I327" s="340">
        <f t="shared" si="20"/>
      </c>
      <c r="J327" s="341">
        <f t="shared" si="157"/>
      </c>
      <c r="K327" s="343">
        <f t="shared" si="189"/>
      </c>
      <c r="L327" s="344">
        <f t="shared" si="174"/>
      </c>
      <c r="M327" s="341">
        <f t="shared" si="254"/>
      </c>
      <c r="N327" s="345">
        <f t="shared" si="224"/>
      </c>
      <c r="O327" s="345">
        <f t="shared" si="239"/>
      </c>
      <c r="P327" s="345">
        <f t="shared" si="271"/>
      </c>
      <c r="Q327" s="345">
        <f t="shared" si="88"/>
      </c>
      <c r="R327" s="341">
        <f t="shared" si="286"/>
      </c>
      <c r="S327" s="343">
        <f t="shared" si="103"/>
      </c>
      <c r="T327" s="345">
        <f t="shared" si="124"/>
      </c>
      <c r="U327" s="345">
        <f t="shared" si="37"/>
      </c>
      <c r="V327" s="345">
        <f t="shared" si="54"/>
      </c>
      <c r="W327" s="345">
        <f t="shared" si="71"/>
      </c>
      <c r="X327" s="360" t="s">
        <v>181</v>
      </c>
      <c r="Y327" s="347" t="s">
        <v>193</v>
      </c>
      <c r="Z327" s="350">
        <v>175999</v>
      </c>
      <c r="AA327" s="350">
        <v>5966</v>
      </c>
      <c r="AB327" s="350">
        <v>107390</v>
      </c>
      <c r="AC327" s="350">
        <v>1104</v>
      </c>
      <c r="AD327" s="350">
        <v>8</v>
      </c>
      <c r="AE327" s="350">
        <v>14905</v>
      </c>
      <c r="AF327" s="350">
        <v>351</v>
      </c>
      <c r="AG327" s="350">
        <v>122</v>
      </c>
      <c r="AH327" s="349">
        <v>20</v>
      </c>
      <c r="AI327" s="418">
        <v>2</v>
      </c>
    </row>
    <row customHeight="true" ht="16.071428571428573" r="328">
      <c r="A328" s="334"/>
      <c r="B328" s="387" t="s">
        <v>187</v>
      </c>
      <c r="C328" s="387"/>
      <c r="D328" s="362">
        <f>SUM(D325:D327)</f>
      </c>
      <c r="E328" s="420">
        <f>SUM(E325:E327)</f>
      </c>
      <c r="F328" s="365">
        <f t="shared" si="337"/>
      </c>
      <c r="G328" s="362">
        <f>SUM(G325:G327)</f>
      </c>
      <c r="H328" s="429">
        <f t="shared" si="3"/>
      </c>
      <c r="I328" s="362">
        <f t="shared" si="20"/>
      </c>
      <c r="J328" s="364">
        <f t="shared" si="157"/>
      </c>
      <c r="K328" s="366">
        <f t="shared" si="189"/>
      </c>
      <c r="L328" s="367">
        <f t="shared" si="174"/>
      </c>
      <c r="M328" s="364">
        <f t="shared" si="254"/>
      </c>
      <c r="N328" s="368">
        <f t="shared" si="224"/>
      </c>
      <c r="O328" s="368">
        <f t="shared" si="239"/>
      </c>
      <c r="P328" s="368">
        <f t="shared" si="271"/>
      </c>
      <c r="Q328" s="368">
        <f t="shared" si="88"/>
      </c>
      <c r="R328" s="364">
        <f t="shared" si="286"/>
      </c>
      <c r="S328" s="366">
        <f t="shared" si="103"/>
      </c>
      <c r="T328" s="368">
        <f t="shared" si="124"/>
      </c>
      <c r="U328" s="368">
        <f t="shared" si="37"/>
      </c>
      <c r="V328" s="368">
        <f t="shared" si="54"/>
      </c>
      <c r="W328" s="368">
        <f t="shared" si="71"/>
      </c>
      <c r="X328" s="368"/>
      <c r="Y328" s="369"/>
      <c r="Z328" s="362">
        <f>SUM(Z325:Z327)</f>
      </c>
      <c r="AA328" s="362">
        <f>SUM(AA325:AA327)</f>
      </c>
      <c r="AB328" s="362">
        <f>SUM(AB325:AB327)</f>
      </c>
      <c r="AC328" s="362">
        <f>SUM(AC325:AC327)</f>
      </c>
      <c r="AD328" s="362">
        <f>SUM(AD325:AD327)</f>
      </c>
      <c r="AE328" s="362">
        <f>SUM(AE325:AE327)</f>
      </c>
      <c r="AF328" s="362">
        <f>SUM(AF325:AF327)</f>
      </c>
      <c r="AG328" s="362">
        <f>SUM(AG325:AG327)</f>
      </c>
      <c r="AH328" s="362">
        <f>SUM(AH325:AH327)</f>
      </c>
      <c r="AI328" s="420">
        <f>SUM(AI325:AI327)</f>
      </c>
    </row>
    <row r="329">
      <c r="A329" s="334"/>
      <c r="B329" s="335" t="s">
        <v>208</v>
      </c>
      <c r="C329" s="416" t="s">
        <v>186</v>
      </c>
      <c r="D329" s="371">
        <v>2245.507</v>
      </c>
      <c r="E329" s="417">
        <v>5</v>
      </c>
      <c r="F329" s="342">
        <f t="shared" si="337"/>
      </c>
      <c r="G329" s="339">
        <v>2276</v>
      </c>
      <c r="H329" s="428">
        <f t="shared" si="3"/>
      </c>
      <c r="I329" s="340">
        <f t="shared" si="20"/>
      </c>
      <c r="J329" s="341">
        <f t="shared" si="157"/>
      </c>
      <c r="K329" s="343">
        <f t="shared" si="189"/>
      </c>
      <c r="L329" s="344">
        <f t="shared" si="174"/>
      </c>
      <c r="M329" s="341">
        <f t="shared" si="254"/>
      </c>
      <c r="N329" s="345">
        <f t="shared" si="224"/>
      </c>
      <c r="O329" s="345">
        <f t="shared" si="239"/>
      </c>
      <c r="P329" s="345">
        <f t="shared" si="271"/>
      </c>
      <c r="Q329" s="345">
        <f t="shared" si="88"/>
      </c>
      <c r="R329" s="341">
        <f t="shared" si="286"/>
      </c>
      <c r="S329" s="343">
        <f t="shared" si="103"/>
      </c>
      <c r="T329" s="345">
        <f t="shared" si="124"/>
      </c>
      <c r="U329" s="345">
        <f t="shared" si="37"/>
      </c>
      <c r="V329" s="345">
        <f t="shared" si="54"/>
      </c>
      <c r="W329" s="345">
        <f t="shared" si="71"/>
      </c>
      <c r="X329" s="360" t="s">
        <v>181</v>
      </c>
      <c r="Y329" s="347" t="s">
        <v>193</v>
      </c>
      <c r="Z329" s="348">
        <v>179523</v>
      </c>
      <c r="AA329" s="348">
        <v>9093</v>
      </c>
      <c r="AB329" s="348">
        <v>122462</v>
      </c>
      <c r="AC329" s="350">
        <v>1114</v>
      </c>
      <c r="AD329" s="350">
        <v>5</v>
      </c>
      <c r="AE329" s="348">
        <v>14764</v>
      </c>
      <c r="AF329" s="350">
        <v>336</v>
      </c>
      <c r="AG329" s="350">
        <v>142</v>
      </c>
      <c r="AH329" s="350">
        <v>22</v>
      </c>
      <c r="AI329" s="418">
        <v>0</v>
      </c>
    </row>
    <row r="330">
      <c r="A330" s="334"/>
      <c r="B330" s="335" t="s">
        <v>208</v>
      </c>
      <c r="C330" s="370" t="s">
        <v>189</v>
      </c>
      <c r="D330" s="371">
        <v>1960.4430000000002</v>
      </c>
      <c r="E330" s="419">
        <v>6</v>
      </c>
      <c r="F330" s="342">
        <f t="shared" si="337"/>
      </c>
      <c r="G330" s="359">
        <v>1968</v>
      </c>
      <c r="H330" s="428">
        <f t="shared" si="3"/>
      </c>
      <c r="I330" s="340">
        <f t="shared" si="20"/>
      </c>
      <c r="J330" s="341">
        <f t="shared" si="157"/>
      </c>
      <c r="K330" s="343">
        <f t="shared" si="189"/>
      </c>
      <c r="L330" s="344">
        <f t="shared" si="174"/>
      </c>
      <c r="M330" s="341">
        <f t="shared" si="254"/>
      </c>
      <c r="N330" s="345">
        <f t="shared" si="224"/>
      </c>
      <c r="O330" s="345">
        <f t="shared" si="239"/>
      </c>
      <c r="P330" s="345">
        <f t="shared" si="271"/>
      </c>
      <c r="Q330" s="345">
        <f t="shared" si="88"/>
      </c>
      <c r="R330" s="341">
        <f t="shared" si="286"/>
      </c>
      <c r="S330" s="343">
        <f t="shared" si="103"/>
      </c>
      <c r="T330" s="345">
        <f t="shared" si="124"/>
      </c>
      <c r="U330" s="345">
        <f t="shared" si="37"/>
      </c>
      <c r="V330" s="345">
        <f t="shared" si="54"/>
      </c>
      <c r="W330" s="345">
        <f t="shared" si="71"/>
      </c>
      <c r="X330" s="360" t="s">
        <v>181</v>
      </c>
      <c r="Y330" s="347" t="s">
        <v>193</v>
      </c>
      <c r="Z330" s="350">
        <v>172234</v>
      </c>
      <c r="AA330" s="350">
        <v>11773</v>
      </c>
      <c r="AB330" s="350">
        <v>130178</v>
      </c>
      <c r="AC330" s="350">
        <v>993</v>
      </c>
      <c r="AD330" s="350">
        <v>5</v>
      </c>
      <c r="AE330" s="350">
        <v>12072</v>
      </c>
      <c r="AF330" s="350">
        <v>247</v>
      </c>
      <c r="AG330" s="350">
        <v>158</v>
      </c>
      <c r="AH330" s="350">
        <v>16</v>
      </c>
      <c r="AI330" s="418">
        <v>0</v>
      </c>
    </row>
    <row r="331">
      <c r="A331" s="334"/>
      <c r="B331" s="335" t="s">
        <v>208</v>
      </c>
      <c r="C331" s="372" t="s">
        <v>190</v>
      </c>
      <c r="D331" s="371">
        <v>2293.884</v>
      </c>
      <c r="E331" s="419">
        <v>9</v>
      </c>
      <c r="F331" s="342">
        <f t="shared" si="337"/>
      </c>
      <c r="G331" s="359">
        <v>2555.600000000002</v>
      </c>
      <c r="H331" s="428">
        <f t="shared" si="3"/>
      </c>
      <c r="I331" s="340">
        <f t="shared" si="20"/>
      </c>
      <c r="J331" s="341">
        <f t="shared" si="157"/>
      </c>
      <c r="K331" s="343">
        <f t="shared" si="189"/>
      </c>
      <c r="L331" s="344">
        <f t="shared" si="174"/>
      </c>
      <c r="M331" s="341">
        <f t="shared" si="254"/>
      </c>
      <c r="N331" s="345">
        <f t="shared" si="224"/>
      </c>
      <c r="O331" s="345">
        <f t="shared" si="239"/>
      </c>
      <c r="P331" s="345">
        <f t="shared" si="271"/>
      </c>
      <c r="Q331" s="345">
        <f t="shared" si="88"/>
      </c>
      <c r="R331" s="341">
        <f t="shared" si="286"/>
      </c>
      <c r="S331" s="343">
        <f t="shared" si="103"/>
      </c>
      <c r="T331" s="345">
        <f t="shared" si="124"/>
      </c>
      <c r="U331" s="345">
        <f t="shared" si="37"/>
      </c>
      <c r="V331" s="345">
        <f t="shared" si="54"/>
      </c>
      <c r="W331" s="345">
        <f t="shared" si="71"/>
      </c>
      <c r="X331" s="360" t="s">
        <v>181</v>
      </c>
      <c r="Y331" s="347" t="s">
        <v>193</v>
      </c>
      <c r="Z331" s="350">
        <v>174731</v>
      </c>
      <c r="AA331" s="350">
        <v>6223</v>
      </c>
      <c r="AB331" s="350">
        <v>112287</v>
      </c>
      <c r="AC331" s="350">
        <v>1177</v>
      </c>
      <c r="AD331" s="350">
        <v>7</v>
      </c>
      <c r="AE331" s="350">
        <v>13156</v>
      </c>
      <c r="AF331" s="350">
        <v>328</v>
      </c>
      <c r="AG331" s="350">
        <v>100</v>
      </c>
      <c r="AH331" s="350">
        <v>22</v>
      </c>
      <c r="AI331" s="418">
        <v>2</v>
      </c>
    </row>
    <row r="332">
      <c r="A332" s="334"/>
      <c r="B332" s="361" t="s">
        <v>187</v>
      </c>
      <c r="C332" s="361"/>
      <c r="D332" s="362">
        <f>SUM(D329:D331)</f>
      </c>
      <c r="E332" s="437">
        <f>SUM(E329:E331)</f>
      </c>
      <c r="F332" s="365">
        <f t="shared" si="337"/>
      </c>
      <c r="G332" s="362">
        <f>SUM(G329:G331)</f>
      </c>
      <c r="H332" s="429">
        <f t="shared" si="3"/>
      </c>
      <c r="I332" s="362">
        <f t="shared" si="20"/>
      </c>
      <c r="J332" s="364">
        <f t="shared" si="157"/>
      </c>
      <c r="K332" s="366">
        <f t="shared" si="189"/>
      </c>
      <c r="L332" s="367">
        <f t="shared" si="174"/>
      </c>
      <c r="M332" s="364">
        <f t="shared" si="254"/>
      </c>
      <c r="N332" s="368">
        <f t="shared" si="224"/>
      </c>
      <c r="O332" s="368">
        <f t="shared" si="239"/>
      </c>
      <c r="P332" s="368">
        <f t="shared" si="271"/>
      </c>
      <c r="Q332" s="368">
        <f t="shared" si="88"/>
      </c>
      <c r="R332" s="364">
        <f t="shared" si="286"/>
      </c>
      <c r="S332" s="366">
        <f t="shared" si="103"/>
      </c>
      <c r="T332" s="368">
        <f t="shared" si="124"/>
      </c>
      <c r="U332" s="368">
        <f t="shared" si="37"/>
      </c>
      <c r="V332" s="368">
        <f t="shared" si="54"/>
      </c>
      <c r="W332" s="368">
        <f t="shared" si="71"/>
      </c>
      <c r="X332" s="368"/>
      <c r="Y332" s="369"/>
      <c r="Z332" s="362">
        <f>SUM(Z329:Z331)</f>
      </c>
      <c r="AA332" s="362">
        <f>SUM(AA329:AA331)</f>
      </c>
      <c r="AB332" s="362">
        <f>SUM(AB329:AB331)</f>
      </c>
      <c r="AC332" s="362">
        <f>SUM(AC329:AC331)</f>
      </c>
      <c r="AD332" s="362">
        <f>SUM(AD329:AD331)</f>
      </c>
      <c r="AE332" s="362">
        <f>SUM(AE329:AE331)</f>
      </c>
      <c r="AF332" s="362">
        <f>SUM(AF329:AF331)</f>
      </c>
      <c r="AG332" s="362">
        <f>SUM(AG329:AG331)</f>
      </c>
      <c r="AH332" s="362">
        <f>SUM(AH329:AH331)</f>
      </c>
      <c r="AI332" s="362">
        <f>SUM(AI329:AI331)</f>
      </c>
    </row>
    <row r="333">
      <c r="A333" s="334"/>
      <c r="B333" s="415" t="s">
        <v>195</v>
      </c>
      <c r="C333" s="373" t="s">
        <v>191</v>
      </c>
      <c r="D333" s="377">
        <v>1853.999</v>
      </c>
      <c r="E333" s="359">
        <v>5</v>
      </c>
      <c r="F333" s="342">
        <f t="shared" si="337"/>
      </c>
      <c r="G333" s="359">
        <v>1604.7000000000007</v>
      </c>
      <c r="H333" s="428">
        <f t="shared" si="3"/>
      </c>
      <c r="I333" s="340">
        <f t="shared" si="20"/>
      </c>
      <c r="J333" s="341">
        <f t="shared" si="157"/>
      </c>
      <c r="K333" s="343">
        <f t="shared" si="189"/>
      </c>
      <c r="L333" s="344">
        <f t="shared" si="174"/>
      </c>
      <c r="M333" s="341">
        <f t="shared" si="254"/>
      </c>
      <c r="N333" s="345">
        <f t="shared" si="224"/>
      </c>
      <c r="O333" s="345">
        <f t="shared" si="239"/>
      </c>
      <c r="P333" s="345">
        <f t="shared" si="271"/>
      </c>
      <c r="Q333" s="345">
        <f t="shared" si="88"/>
      </c>
      <c r="R333" s="341">
        <f t="shared" si="286"/>
      </c>
      <c r="S333" s="343">
        <f t="shared" si="103"/>
      </c>
      <c r="T333" s="345">
        <f t="shared" si="124"/>
      </c>
      <c r="U333" s="345">
        <f t="shared" si="37"/>
      </c>
      <c r="V333" s="345">
        <f t="shared" si="54"/>
      </c>
      <c r="W333" s="345">
        <f t="shared" si="71"/>
      </c>
      <c r="X333" s="360" t="s">
        <v>181</v>
      </c>
      <c r="Y333" s="347" t="s">
        <v>193</v>
      </c>
      <c r="Z333" s="350">
        <v>158879</v>
      </c>
      <c r="AA333" s="350">
        <v>3079</v>
      </c>
      <c r="AB333" s="350">
        <v>86866</v>
      </c>
      <c r="AC333" s="350">
        <v>889</v>
      </c>
      <c r="AD333" s="349">
        <v>2</v>
      </c>
      <c r="AE333" s="350">
        <v>11707</v>
      </c>
      <c r="AF333" s="350">
        <v>210</v>
      </c>
      <c r="AG333" s="350">
        <v>63</v>
      </c>
      <c r="AH333" s="350">
        <v>11</v>
      </c>
      <c r="AI333" s="418">
        <v>1</v>
      </c>
    </row>
    <row r="334">
      <c r="A334" s="334"/>
      <c r="B334" s="415" t="s">
        <v>195</v>
      </c>
      <c r="C334" s="374" t="s">
        <v>192</v>
      </c>
      <c r="D334" s="377">
        <v>1898.867</v>
      </c>
      <c r="E334" s="359">
        <v>2</v>
      </c>
      <c r="F334" s="342">
        <f t="shared" si="337"/>
      </c>
      <c r="G334" s="359">
        <v>455.99999999999636</v>
      </c>
      <c r="H334" s="428">
        <f t="shared" si="3"/>
      </c>
      <c r="I334" s="340">
        <f t="shared" si="20"/>
      </c>
      <c r="J334" s="341">
        <f t="shared" si="157"/>
      </c>
      <c r="K334" s="343">
        <f t="shared" si="189"/>
      </c>
      <c r="L334" s="344">
        <f t="shared" si="174"/>
      </c>
      <c r="M334" s="341">
        <f t="shared" si="254"/>
      </c>
      <c r="N334" s="345">
        <f t="shared" si="224"/>
      </c>
      <c r="O334" s="345">
        <f t="shared" si="239"/>
      </c>
      <c r="P334" s="345">
        <f t="shared" si="271"/>
      </c>
      <c r="Q334" s="345">
        <f t="shared" si="88"/>
      </c>
      <c r="R334" s="341">
        <f t="shared" si="286"/>
      </c>
      <c r="S334" s="343">
        <f t="shared" si="103"/>
      </c>
      <c r="T334" s="345">
        <f t="shared" si="124"/>
      </c>
      <c r="U334" s="345">
        <f t="shared" si="37"/>
      </c>
      <c r="V334" s="345">
        <f t="shared" si="54"/>
      </c>
      <c r="W334" s="345">
        <f t="shared" si="71"/>
      </c>
      <c r="X334" s="360" t="s">
        <v>181</v>
      </c>
      <c r="Y334" s="347" t="s">
        <v>205</v>
      </c>
      <c r="Z334" s="350">
        <v>139474</v>
      </c>
      <c r="AA334" s="350">
        <v>3771</v>
      </c>
      <c r="AB334" s="350">
        <v>83137</v>
      </c>
      <c r="AC334" s="350">
        <v>971</v>
      </c>
      <c r="AD334" s="349">
        <v>2</v>
      </c>
      <c r="AE334" s="350">
        <v>13094</v>
      </c>
      <c r="AF334" s="350">
        <v>255</v>
      </c>
      <c r="AG334" s="350">
        <v>84</v>
      </c>
      <c r="AH334" s="350">
        <v>17</v>
      </c>
      <c r="AI334" s="418">
        <v>0</v>
      </c>
    </row>
    <row r="335">
      <c r="A335" s="334"/>
      <c r="B335" s="415" t="s">
        <v>195</v>
      </c>
      <c r="C335" s="375" t="s">
        <v>194</v>
      </c>
      <c r="D335" s="377">
        <v>2301.6530000000002</v>
      </c>
      <c r="E335" s="359">
        <v>0</v>
      </c>
      <c r="F335" s="342">
        <f t="shared" si="337"/>
      </c>
      <c r="G335" s="359">
        <v>0</v>
      </c>
      <c r="H335" s="428">
        <f t="shared" si="3"/>
      </c>
      <c r="I335" s="340">
        <f t="shared" si="20"/>
      </c>
      <c r="J335" s="341">
        <f t="shared" si="157"/>
      </c>
      <c r="K335" s="343">
        <f t="shared" si="189"/>
      </c>
      <c r="L335" s="344">
        <f t="shared" si="174"/>
      </c>
      <c r="M335" s="341">
        <f t="shared" si="254"/>
      </c>
      <c r="N335" s="345">
        <f t="shared" si="224"/>
      </c>
      <c r="O335" s="345">
        <f t="shared" si="239"/>
      </c>
      <c r="P335" s="345">
        <f t="shared" si="271"/>
      </c>
      <c r="Q335" s="345">
        <f t="shared" si="88"/>
      </c>
      <c r="R335" s="341">
        <f t="shared" si="286"/>
      </c>
      <c r="S335" s="343">
        <f t="shared" si="103"/>
      </c>
      <c r="T335" s="345">
        <f t="shared" si="124"/>
      </c>
      <c r="U335" s="345">
        <f t="shared" si="37"/>
      </c>
      <c r="V335" s="345">
        <f t="shared" si="54"/>
      </c>
      <c r="W335" s="345">
        <f t="shared" si="71"/>
      </c>
      <c r="X335" s="360" t="s">
        <v>181</v>
      </c>
      <c r="Y335" s="347" t="s">
        <v>205</v>
      </c>
      <c r="Z335" s="350">
        <v>150259</v>
      </c>
      <c r="AA335" s="350">
        <v>4322</v>
      </c>
      <c r="AB335" s="350">
        <v>109789</v>
      </c>
      <c r="AC335" s="350">
        <v>1428</v>
      </c>
      <c r="AD335" s="350">
        <v>0</v>
      </c>
      <c r="AE335" s="350">
        <v>18170</v>
      </c>
      <c r="AF335" s="350">
        <v>382</v>
      </c>
      <c r="AG335" s="350">
        <v>113</v>
      </c>
      <c r="AH335" s="350">
        <v>15</v>
      </c>
      <c r="AI335" s="418">
        <v>0</v>
      </c>
    </row>
    <row r="336">
      <c r="A336" s="334"/>
      <c r="B336" s="415" t="s">
        <v>195</v>
      </c>
      <c r="C336" s="373" t="s">
        <v>196</v>
      </c>
      <c r="D336" s="377">
        <v>2516.0950000000003</v>
      </c>
      <c r="E336" s="359">
        <v>6</v>
      </c>
      <c r="F336" s="342">
        <f t="shared" si="337"/>
      </c>
      <c r="G336" s="359">
        <v>1357.2000000000044</v>
      </c>
      <c r="H336" s="428">
        <f t="shared" si="3"/>
      </c>
      <c r="I336" s="340">
        <f t="shared" si="20"/>
      </c>
      <c r="J336" s="341">
        <f t="shared" si="157"/>
      </c>
      <c r="K336" s="343">
        <f t="shared" si="189"/>
      </c>
      <c r="L336" s="344">
        <f t="shared" si="174"/>
      </c>
      <c r="M336" s="341">
        <f t="shared" si="254"/>
      </c>
      <c r="N336" s="345">
        <f t="shared" si="224"/>
      </c>
      <c r="O336" s="345">
        <f t="shared" si="239"/>
      </c>
      <c r="P336" s="345">
        <f t="shared" si="271"/>
      </c>
      <c r="Q336" s="345">
        <f t="shared" si="88"/>
      </c>
      <c r="R336" s="341">
        <f t="shared" si="286"/>
      </c>
      <c r="S336" s="343">
        <f t="shared" si="103"/>
      </c>
      <c r="T336" s="345">
        <f t="shared" si="124"/>
      </c>
      <c r="U336" s="345">
        <f t="shared" si="37"/>
      </c>
      <c r="V336" s="345">
        <f t="shared" si="54"/>
      </c>
      <c r="W336" s="345">
        <f t="shared" si="71"/>
      </c>
      <c r="X336" s="360" t="s">
        <v>181</v>
      </c>
      <c r="Y336" s="347" t="s">
        <v>205</v>
      </c>
      <c r="Z336" s="350">
        <v>199913</v>
      </c>
      <c r="AA336" s="350">
        <v>4545</v>
      </c>
      <c r="AB336" s="350">
        <v>133585</v>
      </c>
      <c r="AC336" s="350">
        <v>1269</v>
      </c>
      <c r="AD336" s="350">
        <v>4</v>
      </c>
      <c r="AE336" s="350">
        <v>19559</v>
      </c>
      <c r="AF336" s="350">
        <v>325</v>
      </c>
      <c r="AG336" s="350">
        <v>170</v>
      </c>
      <c r="AH336" s="349">
        <v>16</v>
      </c>
      <c r="AI336" s="418">
        <v>1</v>
      </c>
    </row>
    <row r="337">
      <c r="A337" s="334"/>
      <c r="B337" s="387" t="s">
        <v>187</v>
      </c>
      <c r="C337" s="387"/>
      <c r="D337" s="362">
        <f>SUM(D333:D336)</f>
      </c>
      <c r="E337" s="420">
        <f>SUM(E333:E336)</f>
      </c>
      <c r="F337" s="365">
        <f t="shared" si="337"/>
      </c>
      <c r="G337" s="362">
        <f>SUM(G333:G336)</f>
      </c>
      <c r="H337" s="429">
        <f t="shared" si="3"/>
      </c>
      <c r="I337" s="362">
        <f t="shared" si="20"/>
      </c>
      <c r="J337" s="364">
        <f t="shared" si="157"/>
      </c>
      <c r="K337" s="366">
        <f t="shared" si="189"/>
      </c>
      <c r="L337" s="367">
        <f t="shared" si="174"/>
      </c>
      <c r="M337" s="364">
        <f t="shared" si="254"/>
      </c>
      <c r="N337" s="368">
        <f t="shared" si="224"/>
      </c>
      <c r="O337" s="368">
        <f t="shared" si="239"/>
      </c>
      <c r="P337" s="368">
        <f t="shared" si="271"/>
      </c>
      <c r="Q337" s="368">
        <f t="shared" si="88"/>
      </c>
      <c r="R337" s="364">
        <f t="shared" si="286"/>
      </c>
      <c r="S337" s="366">
        <f t="shared" si="103"/>
      </c>
      <c r="T337" s="368">
        <f t="shared" si="124"/>
      </c>
      <c r="U337" s="368">
        <f t="shared" si="37"/>
      </c>
      <c r="V337" s="368">
        <f t="shared" si="54"/>
      </c>
      <c r="W337" s="368">
        <f t="shared" si="71"/>
      </c>
      <c r="X337" s="368"/>
      <c r="Y337" s="369"/>
      <c r="Z337" s="362">
        <f>SUM(Z333:Z336)</f>
      </c>
      <c r="AA337" s="362">
        <f>SUM(AA333:AA336)</f>
      </c>
      <c r="AB337" s="362">
        <f>SUM(AB333:AB336)</f>
      </c>
      <c r="AC337" s="362">
        <f>SUM(AC333:AC336)</f>
      </c>
      <c r="AD337" s="362">
        <f>SUM(AD333:AD336)</f>
      </c>
      <c r="AE337" s="362">
        <f>SUM(AE333:AE336)</f>
      </c>
      <c r="AF337" s="362">
        <f>SUM(AF333:AF336)</f>
      </c>
      <c r="AG337" s="362">
        <f>SUM(AG333:AG336)</f>
      </c>
      <c r="AH337" s="362">
        <f>SUM(AH333:AH336)</f>
      </c>
      <c r="AI337" s="420">
        <f>SUM(AI333:AI336)</f>
      </c>
    </row>
    <row r="338">
      <c r="A338" s="334"/>
      <c r="B338" s="335" t="s">
        <v>203</v>
      </c>
      <c r="C338" s="373" t="s">
        <v>197</v>
      </c>
      <c r="D338" s="379">
        <v>3690.303</v>
      </c>
      <c r="E338" s="417">
        <v>3</v>
      </c>
      <c r="F338" s="342">
        <f t="shared" si="337"/>
      </c>
      <c r="G338" s="339">
        <v>620</v>
      </c>
      <c r="H338" s="428">
        <f t="shared" si="3"/>
      </c>
      <c r="I338" s="340">
        <f t="shared" si="20"/>
      </c>
      <c r="J338" s="341">
        <f t="shared" si="157"/>
      </c>
      <c r="K338" s="343">
        <f t="shared" si="189"/>
      </c>
      <c r="L338" s="382">
        <f t="shared" si="174"/>
      </c>
      <c r="M338" s="383">
        <f t="shared" si="254"/>
      </c>
      <c r="N338" s="384">
        <f t="shared" si="224"/>
      </c>
      <c r="O338" s="384">
        <f t="shared" si="239"/>
      </c>
      <c r="P338" s="384">
        <f t="shared" si="271"/>
      </c>
      <c r="Q338" s="384">
        <f t="shared" si="88"/>
      </c>
      <c r="R338" s="383">
        <f t="shared" si="286"/>
      </c>
      <c r="S338" s="381">
        <f t="shared" si="103"/>
      </c>
      <c r="T338" s="384">
        <f t="shared" si="124"/>
      </c>
      <c r="U338" s="384">
        <f t="shared" si="37"/>
      </c>
      <c r="V338" s="384">
        <f t="shared" si="54"/>
      </c>
      <c r="W338" s="384">
        <f t="shared" si="71"/>
      </c>
      <c r="X338" s="360" t="s">
        <v>181</v>
      </c>
      <c r="Y338" s="347" t="s">
        <v>205</v>
      </c>
      <c r="Z338" s="350">
        <v>341257</v>
      </c>
      <c r="AA338" s="350">
        <v>5899</v>
      </c>
      <c r="AB338" s="350">
        <v>206181</v>
      </c>
      <c r="AC338" s="385">
        <v>1660</v>
      </c>
      <c r="AD338" s="385">
        <v>3</v>
      </c>
      <c r="AE338" s="385">
        <v>27210</v>
      </c>
      <c r="AF338" s="385">
        <v>598</v>
      </c>
      <c r="AG338" s="385">
        <v>223</v>
      </c>
      <c r="AH338" s="385">
        <v>25</v>
      </c>
      <c r="AI338" s="418">
        <v>0</v>
      </c>
    </row>
    <row r="339">
      <c r="A339" s="334"/>
      <c r="B339" s="335" t="s">
        <v>203</v>
      </c>
      <c r="C339" s="374" t="s">
        <v>198</v>
      </c>
      <c r="D339" s="379">
        <v>3863.854</v>
      </c>
      <c r="E339" s="417">
        <v>6</v>
      </c>
      <c r="F339" s="342">
        <f t="shared" si="337"/>
      </c>
      <c r="G339" s="339">
        <v>1958.3999999999942</v>
      </c>
      <c r="H339" s="428">
        <f t="shared" si="3"/>
      </c>
      <c r="I339" s="340">
        <f t="shared" si="20"/>
      </c>
      <c r="J339" s="341">
        <f t="shared" si="157"/>
      </c>
      <c r="K339" s="343">
        <f t="shared" si="189"/>
      </c>
      <c r="L339" s="382">
        <f t="shared" si="174"/>
      </c>
      <c r="M339" s="383">
        <f t="shared" si="254"/>
      </c>
      <c r="N339" s="384">
        <f t="shared" si="224"/>
      </c>
      <c r="O339" s="384">
        <f t="shared" si="239"/>
      </c>
      <c r="P339" s="384">
        <f t="shared" si="271"/>
      </c>
      <c r="Q339" s="384">
        <f t="shared" si="88"/>
      </c>
      <c r="R339" s="383">
        <f t="shared" si="286"/>
      </c>
      <c r="S339" s="381">
        <f t="shared" si="103"/>
      </c>
      <c r="T339" s="384">
        <f t="shared" si="124"/>
      </c>
      <c r="U339" s="384">
        <f t="shared" si="37"/>
      </c>
      <c r="V339" s="384">
        <f t="shared" si="54"/>
      </c>
      <c r="W339" s="384">
        <f t="shared" si="71"/>
      </c>
      <c r="X339" s="360" t="s">
        <v>181</v>
      </c>
      <c r="Y339" s="347" t="s">
        <v>205</v>
      </c>
      <c r="Z339" s="350">
        <v>388208</v>
      </c>
      <c r="AA339" s="350">
        <v>6235</v>
      </c>
      <c r="AB339" s="350">
        <v>243226</v>
      </c>
      <c r="AC339" s="385">
        <v>1681</v>
      </c>
      <c r="AD339" s="385">
        <v>5</v>
      </c>
      <c r="AE339" s="385">
        <v>29451</v>
      </c>
      <c r="AF339" s="385">
        <v>513</v>
      </c>
      <c r="AG339" s="385">
        <v>219</v>
      </c>
      <c r="AH339" s="385">
        <v>27</v>
      </c>
      <c r="AI339" s="418">
        <v>2</v>
      </c>
    </row>
    <row r="340">
      <c r="A340" s="334"/>
      <c r="B340" s="335" t="s">
        <v>203</v>
      </c>
      <c r="C340" s="373" t="s">
        <v>199</v>
      </c>
      <c r="D340" s="379">
        <v>2980.5339999999997</v>
      </c>
      <c r="E340" s="417">
        <v>9</v>
      </c>
      <c r="F340" s="342">
        <f t="shared" si="337"/>
      </c>
      <c r="G340" s="339">
        <v>2577.2000000000044</v>
      </c>
      <c r="H340" s="428">
        <f t="shared" si="3"/>
      </c>
      <c r="I340" s="340">
        <f t="shared" si="20"/>
      </c>
      <c r="J340" s="341">
        <f t="shared" si="157"/>
      </c>
      <c r="K340" s="343">
        <f t="shared" si="189"/>
      </c>
      <c r="L340" s="382">
        <f t="shared" si="174"/>
      </c>
      <c r="M340" s="383">
        <f t="shared" si="254"/>
      </c>
      <c r="N340" s="384">
        <f t="shared" si="224"/>
      </c>
      <c r="O340" s="384">
        <f t="shared" si="239"/>
      </c>
      <c r="P340" s="384">
        <f t="shared" si="271"/>
      </c>
      <c r="Q340" s="384">
        <f t="shared" si="88"/>
      </c>
      <c r="R340" s="383">
        <f t="shared" si="286"/>
      </c>
      <c r="S340" s="381">
        <f t="shared" si="103"/>
      </c>
      <c r="T340" s="384">
        <f t="shared" si="124"/>
      </c>
      <c r="U340" s="384">
        <f t="shared" si="37"/>
      </c>
      <c r="V340" s="384">
        <f t="shared" si="54"/>
      </c>
      <c r="W340" s="384">
        <f t="shared" si="71"/>
      </c>
      <c r="X340" s="360" t="s">
        <v>181</v>
      </c>
      <c r="Y340" s="347" t="s">
        <v>205</v>
      </c>
      <c r="Z340" s="350">
        <v>283621</v>
      </c>
      <c r="AA340" s="350">
        <v>5819</v>
      </c>
      <c r="AB340" s="350">
        <v>207674</v>
      </c>
      <c r="AC340" s="385">
        <v>1417</v>
      </c>
      <c r="AD340" s="385">
        <v>8</v>
      </c>
      <c r="AE340" s="385">
        <v>27938</v>
      </c>
      <c r="AF340" s="385">
        <v>445</v>
      </c>
      <c r="AG340" s="385">
        <v>219</v>
      </c>
      <c r="AH340" s="385">
        <v>20</v>
      </c>
      <c r="AI340" s="418">
        <v>0</v>
      </c>
    </row>
    <row r="341">
      <c r="A341" s="334"/>
      <c r="B341" s="335" t="s">
        <v>203</v>
      </c>
      <c r="C341" s="386" t="s">
        <v>200</v>
      </c>
      <c r="D341" s="377">
        <v>2217.133</v>
      </c>
      <c r="E341" s="359">
        <v>5</v>
      </c>
      <c r="F341" s="342">
        <f t="shared" si="337"/>
      </c>
      <c r="G341" s="359">
        <v>1108</v>
      </c>
      <c r="H341" s="428">
        <f t="shared" si="3"/>
      </c>
      <c r="I341" s="340">
        <f t="shared" si="20"/>
      </c>
      <c r="J341" s="341">
        <f t="shared" si="157"/>
      </c>
      <c r="K341" s="343">
        <f t="shared" si="189"/>
      </c>
      <c r="L341" s="382">
        <f t="shared" si="174"/>
      </c>
      <c r="M341" s="383">
        <f t="shared" si="254"/>
      </c>
      <c r="N341" s="384">
        <f t="shared" si="224"/>
      </c>
      <c r="O341" s="384">
        <f t="shared" si="239"/>
      </c>
      <c r="P341" s="384">
        <f t="shared" si="271"/>
      </c>
      <c r="Q341" s="384">
        <f t="shared" si="88"/>
      </c>
      <c r="R341" s="383">
        <f t="shared" si="286"/>
      </c>
      <c r="S341" s="381">
        <f t="shared" si="103"/>
      </c>
      <c r="T341" s="384">
        <f t="shared" si="124"/>
      </c>
      <c r="U341" s="384">
        <f t="shared" si="37"/>
      </c>
      <c r="V341" s="384">
        <f t="shared" si="54"/>
      </c>
      <c r="W341" s="384">
        <f t="shared" si="71"/>
      </c>
      <c r="X341" s="360" t="s">
        <v>181</v>
      </c>
      <c r="Y341" s="347" t="s">
        <v>205</v>
      </c>
      <c r="Z341" s="350">
        <v>215298</v>
      </c>
      <c r="AA341" s="350">
        <v>4937</v>
      </c>
      <c r="AB341" s="350">
        <v>190435</v>
      </c>
      <c r="AC341" s="350">
        <v>1036</v>
      </c>
      <c r="AD341" s="350">
        <v>4</v>
      </c>
      <c r="AE341" s="350">
        <v>19637</v>
      </c>
      <c r="AF341" s="350">
        <v>281</v>
      </c>
      <c r="AG341" s="350">
        <v>133</v>
      </c>
      <c r="AH341" s="349">
        <v>34</v>
      </c>
      <c r="AI341" s="418">
        <v>1</v>
      </c>
    </row>
    <row r="342">
      <c r="A342" s="334"/>
      <c r="B342" s="438" t="s">
        <v>203</v>
      </c>
      <c r="C342" s="439" t="s">
        <v>212</v>
      </c>
      <c r="D342" s="440">
        <v>2356.501</v>
      </c>
      <c r="E342" s="359">
        <v>4</v>
      </c>
      <c r="F342" s="342">
        <f t="shared" si="337"/>
      </c>
      <c r="G342" s="359">
        <v>1512</v>
      </c>
      <c r="H342" s="430">
        <f t="shared" si="3"/>
      </c>
      <c r="I342" s="340">
        <f t="shared" si="20"/>
      </c>
      <c r="J342" s="341">
        <f t="shared" si="157"/>
      </c>
      <c r="K342" s="343">
        <f t="shared" si="189"/>
      </c>
      <c r="L342" s="382">
        <f t="shared" si="174"/>
      </c>
      <c r="M342" s="383">
        <f t="shared" si="254"/>
      </c>
      <c r="N342" s="384">
        <f t="shared" si="224"/>
      </c>
      <c r="O342" s="384">
        <f t="shared" si="239"/>
      </c>
      <c r="P342" s="384">
        <f t="shared" si="271"/>
      </c>
      <c r="Q342" s="384">
        <f t="shared" si="88"/>
      </c>
      <c r="R342" s="383">
        <f t="shared" si="286"/>
      </c>
      <c r="S342" s="381">
        <f t="shared" si="103"/>
      </c>
      <c r="T342" s="384">
        <f t="shared" si="124"/>
      </c>
      <c r="U342" s="384">
        <f t="shared" si="37"/>
      </c>
      <c r="V342" s="384">
        <f t="shared" si="54"/>
      </c>
      <c r="W342" s="384">
        <f t="shared" si="71"/>
      </c>
      <c r="X342" s="360" t="s">
        <v>181</v>
      </c>
      <c r="Y342" s="347" t="s">
        <v>205</v>
      </c>
      <c r="Z342" s="350">
        <v>271890</v>
      </c>
      <c r="AA342" s="350">
        <v>4386</v>
      </c>
      <c r="AB342" s="350">
        <v>240481</v>
      </c>
      <c r="AC342" s="350">
        <v>820</v>
      </c>
      <c r="AD342" s="350">
        <v>5</v>
      </c>
      <c r="AE342" s="350">
        <v>14205</v>
      </c>
      <c r="AF342" s="350">
        <v>316</v>
      </c>
      <c r="AG342" s="350">
        <v>90</v>
      </c>
      <c r="AH342" s="349">
        <v>16</v>
      </c>
      <c r="AI342" s="418">
        <v>0</v>
      </c>
    </row>
    <row r="343">
      <c r="A343" s="334"/>
      <c r="B343" s="387" t="s">
        <v>187</v>
      </c>
      <c r="C343" s="387"/>
      <c r="D343" s="362">
        <f>SUM(D338:D342)</f>
      </c>
      <c r="E343" s="420">
        <f>SUM(E338:E342)</f>
      </c>
      <c r="F343" s="366">
        <f t="shared" si="337"/>
      </c>
      <c r="G343" s="431">
        <f>SUM(G338:G342)</f>
      </c>
      <c r="H343" s="432">
        <f t="shared" si="3"/>
      </c>
      <c r="I343" s="433">
        <f t="shared" si="20"/>
      </c>
      <c r="J343" s="364">
        <f t="shared" si="157"/>
      </c>
      <c r="K343" s="366">
        <f t="shared" si="189"/>
      </c>
      <c r="L343" s="367">
        <f t="shared" si="174"/>
      </c>
      <c r="M343" s="364">
        <f t="shared" si="254"/>
      </c>
      <c r="N343" s="368">
        <f t="shared" si="224"/>
      </c>
      <c r="O343" s="368">
        <f t="shared" si="239"/>
      </c>
      <c r="P343" s="368">
        <f t="shared" si="271"/>
      </c>
      <c r="Q343" s="368">
        <f t="shared" si="88"/>
      </c>
      <c r="R343" s="364">
        <f t="shared" si="286"/>
      </c>
      <c r="S343" s="366">
        <f t="shared" si="103"/>
      </c>
      <c r="T343" s="368">
        <f t="shared" si="124"/>
      </c>
      <c r="U343" s="368">
        <f t="shared" si="37"/>
      </c>
      <c r="V343" s="368">
        <f t="shared" si="54"/>
      </c>
      <c r="W343" s="368">
        <f t="shared" si="71"/>
      </c>
      <c r="X343" s="368"/>
      <c r="Y343" s="369"/>
      <c r="Z343" s="362">
        <f>SUM(Z338:Z342)</f>
      </c>
      <c r="AA343" s="362">
        <f>SUM(AA338:AA342)</f>
      </c>
      <c r="AB343" s="362">
        <f>SUM(AB338:AB342)</f>
      </c>
      <c r="AC343" s="362">
        <f>SUM(AC338:AC342)</f>
      </c>
      <c r="AD343" s="362">
        <f>SUM(AD338:AD342)</f>
      </c>
      <c r="AE343" s="362">
        <f>SUM(AE338:AE342)</f>
      </c>
      <c r="AF343" s="362">
        <f>SUM(AF338:AF342)</f>
      </c>
      <c r="AG343" s="362">
        <f>SUM(AG338:AG342)</f>
      </c>
      <c r="AH343" s="362">
        <f>SUM(AH338:AH342)</f>
      </c>
      <c r="AI343" s="420">
        <f>SUM(AI338:AI342)</f>
      </c>
    </row>
    <row r="344">
      <c r="A344" s="334"/>
      <c r="B344" s="388" t="s">
        <v>201</v>
      </c>
      <c r="C344" s="388"/>
      <c r="D344" s="389">
        <f>SUM(D324+D343+D328+D332+D337)</f>
      </c>
      <c r="E344" s="421">
        <f>SUM(E324+E343+E328+E332+E337)</f>
      </c>
      <c r="F344" s="393">
        <f t="shared" si="337"/>
      </c>
      <c r="G344" s="434">
        <f>SUM(G324+G343+G328+G332+G337)</f>
      </c>
      <c r="H344" s="441">
        <f t="shared" si="3"/>
      </c>
      <c r="I344" s="436">
        <f t="shared" si="20"/>
      </c>
      <c r="J344" s="391">
        <f t="shared" si="157"/>
      </c>
      <c r="K344" s="393">
        <f t="shared" si="189"/>
      </c>
      <c r="L344" s="394">
        <f t="shared" si="174"/>
      </c>
      <c r="M344" s="394">
        <f t="shared" si="254"/>
      </c>
      <c r="N344" s="395">
        <f t="shared" si="224"/>
      </c>
      <c r="O344" s="395">
        <f t="shared" si="239"/>
      </c>
      <c r="P344" s="395">
        <f t="shared" si="271"/>
      </c>
      <c r="Q344" s="395">
        <f t="shared" si="88"/>
      </c>
      <c r="R344" s="396">
        <f t="shared" si="286"/>
      </c>
      <c r="S344" s="397">
        <f t="shared" si="103"/>
      </c>
      <c r="T344" s="398">
        <f t="shared" si="124"/>
      </c>
      <c r="U344" s="398">
        <f t="shared" si="37"/>
      </c>
      <c r="V344" s="398">
        <f t="shared" si="54"/>
      </c>
      <c r="W344" s="398">
        <f t="shared" si="71"/>
      </c>
      <c r="X344" s="398"/>
      <c r="Y344" s="399"/>
      <c r="Z344" s="390">
        <f>SUM(Z328+Z343+Z324+Z332+Z337)</f>
      </c>
      <c r="AA344" s="390">
        <f>SUM(AA328+AA343+AA324+AA332+AA337)</f>
      </c>
      <c r="AB344" s="390">
        <f>SUM(AB328+AB343+AB324+AB332+AB337)</f>
      </c>
      <c r="AC344" s="390">
        <f>SUM(AC328+AC343+AC324+AC332+AC337)</f>
      </c>
      <c r="AD344" s="390">
        <f>SUM(AD328+AD343+AD324+AD332+AD337)</f>
      </c>
      <c r="AE344" s="390">
        <f>SUM(AE328+AE343+AE324+AE332+AE337)</f>
      </c>
      <c r="AF344" s="390">
        <f>SUM(AF328+AF343+AF324+AF332+AF337)</f>
      </c>
      <c r="AG344" s="390">
        <f>SUM(AG328+AG343+AG324+AG332+AG337)</f>
      </c>
      <c r="AH344" s="390">
        <f>SUM(AH328+AH343+AH324+AH332+AH337)</f>
      </c>
      <c r="AI344" s="390">
        <f>SUM(AI328+AI343+AI324+AI332+AI337)</f>
      </c>
    </row>
    <row r="345">
      <c r="A345" s="319" t="s">
        <v>145</v>
      </c>
      <c r="B345" s="320" t="s">
        <v>146</v>
      </c>
      <c r="C345" s="321" t="s">
        <v>147</v>
      </c>
      <c r="D345" s="322" t="s">
        <v>148</v>
      </c>
      <c r="E345" s="426" t="s">
        <v>213</v>
      </c>
      <c r="F345" s="427" t="s">
        <v>214</v>
      </c>
      <c r="G345" s="324" t="s">
        <v>150</v>
      </c>
      <c r="H345" s="427" t="s">
        <v>215</v>
      </c>
      <c r="I345" s="324" t="s">
        <v>151</v>
      </c>
      <c r="J345" s="325" t="s">
        <v>152</v>
      </c>
      <c r="K345" s="325" t="s">
        <v>154</v>
      </c>
      <c r="L345" s="326" t="s">
        <v>155</v>
      </c>
      <c r="M345" s="326" t="s">
        <v>156</v>
      </c>
      <c r="N345" s="326" t="s">
        <v>157</v>
      </c>
      <c r="O345" s="326" t="s">
        <v>158</v>
      </c>
      <c r="P345" s="326" t="s">
        <v>159</v>
      </c>
      <c r="Q345" s="326" t="s">
        <v>160</v>
      </c>
      <c r="R345" s="326" t="s">
        <v>161</v>
      </c>
      <c r="S345" s="326" t="s">
        <v>162</v>
      </c>
      <c r="T345" s="327" t="s">
        <v>163</v>
      </c>
      <c r="U345" s="327" t="s">
        <v>164</v>
      </c>
      <c r="V345" s="327" t="s">
        <v>165</v>
      </c>
      <c r="W345" s="327" t="s">
        <v>166</v>
      </c>
      <c r="X345" s="328" t="s">
        <v>167</v>
      </c>
      <c r="Y345" s="328" t="s">
        <v>168</v>
      </c>
      <c r="Z345" s="329" t="s">
        <v>169</v>
      </c>
      <c r="AA345" s="329" t="s">
        <v>170</v>
      </c>
      <c r="AB345" s="329" t="s">
        <v>171</v>
      </c>
      <c r="AC345" s="330" t="s">
        <v>172</v>
      </c>
      <c r="AD345" s="330" t="s">
        <v>173</v>
      </c>
      <c r="AE345" s="331" t="s">
        <v>174</v>
      </c>
      <c r="AF345" s="330" t="s">
        <v>175</v>
      </c>
      <c r="AG345" s="330" t="s">
        <v>176</v>
      </c>
      <c r="AH345" s="332" t="s">
        <v>177</v>
      </c>
      <c r="AI345" s="333" t="s">
        <v>178</v>
      </c>
    </row>
    <row r="346">
      <c r="A346" s="334">
        <v>46253</v>
      </c>
      <c r="B346" s="415" t="s">
        <v>188</v>
      </c>
      <c r="C346" s="354" t="s">
        <v>180</v>
      </c>
      <c r="D346" s="337">
        <v>3764.782</v>
      </c>
      <c r="E346" s="417">
        <v>5</v>
      </c>
      <c r="F346" s="342">
        <f t="shared" ref="F346:F366" si="338">D346/E346</f>
      </c>
      <c r="G346" s="339">
        <v>2908</v>
      </c>
      <c r="H346" s="428">
        <f t="shared" ref="H346:H366" si="4">AD346</f>
      </c>
      <c r="I346" s="340">
        <f t="shared" ref="I346:I366" si="21">D346/AD346</f>
      </c>
      <c r="J346" s="341">
        <f t="shared" ref="J346:J366" si="158">G346/E346</f>
      </c>
      <c r="K346" s="343">
        <f t="shared" ref="K346:K366" si="190">G346/D346</f>
      </c>
      <c r="L346" s="344">
        <f t="shared" ref="L346:L366" si="175">D346/AB346</f>
      </c>
      <c r="M346" s="341">
        <f t="shared" ref="M346:M366" si="255">D346/AC346</f>
      </c>
      <c r="N346" s="345">
        <f t="shared" ref="N346:N366" si="225">AC346/AB346</f>
      </c>
      <c r="O346" s="345">
        <f t="shared" ref="O346:O366" si="240">AD346/AC346</f>
      </c>
      <c r="P346" s="345">
        <f t="shared" ref="P346:P366" si="272">AA346/Z346</f>
      </c>
      <c r="Q346" s="345">
        <f t="shared" ref="Q346:Q366" si="89">AD346/AA346</f>
      </c>
      <c r="R346" s="341">
        <f t="shared" ref="R346:R366" si="287">D346/Z346*1000</f>
      </c>
      <c r="S346" s="343">
        <f t="shared" ref="S346:S366" si="104">D346/AA346</f>
      </c>
      <c r="T346" s="345">
        <f t="shared" ref="T346:T366" si="125">AE346/AB346</f>
      </c>
      <c r="U346" s="345">
        <f t="shared" ref="U346:U366" si="38">AF346/AB346</f>
      </c>
      <c r="V346" s="345">
        <f t="shared" ref="V346:V366" si="55">AG346/AB346</f>
      </c>
      <c r="W346" s="345">
        <f t="shared" ref="W346:W366" si="72">AH346/AB346</f>
      </c>
      <c r="X346" s="346" t="s">
        <v>181</v>
      </c>
      <c r="Y346" s="347" t="s">
        <v>193</v>
      </c>
      <c r="Z346" s="348">
        <v>245346</v>
      </c>
      <c r="AA346" s="348">
        <v>8654</v>
      </c>
      <c r="AB346" s="348">
        <v>210213</v>
      </c>
      <c r="AC346" s="348">
        <v>1663</v>
      </c>
      <c r="AD346" s="349">
        <v>5</v>
      </c>
      <c r="AE346" s="348">
        <v>45481</v>
      </c>
      <c r="AF346" s="350">
        <v>604</v>
      </c>
      <c r="AG346" s="350">
        <v>301</v>
      </c>
      <c r="AH346" s="350">
        <v>19</v>
      </c>
      <c r="AI346" s="418">
        <v>0</v>
      </c>
    </row>
    <row r="347">
      <c r="A347" s="334"/>
      <c r="B347" s="415" t="s">
        <v>188</v>
      </c>
      <c r="C347" s="336" t="s">
        <v>183</v>
      </c>
      <c r="D347" s="377">
        <v>5184.439</v>
      </c>
      <c r="E347" s="359">
        <v>12</v>
      </c>
      <c r="F347" s="342">
        <f t="shared" si="338"/>
      </c>
      <c r="G347" s="359">
        <v>4401.6</v>
      </c>
      <c r="H347" s="428">
        <f t="shared" si="4"/>
      </c>
      <c r="I347" s="340">
        <f t="shared" si="21"/>
      </c>
      <c r="J347" s="341">
        <f t="shared" si="158"/>
      </c>
      <c r="K347" s="343">
        <f t="shared" si="190"/>
      </c>
      <c r="L347" s="344">
        <f t="shared" si="175"/>
      </c>
      <c r="M347" s="341">
        <f t="shared" si="255"/>
      </c>
      <c r="N347" s="345">
        <f t="shared" si="225"/>
      </c>
      <c r="O347" s="345">
        <f t="shared" si="240"/>
      </c>
      <c r="P347" s="345">
        <f t="shared" si="272"/>
      </c>
      <c r="Q347" s="345">
        <f t="shared" si="89"/>
      </c>
      <c r="R347" s="341">
        <f t="shared" si="287"/>
      </c>
      <c r="S347" s="343">
        <f t="shared" si="104"/>
      </c>
      <c r="T347" s="345">
        <f t="shared" si="125"/>
      </c>
      <c r="U347" s="345">
        <f t="shared" si="38"/>
      </c>
      <c r="V347" s="345">
        <f t="shared" si="55"/>
      </c>
      <c r="W347" s="345">
        <f t="shared" si="72"/>
      </c>
      <c r="X347" s="360" t="s">
        <v>181</v>
      </c>
      <c r="Y347" s="347" t="s">
        <v>193</v>
      </c>
      <c r="Z347" s="350">
        <v>314975</v>
      </c>
      <c r="AA347" s="350">
        <v>11267</v>
      </c>
      <c r="AB347" s="350">
        <v>287770</v>
      </c>
      <c r="AC347" s="350">
        <v>2219</v>
      </c>
      <c r="AD347" s="349">
        <v>12</v>
      </c>
      <c r="AE347" s="350">
        <v>51217</v>
      </c>
      <c r="AF347" s="350">
        <v>844</v>
      </c>
      <c r="AG347" s="350">
        <v>386</v>
      </c>
      <c r="AH347" s="350">
        <v>47</v>
      </c>
      <c r="AI347" s="418">
        <v>1</v>
      </c>
    </row>
    <row r="348">
      <c r="A348" s="334"/>
      <c r="B348" s="415" t="s">
        <v>188</v>
      </c>
      <c r="C348" s="351" t="s">
        <v>184</v>
      </c>
      <c r="D348" s="377">
        <v>3424.19</v>
      </c>
      <c r="E348" s="359">
        <v>10</v>
      </c>
      <c r="F348" s="342">
        <f t="shared" si="338"/>
      </c>
      <c r="G348" s="359">
        <v>2237.199999999999</v>
      </c>
      <c r="H348" s="428">
        <f t="shared" si="4"/>
      </c>
      <c r="I348" s="340">
        <f t="shared" si="21"/>
      </c>
      <c r="J348" s="341">
        <f t="shared" si="158"/>
      </c>
      <c r="K348" s="343">
        <f t="shared" si="190"/>
      </c>
      <c r="L348" s="344">
        <f t="shared" si="175"/>
      </c>
      <c r="M348" s="341">
        <f t="shared" si="255"/>
      </c>
      <c r="N348" s="345">
        <f t="shared" si="225"/>
      </c>
      <c r="O348" s="345">
        <f t="shared" si="240"/>
      </c>
      <c r="P348" s="345">
        <f t="shared" si="272"/>
      </c>
      <c r="Q348" s="345">
        <f t="shared" si="89"/>
      </c>
      <c r="R348" s="341">
        <f t="shared" si="287"/>
      </c>
      <c r="S348" s="343">
        <f t="shared" si="104"/>
      </c>
      <c r="T348" s="345">
        <f t="shared" si="125"/>
      </c>
      <c r="U348" s="345">
        <f t="shared" si="38"/>
      </c>
      <c r="V348" s="345">
        <f t="shared" si="55"/>
      </c>
      <c r="W348" s="345">
        <f t="shared" si="72"/>
      </c>
      <c r="X348" s="360" t="s">
        <v>181</v>
      </c>
      <c r="Y348" s="347" t="s">
        <v>193</v>
      </c>
      <c r="Z348" s="350">
        <v>203946</v>
      </c>
      <c r="AA348" s="350">
        <v>9183</v>
      </c>
      <c r="AB348" s="350">
        <v>171726</v>
      </c>
      <c r="AC348" s="350">
        <v>1602</v>
      </c>
      <c r="AD348" s="350">
        <v>9</v>
      </c>
      <c r="AE348" s="350">
        <v>29953</v>
      </c>
      <c r="AF348" s="350">
        <v>612</v>
      </c>
      <c r="AG348" s="350">
        <v>236</v>
      </c>
      <c r="AH348" s="350">
        <v>29</v>
      </c>
      <c r="AI348" s="418">
        <v>1</v>
      </c>
    </row>
    <row r="349">
      <c r="A349" s="334"/>
      <c r="B349" s="415" t="s">
        <v>188</v>
      </c>
      <c r="C349" s="416" t="s">
        <v>185</v>
      </c>
      <c r="D349" s="377">
        <v>3268.9660000000003</v>
      </c>
      <c r="E349" s="359">
        <v>4</v>
      </c>
      <c r="F349" s="342">
        <f t="shared" si="338"/>
      </c>
      <c r="G349" s="359">
        <v>848</v>
      </c>
      <c r="H349" s="428">
        <f t="shared" si="4"/>
      </c>
      <c r="I349" s="340">
        <f t="shared" si="21"/>
      </c>
      <c r="J349" s="341">
        <f t="shared" si="158"/>
      </c>
      <c r="K349" s="343">
        <f t="shared" si="190"/>
      </c>
      <c r="L349" s="344">
        <f t="shared" si="175"/>
      </c>
      <c r="M349" s="341">
        <f t="shared" si="255"/>
      </c>
      <c r="N349" s="345">
        <f t="shared" si="225"/>
      </c>
      <c r="O349" s="345">
        <f t="shared" si="240"/>
      </c>
      <c r="P349" s="345">
        <f t="shared" si="272"/>
      </c>
      <c r="Q349" s="345">
        <f t="shared" si="89"/>
      </c>
      <c r="R349" s="341">
        <f t="shared" si="287"/>
      </c>
      <c r="S349" s="343">
        <f t="shared" si="104"/>
      </c>
      <c r="T349" s="345">
        <f t="shared" si="125"/>
      </c>
      <c r="U349" s="345">
        <f t="shared" si="38"/>
      </c>
      <c r="V349" s="345">
        <f t="shared" si="55"/>
      </c>
      <c r="W349" s="345">
        <f t="shared" si="72"/>
      </c>
      <c r="X349" s="360" t="s">
        <v>181</v>
      </c>
      <c r="Y349" s="347" t="s">
        <v>193</v>
      </c>
      <c r="Z349" s="350">
        <v>247816</v>
      </c>
      <c r="AA349" s="350">
        <v>9887</v>
      </c>
      <c r="AB349" s="350">
        <v>170396</v>
      </c>
      <c r="AC349" s="350">
        <v>1401</v>
      </c>
      <c r="AD349" s="350">
        <v>2</v>
      </c>
      <c r="AE349" s="350">
        <v>22989</v>
      </c>
      <c r="AF349" s="350">
        <v>423</v>
      </c>
      <c r="AG349" s="350">
        <v>209</v>
      </c>
      <c r="AH349" s="349">
        <v>14</v>
      </c>
      <c r="AI349" s="418">
        <v>0</v>
      </c>
    </row>
    <row r="350">
      <c r="A350" s="334"/>
      <c r="B350" s="387" t="s">
        <v>187</v>
      </c>
      <c r="C350" s="387"/>
      <c r="D350" s="362">
        <f>SUM(D346:D349)</f>
      </c>
      <c r="E350" s="437">
        <f>SUM(E346:E349)</f>
      </c>
      <c r="F350" s="365">
        <f t="shared" si="338"/>
      </c>
      <c r="G350" s="362">
        <f>SUM(G346:G349)</f>
      </c>
      <c r="H350" s="429">
        <f t="shared" si="4"/>
      </c>
      <c r="I350" s="362">
        <f t="shared" si="21"/>
      </c>
      <c r="J350" s="364">
        <f t="shared" si="158"/>
      </c>
      <c r="K350" s="366">
        <f t="shared" si="190"/>
      </c>
      <c r="L350" s="367">
        <f t="shared" si="175"/>
      </c>
      <c r="M350" s="364">
        <f t="shared" si="255"/>
      </c>
      <c r="N350" s="368">
        <f t="shared" si="225"/>
      </c>
      <c r="O350" s="368">
        <f t="shared" si="240"/>
      </c>
      <c r="P350" s="368">
        <f t="shared" si="272"/>
      </c>
      <c r="Q350" s="368">
        <f t="shared" si="89"/>
      </c>
      <c r="R350" s="364">
        <f t="shared" si="287"/>
      </c>
      <c r="S350" s="366">
        <f t="shared" si="104"/>
      </c>
      <c r="T350" s="368">
        <f t="shared" si="125"/>
      </c>
      <c r="U350" s="368">
        <f t="shared" si="38"/>
      </c>
      <c r="V350" s="368">
        <f t="shared" si="55"/>
      </c>
      <c r="W350" s="368">
        <f t="shared" si="72"/>
      </c>
      <c r="X350" s="368"/>
      <c r="Y350" s="369"/>
      <c r="Z350" s="362">
        <f>SUM(Z346:Z349)</f>
      </c>
      <c r="AA350" s="362">
        <f>SUM(AA346:AA349)</f>
      </c>
      <c r="AB350" s="362">
        <f>SUM(AB346:AB349)</f>
      </c>
      <c r="AC350" s="362">
        <f>SUM(AC346:AC349)</f>
      </c>
      <c r="AD350" s="362">
        <f>SUM(AD346:AD349)</f>
      </c>
      <c r="AE350" s="362">
        <f>SUM(AE346:AE349)</f>
      </c>
      <c r="AF350" s="362">
        <f>SUM(AF346:AF349)</f>
      </c>
      <c r="AG350" s="362">
        <f>SUM(AG346:AG349)</f>
      </c>
      <c r="AH350" s="362">
        <f>SUM(AH346:AH349)</f>
      </c>
      <c r="AI350" s="362">
        <f>SUM(AI346:AI349)</f>
      </c>
    </row>
    <row r="351">
      <c r="A351" s="334"/>
      <c r="B351" s="335" t="s">
        <v>208</v>
      </c>
      <c r="C351" s="416" t="s">
        <v>186</v>
      </c>
      <c r="D351" s="371">
        <v>2038.161</v>
      </c>
      <c r="E351" s="417">
        <v>7</v>
      </c>
      <c r="F351" s="342">
        <f t="shared" si="338"/>
      </c>
      <c r="G351" s="339">
        <v>2196</v>
      </c>
      <c r="H351" s="428">
        <f t="shared" si="4"/>
      </c>
      <c r="I351" s="340">
        <f t="shared" si="21"/>
      </c>
      <c r="J351" s="341">
        <f t="shared" si="158"/>
      </c>
      <c r="K351" s="343">
        <f t="shared" si="190"/>
      </c>
      <c r="L351" s="344">
        <f t="shared" si="175"/>
      </c>
      <c r="M351" s="341">
        <f t="shared" si="255"/>
      </c>
      <c r="N351" s="345">
        <f t="shared" si="225"/>
      </c>
      <c r="O351" s="345">
        <f t="shared" si="240"/>
      </c>
      <c r="P351" s="345">
        <f t="shared" si="272"/>
      </c>
      <c r="Q351" s="345">
        <f t="shared" si="89"/>
      </c>
      <c r="R351" s="341">
        <f t="shared" si="287"/>
      </c>
      <c r="S351" s="343">
        <f t="shared" si="104"/>
      </c>
      <c r="T351" s="345">
        <f t="shared" si="125"/>
      </c>
      <c r="U351" s="345">
        <f t="shared" si="38"/>
      </c>
      <c r="V351" s="345">
        <f t="shared" si="55"/>
      </c>
      <c r="W351" s="345">
        <f t="shared" si="72"/>
      </c>
      <c r="X351" s="360" t="s">
        <v>181</v>
      </c>
      <c r="Y351" s="347" t="s">
        <v>193</v>
      </c>
      <c r="Z351" s="348">
        <v>184830</v>
      </c>
      <c r="AA351" s="348">
        <v>6492</v>
      </c>
      <c r="AB351" s="348">
        <v>91624</v>
      </c>
      <c r="AC351" s="350">
        <v>1275</v>
      </c>
      <c r="AD351" s="350">
        <v>9</v>
      </c>
      <c r="AE351" s="348">
        <v>12379</v>
      </c>
      <c r="AF351" s="350">
        <v>410</v>
      </c>
      <c r="AG351" s="350">
        <v>134</v>
      </c>
      <c r="AH351" s="350">
        <v>17</v>
      </c>
      <c r="AI351" s="418">
        <v>0</v>
      </c>
    </row>
    <row r="352">
      <c r="A352" s="334"/>
      <c r="B352" s="335" t="s">
        <v>208</v>
      </c>
      <c r="C352" s="370" t="s">
        <v>189</v>
      </c>
      <c r="D352" s="371">
        <v>2088.821</v>
      </c>
      <c r="E352" s="419">
        <v>6</v>
      </c>
      <c r="F352" s="342">
        <f t="shared" si="338"/>
      </c>
      <c r="G352" s="359">
        <v>1357.2000000000007</v>
      </c>
      <c r="H352" s="428">
        <f t="shared" si="4"/>
      </c>
      <c r="I352" s="340">
        <f t="shared" si="21"/>
      </c>
      <c r="J352" s="341">
        <f t="shared" si="158"/>
      </c>
      <c r="K352" s="343">
        <f t="shared" si="190"/>
      </c>
      <c r="L352" s="344">
        <f t="shared" si="175"/>
      </c>
      <c r="M352" s="341">
        <f t="shared" si="255"/>
      </c>
      <c r="N352" s="345">
        <f t="shared" si="225"/>
      </c>
      <c r="O352" s="345">
        <f t="shared" si="240"/>
      </c>
      <c r="P352" s="345">
        <f t="shared" si="272"/>
      </c>
      <c r="Q352" s="345">
        <f t="shared" si="89"/>
      </c>
      <c r="R352" s="341">
        <f t="shared" si="287"/>
      </c>
      <c r="S352" s="343">
        <f t="shared" si="104"/>
      </c>
      <c r="T352" s="345">
        <f t="shared" si="125"/>
      </c>
      <c r="U352" s="345">
        <f t="shared" si="38"/>
      </c>
      <c r="V352" s="345">
        <f t="shared" si="55"/>
      </c>
      <c r="W352" s="345">
        <f t="shared" si="72"/>
      </c>
      <c r="X352" s="360" t="s">
        <v>181</v>
      </c>
      <c r="Y352" s="347" t="s">
        <v>193</v>
      </c>
      <c r="Z352" s="350">
        <v>177427</v>
      </c>
      <c r="AA352" s="350">
        <v>5854</v>
      </c>
      <c r="AB352" s="350">
        <v>79355</v>
      </c>
      <c r="AC352" s="350">
        <v>1004</v>
      </c>
      <c r="AD352" s="350">
        <v>4</v>
      </c>
      <c r="AE352" s="350">
        <v>9905</v>
      </c>
      <c r="AF352" s="350">
        <v>314</v>
      </c>
      <c r="AG352" s="350">
        <v>106</v>
      </c>
      <c r="AH352" s="350">
        <v>14</v>
      </c>
      <c r="AI352" s="418">
        <v>1</v>
      </c>
    </row>
    <row r="353">
      <c r="A353" s="334"/>
      <c r="B353" s="335" t="s">
        <v>208</v>
      </c>
      <c r="C353" s="372" t="s">
        <v>190</v>
      </c>
      <c r="D353" s="371">
        <v>2283.348</v>
      </c>
      <c r="E353" s="419">
        <v>8</v>
      </c>
      <c r="F353" s="342">
        <f t="shared" si="338"/>
      </c>
      <c r="G353" s="359">
        <v>4109.4000000000015</v>
      </c>
      <c r="H353" s="428">
        <f t="shared" si="4"/>
      </c>
      <c r="I353" s="340">
        <f t="shared" si="21"/>
      </c>
      <c r="J353" s="341">
        <f t="shared" si="158"/>
      </c>
      <c r="K353" s="343">
        <f t="shared" si="190"/>
      </c>
      <c r="L353" s="344">
        <f t="shared" si="175"/>
      </c>
      <c r="M353" s="341">
        <f t="shared" si="255"/>
      </c>
      <c r="N353" s="345">
        <f t="shared" si="225"/>
      </c>
      <c r="O353" s="345">
        <f t="shared" si="240"/>
      </c>
      <c r="P353" s="345">
        <f t="shared" si="272"/>
      </c>
      <c r="Q353" s="345">
        <f t="shared" si="89"/>
      </c>
      <c r="R353" s="341">
        <f t="shared" si="287"/>
      </c>
      <c r="S353" s="343">
        <f t="shared" si="104"/>
      </c>
      <c r="T353" s="345">
        <f t="shared" si="125"/>
      </c>
      <c r="U353" s="345">
        <f t="shared" si="38"/>
      </c>
      <c r="V353" s="345">
        <f t="shared" si="55"/>
      </c>
      <c r="W353" s="345">
        <f t="shared" si="72"/>
      </c>
      <c r="X353" s="360" t="s">
        <v>181</v>
      </c>
      <c r="Y353" s="347" t="s">
        <v>193</v>
      </c>
      <c r="Z353" s="350">
        <v>190171</v>
      </c>
      <c r="AA353" s="350">
        <v>6517</v>
      </c>
      <c r="AB353" s="350">
        <v>113418</v>
      </c>
      <c r="AC353" s="350">
        <v>1213</v>
      </c>
      <c r="AD353" s="350">
        <v>8</v>
      </c>
      <c r="AE353" s="350">
        <v>10688</v>
      </c>
      <c r="AF353" s="350">
        <v>288</v>
      </c>
      <c r="AG353" s="350">
        <v>97</v>
      </c>
      <c r="AH353" s="350">
        <v>22</v>
      </c>
      <c r="AI353" s="418">
        <v>2</v>
      </c>
    </row>
    <row r="354">
      <c r="A354" s="334"/>
      <c r="B354" s="361" t="s">
        <v>187</v>
      </c>
      <c r="C354" s="361"/>
      <c r="D354" s="362">
        <f>SUM(D351:D353)</f>
      </c>
      <c r="E354" s="437">
        <f>SUM(E351:E353)</f>
      </c>
      <c r="F354" s="365">
        <f t="shared" si="338"/>
      </c>
      <c r="G354" s="362">
        <f>SUM(G351:G353)</f>
      </c>
      <c r="H354" s="429">
        <f t="shared" si="4"/>
      </c>
      <c r="I354" s="362">
        <f t="shared" si="21"/>
      </c>
      <c r="J354" s="364">
        <f t="shared" si="158"/>
      </c>
      <c r="K354" s="366">
        <f t="shared" si="190"/>
      </c>
      <c r="L354" s="367">
        <f t="shared" si="175"/>
      </c>
      <c r="M354" s="364">
        <f t="shared" si="255"/>
      </c>
      <c r="N354" s="368">
        <f t="shared" si="225"/>
      </c>
      <c r="O354" s="368">
        <f t="shared" si="240"/>
      </c>
      <c r="P354" s="368">
        <f t="shared" si="272"/>
      </c>
      <c r="Q354" s="368">
        <f t="shared" si="89"/>
      </c>
      <c r="R354" s="364">
        <f t="shared" si="287"/>
      </c>
      <c r="S354" s="366">
        <f t="shared" si="104"/>
      </c>
      <c r="T354" s="368">
        <f t="shared" si="125"/>
      </c>
      <c r="U354" s="368">
        <f t="shared" si="38"/>
      </c>
      <c r="V354" s="368">
        <f t="shared" si="55"/>
      </c>
      <c r="W354" s="368">
        <f t="shared" si="72"/>
      </c>
      <c r="X354" s="368"/>
      <c r="Y354" s="369"/>
      <c r="Z354" s="362">
        <f>SUM(Z351:Z353)</f>
      </c>
      <c r="AA354" s="362">
        <f>SUM(AA351:AA353)</f>
      </c>
      <c r="AB354" s="362">
        <f>SUM(AB351:AB353)</f>
      </c>
      <c r="AC354" s="362">
        <f>SUM(AC351:AC353)</f>
      </c>
      <c r="AD354" s="362">
        <f>SUM(AD351:AD353)</f>
      </c>
      <c r="AE354" s="362">
        <f>SUM(AE351:AE353)</f>
      </c>
      <c r="AF354" s="362">
        <f>SUM(AF351:AF353)</f>
      </c>
      <c r="AG354" s="362">
        <f>SUM(AG351:AG353)</f>
      </c>
      <c r="AH354" s="362">
        <f>SUM(AH351:AH353)</f>
      </c>
      <c r="AI354" s="362">
        <f>SUM(AI351:AI353)</f>
      </c>
    </row>
    <row r="355">
      <c r="A355" s="334"/>
      <c r="B355" s="415" t="s">
        <v>179</v>
      </c>
      <c r="C355" s="373" t="s">
        <v>191</v>
      </c>
      <c r="D355" s="377">
        <v>2793.3199999999997</v>
      </c>
      <c r="E355" s="359">
        <v>5</v>
      </c>
      <c r="F355" s="342">
        <f t="shared" si="338"/>
      </c>
      <c r="G355" s="359">
        <v>1676</v>
      </c>
      <c r="H355" s="428">
        <f t="shared" si="4"/>
      </c>
      <c r="I355" s="340">
        <f t="shared" si="21"/>
      </c>
      <c r="J355" s="341">
        <f t="shared" si="158"/>
      </c>
      <c r="K355" s="343">
        <f t="shared" si="190"/>
      </c>
      <c r="L355" s="344">
        <f t="shared" si="175"/>
      </c>
      <c r="M355" s="341">
        <f t="shared" si="255"/>
      </c>
      <c r="N355" s="345">
        <f t="shared" si="225"/>
      </c>
      <c r="O355" s="345">
        <f t="shared" si="240"/>
      </c>
      <c r="P355" s="345">
        <f t="shared" si="272"/>
      </c>
      <c r="Q355" s="345">
        <f t="shared" si="89"/>
      </c>
      <c r="R355" s="341">
        <f t="shared" si="287"/>
      </c>
      <c r="S355" s="343">
        <f t="shared" si="104"/>
      </c>
      <c r="T355" s="345">
        <f t="shared" si="125"/>
      </c>
      <c r="U355" s="345">
        <f t="shared" si="38"/>
      </c>
      <c r="V355" s="345">
        <f t="shared" si="55"/>
      </c>
      <c r="W355" s="345">
        <f t="shared" si="72"/>
      </c>
      <c r="X355" s="360" t="s">
        <v>181</v>
      </c>
      <c r="Y355" s="347" t="s">
        <v>193</v>
      </c>
      <c r="Z355" s="350">
        <v>224363</v>
      </c>
      <c r="AA355" s="350">
        <v>7453</v>
      </c>
      <c r="AB355" s="350">
        <v>102846</v>
      </c>
      <c r="AC355" s="350">
        <v>1500</v>
      </c>
      <c r="AD355" s="349">
        <v>5</v>
      </c>
      <c r="AE355" s="350">
        <v>10982</v>
      </c>
      <c r="AF355" s="350">
        <v>335</v>
      </c>
      <c r="AG355" s="350">
        <v>120</v>
      </c>
      <c r="AH355" s="350">
        <v>18</v>
      </c>
      <c r="AI355" s="418">
        <v>0</v>
      </c>
    </row>
    <row r="356">
      <c r="A356" s="334"/>
      <c r="B356" s="415" t="s">
        <v>179</v>
      </c>
      <c r="C356" s="374" t="s">
        <v>192</v>
      </c>
      <c r="D356" s="377">
        <v>4835.898</v>
      </c>
      <c r="E356" s="359">
        <v>9</v>
      </c>
      <c r="F356" s="342">
        <f t="shared" si="338"/>
      </c>
      <c r="G356" s="359">
        <v>3749.199999999997</v>
      </c>
      <c r="H356" s="428">
        <f t="shared" si="4"/>
      </c>
      <c r="I356" s="340">
        <f t="shared" si="21"/>
      </c>
      <c r="J356" s="341">
        <f t="shared" si="158"/>
      </c>
      <c r="K356" s="343">
        <f t="shared" si="190"/>
      </c>
      <c r="L356" s="344">
        <f t="shared" si="175"/>
      </c>
      <c r="M356" s="341">
        <f t="shared" si="255"/>
      </c>
      <c r="N356" s="345">
        <f t="shared" si="225"/>
      </c>
      <c r="O356" s="345">
        <f t="shared" si="240"/>
      </c>
      <c r="P356" s="345">
        <f t="shared" si="272"/>
      </c>
      <c r="Q356" s="345">
        <f t="shared" si="89"/>
      </c>
      <c r="R356" s="341">
        <f t="shared" si="287"/>
      </c>
      <c r="S356" s="343">
        <f t="shared" si="104"/>
      </c>
      <c r="T356" s="345">
        <f t="shared" si="125"/>
      </c>
      <c r="U356" s="345">
        <f t="shared" si="38"/>
      </c>
      <c r="V356" s="345">
        <f t="shared" si="55"/>
      </c>
      <c r="W356" s="345">
        <f t="shared" si="72"/>
      </c>
      <c r="X356" s="360" t="s">
        <v>181</v>
      </c>
      <c r="Y356" s="347" t="s">
        <v>205</v>
      </c>
      <c r="Z356" s="350">
        <v>403311</v>
      </c>
      <c r="AA356" s="350">
        <v>14148</v>
      </c>
      <c r="AB356" s="350">
        <v>161928</v>
      </c>
      <c r="AC356" s="350">
        <v>2314</v>
      </c>
      <c r="AD356" s="349">
        <v>7</v>
      </c>
      <c r="AE356" s="350">
        <v>12799</v>
      </c>
      <c r="AF356" s="350">
        <v>631</v>
      </c>
      <c r="AG356" s="350">
        <v>193</v>
      </c>
      <c r="AH356" s="350">
        <v>16</v>
      </c>
      <c r="AI356" s="418">
        <v>1</v>
      </c>
    </row>
    <row r="357">
      <c r="A357" s="334"/>
      <c r="B357" s="415" t="s">
        <v>179</v>
      </c>
      <c r="C357" s="375" t="s">
        <v>194</v>
      </c>
      <c r="D357" s="377">
        <v>2096.465</v>
      </c>
      <c r="E357" s="359">
        <v>4</v>
      </c>
      <c r="F357" s="342">
        <f t="shared" si="338"/>
      </c>
      <c r="G357" s="359">
        <v>1480</v>
      </c>
      <c r="H357" s="428">
        <f t="shared" si="4"/>
      </c>
      <c r="I357" s="340">
        <f t="shared" si="21"/>
      </c>
      <c r="J357" s="341">
        <f t="shared" si="158"/>
      </c>
      <c r="K357" s="343">
        <f t="shared" si="190"/>
      </c>
      <c r="L357" s="344">
        <f t="shared" si="175"/>
      </c>
      <c r="M357" s="341">
        <f t="shared" si="255"/>
      </c>
      <c r="N357" s="345">
        <f t="shared" si="225"/>
      </c>
      <c r="O357" s="345">
        <f t="shared" si="240"/>
      </c>
      <c r="P357" s="345">
        <f t="shared" si="272"/>
      </c>
      <c r="Q357" s="345">
        <f t="shared" si="89"/>
      </c>
      <c r="R357" s="341">
        <f t="shared" si="287"/>
      </c>
      <c r="S357" s="343">
        <f t="shared" si="104"/>
      </c>
      <c r="T357" s="345">
        <f t="shared" si="125"/>
      </c>
      <c r="U357" s="345">
        <f t="shared" si="38"/>
      </c>
      <c r="V357" s="345">
        <f t="shared" si="55"/>
      </c>
      <c r="W357" s="345">
        <f t="shared" si="72"/>
      </c>
      <c r="X357" s="360" t="s">
        <v>181</v>
      </c>
      <c r="Y357" s="347" t="s">
        <v>205</v>
      </c>
      <c r="Z357" s="350">
        <v>230248</v>
      </c>
      <c r="AA357" s="350">
        <v>6749</v>
      </c>
      <c r="AB357" s="350">
        <v>70659</v>
      </c>
      <c r="AC357" s="350">
        <v>1353</v>
      </c>
      <c r="AD357" s="350">
        <v>3</v>
      </c>
      <c r="AE357" s="350">
        <v>5148</v>
      </c>
      <c r="AF357" s="350">
        <v>263</v>
      </c>
      <c r="AG357" s="350">
        <v>79</v>
      </c>
      <c r="AH357" s="350">
        <v>9</v>
      </c>
      <c r="AI357" s="418">
        <v>0</v>
      </c>
    </row>
    <row r="358">
      <c r="A358" s="334"/>
      <c r="B358" s="415" t="s">
        <v>179</v>
      </c>
      <c r="C358" s="373" t="s">
        <v>196</v>
      </c>
      <c r="D358" s="377">
        <v>2222.099</v>
      </c>
      <c r="E358" s="359">
        <v>4</v>
      </c>
      <c r="F358" s="342">
        <f t="shared" si="338"/>
      </c>
      <c r="G358" s="359">
        <v>848</v>
      </c>
      <c r="H358" s="428">
        <f t="shared" si="4"/>
      </c>
      <c r="I358" s="340">
        <f t="shared" si="21"/>
      </c>
      <c r="J358" s="341">
        <f t="shared" si="158"/>
      </c>
      <c r="K358" s="343">
        <f t="shared" si="190"/>
      </c>
      <c r="L358" s="344">
        <f t="shared" si="175"/>
      </c>
      <c r="M358" s="341">
        <f t="shared" si="255"/>
      </c>
      <c r="N358" s="345">
        <f t="shared" si="225"/>
      </c>
      <c r="O358" s="345">
        <f t="shared" si="240"/>
      </c>
      <c r="P358" s="345">
        <f t="shared" si="272"/>
      </c>
      <c r="Q358" s="345">
        <f t="shared" si="89"/>
      </c>
      <c r="R358" s="341">
        <f t="shared" si="287"/>
      </c>
      <c r="S358" s="343">
        <f t="shared" si="104"/>
      </c>
      <c r="T358" s="345">
        <f t="shared" si="125"/>
      </c>
      <c r="U358" s="345">
        <f t="shared" si="38"/>
      </c>
      <c r="V358" s="345">
        <f t="shared" si="55"/>
      </c>
      <c r="W358" s="345">
        <f t="shared" si="72"/>
      </c>
      <c r="X358" s="360" t="s">
        <v>181</v>
      </c>
      <c r="Y358" s="347" t="s">
        <v>205</v>
      </c>
      <c r="Z358" s="350">
        <v>238185</v>
      </c>
      <c r="AA358" s="350">
        <v>14602</v>
      </c>
      <c r="AB358" s="350">
        <v>189604</v>
      </c>
      <c r="AC358" s="350">
        <v>1190</v>
      </c>
      <c r="AD358" s="350">
        <v>2</v>
      </c>
      <c r="AE358" s="350">
        <v>17178</v>
      </c>
      <c r="AF358" s="350">
        <v>372</v>
      </c>
      <c r="AG358" s="350">
        <v>197</v>
      </c>
      <c r="AH358" s="349">
        <v>22</v>
      </c>
      <c r="AI358" s="418">
        <v>0</v>
      </c>
    </row>
    <row r="359">
      <c r="A359" s="334"/>
      <c r="B359" s="387" t="s">
        <v>187</v>
      </c>
      <c r="C359" s="387"/>
      <c r="D359" s="362">
        <f>SUM(D355:D358)</f>
      </c>
      <c r="E359" s="420">
        <f>SUM(E355:E358)</f>
      </c>
      <c r="F359" s="365">
        <f t="shared" si="338"/>
      </c>
      <c r="G359" s="362">
        <f>SUM(G355:G358)</f>
      </c>
      <c r="H359" s="429">
        <f t="shared" si="4"/>
      </c>
      <c r="I359" s="362">
        <f t="shared" si="21"/>
      </c>
      <c r="J359" s="364">
        <f t="shared" si="158"/>
      </c>
      <c r="K359" s="366">
        <f t="shared" si="190"/>
      </c>
      <c r="L359" s="367">
        <f t="shared" si="175"/>
      </c>
      <c r="M359" s="364">
        <f t="shared" si="255"/>
      </c>
      <c r="N359" s="368">
        <f t="shared" si="225"/>
      </c>
      <c r="O359" s="368">
        <f t="shared" si="240"/>
      </c>
      <c r="P359" s="368">
        <f t="shared" si="272"/>
      </c>
      <c r="Q359" s="368">
        <f t="shared" si="89"/>
      </c>
      <c r="R359" s="364">
        <f t="shared" si="287"/>
      </c>
      <c r="S359" s="366">
        <f t="shared" si="104"/>
      </c>
      <c r="T359" s="368">
        <f t="shared" si="125"/>
      </c>
      <c r="U359" s="368">
        <f t="shared" si="38"/>
      </c>
      <c r="V359" s="368">
        <f t="shared" si="55"/>
      </c>
      <c r="W359" s="368">
        <f t="shared" si="72"/>
      </c>
      <c r="X359" s="368"/>
      <c r="Y359" s="369"/>
      <c r="Z359" s="362">
        <f>SUM(Z355:Z358)</f>
      </c>
      <c r="AA359" s="362">
        <f>SUM(AA355:AA358)</f>
      </c>
      <c r="AB359" s="362">
        <f>SUM(AB355:AB358)</f>
      </c>
      <c r="AC359" s="362">
        <f>SUM(AC355:AC358)</f>
      </c>
      <c r="AD359" s="362">
        <f>SUM(AD355:AD358)</f>
      </c>
      <c r="AE359" s="362">
        <f>SUM(AE355:AE358)</f>
      </c>
      <c r="AF359" s="362">
        <f>SUM(AF355:AF358)</f>
      </c>
      <c r="AG359" s="362">
        <f>SUM(AG355:AG358)</f>
      </c>
      <c r="AH359" s="362">
        <f>SUM(AH355:AH358)</f>
      </c>
      <c r="AI359" s="420">
        <f>SUM(AI355:AI358)</f>
      </c>
    </row>
    <row r="360">
      <c r="A360" s="334"/>
      <c r="B360" s="335" t="s">
        <v>203</v>
      </c>
      <c r="C360" s="373" t="s">
        <v>197</v>
      </c>
      <c r="D360" s="379">
        <v>2158.783</v>
      </c>
      <c r="E360" s="417">
        <v>6</v>
      </c>
      <c r="F360" s="342">
        <f t="shared" si="338"/>
      </c>
      <c r="G360" s="339">
        <v>1936</v>
      </c>
      <c r="H360" s="428">
        <f t="shared" si="4"/>
      </c>
      <c r="I360" s="340">
        <f t="shared" si="21"/>
      </c>
      <c r="J360" s="341">
        <f t="shared" si="158"/>
      </c>
      <c r="K360" s="343">
        <f t="shared" si="190"/>
      </c>
      <c r="L360" s="382">
        <f t="shared" si="175"/>
      </c>
      <c r="M360" s="383">
        <f t="shared" si="255"/>
      </c>
      <c r="N360" s="384">
        <f t="shared" si="225"/>
      </c>
      <c r="O360" s="384">
        <f t="shared" si="240"/>
      </c>
      <c r="P360" s="384">
        <f t="shared" si="272"/>
      </c>
      <c r="Q360" s="384">
        <f t="shared" si="89"/>
      </c>
      <c r="R360" s="383">
        <f t="shared" si="287"/>
      </c>
      <c r="S360" s="381">
        <f t="shared" si="104"/>
      </c>
      <c r="T360" s="384">
        <f t="shared" si="125"/>
      </c>
      <c r="U360" s="384">
        <f t="shared" si="38"/>
      </c>
      <c r="V360" s="384">
        <f t="shared" si="55"/>
      </c>
      <c r="W360" s="384">
        <f t="shared" si="72"/>
      </c>
      <c r="X360" s="360" t="s">
        <v>181</v>
      </c>
      <c r="Y360" s="347" t="s">
        <v>205</v>
      </c>
      <c r="Z360" s="350">
        <v>241062</v>
      </c>
      <c r="AA360" s="350">
        <v>10604</v>
      </c>
      <c r="AB360" s="350">
        <v>189940</v>
      </c>
      <c r="AC360" s="385">
        <v>953</v>
      </c>
      <c r="AD360" s="385">
        <v>9</v>
      </c>
      <c r="AE360" s="385">
        <v>17343</v>
      </c>
      <c r="AF360" s="385">
        <v>345</v>
      </c>
      <c r="AG360" s="385">
        <v>143</v>
      </c>
      <c r="AH360" s="385">
        <v>15</v>
      </c>
      <c r="AI360" s="418">
        <v>0</v>
      </c>
    </row>
    <row r="361">
      <c r="A361" s="334"/>
      <c r="B361" s="335" t="s">
        <v>203</v>
      </c>
      <c r="C361" s="374" t="s">
        <v>198</v>
      </c>
      <c r="D361" s="379">
        <v>2478.845</v>
      </c>
      <c r="E361" s="417">
        <v>3</v>
      </c>
      <c r="F361" s="342">
        <f t="shared" si="338"/>
      </c>
      <c r="G361" s="339">
        <v>1884</v>
      </c>
      <c r="H361" s="428">
        <f t="shared" si="4"/>
      </c>
      <c r="I361" s="340">
        <f t="shared" si="21"/>
      </c>
      <c r="J361" s="341">
        <f t="shared" si="158"/>
      </c>
      <c r="K361" s="343">
        <f t="shared" si="190"/>
      </c>
      <c r="L361" s="382">
        <f t="shared" si="175"/>
      </c>
      <c r="M361" s="383">
        <f t="shared" si="255"/>
      </c>
      <c r="N361" s="384">
        <f t="shared" si="225"/>
      </c>
      <c r="O361" s="384">
        <f t="shared" si="240"/>
      </c>
      <c r="P361" s="384">
        <f t="shared" si="272"/>
      </c>
      <c r="Q361" s="384">
        <f t="shared" si="89"/>
      </c>
      <c r="R361" s="383">
        <f t="shared" si="287"/>
      </c>
      <c r="S361" s="381">
        <f t="shared" si="104"/>
      </c>
      <c r="T361" s="384">
        <f t="shared" si="125"/>
      </c>
      <c r="U361" s="384">
        <f t="shared" si="38"/>
      </c>
      <c r="V361" s="384">
        <f t="shared" si="55"/>
      </c>
      <c r="W361" s="384">
        <f t="shared" si="72"/>
      </c>
      <c r="X361" s="360" t="s">
        <v>181</v>
      </c>
      <c r="Y361" s="347" t="s">
        <v>205</v>
      </c>
      <c r="Z361" s="350">
        <v>288892</v>
      </c>
      <c r="AA361" s="350">
        <v>9982</v>
      </c>
      <c r="AB361" s="350">
        <v>234097</v>
      </c>
      <c r="AC361" s="385">
        <v>1267</v>
      </c>
      <c r="AD361" s="385">
        <v>2</v>
      </c>
      <c r="AE361" s="385">
        <v>20820</v>
      </c>
      <c r="AF361" s="385">
        <v>396</v>
      </c>
      <c r="AG361" s="385">
        <v>156</v>
      </c>
      <c r="AH361" s="385">
        <v>23</v>
      </c>
      <c r="AI361" s="418">
        <v>0</v>
      </c>
    </row>
    <row r="362">
      <c r="A362" s="334"/>
      <c r="B362" s="335" t="s">
        <v>203</v>
      </c>
      <c r="C362" s="373" t="s">
        <v>199</v>
      </c>
      <c r="D362" s="379">
        <v>2414.312</v>
      </c>
      <c r="E362" s="417">
        <v>1</v>
      </c>
      <c r="F362" s="342">
        <f t="shared" si="338"/>
      </c>
      <c r="G362" s="339">
        <v>228</v>
      </c>
      <c r="H362" s="428">
        <f t="shared" si="4"/>
      </c>
      <c r="I362" s="340">
        <f t="shared" si="21"/>
      </c>
      <c r="J362" s="341">
        <f t="shared" si="158"/>
      </c>
      <c r="K362" s="343">
        <f t="shared" si="190"/>
      </c>
      <c r="L362" s="382">
        <f t="shared" si="175"/>
      </c>
      <c r="M362" s="383">
        <f t="shared" si="255"/>
      </c>
      <c r="N362" s="384">
        <f t="shared" si="225"/>
      </c>
      <c r="O362" s="384">
        <f t="shared" si="240"/>
      </c>
      <c r="P362" s="384">
        <f t="shared" si="272"/>
      </c>
      <c r="Q362" s="384">
        <f t="shared" si="89"/>
      </c>
      <c r="R362" s="383">
        <f t="shared" si="287"/>
      </c>
      <c r="S362" s="381">
        <f t="shared" si="104"/>
      </c>
      <c r="T362" s="384">
        <f t="shared" si="125"/>
      </c>
      <c r="U362" s="384">
        <f t="shared" si="38"/>
      </c>
      <c r="V362" s="384">
        <f t="shared" si="55"/>
      </c>
      <c r="W362" s="384">
        <f t="shared" si="72"/>
      </c>
      <c r="X362" s="360" t="s">
        <v>181</v>
      </c>
      <c r="Y362" s="347" t="s">
        <v>205</v>
      </c>
      <c r="Z362" s="350">
        <v>308716</v>
      </c>
      <c r="AA362" s="350">
        <v>10639</v>
      </c>
      <c r="AB362" s="350">
        <v>212041</v>
      </c>
      <c r="AC362" s="385">
        <v>1343</v>
      </c>
      <c r="AD362" s="385">
        <v>1</v>
      </c>
      <c r="AE362" s="385">
        <v>20310</v>
      </c>
      <c r="AF362" s="385">
        <v>476</v>
      </c>
      <c r="AG362" s="385">
        <v>147</v>
      </c>
      <c r="AH362" s="385">
        <v>17</v>
      </c>
      <c r="AI362" s="418">
        <v>0</v>
      </c>
    </row>
    <row r="363">
      <c r="A363" s="334"/>
      <c r="B363" s="335" t="s">
        <v>203</v>
      </c>
      <c r="C363" s="386" t="s">
        <v>200</v>
      </c>
      <c r="D363" s="377">
        <v>1947.272</v>
      </c>
      <c r="E363" s="359">
        <v>3</v>
      </c>
      <c r="F363" s="342">
        <f t="shared" si="338"/>
      </c>
      <c r="G363" s="359">
        <v>1284</v>
      </c>
      <c r="H363" s="428">
        <f t="shared" si="4"/>
      </c>
      <c r="I363" s="340">
        <f t="shared" si="21"/>
      </c>
      <c r="J363" s="341">
        <f t="shared" si="158"/>
      </c>
      <c r="K363" s="343">
        <f t="shared" si="190"/>
      </c>
      <c r="L363" s="382">
        <f t="shared" si="175"/>
      </c>
      <c r="M363" s="383">
        <f t="shared" si="255"/>
      </c>
      <c r="N363" s="384">
        <f t="shared" si="225"/>
      </c>
      <c r="O363" s="384">
        <f t="shared" si="240"/>
      </c>
      <c r="P363" s="384">
        <f t="shared" si="272"/>
      </c>
      <c r="Q363" s="384">
        <f t="shared" si="89"/>
      </c>
      <c r="R363" s="383">
        <f t="shared" si="287"/>
      </c>
      <c r="S363" s="381">
        <f t="shared" si="104"/>
      </c>
      <c r="T363" s="384">
        <f t="shared" si="125"/>
      </c>
      <c r="U363" s="384">
        <f t="shared" si="38"/>
      </c>
      <c r="V363" s="384">
        <f t="shared" si="55"/>
      </c>
      <c r="W363" s="384">
        <f t="shared" si="72"/>
      </c>
      <c r="X363" s="360" t="s">
        <v>181</v>
      </c>
      <c r="Y363" s="347" t="s">
        <v>205</v>
      </c>
      <c r="Z363" s="350">
        <v>267759</v>
      </c>
      <c r="AA363" s="350">
        <v>6419</v>
      </c>
      <c r="AB363" s="350">
        <v>101745</v>
      </c>
      <c r="AC363" s="350">
        <v>1150</v>
      </c>
      <c r="AD363" s="350">
        <v>3</v>
      </c>
      <c r="AE363" s="350">
        <v>9013</v>
      </c>
      <c r="AF363" s="350">
        <v>358</v>
      </c>
      <c r="AG363" s="350">
        <v>92</v>
      </c>
      <c r="AH363" s="349">
        <v>15</v>
      </c>
      <c r="AI363" s="418">
        <v>0</v>
      </c>
    </row>
    <row r="364">
      <c r="A364" s="334"/>
      <c r="B364" s="438" t="s">
        <v>203</v>
      </c>
      <c r="C364" s="439" t="s">
        <v>212</v>
      </c>
      <c r="D364" s="440">
        <v>957.595</v>
      </c>
      <c r="E364" s="359">
        <v>9</v>
      </c>
      <c r="F364" s="342">
        <f t="shared" si="338"/>
      </c>
      <c r="G364" s="359">
        <v>4197.0999999999985</v>
      </c>
      <c r="H364" s="430">
        <f t="shared" si="4"/>
      </c>
      <c r="I364" s="340">
        <f t="shared" si="21"/>
      </c>
      <c r="J364" s="341">
        <f t="shared" si="158"/>
      </c>
      <c r="K364" s="343">
        <f t="shared" si="190"/>
      </c>
      <c r="L364" s="382">
        <f t="shared" si="175"/>
      </c>
      <c r="M364" s="383">
        <f t="shared" si="255"/>
      </c>
      <c r="N364" s="384">
        <f t="shared" si="225"/>
      </c>
      <c r="O364" s="384">
        <f t="shared" si="240"/>
      </c>
      <c r="P364" s="384">
        <f t="shared" si="272"/>
      </c>
      <c r="Q364" s="384">
        <f t="shared" si="89"/>
      </c>
      <c r="R364" s="383">
        <f t="shared" si="287"/>
      </c>
      <c r="S364" s="381">
        <f t="shared" si="104"/>
      </c>
      <c r="T364" s="384">
        <f t="shared" si="125"/>
      </c>
      <c r="U364" s="384">
        <f t="shared" si="38"/>
      </c>
      <c r="V364" s="384">
        <f t="shared" si="55"/>
      </c>
      <c r="W364" s="384">
        <f t="shared" si="72"/>
      </c>
      <c r="X364" s="360" t="s">
        <v>181</v>
      </c>
      <c r="Y364" s="347" t="s">
        <v>205</v>
      </c>
      <c r="Z364" s="350">
        <v>123888</v>
      </c>
      <c r="AA364" s="350">
        <v>3049</v>
      </c>
      <c r="AB364" s="350">
        <v>38279</v>
      </c>
      <c r="AC364" s="350">
        <v>631</v>
      </c>
      <c r="AD364" s="350">
        <v>6</v>
      </c>
      <c r="AE364" s="350">
        <v>3224</v>
      </c>
      <c r="AF364" s="350">
        <v>169</v>
      </c>
      <c r="AG364" s="350">
        <v>44</v>
      </c>
      <c r="AH364" s="349">
        <v>7</v>
      </c>
      <c r="AI364" s="418">
        <v>1</v>
      </c>
    </row>
    <row r="365">
      <c r="A365" s="334"/>
      <c r="B365" s="387" t="s">
        <v>187</v>
      </c>
      <c r="C365" s="387"/>
      <c r="D365" s="362">
        <f>SUM(D360:D364)</f>
      </c>
      <c r="E365" s="420">
        <f>SUM(E360:E364)</f>
      </c>
      <c r="F365" s="366">
        <f t="shared" si="338"/>
      </c>
      <c r="G365" s="431">
        <f>SUM(G360:G364)</f>
      </c>
      <c r="H365" s="432">
        <f t="shared" si="4"/>
      </c>
      <c r="I365" s="433">
        <f t="shared" si="21"/>
      </c>
      <c r="J365" s="364">
        <f t="shared" si="158"/>
      </c>
      <c r="K365" s="366">
        <f t="shared" si="190"/>
      </c>
      <c r="L365" s="367">
        <f t="shared" si="175"/>
      </c>
      <c r="M365" s="364">
        <f t="shared" si="255"/>
      </c>
      <c r="N365" s="368">
        <f t="shared" si="225"/>
      </c>
      <c r="O365" s="368">
        <f t="shared" si="240"/>
      </c>
      <c r="P365" s="368">
        <f t="shared" si="272"/>
      </c>
      <c r="Q365" s="368">
        <f t="shared" si="89"/>
      </c>
      <c r="R365" s="364">
        <f t="shared" si="287"/>
      </c>
      <c r="S365" s="366">
        <f t="shared" si="104"/>
      </c>
      <c r="T365" s="368">
        <f t="shared" si="125"/>
      </c>
      <c r="U365" s="368">
        <f t="shared" si="38"/>
      </c>
      <c r="V365" s="368">
        <f t="shared" si="55"/>
      </c>
      <c r="W365" s="368">
        <f t="shared" si="72"/>
      </c>
      <c r="X365" s="368"/>
      <c r="Y365" s="369"/>
      <c r="Z365" s="362">
        <f>SUM(Z360:Z364)</f>
      </c>
      <c r="AA365" s="362">
        <f>SUM(AA360:AA364)</f>
      </c>
      <c r="AB365" s="362">
        <f>SUM(AB360:AB364)</f>
      </c>
      <c r="AC365" s="362">
        <f>SUM(AC360:AC364)</f>
      </c>
      <c r="AD365" s="362">
        <f>SUM(AD360:AD364)</f>
      </c>
      <c r="AE365" s="362">
        <f>SUM(AE360:AE364)</f>
      </c>
      <c r="AF365" s="362">
        <f>SUM(AF360:AF364)</f>
      </c>
      <c r="AG365" s="362">
        <f>SUM(AG360:AG364)</f>
      </c>
      <c r="AH365" s="362">
        <f>SUM(AH360:AH364)</f>
      </c>
      <c r="AI365" s="420">
        <f>SUM(AI360:AI364)</f>
      </c>
    </row>
    <row r="366">
      <c r="A366" s="334"/>
      <c r="B366" s="388" t="s">
        <v>201</v>
      </c>
      <c r="C366" s="388"/>
      <c r="D366" s="389">
        <f>SUM(D365+D350+D354+D359)</f>
      </c>
      <c r="E366" s="389">
        <f>SUM(E365+E350+E354+E359)</f>
      </c>
      <c r="F366" s="393">
        <f t="shared" si="338"/>
      </c>
      <c r="G366" s="434">
        <f>SUM(G365+G350+G354+G359)</f>
      </c>
      <c r="H366" s="441">
        <f t="shared" si="4"/>
      </c>
      <c r="I366" s="436">
        <f t="shared" si="21"/>
      </c>
      <c r="J366" s="391">
        <f t="shared" si="158"/>
      </c>
      <c r="K366" s="393">
        <f t="shared" si="190"/>
      </c>
      <c r="L366" s="394">
        <f t="shared" si="175"/>
      </c>
      <c r="M366" s="394">
        <f t="shared" si="255"/>
      </c>
      <c r="N366" s="395">
        <f t="shared" si="225"/>
      </c>
      <c r="O366" s="395">
        <f t="shared" si="240"/>
      </c>
      <c r="P366" s="395">
        <f t="shared" si="272"/>
      </c>
      <c r="Q366" s="395">
        <f t="shared" si="89"/>
      </c>
      <c r="R366" s="396">
        <f t="shared" si="287"/>
      </c>
      <c r="S366" s="397">
        <f t="shared" si="104"/>
      </c>
      <c r="T366" s="398">
        <f t="shared" si="125"/>
      </c>
      <c r="U366" s="398">
        <f t="shared" si="38"/>
      </c>
      <c r="V366" s="398">
        <f t="shared" si="55"/>
      </c>
      <c r="W366" s="398">
        <f t="shared" si="72"/>
      </c>
      <c r="X366" s="398"/>
      <c r="Y366" s="399"/>
      <c r="Z366" s="390">
        <f>SUM(Z350+Z365+Z354+Z359)</f>
      </c>
      <c r="AA366" s="390">
        <f>SUM(AA350+AA365+AA354+AA359)</f>
      </c>
      <c r="AB366" s="390">
        <f>SUM(AB350+AB365+AB354+AB359)</f>
      </c>
      <c r="AC366" s="390">
        <f>SUM(AC350+AC365+AC354+AC359)</f>
      </c>
      <c r="AD366" s="390">
        <f>SUM(AD350+AD365+AD354+AD359)</f>
      </c>
      <c r="AE366" s="390">
        <f>SUM(AE350+AE365+AE354+AE359)</f>
      </c>
      <c r="AF366" s="390">
        <f>SUM(AF350+AF365+AF354+AF359)</f>
      </c>
      <c r="AG366" s="390">
        <f>SUM(AG350+AG365+AG354+AG359)</f>
      </c>
      <c r="AH366" s="390">
        <f>SUM(AH350+AH365+AH354+AH359)</f>
      </c>
      <c r="AI366" s="390">
        <f>SUM(AI350+AI365+AI354+AI359)</f>
      </c>
    </row>
    <row r="367">
      <c r="A367" s="319" t="s">
        <v>145</v>
      </c>
      <c r="B367" s="320" t="s">
        <v>146</v>
      </c>
      <c r="C367" s="321" t="s">
        <v>147</v>
      </c>
      <c r="D367" s="322" t="s">
        <v>148</v>
      </c>
      <c r="E367" s="426" t="s">
        <v>213</v>
      </c>
      <c r="F367" s="427" t="s">
        <v>214</v>
      </c>
      <c r="G367" s="324" t="s">
        <v>150</v>
      </c>
      <c r="H367" s="427" t="s">
        <v>215</v>
      </c>
      <c r="I367" s="324" t="s">
        <v>151</v>
      </c>
      <c r="J367" s="325" t="s">
        <v>152</v>
      </c>
      <c r="K367" s="325" t="s">
        <v>154</v>
      </c>
      <c r="L367" s="326" t="s">
        <v>155</v>
      </c>
      <c r="M367" s="326" t="s">
        <v>156</v>
      </c>
      <c r="N367" s="326" t="s">
        <v>157</v>
      </c>
      <c r="O367" s="326" t="s">
        <v>158</v>
      </c>
      <c r="P367" s="326" t="s">
        <v>159</v>
      </c>
      <c r="Q367" s="326" t="s">
        <v>160</v>
      </c>
      <c r="R367" s="326" t="s">
        <v>161</v>
      </c>
      <c r="S367" s="326" t="s">
        <v>162</v>
      </c>
      <c r="T367" s="327" t="s">
        <v>163</v>
      </c>
      <c r="U367" s="327" t="s">
        <v>164</v>
      </c>
      <c r="V367" s="327" t="s">
        <v>165</v>
      </c>
      <c r="W367" s="327" t="s">
        <v>166</v>
      </c>
      <c r="X367" s="328" t="s">
        <v>167</v>
      </c>
      <c r="Y367" s="328" t="s">
        <v>168</v>
      </c>
      <c r="Z367" s="329" t="s">
        <v>169</v>
      </c>
      <c r="AA367" s="329" t="s">
        <v>170</v>
      </c>
      <c r="AB367" s="329" t="s">
        <v>171</v>
      </c>
      <c r="AC367" s="330" t="s">
        <v>172</v>
      </c>
      <c r="AD367" s="330" t="s">
        <v>173</v>
      </c>
      <c r="AE367" s="331" t="s">
        <v>174</v>
      </c>
      <c r="AF367" s="330" t="s">
        <v>175</v>
      </c>
      <c r="AG367" s="330" t="s">
        <v>176</v>
      </c>
      <c r="AH367" s="332" t="s">
        <v>177</v>
      </c>
      <c r="AI367" s="333" t="s">
        <v>178</v>
      </c>
    </row>
    <row r="368">
      <c r="A368" s="334">
        <v>46254</v>
      </c>
      <c r="B368" s="415" t="s">
        <v>188</v>
      </c>
      <c r="C368" s="354" t="s">
        <v>180</v>
      </c>
      <c r="D368" s="337">
        <v>2296.2619999999997</v>
      </c>
      <c r="E368" s="417">
        <v>5</v>
      </c>
      <c r="F368" s="342">
        <f t="shared" ref="F368:F388" si="339">D368/E368</f>
      </c>
      <c r="G368" s="339">
        <v>1634.3</v>
      </c>
      <c r="H368" s="428">
        <f t="shared" ref="H368:H388" si="5">AD368</f>
      </c>
      <c r="I368" s="340">
        <f t="shared" ref="I368:I388" si="22">D368/AD368</f>
      </c>
      <c r="J368" s="341">
        <f t="shared" ref="J368:J388" si="159">G368/E368</f>
      </c>
      <c r="K368" s="343">
        <f t="shared" ref="K368:K388" si="191">G368/D368</f>
      </c>
      <c r="L368" s="344">
        <f t="shared" ref="L368:L388" si="176">D368/AB368</f>
      </c>
      <c r="M368" s="341">
        <f t="shared" ref="M368:M388" si="256">D368/AC368</f>
      </c>
      <c r="N368" s="345">
        <f t="shared" ref="N368:N388" si="226">AC368/AB368</f>
      </c>
      <c r="O368" s="345">
        <f t="shared" ref="O368:O388" si="241">AD368/AC368</f>
      </c>
      <c r="P368" s="345">
        <f t="shared" ref="P368:P388" si="273">AA368/Z368</f>
      </c>
      <c r="Q368" s="345">
        <f t="shared" ref="Q368:Q388" si="90">AD368/AA368</f>
      </c>
      <c r="R368" s="341">
        <f t="shared" ref="R368:R388" si="288">D368/Z368*1000</f>
      </c>
      <c r="S368" s="343">
        <f t="shared" ref="S368:S388" si="105">D368/AA368</f>
      </c>
      <c r="T368" s="345">
        <f t="shared" ref="T368:T388" si="126">AE368/AB368</f>
      </c>
      <c r="U368" s="345">
        <f t="shared" ref="U368:U388" si="39">AF368/AB368</f>
      </c>
      <c r="V368" s="345">
        <f t="shared" ref="V368:V388" si="56">AG368/AB368</f>
      </c>
      <c r="W368" s="345">
        <f t="shared" ref="W368:W388" si="73">AH368/AB368</f>
      </c>
      <c r="X368" s="346" t="s">
        <v>181</v>
      </c>
      <c r="Y368" s="347" t="s">
        <v>193</v>
      </c>
      <c r="Z368" s="348">
        <v>170411</v>
      </c>
      <c r="AA368" s="348">
        <v>4201</v>
      </c>
      <c r="AB368" s="348">
        <v>80815</v>
      </c>
      <c r="AC368" s="348">
        <v>1362</v>
      </c>
      <c r="AD368" s="349">
        <v>4</v>
      </c>
      <c r="AE368" s="348">
        <v>17302</v>
      </c>
      <c r="AF368" s="350">
        <v>446</v>
      </c>
      <c r="AG368" s="350">
        <v>125</v>
      </c>
      <c r="AH368" s="350">
        <v>18</v>
      </c>
      <c r="AI368" s="418">
        <v>1</v>
      </c>
    </row>
    <row r="369">
      <c r="A369" s="334"/>
      <c r="B369" s="415" t="s">
        <v>188</v>
      </c>
      <c r="C369" s="336" t="s">
        <v>183</v>
      </c>
      <c r="D369" s="377">
        <v>1545.283</v>
      </c>
      <c r="E369" s="359">
        <v>7</v>
      </c>
      <c r="F369" s="342">
        <f t="shared" si="339"/>
      </c>
      <c r="G369" s="359">
        <v>2089.2</v>
      </c>
      <c r="H369" s="428">
        <f t="shared" si="5"/>
      </c>
      <c r="I369" s="340">
        <f t="shared" si="22"/>
      </c>
      <c r="J369" s="341">
        <f t="shared" si="159"/>
      </c>
      <c r="K369" s="343">
        <f t="shared" si="191"/>
      </c>
      <c r="L369" s="344">
        <f t="shared" si="176"/>
      </c>
      <c r="M369" s="341">
        <f t="shared" si="256"/>
      </c>
      <c r="N369" s="345">
        <f t="shared" si="226"/>
      </c>
      <c r="O369" s="345">
        <f t="shared" si="241"/>
      </c>
      <c r="P369" s="345">
        <f t="shared" si="273"/>
      </c>
      <c r="Q369" s="345">
        <f t="shared" si="90"/>
      </c>
      <c r="R369" s="341">
        <f t="shared" si="288"/>
      </c>
      <c r="S369" s="343">
        <f t="shared" si="105"/>
      </c>
      <c r="T369" s="345">
        <f t="shared" si="126"/>
      </c>
      <c r="U369" s="345">
        <f t="shared" si="39"/>
      </c>
      <c r="V369" s="345">
        <f t="shared" si="56"/>
      </c>
      <c r="W369" s="345">
        <f t="shared" si="73"/>
      </c>
      <c r="X369" s="360" t="s">
        <v>181</v>
      </c>
      <c r="Y369" s="347" t="s">
        <v>193</v>
      </c>
      <c r="Z369" s="350">
        <v>114269</v>
      </c>
      <c r="AA369" s="350">
        <v>3390</v>
      </c>
      <c r="AB369" s="350">
        <v>45282</v>
      </c>
      <c r="AC369" s="350">
        <v>1051</v>
      </c>
      <c r="AD369" s="349">
        <v>7</v>
      </c>
      <c r="AE369" s="350">
        <v>7985</v>
      </c>
      <c r="AF369" s="350">
        <v>314</v>
      </c>
      <c r="AG369" s="350">
        <v>55</v>
      </c>
      <c r="AH369" s="350">
        <v>8</v>
      </c>
      <c r="AI369" s="418">
        <v>1</v>
      </c>
    </row>
    <row r="370">
      <c r="A370" s="334"/>
      <c r="B370" s="415" t="s">
        <v>188</v>
      </c>
      <c r="C370" s="351" t="s">
        <v>184</v>
      </c>
      <c r="D370" s="377">
        <v>1860.015</v>
      </c>
      <c r="E370" s="359">
        <v>8</v>
      </c>
      <c r="F370" s="342">
        <f t="shared" si="339"/>
      </c>
      <c r="G370" s="359">
        <v>4660.299999999999</v>
      </c>
      <c r="H370" s="428">
        <f t="shared" si="5"/>
      </c>
      <c r="I370" s="340">
        <f t="shared" si="22"/>
      </c>
      <c r="J370" s="341">
        <f t="shared" si="159"/>
      </c>
      <c r="K370" s="343">
        <f t="shared" si="191"/>
      </c>
      <c r="L370" s="344">
        <f t="shared" si="176"/>
      </c>
      <c r="M370" s="341">
        <f t="shared" si="256"/>
      </c>
      <c r="N370" s="345">
        <f t="shared" si="226"/>
      </c>
      <c r="O370" s="345">
        <f t="shared" si="241"/>
      </c>
      <c r="P370" s="345">
        <f t="shared" si="273"/>
      </c>
      <c r="Q370" s="345">
        <f t="shared" si="90"/>
      </c>
      <c r="R370" s="341">
        <f t="shared" si="288"/>
      </c>
      <c r="S370" s="343">
        <f t="shared" si="105"/>
      </c>
      <c r="T370" s="345">
        <f t="shared" si="126"/>
      </c>
      <c r="U370" s="345">
        <f t="shared" si="39"/>
      </c>
      <c r="V370" s="345">
        <f t="shared" si="56"/>
      </c>
      <c r="W370" s="345">
        <f t="shared" si="73"/>
      </c>
      <c r="X370" s="360" t="s">
        <v>181</v>
      </c>
      <c r="Y370" s="347" t="s">
        <v>193</v>
      </c>
      <c r="Z370" s="350">
        <v>119882</v>
      </c>
      <c r="AA370" s="350">
        <v>4113</v>
      </c>
      <c r="AB370" s="350">
        <v>56902</v>
      </c>
      <c r="AC370" s="350">
        <v>1017</v>
      </c>
      <c r="AD370" s="350">
        <v>5</v>
      </c>
      <c r="AE370" s="350">
        <v>10308</v>
      </c>
      <c r="AF370" s="350">
        <v>345</v>
      </c>
      <c r="AG370" s="350">
        <v>71</v>
      </c>
      <c r="AH370" s="350">
        <v>11</v>
      </c>
      <c r="AI370" s="418">
        <v>3</v>
      </c>
    </row>
    <row r="371">
      <c r="A371" s="334"/>
      <c r="B371" s="415" t="s">
        <v>188</v>
      </c>
      <c r="C371" s="416" t="s">
        <v>185</v>
      </c>
      <c r="D371" s="377">
        <v>2427.559</v>
      </c>
      <c r="E371" s="359">
        <v>5</v>
      </c>
      <c r="F371" s="342">
        <f t="shared" si="339"/>
      </c>
      <c r="G371" s="359">
        <v>2863.2000000000007</v>
      </c>
      <c r="H371" s="428">
        <f t="shared" si="5"/>
      </c>
      <c r="I371" s="340">
        <f t="shared" si="22"/>
      </c>
      <c r="J371" s="341">
        <f t="shared" si="159"/>
      </c>
      <c r="K371" s="343">
        <f t="shared" si="191"/>
      </c>
      <c r="L371" s="344">
        <f t="shared" si="176"/>
      </c>
      <c r="M371" s="341">
        <f t="shared" si="256"/>
      </c>
      <c r="N371" s="345">
        <f t="shared" si="226"/>
      </c>
      <c r="O371" s="345">
        <f t="shared" si="241"/>
      </c>
      <c r="P371" s="345">
        <f t="shared" si="273"/>
      </c>
      <c r="Q371" s="345">
        <f t="shared" si="90"/>
      </c>
      <c r="R371" s="341">
        <f t="shared" si="288"/>
      </c>
      <c r="S371" s="343">
        <f t="shared" si="105"/>
      </c>
      <c r="T371" s="345">
        <f t="shared" si="126"/>
      </c>
      <c r="U371" s="345">
        <f t="shared" si="39"/>
      </c>
      <c r="V371" s="345">
        <f t="shared" si="56"/>
      </c>
      <c r="W371" s="345">
        <f t="shared" si="73"/>
      </c>
      <c r="X371" s="360" t="s">
        <v>181</v>
      </c>
      <c r="Y371" s="347" t="s">
        <v>193</v>
      </c>
      <c r="Z371" s="350">
        <v>191605</v>
      </c>
      <c r="AA371" s="350">
        <v>7289</v>
      </c>
      <c r="AB371" s="350">
        <v>114504</v>
      </c>
      <c r="AC371" s="350">
        <v>1348</v>
      </c>
      <c r="AD371" s="350">
        <v>3</v>
      </c>
      <c r="AE371" s="350">
        <v>18386</v>
      </c>
      <c r="AF371" s="350">
        <v>351</v>
      </c>
      <c r="AG371" s="350">
        <v>130</v>
      </c>
      <c r="AH371" s="349">
        <v>24</v>
      </c>
      <c r="AI371" s="418">
        <v>2</v>
      </c>
    </row>
    <row r="372">
      <c r="A372" s="334"/>
      <c r="B372" s="387" t="s">
        <v>187</v>
      </c>
      <c r="C372" s="387"/>
      <c r="D372" s="362">
        <f>SUM(D368:D371)</f>
      </c>
      <c r="E372" s="437">
        <f>SUM(E368:E371)</f>
      </c>
      <c r="F372" s="365">
        <f t="shared" si="339"/>
      </c>
      <c r="G372" s="362">
        <f>SUM(G368:G371)</f>
      </c>
      <c r="H372" s="429">
        <f t="shared" si="5"/>
      </c>
      <c r="I372" s="362">
        <f t="shared" si="22"/>
      </c>
      <c r="J372" s="364">
        <f t="shared" si="159"/>
      </c>
      <c r="K372" s="366">
        <f t="shared" si="191"/>
      </c>
      <c r="L372" s="367">
        <f t="shared" si="176"/>
      </c>
      <c r="M372" s="364">
        <f t="shared" si="256"/>
      </c>
      <c r="N372" s="368">
        <f t="shared" si="226"/>
      </c>
      <c r="O372" s="368">
        <f t="shared" si="241"/>
      </c>
      <c r="P372" s="368">
        <f t="shared" si="273"/>
      </c>
      <c r="Q372" s="368">
        <f t="shared" si="90"/>
      </c>
      <c r="R372" s="364">
        <f t="shared" si="288"/>
      </c>
      <c r="S372" s="366">
        <f t="shared" si="105"/>
      </c>
      <c r="T372" s="368">
        <f t="shared" si="126"/>
      </c>
      <c r="U372" s="368">
        <f t="shared" si="39"/>
      </c>
      <c r="V372" s="368">
        <f t="shared" si="56"/>
      </c>
      <c r="W372" s="368">
        <f t="shared" si="73"/>
      </c>
      <c r="X372" s="368"/>
      <c r="Y372" s="369"/>
      <c r="Z372" s="362">
        <f>SUM(Z368:Z371)</f>
      </c>
      <c r="AA372" s="362">
        <f>SUM(AA368:AA371)</f>
      </c>
      <c r="AB372" s="362">
        <f>SUM(AB368:AB371)</f>
      </c>
      <c r="AC372" s="362">
        <f>SUM(AC368:AC371)</f>
      </c>
      <c r="AD372" s="362">
        <f>SUM(AD368:AD371)</f>
      </c>
      <c r="AE372" s="362">
        <f>SUM(AE368:AE371)</f>
      </c>
      <c r="AF372" s="362">
        <f>SUM(AF368:AF371)</f>
      </c>
      <c r="AG372" s="362">
        <f>SUM(AG368:AG371)</f>
      </c>
      <c r="AH372" s="362">
        <f>SUM(AH368:AH371)</f>
      </c>
      <c r="AI372" s="362">
        <f>SUM(AI368:AI371)</f>
      </c>
    </row>
    <row r="373">
      <c r="A373" s="334"/>
      <c r="B373" s="335" t="s">
        <v>208</v>
      </c>
      <c r="C373" s="416" t="s">
        <v>186</v>
      </c>
      <c r="D373" s="371">
        <v>1581.6509999999998</v>
      </c>
      <c r="E373" s="417">
        <v>8</v>
      </c>
      <c r="F373" s="342">
        <f t="shared" si="339"/>
      </c>
      <c r="G373" s="339">
        <v>3585.6000000000004</v>
      </c>
      <c r="H373" s="428">
        <f t="shared" si="5"/>
      </c>
      <c r="I373" s="340">
        <f t="shared" si="22"/>
      </c>
      <c r="J373" s="341">
        <f t="shared" si="159"/>
      </c>
      <c r="K373" s="343">
        <f t="shared" si="191"/>
      </c>
      <c r="L373" s="344">
        <f t="shared" si="176"/>
      </c>
      <c r="M373" s="341">
        <f t="shared" si="256"/>
      </c>
      <c r="N373" s="345">
        <f t="shared" si="226"/>
      </c>
      <c r="O373" s="345">
        <f t="shared" si="241"/>
      </c>
      <c r="P373" s="345">
        <f t="shared" si="273"/>
      </c>
      <c r="Q373" s="345">
        <f t="shared" si="90"/>
      </c>
      <c r="R373" s="341">
        <f t="shared" si="288"/>
      </c>
      <c r="S373" s="343">
        <f t="shared" si="105"/>
      </c>
      <c r="T373" s="345">
        <f t="shared" si="126"/>
      </c>
      <c r="U373" s="345">
        <f t="shared" si="39"/>
      </c>
      <c r="V373" s="345">
        <f t="shared" si="56"/>
      </c>
      <c r="W373" s="345">
        <f t="shared" si="73"/>
      </c>
      <c r="X373" s="360" t="s">
        <v>181</v>
      </c>
      <c r="Y373" s="347" t="s">
        <v>193</v>
      </c>
      <c r="Z373" s="348">
        <v>176839</v>
      </c>
      <c r="AA373" s="348">
        <v>4991</v>
      </c>
      <c r="AB373" s="348">
        <v>64510</v>
      </c>
      <c r="AC373" s="350">
        <v>958</v>
      </c>
      <c r="AD373" s="350">
        <v>7</v>
      </c>
      <c r="AE373" s="348">
        <v>7775</v>
      </c>
      <c r="AF373" s="350">
        <v>227</v>
      </c>
      <c r="AG373" s="350">
        <v>56</v>
      </c>
      <c r="AH373" s="350">
        <v>19</v>
      </c>
      <c r="AI373" s="418">
        <v>1</v>
      </c>
    </row>
    <row r="374">
      <c r="A374" s="334"/>
      <c r="B374" s="335" t="s">
        <v>208</v>
      </c>
      <c r="C374" s="370" t="s">
        <v>189</v>
      </c>
      <c r="D374" s="371">
        <v>1206.56</v>
      </c>
      <c r="E374" s="419">
        <v>3</v>
      </c>
      <c r="F374" s="342">
        <f t="shared" si="339"/>
      </c>
      <c r="G374" s="359">
        <v>652</v>
      </c>
      <c r="H374" s="428">
        <f t="shared" si="5"/>
      </c>
      <c r="I374" s="340">
        <f t="shared" si="22"/>
      </c>
      <c r="J374" s="341">
        <f t="shared" si="159"/>
      </c>
      <c r="K374" s="343">
        <f t="shared" si="191"/>
      </c>
      <c r="L374" s="344">
        <f t="shared" si="176"/>
      </c>
      <c r="M374" s="341">
        <f t="shared" si="256"/>
      </c>
      <c r="N374" s="345">
        <f t="shared" si="226"/>
      </c>
      <c r="O374" s="345">
        <f t="shared" si="241"/>
      </c>
      <c r="P374" s="345">
        <f t="shared" si="273"/>
      </c>
      <c r="Q374" s="345">
        <f t="shared" si="90"/>
      </c>
      <c r="R374" s="341">
        <f t="shared" si="288"/>
      </c>
      <c r="S374" s="343">
        <f t="shared" si="105"/>
      </c>
      <c r="T374" s="345">
        <f t="shared" si="126"/>
      </c>
      <c r="U374" s="345">
        <f t="shared" si="39"/>
      </c>
      <c r="V374" s="345">
        <f t="shared" si="56"/>
      </c>
      <c r="W374" s="345">
        <f t="shared" si="73"/>
      </c>
      <c r="X374" s="360" t="s">
        <v>181</v>
      </c>
      <c r="Y374" s="347" t="s">
        <v>193</v>
      </c>
      <c r="Z374" s="350">
        <v>126931</v>
      </c>
      <c r="AA374" s="350">
        <v>3946</v>
      </c>
      <c r="AB374" s="350">
        <v>59293</v>
      </c>
      <c r="AC374" s="350">
        <v>803</v>
      </c>
      <c r="AD374" s="350">
        <v>2</v>
      </c>
      <c r="AE374" s="350">
        <v>5588</v>
      </c>
      <c r="AF374" s="350">
        <v>187</v>
      </c>
      <c r="AG374" s="350">
        <v>58</v>
      </c>
      <c r="AH374" s="350">
        <v>14</v>
      </c>
      <c r="AI374" s="418">
        <v>0</v>
      </c>
    </row>
    <row r="375">
      <c r="A375" s="334"/>
      <c r="B375" s="335" t="s">
        <v>208</v>
      </c>
      <c r="C375" s="372" t="s">
        <v>190</v>
      </c>
      <c r="D375" s="371">
        <v>1620.587</v>
      </c>
      <c r="E375" s="419">
        <v>7</v>
      </c>
      <c r="F375" s="342">
        <f t="shared" si="339"/>
      </c>
      <c r="G375" s="359">
        <v>1511.4999999999982</v>
      </c>
      <c r="H375" s="428">
        <f t="shared" si="5"/>
      </c>
      <c r="I375" s="340">
        <f t="shared" si="22"/>
      </c>
      <c r="J375" s="341">
        <f t="shared" si="159"/>
      </c>
      <c r="K375" s="343">
        <f t="shared" si="191"/>
      </c>
      <c r="L375" s="344">
        <f t="shared" si="176"/>
      </c>
      <c r="M375" s="341">
        <f t="shared" si="256"/>
      </c>
      <c r="N375" s="345">
        <f t="shared" si="226"/>
      </c>
      <c r="O375" s="345">
        <f t="shared" si="241"/>
      </c>
      <c r="P375" s="345">
        <f t="shared" si="273"/>
      </c>
      <c r="Q375" s="345">
        <f t="shared" si="90"/>
      </c>
      <c r="R375" s="341">
        <f t="shared" si="288"/>
      </c>
      <c r="S375" s="343">
        <f t="shared" si="105"/>
      </c>
      <c r="T375" s="345">
        <f t="shared" si="126"/>
      </c>
      <c r="U375" s="345">
        <f t="shared" si="39"/>
      </c>
      <c r="V375" s="345">
        <f t="shared" si="56"/>
      </c>
      <c r="W375" s="345">
        <f t="shared" si="73"/>
      </c>
      <c r="X375" s="360" t="s">
        <v>181</v>
      </c>
      <c r="Y375" s="347" t="s">
        <v>193</v>
      </c>
      <c r="Z375" s="350">
        <v>176642</v>
      </c>
      <c r="AA375" s="350">
        <v>7777</v>
      </c>
      <c r="AB375" s="350">
        <v>92356</v>
      </c>
      <c r="AC375" s="350">
        <v>951</v>
      </c>
      <c r="AD375" s="350">
        <v>7</v>
      </c>
      <c r="AE375" s="350">
        <v>8193</v>
      </c>
      <c r="AF375" s="350">
        <v>255</v>
      </c>
      <c r="AG375" s="350">
        <v>82</v>
      </c>
      <c r="AH375" s="350">
        <v>15</v>
      </c>
      <c r="AI375" s="418">
        <v>2</v>
      </c>
    </row>
    <row customHeight="true" ht="16.071428571428573" r="376">
      <c r="A376" s="334"/>
      <c r="B376" s="335" t="s">
        <v>208</v>
      </c>
      <c r="C376" s="373" t="s">
        <v>191</v>
      </c>
      <c r="D376" s="377">
        <v>2089.022</v>
      </c>
      <c r="E376" s="359">
        <v>11</v>
      </c>
      <c r="F376" s="342">
        <f t="shared" si="339"/>
      </c>
      <c r="G376" s="359">
        <v>3563.9000000000015</v>
      </c>
      <c r="H376" s="428">
        <f t="shared" si="5"/>
      </c>
      <c r="I376" s="340">
        <f t="shared" si="22"/>
      </c>
      <c r="J376" s="341">
        <f t="shared" si="159"/>
      </c>
      <c r="K376" s="343">
        <f t="shared" si="191"/>
      </c>
      <c r="L376" s="344">
        <f t="shared" si="176"/>
      </c>
      <c r="M376" s="341">
        <f t="shared" si="256"/>
      </c>
      <c r="N376" s="345">
        <f t="shared" si="226"/>
      </c>
      <c r="O376" s="345">
        <f t="shared" si="241"/>
      </c>
      <c r="P376" s="345">
        <f t="shared" si="273"/>
      </c>
      <c r="Q376" s="345">
        <f t="shared" si="90"/>
      </c>
      <c r="R376" s="341">
        <f t="shared" si="288"/>
      </c>
      <c r="S376" s="343">
        <f t="shared" si="105"/>
      </c>
      <c r="T376" s="345">
        <f t="shared" si="126"/>
      </c>
      <c r="U376" s="345">
        <f t="shared" si="39"/>
      </c>
      <c r="V376" s="345">
        <f t="shared" si="56"/>
      </c>
      <c r="W376" s="345">
        <f t="shared" si="73"/>
      </c>
      <c r="X376" s="360" t="s">
        <v>181</v>
      </c>
      <c r="Y376" s="347" t="s">
        <v>193</v>
      </c>
      <c r="Z376" s="350">
        <v>216880</v>
      </c>
      <c r="AA376" s="350">
        <v>9534</v>
      </c>
      <c r="AB376" s="350">
        <v>96895</v>
      </c>
      <c r="AC376" s="350">
        <v>1269</v>
      </c>
      <c r="AD376" s="350">
        <v>8</v>
      </c>
      <c r="AE376" s="350">
        <v>9872</v>
      </c>
      <c r="AF376" s="350">
        <v>367</v>
      </c>
      <c r="AG376" s="350">
        <v>109</v>
      </c>
      <c r="AH376" s="349">
        <v>15</v>
      </c>
      <c r="AI376" s="418">
        <v>2</v>
      </c>
    </row>
    <row r="377">
      <c r="A377" s="334"/>
      <c r="B377" s="387" t="s">
        <v>187</v>
      </c>
      <c r="C377" s="387"/>
      <c r="D377" s="362">
        <f>SUM(D373:D376)</f>
      </c>
      <c r="E377" s="420">
        <f>SUM(E373:E376)</f>
      </c>
      <c r="F377" s="365">
        <f t="shared" si="339"/>
      </c>
      <c r="G377" s="362">
        <f>SUM(G373:G376)</f>
      </c>
      <c r="H377" s="429">
        <f t="shared" si="5"/>
      </c>
      <c r="I377" s="362">
        <f t="shared" si="22"/>
      </c>
      <c r="J377" s="364">
        <f t="shared" si="159"/>
      </c>
      <c r="K377" s="366">
        <f t="shared" si="191"/>
      </c>
      <c r="L377" s="367">
        <f t="shared" si="176"/>
      </c>
      <c r="M377" s="364">
        <f t="shared" si="256"/>
      </c>
      <c r="N377" s="368">
        <f t="shared" si="226"/>
      </c>
      <c r="O377" s="368">
        <f t="shared" si="241"/>
      </c>
      <c r="P377" s="368">
        <f t="shared" si="273"/>
      </c>
      <c r="Q377" s="368">
        <f t="shared" si="90"/>
      </c>
      <c r="R377" s="364">
        <f t="shared" si="288"/>
      </c>
      <c r="S377" s="366">
        <f t="shared" si="105"/>
      </c>
      <c r="T377" s="368">
        <f t="shared" si="126"/>
      </c>
      <c r="U377" s="368">
        <f t="shared" si="39"/>
      </c>
      <c r="V377" s="368">
        <f t="shared" si="56"/>
      </c>
      <c r="W377" s="368">
        <f t="shared" si="73"/>
      </c>
      <c r="X377" s="368"/>
      <c r="Y377" s="369"/>
      <c r="Z377" s="362">
        <f>SUM(Z373:Z376)</f>
      </c>
      <c r="AA377" s="362">
        <f>SUM(AA373:AA376)</f>
      </c>
      <c r="AB377" s="362">
        <f>SUM(AB373:AB376)</f>
      </c>
      <c r="AC377" s="362">
        <f>SUM(AC373:AC376)</f>
      </c>
      <c r="AD377" s="362">
        <f>SUM(AD373:AD376)</f>
      </c>
      <c r="AE377" s="362">
        <f>SUM(AE373:AE376)</f>
      </c>
      <c r="AF377" s="362">
        <f>SUM(AF373:AF376)</f>
      </c>
      <c r="AG377" s="362">
        <f>SUM(AG373:AG376)</f>
      </c>
      <c r="AH377" s="362">
        <f>SUM(AH373:AH376)</f>
      </c>
      <c r="AI377" s="420">
        <f>SUM(AI373:AI376)</f>
      </c>
    </row>
    <row r="378">
      <c r="A378" s="334"/>
      <c r="B378" s="335" t="s">
        <v>203</v>
      </c>
      <c r="C378" s="374" t="s">
        <v>192</v>
      </c>
      <c r="D378" s="377">
        <v>2489.4939999999997</v>
      </c>
      <c r="E378" s="359">
        <v>8</v>
      </c>
      <c r="F378" s="342">
        <f t="shared" si="339"/>
      </c>
      <c r="G378" s="359">
        <v>2920.2000000000007</v>
      </c>
      <c r="H378" s="428">
        <f t="shared" si="5"/>
      </c>
      <c r="I378" s="340">
        <f t="shared" si="22"/>
      </c>
      <c r="J378" s="341">
        <f t="shared" si="159"/>
      </c>
      <c r="K378" s="343">
        <f t="shared" si="191"/>
      </c>
      <c r="L378" s="344">
        <f t="shared" si="176"/>
      </c>
      <c r="M378" s="341">
        <f t="shared" si="256"/>
      </c>
      <c r="N378" s="345">
        <f t="shared" si="226"/>
      </c>
      <c r="O378" s="345">
        <f t="shared" si="241"/>
      </c>
      <c r="P378" s="345">
        <f t="shared" si="273"/>
      </c>
      <c r="Q378" s="345">
        <f t="shared" si="90"/>
      </c>
      <c r="R378" s="341">
        <f t="shared" si="288"/>
      </c>
      <c r="S378" s="343">
        <f t="shared" si="105"/>
      </c>
      <c r="T378" s="345">
        <f t="shared" si="126"/>
      </c>
      <c r="U378" s="345">
        <f t="shared" si="39"/>
      </c>
      <c r="V378" s="345">
        <f t="shared" si="56"/>
      </c>
      <c r="W378" s="345">
        <f t="shared" si="73"/>
      </c>
      <c r="X378" s="360" t="s">
        <v>181</v>
      </c>
      <c r="Y378" s="347" t="s">
        <v>205</v>
      </c>
      <c r="Z378" s="350">
        <v>230868</v>
      </c>
      <c r="AA378" s="350">
        <v>11180</v>
      </c>
      <c r="AB378" s="350">
        <v>108776</v>
      </c>
      <c r="AC378" s="350">
        <v>1611</v>
      </c>
      <c r="AD378" s="349">
        <v>6</v>
      </c>
      <c r="AE378" s="350">
        <v>12720</v>
      </c>
      <c r="AF378" s="350">
        <v>410</v>
      </c>
      <c r="AG378" s="350">
        <v>157</v>
      </c>
      <c r="AH378" s="350">
        <v>13</v>
      </c>
      <c r="AI378" s="418">
        <v>1</v>
      </c>
    </row>
    <row r="379">
      <c r="A379" s="334"/>
      <c r="B379" s="335" t="s">
        <v>203</v>
      </c>
      <c r="C379" s="375" t="s">
        <v>194</v>
      </c>
      <c r="D379" s="377">
        <v>3226.17</v>
      </c>
      <c r="E379" s="359">
        <v>10</v>
      </c>
      <c r="F379" s="342">
        <f t="shared" si="339"/>
      </c>
      <c r="G379" s="359">
        <v>4492</v>
      </c>
      <c r="H379" s="428">
        <f t="shared" si="5"/>
      </c>
      <c r="I379" s="340">
        <f t="shared" si="22"/>
      </c>
      <c r="J379" s="341">
        <f t="shared" si="159"/>
      </c>
      <c r="K379" s="343">
        <f t="shared" si="191"/>
      </c>
      <c r="L379" s="344">
        <f t="shared" si="176"/>
      </c>
      <c r="M379" s="341">
        <f t="shared" si="256"/>
      </c>
      <c r="N379" s="345">
        <f t="shared" si="226"/>
      </c>
      <c r="O379" s="345">
        <f t="shared" si="241"/>
      </c>
      <c r="P379" s="345">
        <f t="shared" si="273"/>
      </c>
      <c r="Q379" s="345">
        <f t="shared" si="90"/>
      </c>
      <c r="R379" s="341">
        <f t="shared" si="288"/>
      </c>
      <c r="S379" s="343">
        <f t="shared" si="105"/>
      </c>
      <c r="T379" s="345">
        <f t="shared" si="126"/>
      </c>
      <c r="U379" s="345">
        <f t="shared" si="39"/>
      </c>
      <c r="V379" s="345">
        <f t="shared" si="56"/>
      </c>
      <c r="W379" s="345">
        <f t="shared" si="73"/>
      </c>
      <c r="X379" s="360" t="s">
        <v>181</v>
      </c>
      <c r="Y379" s="347" t="s">
        <v>205</v>
      </c>
      <c r="Z379" s="350">
        <v>262753</v>
      </c>
      <c r="AA379" s="350">
        <v>14209</v>
      </c>
      <c r="AB379" s="350">
        <v>137062</v>
      </c>
      <c r="AC379" s="350">
        <v>1779</v>
      </c>
      <c r="AD379" s="349">
        <v>8</v>
      </c>
      <c r="AE379" s="350">
        <v>16164</v>
      </c>
      <c r="AF379" s="350">
        <v>458</v>
      </c>
      <c r="AG379" s="350">
        <v>184</v>
      </c>
      <c r="AH379" s="350">
        <v>14</v>
      </c>
      <c r="AI379" s="418">
        <v>1</v>
      </c>
    </row>
    <row r="380">
      <c r="A380" s="334"/>
      <c r="B380" s="335" t="s">
        <v>203</v>
      </c>
      <c r="C380" s="373" t="s">
        <v>196</v>
      </c>
      <c r="D380" s="377">
        <v>3404.182</v>
      </c>
      <c r="E380" s="359">
        <v>6</v>
      </c>
      <c r="F380" s="342">
        <f t="shared" si="339"/>
      </c>
      <c r="G380" s="359">
        <v>2529.5999999999985</v>
      </c>
      <c r="H380" s="428">
        <f t="shared" si="5"/>
      </c>
      <c r="I380" s="340">
        <f t="shared" si="22"/>
      </c>
      <c r="J380" s="341">
        <f t="shared" si="159"/>
      </c>
      <c r="K380" s="343">
        <f t="shared" si="191"/>
      </c>
      <c r="L380" s="344">
        <f t="shared" si="176"/>
      </c>
      <c r="M380" s="341">
        <f t="shared" si="256"/>
      </c>
      <c r="N380" s="345">
        <f t="shared" si="226"/>
      </c>
      <c r="O380" s="345">
        <f t="shared" si="241"/>
      </c>
      <c r="P380" s="345">
        <f t="shared" si="273"/>
      </c>
      <c r="Q380" s="345">
        <f t="shared" si="90"/>
      </c>
      <c r="R380" s="341">
        <f t="shared" si="288"/>
      </c>
      <c r="S380" s="343">
        <f t="shared" si="105"/>
      </c>
      <c r="T380" s="345">
        <f t="shared" si="126"/>
      </c>
      <c r="U380" s="345">
        <f t="shared" si="39"/>
      </c>
      <c r="V380" s="345">
        <f t="shared" si="56"/>
      </c>
      <c r="W380" s="345">
        <f t="shared" si="73"/>
      </c>
      <c r="X380" s="360" t="s">
        <v>181</v>
      </c>
      <c r="Y380" s="347" t="s">
        <v>205</v>
      </c>
      <c r="Z380" s="350">
        <v>283776</v>
      </c>
      <c r="AA380" s="350">
        <v>13985</v>
      </c>
      <c r="AB380" s="350">
        <v>149376</v>
      </c>
      <c r="AC380" s="350">
        <v>1488</v>
      </c>
      <c r="AD380" s="350">
        <v>5</v>
      </c>
      <c r="AE380" s="350">
        <v>17641</v>
      </c>
      <c r="AF380" s="350">
        <v>410</v>
      </c>
      <c r="AG380" s="350">
        <v>201</v>
      </c>
      <c r="AH380" s="350">
        <v>13</v>
      </c>
      <c r="AI380" s="418">
        <v>1</v>
      </c>
    </row>
    <row r="381">
      <c r="A381" s="334"/>
      <c r="B381" s="438" t="s">
        <v>203</v>
      </c>
      <c r="C381" s="373" t="s">
        <v>197</v>
      </c>
      <c r="D381" s="377">
        <v>2073.152</v>
      </c>
      <c r="E381" s="359">
        <v>0</v>
      </c>
      <c r="F381" s="342">
        <f t="shared" si="339"/>
      </c>
      <c r="G381" s="359">
        <v>0</v>
      </c>
      <c r="H381" s="428">
        <f t="shared" si="5"/>
      </c>
      <c r="I381" s="340">
        <f t="shared" si="22"/>
      </c>
      <c r="J381" s="341">
        <f t="shared" si="159"/>
      </c>
      <c r="K381" s="343">
        <f t="shared" si="191"/>
      </c>
      <c r="L381" s="344">
        <f t="shared" si="176"/>
      </c>
      <c r="M381" s="341">
        <f t="shared" si="256"/>
      </c>
      <c r="N381" s="345">
        <f t="shared" si="226"/>
      </c>
      <c r="O381" s="345">
        <f t="shared" si="241"/>
      </c>
      <c r="P381" s="345">
        <f t="shared" si="273"/>
      </c>
      <c r="Q381" s="345">
        <f t="shared" si="90"/>
      </c>
      <c r="R381" s="341">
        <f t="shared" si="288"/>
      </c>
      <c r="S381" s="343">
        <f t="shared" si="105"/>
      </c>
      <c r="T381" s="345">
        <f t="shared" si="126"/>
      </c>
      <c r="U381" s="345">
        <f t="shared" si="39"/>
      </c>
      <c r="V381" s="345">
        <f t="shared" si="56"/>
      </c>
      <c r="W381" s="345">
        <f t="shared" si="73"/>
      </c>
      <c r="X381" s="360" t="s">
        <v>181</v>
      </c>
      <c r="Y381" s="347" t="s">
        <v>205</v>
      </c>
      <c r="Z381" s="350">
        <v>219216</v>
      </c>
      <c r="AA381" s="350">
        <v>6326</v>
      </c>
      <c r="AB381" s="350">
        <v>97315</v>
      </c>
      <c r="AC381" s="350">
        <v>1002</v>
      </c>
      <c r="AD381" s="350">
        <v>0</v>
      </c>
      <c r="AE381" s="350">
        <v>10760</v>
      </c>
      <c r="AF381" s="350">
        <v>210</v>
      </c>
      <c r="AG381" s="350">
        <v>84</v>
      </c>
      <c r="AH381" s="349">
        <v>10</v>
      </c>
      <c r="AI381" s="418">
        <v>0</v>
      </c>
    </row>
    <row r="382">
      <c r="A382" s="334"/>
      <c r="B382" s="387" t="s">
        <v>187</v>
      </c>
      <c r="C382" s="387"/>
      <c r="D382" s="362">
        <f>SUM(D378:D381)</f>
      </c>
      <c r="E382" s="420">
        <f>SUM(E378:E381)</f>
      </c>
      <c r="F382" s="365">
        <f t="shared" si="339"/>
      </c>
      <c r="G382" s="362">
        <f>SUM(G378:G381)</f>
      </c>
      <c r="H382" s="429">
        <f t="shared" si="5"/>
      </c>
      <c r="I382" s="362">
        <f t="shared" si="22"/>
      </c>
      <c r="J382" s="364">
        <f t="shared" si="159"/>
      </c>
      <c r="K382" s="366">
        <f t="shared" si="191"/>
      </c>
      <c r="L382" s="367">
        <f t="shared" si="176"/>
      </c>
      <c r="M382" s="364">
        <f t="shared" si="256"/>
      </c>
      <c r="N382" s="368">
        <f t="shared" si="226"/>
      </c>
      <c r="O382" s="368">
        <f t="shared" si="241"/>
      </c>
      <c r="P382" s="368">
        <f t="shared" si="273"/>
      </c>
      <c r="Q382" s="368">
        <f t="shared" si="90"/>
      </c>
      <c r="R382" s="364">
        <f t="shared" si="288"/>
      </c>
      <c r="S382" s="366">
        <f t="shared" si="105"/>
      </c>
      <c r="T382" s="368">
        <f t="shared" si="126"/>
      </c>
      <c r="U382" s="368">
        <f t="shared" si="39"/>
      </c>
      <c r="V382" s="368">
        <f t="shared" si="56"/>
      </c>
      <c r="W382" s="368">
        <f t="shared" si="73"/>
      </c>
      <c r="X382" s="368"/>
      <c r="Y382" s="369"/>
      <c r="Z382" s="362">
        <f>SUM(Z378:Z381)</f>
      </c>
      <c r="AA382" s="362">
        <f>SUM(AA378:AA381)</f>
      </c>
      <c r="AB382" s="362">
        <f>SUM(AB378:AB381)</f>
      </c>
      <c r="AC382" s="362">
        <f>SUM(AC378:AC381)</f>
      </c>
      <c r="AD382" s="362">
        <f>SUM(AD378:AD381)</f>
      </c>
      <c r="AE382" s="362">
        <f>SUM(AE378:AE381)</f>
      </c>
      <c r="AF382" s="362">
        <f>SUM(AF378:AF381)</f>
      </c>
      <c r="AG382" s="362">
        <f>SUM(AG378:AG381)</f>
      </c>
      <c r="AH382" s="362">
        <f>SUM(AH378:AH381)</f>
      </c>
      <c r="AI382" s="420">
        <f>SUM(AI378:AI381)</f>
      </c>
    </row>
    <row r="383">
      <c r="A383" s="334"/>
      <c r="B383" s="335" t="s">
        <v>179</v>
      </c>
      <c r="C383" s="374" t="s">
        <v>198</v>
      </c>
      <c r="D383" s="379">
        <v>2030.758</v>
      </c>
      <c r="E383" s="417">
        <v>6</v>
      </c>
      <c r="F383" s="342">
        <f t="shared" si="339"/>
      </c>
      <c r="G383" s="339">
        <v>1893.2000000000007</v>
      </c>
      <c r="H383" s="428">
        <f t="shared" si="5"/>
      </c>
      <c r="I383" s="340">
        <f t="shared" si="22"/>
      </c>
      <c r="J383" s="341">
        <f t="shared" si="159"/>
      </c>
      <c r="K383" s="343">
        <f t="shared" si="191"/>
      </c>
      <c r="L383" s="382">
        <f t="shared" si="176"/>
      </c>
      <c r="M383" s="383">
        <f t="shared" si="256"/>
      </c>
      <c r="N383" s="384">
        <f t="shared" si="226"/>
      </c>
      <c r="O383" s="384">
        <f t="shared" si="241"/>
      </c>
      <c r="P383" s="384">
        <f t="shared" si="273"/>
      </c>
      <c r="Q383" s="384">
        <f t="shared" si="90"/>
      </c>
      <c r="R383" s="383">
        <f t="shared" si="288"/>
      </c>
      <c r="S383" s="381">
        <f t="shared" si="105"/>
      </c>
      <c r="T383" s="384">
        <f t="shared" si="126"/>
      </c>
      <c r="U383" s="384">
        <f t="shared" si="39"/>
      </c>
      <c r="V383" s="384">
        <f t="shared" si="56"/>
      </c>
      <c r="W383" s="384">
        <f t="shared" si="73"/>
      </c>
      <c r="X383" s="360" t="s">
        <v>181</v>
      </c>
      <c r="Y383" s="347" t="s">
        <v>205</v>
      </c>
      <c r="Z383" s="350">
        <v>227779</v>
      </c>
      <c r="AA383" s="350">
        <v>3437</v>
      </c>
      <c r="AB383" s="350">
        <v>115951</v>
      </c>
      <c r="AC383" s="385">
        <v>1037</v>
      </c>
      <c r="AD383" s="385">
        <v>4</v>
      </c>
      <c r="AE383" s="385">
        <v>9019</v>
      </c>
      <c r="AF383" s="385">
        <v>221</v>
      </c>
      <c r="AG383" s="385">
        <v>54</v>
      </c>
      <c r="AH383" s="385">
        <v>13</v>
      </c>
      <c r="AI383" s="418">
        <v>0</v>
      </c>
    </row>
    <row r="384">
      <c r="A384" s="334"/>
      <c r="B384" s="335" t="s">
        <v>179</v>
      </c>
      <c r="C384" s="373" t="s">
        <v>199</v>
      </c>
      <c r="D384" s="379">
        <v>2298.919</v>
      </c>
      <c r="E384" s="417">
        <v>7</v>
      </c>
      <c r="F384" s="342">
        <f t="shared" si="339"/>
      </c>
      <c r="G384" s="339">
        <v>3001.5999999999985</v>
      </c>
      <c r="H384" s="428">
        <f t="shared" si="5"/>
      </c>
      <c r="I384" s="340">
        <f t="shared" si="22"/>
      </c>
      <c r="J384" s="341">
        <f t="shared" si="159"/>
      </c>
      <c r="K384" s="343">
        <f t="shared" si="191"/>
      </c>
      <c r="L384" s="382">
        <f t="shared" si="176"/>
      </c>
      <c r="M384" s="383">
        <f t="shared" si="256"/>
      </c>
      <c r="N384" s="384">
        <f t="shared" si="226"/>
      </c>
      <c r="O384" s="384">
        <f t="shared" si="241"/>
      </c>
      <c r="P384" s="384">
        <f t="shared" si="273"/>
      </c>
      <c r="Q384" s="384">
        <f t="shared" si="90"/>
      </c>
      <c r="R384" s="383">
        <f t="shared" si="288"/>
      </c>
      <c r="S384" s="381">
        <f t="shared" si="105"/>
      </c>
      <c r="T384" s="384">
        <f t="shared" si="126"/>
      </c>
      <c r="U384" s="384">
        <f t="shared" si="39"/>
      </c>
      <c r="V384" s="384">
        <f t="shared" si="56"/>
      </c>
      <c r="W384" s="384">
        <f t="shared" si="73"/>
      </c>
      <c r="X384" s="360" t="s">
        <v>181</v>
      </c>
      <c r="Y384" s="347" t="s">
        <v>205</v>
      </c>
      <c r="Z384" s="350">
        <v>282241</v>
      </c>
      <c r="AA384" s="350">
        <v>4083</v>
      </c>
      <c r="AB384" s="350">
        <v>143318</v>
      </c>
      <c r="AC384" s="385">
        <v>1245</v>
      </c>
      <c r="AD384" s="385">
        <v>4</v>
      </c>
      <c r="AE384" s="385">
        <v>11241</v>
      </c>
      <c r="AF384" s="385">
        <v>315</v>
      </c>
      <c r="AG384" s="385">
        <v>87</v>
      </c>
      <c r="AH384" s="385">
        <v>12</v>
      </c>
      <c r="AI384" s="418">
        <v>0</v>
      </c>
    </row>
    <row r="385">
      <c r="A385" s="334"/>
      <c r="B385" s="335" t="s">
        <v>179</v>
      </c>
      <c r="C385" s="386" t="s">
        <v>200</v>
      </c>
      <c r="D385" s="377">
        <v>2662.359</v>
      </c>
      <c r="E385" s="359">
        <v>3</v>
      </c>
      <c r="F385" s="342">
        <f t="shared" si="339"/>
      </c>
      <c r="G385" s="359">
        <v>1284</v>
      </c>
      <c r="H385" s="428">
        <f t="shared" si="5"/>
      </c>
      <c r="I385" s="340">
        <f t="shared" si="22"/>
      </c>
      <c r="J385" s="341">
        <f t="shared" si="159"/>
      </c>
      <c r="K385" s="343">
        <f t="shared" si="191"/>
      </c>
      <c r="L385" s="382">
        <f t="shared" si="176"/>
      </c>
      <c r="M385" s="383">
        <f t="shared" si="256"/>
      </c>
      <c r="N385" s="384">
        <f t="shared" si="226"/>
      </c>
      <c r="O385" s="384">
        <f t="shared" si="241"/>
      </c>
      <c r="P385" s="384">
        <f t="shared" si="273"/>
      </c>
      <c r="Q385" s="384">
        <f t="shared" si="90"/>
      </c>
      <c r="R385" s="383">
        <f t="shared" si="288"/>
      </c>
      <c r="S385" s="381">
        <f t="shared" si="105"/>
      </c>
      <c r="T385" s="384">
        <f t="shared" si="126"/>
      </c>
      <c r="U385" s="384">
        <f t="shared" si="39"/>
      </c>
      <c r="V385" s="384">
        <f t="shared" si="56"/>
      </c>
      <c r="W385" s="384">
        <f t="shared" si="73"/>
      </c>
      <c r="X385" s="360" t="s">
        <v>181</v>
      </c>
      <c r="Y385" s="347" t="s">
        <v>205</v>
      </c>
      <c r="Z385" s="350">
        <v>291434</v>
      </c>
      <c r="AA385" s="350">
        <v>3995</v>
      </c>
      <c r="AB385" s="350">
        <v>156002</v>
      </c>
      <c r="AC385" s="350">
        <v>1171</v>
      </c>
      <c r="AD385" s="350">
        <v>5</v>
      </c>
      <c r="AE385" s="350">
        <v>11993</v>
      </c>
      <c r="AF385" s="350">
        <v>338</v>
      </c>
      <c r="AG385" s="350">
        <v>92</v>
      </c>
      <c r="AH385" s="349">
        <v>18</v>
      </c>
      <c r="AI385" s="418">
        <v>0</v>
      </c>
    </row>
    <row r="386">
      <c r="A386" s="334"/>
      <c r="B386" s="335" t="s">
        <v>179</v>
      </c>
      <c r="C386" s="439" t="s">
        <v>212</v>
      </c>
      <c r="D386" s="440">
        <v>2656.3819999999996</v>
      </c>
      <c r="E386" s="359">
        <v>6</v>
      </c>
      <c r="F386" s="342">
        <f t="shared" si="339"/>
      </c>
      <c r="G386" s="359">
        <v>3091.2000000000044</v>
      </c>
      <c r="H386" s="430">
        <f t="shared" si="5"/>
      </c>
      <c r="I386" s="340">
        <f t="shared" si="22"/>
      </c>
      <c r="J386" s="341">
        <f t="shared" si="159"/>
      </c>
      <c r="K386" s="343">
        <f t="shared" si="191"/>
      </c>
      <c r="L386" s="382">
        <f t="shared" si="176"/>
      </c>
      <c r="M386" s="383">
        <f t="shared" si="256"/>
      </c>
      <c r="N386" s="384">
        <f t="shared" si="226"/>
      </c>
      <c r="O386" s="384">
        <f t="shared" si="241"/>
      </c>
      <c r="P386" s="384">
        <f t="shared" si="273"/>
      </c>
      <c r="Q386" s="384">
        <f t="shared" si="90"/>
      </c>
      <c r="R386" s="383">
        <f t="shared" si="288"/>
      </c>
      <c r="S386" s="381">
        <f t="shared" si="105"/>
      </c>
      <c r="T386" s="384">
        <f t="shared" si="126"/>
      </c>
      <c r="U386" s="384">
        <f t="shared" si="39"/>
      </c>
      <c r="V386" s="384">
        <f t="shared" si="56"/>
      </c>
      <c r="W386" s="384">
        <f t="shared" si="73"/>
      </c>
      <c r="X386" s="360" t="s">
        <v>181</v>
      </c>
      <c r="Y386" s="347" t="s">
        <v>205</v>
      </c>
      <c r="Z386" s="350">
        <v>292716</v>
      </c>
      <c r="AA386" s="350">
        <v>4094</v>
      </c>
      <c r="AB386" s="350">
        <v>188366</v>
      </c>
      <c r="AC386" s="350">
        <v>1075</v>
      </c>
      <c r="AD386" s="350">
        <v>5</v>
      </c>
      <c r="AE386" s="350">
        <v>12196</v>
      </c>
      <c r="AF386" s="350">
        <v>323</v>
      </c>
      <c r="AG386" s="350">
        <v>115</v>
      </c>
      <c r="AH386" s="349">
        <v>20</v>
      </c>
      <c r="AI386" s="418">
        <v>0</v>
      </c>
    </row>
    <row r="387">
      <c r="A387" s="334"/>
      <c r="B387" s="387" t="s">
        <v>187</v>
      </c>
      <c r="C387" s="387"/>
      <c r="D387" s="362">
        <f>SUM(D383:D386)</f>
      </c>
      <c r="E387" s="420">
        <f>SUM(E383:E386)</f>
      </c>
      <c r="F387" s="366">
        <f t="shared" si="339"/>
      </c>
      <c r="G387" s="431">
        <f>SUM(G383:G386)</f>
      </c>
      <c r="H387" s="432">
        <f t="shared" si="5"/>
      </c>
      <c r="I387" s="433">
        <f t="shared" si="22"/>
      </c>
      <c r="J387" s="364">
        <f t="shared" si="159"/>
      </c>
      <c r="K387" s="366">
        <f t="shared" si="191"/>
      </c>
      <c r="L387" s="367">
        <f t="shared" si="176"/>
      </c>
      <c r="M387" s="364">
        <f t="shared" si="256"/>
      </c>
      <c r="N387" s="368">
        <f t="shared" si="226"/>
      </c>
      <c r="O387" s="368">
        <f t="shared" si="241"/>
      </c>
      <c r="P387" s="368">
        <f t="shared" si="273"/>
      </c>
      <c r="Q387" s="368">
        <f t="shared" si="90"/>
      </c>
      <c r="R387" s="364">
        <f t="shared" si="288"/>
      </c>
      <c r="S387" s="366">
        <f t="shared" si="105"/>
      </c>
      <c r="T387" s="368">
        <f t="shared" si="126"/>
      </c>
      <c r="U387" s="368">
        <f t="shared" si="39"/>
      </c>
      <c r="V387" s="368">
        <f t="shared" si="56"/>
      </c>
      <c r="W387" s="368">
        <f t="shared" si="73"/>
      </c>
      <c r="X387" s="368"/>
      <c r="Y387" s="369"/>
      <c r="Z387" s="362">
        <f>SUM(Z383:Z386)</f>
      </c>
      <c r="AA387" s="362">
        <f>SUM(AA383:AA386)</f>
      </c>
      <c r="AB387" s="362">
        <f>SUM(AB383:AB386)</f>
      </c>
      <c r="AC387" s="362">
        <f>SUM(AC383:AC386)</f>
      </c>
      <c r="AD387" s="362">
        <f>SUM(AD383:AD386)</f>
      </c>
      <c r="AE387" s="362">
        <f>SUM(AE383:AE386)</f>
      </c>
      <c r="AF387" s="362">
        <f>SUM(AF383:AF386)</f>
      </c>
      <c r="AG387" s="362">
        <f>SUM(AG383:AG386)</f>
      </c>
      <c r="AH387" s="362">
        <f>SUM(AH383:AH386)</f>
      </c>
      <c r="AI387" s="420">
        <f>SUM(AI383:AI386)</f>
      </c>
    </row>
    <row r="388">
      <c r="A388" s="334"/>
      <c r="B388" s="388" t="s">
        <v>201</v>
      </c>
      <c r="C388" s="388"/>
      <c r="D388" s="389">
        <f>SUM(D387+D372+D377+D382)</f>
      </c>
      <c r="E388" s="442">
        <f>SUM(E387+E372+E377+E382)</f>
      </c>
      <c r="F388" s="393">
        <f t="shared" si="339"/>
      </c>
      <c r="G388" s="434">
        <f>SUM(G387+G372+G377+G382)</f>
      </c>
      <c r="H388" s="441">
        <f t="shared" si="5"/>
      </c>
      <c r="I388" s="436">
        <f t="shared" si="22"/>
      </c>
      <c r="J388" s="391">
        <f t="shared" si="159"/>
      </c>
      <c r="K388" s="393">
        <f t="shared" si="191"/>
      </c>
      <c r="L388" s="394">
        <f t="shared" si="176"/>
      </c>
      <c r="M388" s="394">
        <f t="shared" si="256"/>
      </c>
      <c r="N388" s="395">
        <f t="shared" si="226"/>
      </c>
      <c r="O388" s="395">
        <f t="shared" si="241"/>
      </c>
      <c r="P388" s="395">
        <f t="shared" si="273"/>
      </c>
      <c r="Q388" s="395">
        <f t="shared" si="90"/>
      </c>
      <c r="R388" s="396">
        <f t="shared" si="288"/>
      </c>
      <c r="S388" s="397">
        <f t="shared" si="105"/>
      </c>
      <c r="T388" s="398">
        <f t="shared" si="126"/>
      </c>
      <c r="U388" s="398">
        <f t="shared" si="39"/>
      </c>
      <c r="V388" s="398">
        <f t="shared" si="56"/>
      </c>
      <c r="W388" s="398">
        <f t="shared" si="73"/>
      </c>
      <c r="X388" s="398"/>
      <c r="Y388" s="399"/>
      <c r="Z388" s="390">
        <f>SUM(Z372+Z387+Z377+Z382)</f>
      </c>
      <c r="AA388" s="390">
        <f>SUM(AA372+AA387+AA377+AA382)</f>
      </c>
      <c r="AB388" s="390">
        <f>SUM(AB372+AB387+AB377+AB382)</f>
      </c>
      <c r="AC388" s="390">
        <f>SUM(AC372+AC387+AC377+AC382)</f>
      </c>
      <c r="AD388" s="390">
        <f>SUM(AD372+AD387+AD377+AD382)</f>
      </c>
      <c r="AE388" s="390">
        <f>SUM(AE372+AE387+AE377+AE382)</f>
      </c>
      <c r="AF388" s="390">
        <f>SUM(AF372+AF387+AF377+AF382)</f>
      </c>
      <c r="AG388" s="390">
        <f>SUM(AG372+AG387+AG377+AG382)</f>
      </c>
      <c r="AH388" s="390">
        <f>SUM(AH372+AH387+AH377+AH382)</f>
      </c>
      <c r="AI388" s="390">
        <f>SUM(AI372+AI387+AI377+AI382)</f>
      </c>
    </row>
    <row customHeight="true" ht="16.071428571428573" r="389">
      <c r="A389" s="319" t="s">
        <v>145</v>
      </c>
      <c r="B389" s="320" t="s">
        <v>146</v>
      </c>
      <c r="C389" s="321" t="s">
        <v>147</v>
      </c>
      <c r="D389" s="322" t="s">
        <v>148</v>
      </c>
      <c r="E389" s="426" t="s">
        <v>213</v>
      </c>
      <c r="F389" s="427" t="s">
        <v>214</v>
      </c>
      <c r="G389" s="324" t="s">
        <v>150</v>
      </c>
      <c r="H389" s="427" t="s">
        <v>215</v>
      </c>
      <c r="I389" s="324" t="s">
        <v>151</v>
      </c>
      <c r="J389" s="325" t="s">
        <v>152</v>
      </c>
      <c r="K389" s="325" t="s">
        <v>154</v>
      </c>
      <c r="L389" s="326" t="s">
        <v>155</v>
      </c>
      <c r="M389" s="326" t="s">
        <v>156</v>
      </c>
      <c r="N389" s="326" t="s">
        <v>157</v>
      </c>
      <c r="O389" s="326" t="s">
        <v>158</v>
      </c>
      <c r="P389" s="326" t="s">
        <v>159</v>
      </c>
      <c r="Q389" s="326" t="s">
        <v>160</v>
      </c>
      <c r="R389" s="326" t="s">
        <v>161</v>
      </c>
      <c r="S389" s="326" t="s">
        <v>162</v>
      </c>
      <c r="T389" s="327" t="s">
        <v>163</v>
      </c>
      <c r="U389" s="327" t="s">
        <v>164</v>
      </c>
      <c r="V389" s="327" t="s">
        <v>165</v>
      </c>
      <c r="W389" s="327" t="s">
        <v>166</v>
      </c>
      <c r="X389" s="328" t="s">
        <v>167</v>
      </c>
      <c r="Y389" s="328" t="s">
        <v>168</v>
      </c>
      <c r="Z389" s="329" t="s">
        <v>169</v>
      </c>
      <c r="AA389" s="329" t="s">
        <v>170</v>
      </c>
      <c r="AB389" s="329" t="s">
        <v>171</v>
      </c>
      <c r="AC389" s="330" t="s">
        <v>172</v>
      </c>
      <c r="AD389" s="330" t="s">
        <v>173</v>
      </c>
      <c r="AE389" s="331" t="s">
        <v>174</v>
      </c>
      <c r="AF389" s="330" t="s">
        <v>175</v>
      </c>
      <c r="AG389" s="330" t="s">
        <v>176</v>
      </c>
      <c r="AH389" s="332" t="s">
        <v>177</v>
      </c>
      <c r="AI389" s="333" t="s">
        <v>178</v>
      </c>
      <c r="AJ389" s="443"/>
      <c r="AK389" s="443"/>
      <c r="AL389" s="443"/>
      <c r="AM389" s="443"/>
      <c r="AN389" s="443"/>
      <c r="AO389" s="443"/>
    </row>
    <row customHeight="true" ht="16.071428571428573" r="390">
      <c r="A390" s="334">
        <v>46255</v>
      </c>
      <c r="B390" s="415" t="s">
        <v>188</v>
      </c>
      <c r="C390" s="354" t="s">
        <v>180</v>
      </c>
      <c r="D390" s="337">
        <v>4058.5860000000002</v>
      </c>
      <c r="E390" s="417">
        <v>6</v>
      </c>
      <c r="F390" s="342">
        <f t="shared" ref="F390:F410" si="340">D390/E390</f>
      </c>
      <c r="G390" s="339">
        <v>2525.2</v>
      </c>
      <c r="H390" s="428">
        <f t="shared" ref="H390:H410" si="6">AD390</f>
      </c>
      <c r="I390" s="340">
        <f t="shared" ref="I390:I410" si="23">D390/AD390</f>
      </c>
      <c r="J390" s="341">
        <f t="shared" ref="J390:J410" si="160">G390/E390</f>
      </c>
      <c r="K390" s="343">
        <f t="shared" ref="K390:K410" si="192">G390/D390</f>
      </c>
      <c r="L390" s="344">
        <f t="shared" ref="L390:L410" si="177">D390/AB390</f>
      </c>
      <c r="M390" s="341">
        <f t="shared" ref="M390:M410" si="257">D390/AC390</f>
      </c>
      <c r="N390" s="345">
        <f t="shared" ref="N390:N410" si="227">AC390/AB390</f>
      </c>
      <c r="O390" s="345">
        <f t="shared" ref="O390:O410" si="242">AD390/AC390</f>
      </c>
      <c r="P390" s="345">
        <f t="shared" ref="P390:P410" si="274">AA390/Z390</f>
      </c>
      <c r="Q390" s="345">
        <f t="shared" ref="Q390:Q410" si="91">AD390/AA390</f>
      </c>
      <c r="R390" s="341">
        <f t="shared" ref="R390:R410" si="289">D390/Z390*1000</f>
      </c>
      <c r="S390" s="343">
        <f t="shared" ref="S390:S410" si="106">D390/AA390</f>
      </c>
      <c r="T390" s="345">
        <f t="shared" ref="T390:T410" si="127">AE390/AB390</f>
      </c>
      <c r="U390" s="345">
        <f t="shared" ref="U390:U410" si="40">AF390/AB390</f>
      </c>
      <c r="V390" s="345">
        <f t="shared" ref="V390:V410" si="57">AG390/AB390</f>
      </c>
      <c r="W390" s="345">
        <f t="shared" ref="W390:W410" si="74">AH390/AB390</f>
      </c>
      <c r="X390" s="346" t="s">
        <v>181</v>
      </c>
      <c r="Y390" s="347" t="s">
        <v>193</v>
      </c>
      <c r="Z390" s="348">
        <v>219447</v>
      </c>
      <c r="AA390" s="348">
        <v>5356</v>
      </c>
      <c r="AB390" s="348">
        <v>121518</v>
      </c>
      <c r="AC390" s="348">
        <v>1402</v>
      </c>
      <c r="AD390" s="349">
        <v>4</v>
      </c>
      <c r="AE390" s="348">
        <v>24203</v>
      </c>
      <c r="AF390" s="350">
        <v>339</v>
      </c>
      <c r="AG390" s="350">
        <v>170</v>
      </c>
      <c r="AH390" s="350">
        <v>23</v>
      </c>
      <c r="AI390" s="418">
        <v>1</v>
      </c>
      <c r="AJ390" s="443"/>
      <c r="AK390" s="443"/>
      <c r="AL390" s="443"/>
      <c r="AM390" s="443"/>
      <c r="AN390" s="443"/>
      <c r="AO390" s="443"/>
    </row>
    <row customHeight="true" ht="16.071428571428573" r="391">
      <c r="A391" s="334"/>
      <c r="B391" s="415" t="s">
        <v>188</v>
      </c>
      <c r="C391" s="336" t="s">
        <v>183</v>
      </c>
      <c r="D391" s="337">
        <v>3504.021</v>
      </c>
      <c r="E391" s="417">
        <v>13</v>
      </c>
      <c r="F391" s="342">
        <f t="shared" si="340"/>
      </c>
      <c r="G391" s="339">
        <v>3280.5</v>
      </c>
      <c r="H391" s="428">
        <f t="shared" si="6"/>
      </c>
      <c r="I391" s="340">
        <f t="shared" si="23"/>
      </c>
      <c r="J391" s="341">
        <f t="shared" si="160"/>
      </c>
      <c r="K391" s="343">
        <f t="shared" si="192"/>
      </c>
      <c r="L391" s="344">
        <f t="shared" si="177"/>
      </c>
      <c r="M391" s="341">
        <f t="shared" si="257"/>
      </c>
      <c r="N391" s="345">
        <f t="shared" si="227"/>
      </c>
      <c r="O391" s="345">
        <f t="shared" si="242"/>
      </c>
      <c r="P391" s="345">
        <f t="shared" si="274"/>
      </c>
      <c r="Q391" s="345">
        <f t="shared" si="91"/>
      </c>
      <c r="R391" s="341">
        <f t="shared" si="289"/>
      </c>
      <c r="S391" s="343">
        <f t="shared" si="106"/>
      </c>
      <c r="T391" s="345">
        <f t="shared" si="127"/>
      </c>
      <c r="U391" s="345">
        <f t="shared" si="40"/>
      </c>
      <c r="V391" s="345">
        <f t="shared" si="57"/>
      </c>
      <c r="W391" s="345">
        <f t="shared" si="74"/>
      </c>
      <c r="X391" s="360" t="s">
        <v>181</v>
      </c>
      <c r="Y391" s="347" t="s">
        <v>193</v>
      </c>
      <c r="Z391" s="350">
        <v>229114</v>
      </c>
      <c r="AA391" s="348">
        <v>6280</v>
      </c>
      <c r="AB391" s="348">
        <v>128079</v>
      </c>
      <c r="AC391" s="348">
        <v>1486</v>
      </c>
      <c r="AD391" s="350">
        <v>9</v>
      </c>
      <c r="AE391" s="348">
        <v>24169</v>
      </c>
      <c r="AF391" s="350">
        <v>413</v>
      </c>
      <c r="AG391" s="350">
        <v>163</v>
      </c>
      <c r="AH391" s="349">
        <v>24</v>
      </c>
      <c r="AI391" s="418">
        <v>5</v>
      </c>
      <c r="AJ391" s="443"/>
      <c r="AK391" s="443"/>
      <c r="AL391" s="443"/>
      <c r="AM391" s="443"/>
      <c r="AN391" s="443"/>
      <c r="AO391" s="443"/>
    </row>
    <row customHeight="true" ht="16.071428571428573" r="392">
      <c r="A392" s="334"/>
      <c r="B392" s="415" t="s">
        <v>188</v>
      </c>
      <c r="C392" s="351" t="s">
        <v>184</v>
      </c>
      <c r="D392" s="377">
        <v>2809.614</v>
      </c>
      <c r="E392" s="359">
        <v>9</v>
      </c>
      <c r="F392" s="342">
        <f t="shared" si="340"/>
      </c>
      <c r="G392" s="359">
        <v>3749.5999999999995</v>
      </c>
      <c r="H392" s="428">
        <f t="shared" si="6"/>
      </c>
      <c r="I392" s="340">
        <f t="shared" si="23"/>
      </c>
      <c r="J392" s="341">
        <f t="shared" si="160"/>
      </c>
      <c r="K392" s="343">
        <f t="shared" si="192"/>
      </c>
      <c r="L392" s="344">
        <f t="shared" si="177"/>
      </c>
      <c r="M392" s="341">
        <f t="shared" si="257"/>
      </c>
      <c r="N392" s="345">
        <f t="shared" si="227"/>
      </c>
      <c r="O392" s="345">
        <f t="shared" si="242"/>
      </c>
      <c r="P392" s="345">
        <f t="shared" si="274"/>
      </c>
      <c r="Q392" s="345">
        <f t="shared" si="91"/>
      </c>
      <c r="R392" s="341">
        <f t="shared" si="289"/>
      </c>
      <c r="S392" s="343">
        <f t="shared" si="106"/>
      </c>
      <c r="T392" s="345">
        <f t="shared" si="127"/>
      </c>
      <c r="U392" s="345">
        <f t="shared" si="40"/>
      </c>
      <c r="V392" s="345">
        <f t="shared" si="57"/>
      </c>
      <c r="W392" s="345">
        <f t="shared" si="74"/>
      </c>
      <c r="X392" s="360" t="s">
        <v>181</v>
      </c>
      <c r="Y392" s="347" t="s">
        <v>193</v>
      </c>
      <c r="Z392" s="350">
        <v>226451</v>
      </c>
      <c r="AA392" s="350">
        <v>6845</v>
      </c>
      <c r="AB392" s="350">
        <v>110563</v>
      </c>
      <c r="AC392" s="350">
        <v>1313</v>
      </c>
      <c r="AD392" s="350">
        <v>9</v>
      </c>
      <c r="AE392" s="350">
        <v>19145</v>
      </c>
      <c r="AF392" s="350">
        <v>419</v>
      </c>
      <c r="AG392" s="350">
        <v>124</v>
      </c>
      <c r="AH392" s="350">
        <v>19</v>
      </c>
      <c r="AI392" s="418">
        <v>1</v>
      </c>
      <c r="AJ392" s="443"/>
      <c r="AK392" s="443"/>
      <c r="AL392" s="443"/>
      <c r="AM392" s="443"/>
      <c r="AN392" s="443"/>
      <c r="AO392" s="443"/>
    </row>
    <row customHeight="true" ht="16.071428571428573" r="393">
      <c r="A393" s="334"/>
      <c r="B393" s="415" t="s">
        <v>188</v>
      </c>
      <c r="C393" s="416" t="s">
        <v>185</v>
      </c>
      <c r="D393" s="377">
        <v>2670.212</v>
      </c>
      <c r="E393" s="359">
        <v>1</v>
      </c>
      <c r="F393" s="342">
        <f t="shared" si="340"/>
      </c>
      <c r="G393" s="359">
        <v>228</v>
      </c>
      <c r="H393" s="428">
        <f t="shared" si="6"/>
      </c>
      <c r="I393" s="340">
        <f t="shared" si="23"/>
      </c>
      <c r="J393" s="341">
        <f t="shared" si="160"/>
      </c>
      <c r="K393" s="343">
        <f t="shared" si="192"/>
      </c>
      <c r="L393" s="344">
        <f t="shared" si="177"/>
      </c>
      <c r="M393" s="341">
        <f t="shared" si="257"/>
      </c>
      <c r="N393" s="345">
        <f t="shared" si="227"/>
      </c>
      <c r="O393" s="345">
        <f t="shared" si="242"/>
      </c>
      <c r="P393" s="345">
        <f t="shared" si="274"/>
      </c>
      <c r="Q393" s="345">
        <f t="shared" si="91"/>
      </c>
      <c r="R393" s="341">
        <f t="shared" si="289"/>
      </c>
      <c r="S393" s="343">
        <f t="shared" si="106"/>
      </c>
      <c r="T393" s="345">
        <f t="shared" si="127"/>
      </c>
      <c r="U393" s="345">
        <f t="shared" si="40"/>
      </c>
      <c r="V393" s="345">
        <f t="shared" si="57"/>
      </c>
      <c r="W393" s="345">
        <f t="shared" si="74"/>
      </c>
      <c r="X393" s="360" t="s">
        <v>181</v>
      </c>
      <c r="Y393" s="347" t="s">
        <v>193</v>
      </c>
      <c r="Z393" s="350">
        <v>209698</v>
      </c>
      <c r="AA393" s="350">
        <v>7125</v>
      </c>
      <c r="AB393" s="350">
        <v>109757</v>
      </c>
      <c r="AC393" s="350">
        <v>1362</v>
      </c>
      <c r="AD393" s="350">
        <v>1</v>
      </c>
      <c r="AE393" s="350">
        <v>18611</v>
      </c>
      <c r="AF393" s="350">
        <v>361</v>
      </c>
      <c r="AG393" s="350">
        <v>147</v>
      </c>
      <c r="AH393" s="349">
        <v>31</v>
      </c>
      <c r="AI393" s="418">
        <v>0</v>
      </c>
      <c r="AJ393" s="443"/>
      <c r="AK393" s="443"/>
      <c r="AL393" s="443"/>
      <c r="AM393" s="443"/>
      <c r="AN393" s="443"/>
      <c r="AO393" s="443"/>
    </row>
    <row customHeight="true" ht="16.071428571428573" r="394">
      <c r="A394" s="334"/>
      <c r="B394" s="387" t="s">
        <v>187</v>
      </c>
      <c r="C394" s="387"/>
      <c r="D394" s="362">
        <f>SUM(D390:D393)</f>
      </c>
      <c r="E394" s="437">
        <f>SUM(E390:E393)</f>
      </c>
      <c r="F394" s="365">
        <f t="shared" si="340"/>
      </c>
      <c r="G394" s="362">
        <f>SUM(G390:G393)</f>
      </c>
      <c r="H394" s="429">
        <f t="shared" si="6"/>
      </c>
      <c r="I394" s="362">
        <f t="shared" si="23"/>
      </c>
      <c r="J394" s="364">
        <f t="shared" si="160"/>
      </c>
      <c r="K394" s="366">
        <f t="shared" si="192"/>
      </c>
      <c r="L394" s="367">
        <f t="shared" si="177"/>
      </c>
      <c r="M394" s="364">
        <f t="shared" si="257"/>
      </c>
      <c r="N394" s="368">
        <f t="shared" si="227"/>
      </c>
      <c r="O394" s="368">
        <f t="shared" si="242"/>
      </c>
      <c r="P394" s="368">
        <f t="shared" si="274"/>
      </c>
      <c r="Q394" s="368">
        <f t="shared" si="91"/>
      </c>
      <c r="R394" s="364">
        <f t="shared" si="289"/>
      </c>
      <c r="S394" s="366">
        <f t="shared" si="106"/>
      </c>
      <c r="T394" s="368">
        <f t="shared" si="127"/>
      </c>
      <c r="U394" s="368">
        <f t="shared" si="40"/>
      </c>
      <c r="V394" s="368">
        <f t="shared" si="57"/>
      </c>
      <c r="W394" s="368">
        <f t="shared" si="74"/>
      </c>
      <c r="X394" s="368"/>
      <c r="Y394" s="369"/>
      <c r="Z394" s="362">
        <f>SUM(Z390:Z393)</f>
      </c>
      <c r="AA394" s="362">
        <f>SUM(AA390:AA393)</f>
      </c>
      <c r="AB394" s="362">
        <f>SUM(AB390:AB393)</f>
      </c>
      <c r="AC394" s="362">
        <f>SUM(AC390:AC393)</f>
      </c>
      <c r="AD394" s="362">
        <f>SUM(AD390:AD393)</f>
      </c>
      <c r="AE394" s="362">
        <f>SUM(AE390:AE393)</f>
      </c>
      <c r="AF394" s="362">
        <f>SUM(AF390:AF393)</f>
      </c>
      <c r="AG394" s="362">
        <f>SUM(AG390:AG393)</f>
      </c>
      <c r="AH394" s="362">
        <f>SUM(AH390:AH393)</f>
      </c>
      <c r="AI394" s="362">
        <f>SUM(AI390:AI393)</f>
      </c>
      <c r="AJ394" s="443"/>
      <c r="AK394" s="443"/>
      <c r="AL394" s="443"/>
      <c r="AM394" s="443"/>
      <c r="AN394" s="443"/>
      <c r="AO394" s="443"/>
    </row>
    <row customHeight="true" ht="16.071428571428573" r="395">
      <c r="A395" s="334"/>
      <c r="B395" s="335" t="s">
        <v>208</v>
      </c>
      <c r="C395" s="416" t="s">
        <v>186</v>
      </c>
      <c r="D395" s="371">
        <v>2419.761</v>
      </c>
      <c r="E395" s="417">
        <v>10</v>
      </c>
      <c r="F395" s="342">
        <f t="shared" si="340"/>
      </c>
      <c r="G395" s="339">
        <v>3912.7000000000007</v>
      </c>
      <c r="H395" s="428">
        <f t="shared" si="6"/>
      </c>
      <c r="I395" s="340">
        <f t="shared" si="23"/>
      </c>
      <c r="J395" s="341">
        <f t="shared" si="160"/>
      </c>
      <c r="K395" s="343">
        <f t="shared" si="192"/>
      </c>
      <c r="L395" s="344">
        <f t="shared" si="177"/>
      </c>
      <c r="M395" s="341">
        <f t="shared" si="257"/>
      </c>
      <c r="N395" s="345">
        <f t="shared" si="227"/>
      </c>
      <c r="O395" s="345">
        <f t="shared" si="242"/>
      </c>
      <c r="P395" s="345">
        <f t="shared" si="274"/>
      </c>
      <c r="Q395" s="345">
        <f t="shared" si="91"/>
      </c>
      <c r="R395" s="341">
        <f t="shared" si="289"/>
      </c>
      <c r="S395" s="343">
        <f t="shared" si="106"/>
      </c>
      <c r="T395" s="345">
        <f t="shared" si="127"/>
      </c>
      <c r="U395" s="345">
        <f t="shared" si="40"/>
      </c>
      <c r="V395" s="345">
        <f t="shared" si="57"/>
      </c>
      <c r="W395" s="345">
        <f t="shared" si="74"/>
      </c>
      <c r="X395" s="360" t="s">
        <v>181</v>
      </c>
      <c r="Y395" s="347" t="s">
        <v>193</v>
      </c>
      <c r="Z395" s="348">
        <v>215438</v>
      </c>
      <c r="AA395" s="348">
        <v>6744</v>
      </c>
      <c r="AB395" s="348">
        <v>109541</v>
      </c>
      <c r="AC395" s="350">
        <v>1096</v>
      </c>
      <c r="AD395" s="350">
        <v>8</v>
      </c>
      <c r="AE395" s="348">
        <v>15477</v>
      </c>
      <c r="AF395" s="350">
        <v>379</v>
      </c>
      <c r="AG395" s="350">
        <v>127</v>
      </c>
      <c r="AH395" s="350">
        <v>17</v>
      </c>
      <c r="AI395" s="418">
        <v>3</v>
      </c>
      <c r="AJ395" s="443"/>
      <c r="AK395" s="443"/>
      <c r="AL395" s="443"/>
      <c r="AM395" s="443"/>
      <c r="AN395" s="443"/>
      <c r="AO395" s="443"/>
    </row>
    <row customHeight="true" ht="16.071428571428573" r="396">
      <c r="A396" s="334"/>
      <c r="B396" s="335" t="s">
        <v>208</v>
      </c>
      <c r="C396" s="370" t="s">
        <v>189</v>
      </c>
      <c r="D396" s="371">
        <v>2305.3019999999997</v>
      </c>
      <c r="E396" s="419">
        <v>6</v>
      </c>
      <c r="F396" s="342">
        <f t="shared" si="340"/>
      </c>
      <c r="G396" s="359">
        <v>2525.2000000000007</v>
      </c>
      <c r="H396" s="428">
        <f t="shared" si="6"/>
      </c>
      <c r="I396" s="340">
        <f t="shared" si="23"/>
      </c>
      <c r="J396" s="341">
        <f t="shared" si="160"/>
      </c>
      <c r="K396" s="343">
        <f t="shared" si="192"/>
      </c>
      <c r="L396" s="344">
        <f t="shared" si="177"/>
      </c>
      <c r="M396" s="341">
        <f t="shared" si="257"/>
      </c>
      <c r="N396" s="345">
        <f t="shared" si="227"/>
      </c>
      <c r="O396" s="345">
        <f t="shared" si="242"/>
      </c>
      <c r="P396" s="345">
        <f t="shared" si="274"/>
      </c>
      <c r="Q396" s="345">
        <f t="shared" si="91"/>
      </c>
      <c r="R396" s="341">
        <f t="shared" si="289"/>
      </c>
      <c r="S396" s="343">
        <f t="shared" si="106"/>
      </c>
      <c r="T396" s="345">
        <f t="shared" si="127"/>
      </c>
      <c r="U396" s="345">
        <f t="shared" si="40"/>
      </c>
      <c r="V396" s="345">
        <f t="shared" si="57"/>
      </c>
      <c r="W396" s="345">
        <f t="shared" si="74"/>
      </c>
      <c r="X396" s="360" t="s">
        <v>181</v>
      </c>
      <c r="Y396" s="347" t="s">
        <v>193</v>
      </c>
      <c r="Z396" s="350">
        <v>197789</v>
      </c>
      <c r="AA396" s="350">
        <v>5990</v>
      </c>
      <c r="AB396" s="350">
        <v>85469</v>
      </c>
      <c r="AC396" s="350">
        <v>1178</v>
      </c>
      <c r="AD396" s="350">
        <v>7</v>
      </c>
      <c r="AE396" s="350">
        <v>11523</v>
      </c>
      <c r="AF396" s="350">
        <v>312</v>
      </c>
      <c r="AG396" s="350">
        <v>93</v>
      </c>
      <c r="AH396" s="350">
        <v>13</v>
      </c>
      <c r="AI396" s="418">
        <v>1</v>
      </c>
      <c r="AJ396" s="443"/>
      <c r="AK396" s="443"/>
      <c r="AL396" s="443"/>
      <c r="AM396" s="443"/>
      <c r="AN396" s="443"/>
      <c r="AO396" s="443"/>
    </row>
    <row customHeight="true" ht="16.071428571428573" r="397">
      <c r="A397" s="334"/>
      <c r="B397" s="335" t="s">
        <v>208</v>
      </c>
      <c r="C397" s="372" t="s">
        <v>190</v>
      </c>
      <c r="D397" s="371">
        <v>2200.312</v>
      </c>
      <c r="E397" s="419">
        <v>5</v>
      </c>
      <c r="F397" s="342">
        <f t="shared" si="340"/>
      </c>
      <c r="G397" s="359">
        <v>2269.5999999999985</v>
      </c>
      <c r="H397" s="428">
        <f t="shared" si="6"/>
      </c>
      <c r="I397" s="340">
        <f t="shared" si="23"/>
      </c>
      <c r="J397" s="341">
        <f t="shared" si="160"/>
      </c>
      <c r="K397" s="343">
        <f t="shared" si="192"/>
      </c>
      <c r="L397" s="344">
        <f t="shared" si="177"/>
      </c>
      <c r="M397" s="341">
        <f t="shared" si="257"/>
      </c>
      <c r="N397" s="345">
        <f t="shared" si="227"/>
      </c>
      <c r="O397" s="345">
        <f t="shared" si="242"/>
      </c>
      <c r="P397" s="345">
        <f t="shared" si="274"/>
      </c>
      <c r="Q397" s="345">
        <f t="shared" si="91"/>
      </c>
      <c r="R397" s="341">
        <f t="shared" si="289"/>
      </c>
      <c r="S397" s="343">
        <f t="shared" si="106"/>
      </c>
      <c r="T397" s="345">
        <f t="shared" si="127"/>
      </c>
      <c r="U397" s="345">
        <f t="shared" si="40"/>
      </c>
      <c r="V397" s="345">
        <f t="shared" si="57"/>
      </c>
      <c r="W397" s="345">
        <f t="shared" si="74"/>
      </c>
      <c r="X397" s="360" t="s">
        <v>181</v>
      </c>
      <c r="Y397" s="347" t="s">
        <v>193</v>
      </c>
      <c r="Z397" s="350">
        <v>191589</v>
      </c>
      <c r="AA397" s="350">
        <v>8161</v>
      </c>
      <c r="AB397" s="350">
        <v>76895</v>
      </c>
      <c r="AC397" s="350">
        <v>1123</v>
      </c>
      <c r="AD397" s="350">
        <v>4</v>
      </c>
      <c r="AE397" s="350">
        <v>9254</v>
      </c>
      <c r="AF397" s="350">
        <v>319</v>
      </c>
      <c r="AG397" s="350">
        <v>94</v>
      </c>
      <c r="AH397" s="350">
        <v>18</v>
      </c>
      <c r="AI397" s="418">
        <v>1</v>
      </c>
      <c r="AJ397" s="443"/>
      <c r="AK397" s="443"/>
      <c r="AL397" s="443"/>
      <c r="AM397" s="443"/>
      <c r="AN397" s="443"/>
      <c r="AO397" s="443"/>
    </row>
    <row customHeight="true" ht="16.071428571428573" r="398">
      <c r="A398" s="334"/>
      <c r="B398" s="335" t="s">
        <v>208</v>
      </c>
      <c r="C398" s="373" t="s">
        <v>191</v>
      </c>
      <c r="D398" s="377">
        <v>1830.7780000000002</v>
      </c>
      <c r="E398" s="359">
        <v>9</v>
      </c>
      <c r="F398" s="342">
        <f t="shared" si="340"/>
      </c>
      <c r="G398" s="359">
        <v>3677.2000000000007</v>
      </c>
      <c r="H398" s="428">
        <f t="shared" si="6"/>
      </c>
      <c r="I398" s="340">
        <f t="shared" si="23"/>
      </c>
      <c r="J398" s="341">
        <f t="shared" si="160"/>
      </c>
      <c r="K398" s="343">
        <f t="shared" si="192"/>
      </c>
      <c r="L398" s="344">
        <f t="shared" si="177"/>
      </c>
      <c r="M398" s="341">
        <f t="shared" si="257"/>
      </c>
      <c r="N398" s="345">
        <f t="shared" si="227"/>
      </c>
      <c r="O398" s="345">
        <f t="shared" si="242"/>
      </c>
      <c r="P398" s="345">
        <f t="shared" si="274"/>
      </c>
      <c r="Q398" s="345">
        <f t="shared" si="91"/>
      </c>
      <c r="R398" s="341">
        <f t="shared" si="289"/>
      </c>
      <c r="S398" s="343">
        <f t="shared" si="106"/>
      </c>
      <c r="T398" s="345">
        <f t="shared" si="127"/>
      </c>
      <c r="U398" s="345">
        <f t="shared" si="40"/>
      </c>
      <c r="V398" s="345">
        <f t="shared" si="57"/>
      </c>
      <c r="W398" s="345">
        <f t="shared" si="74"/>
      </c>
      <c r="X398" s="360" t="s">
        <v>181</v>
      </c>
      <c r="Y398" s="347" t="s">
        <v>193</v>
      </c>
      <c r="Z398" s="350">
        <v>152757</v>
      </c>
      <c r="AA398" s="350">
        <v>5299</v>
      </c>
      <c r="AB398" s="350">
        <v>65497</v>
      </c>
      <c r="AC398" s="350">
        <v>1033</v>
      </c>
      <c r="AD398" s="350">
        <v>6</v>
      </c>
      <c r="AE398" s="350">
        <v>8884</v>
      </c>
      <c r="AF398" s="350">
        <v>277</v>
      </c>
      <c r="AG398" s="350">
        <v>62</v>
      </c>
      <c r="AH398" s="349">
        <v>13</v>
      </c>
      <c r="AI398" s="418">
        <v>2</v>
      </c>
      <c r="AJ398" s="443"/>
      <c r="AK398" s="443"/>
      <c r="AL398" s="443"/>
      <c r="AM398" s="443"/>
      <c r="AN398" s="443"/>
      <c r="AO398" s="443"/>
    </row>
    <row r="399">
      <c r="A399" s="334"/>
      <c r="B399" s="387" t="s">
        <v>187</v>
      </c>
      <c r="C399" s="387"/>
      <c r="D399" s="362">
        <f>SUM(D395:D398)</f>
      </c>
      <c r="E399" s="420">
        <f>SUM(E395:E398)</f>
      </c>
      <c r="F399" s="365">
        <f t="shared" si="340"/>
      </c>
      <c r="G399" s="362">
        <f>SUM(G395:G398)</f>
      </c>
      <c r="H399" s="429">
        <f t="shared" si="6"/>
      </c>
      <c r="I399" s="362">
        <f t="shared" si="23"/>
      </c>
      <c r="J399" s="364">
        <f t="shared" si="160"/>
      </c>
      <c r="K399" s="366">
        <f t="shared" si="192"/>
      </c>
      <c r="L399" s="367">
        <f t="shared" si="177"/>
      </c>
      <c r="M399" s="364">
        <f t="shared" si="257"/>
      </c>
      <c r="N399" s="368">
        <f t="shared" si="227"/>
      </c>
      <c r="O399" s="368">
        <f t="shared" si="242"/>
      </c>
      <c r="P399" s="368">
        <f t="shared" si="274"/>
      </c>
      <c r="Q399" s="368">
        <f t="shared" si="91"/>
      </c>
      <c r="R399" s="364">
        <f t="shared" si="289"/>
      </c>
      <c r="S399" s="366">
        <f t="shared" si="106"/>
      </c>
      <c r="T399" s="368">
        <f t="shared" si="127"/>
      </c>
      <c r="U399" s="368">
        <f t="shared" si="40"/>
      </c>
      <c r="V399" s="368">
        <f t="shared" si="57"/>
      </c>
      <c r="W399" s="368">
        <f t="shared" si="74"/>
      </c>
      <c r="X399" s="368"/>
      <c r="Y399" s="369"/>
      <c r="Z399" s="362">
        <f>SUM(Z395:Z398)</f>
      </c>
      <c r="AA399" s="362">
        <f>SUM(AA395:AA398)</f>
      </c>
      <c r="AB399" s="362">
        <f>SUM(AB395:AB398)</f>
      </c>
      <c r="AC399" s="362">
        <f>SUM(AC395:AC398)</f>
      </c>
      <c r="AD399" s="362">
        <f>SUM(AD395:AD398)</f>
      </c>
      <c r="AE399" s="362">
        <f>SUM(AE395:AE398)</f>
      </c>
      <c r="AF399" s="362">
        <f>SUM(AF395:AF398)</f>
      </c>
      <c r="AG399" s="362">
        <f>SUM(AG395:AG398)</f>
      </c>
      <c r="AH399" s="362">
        <f>SUM(AH395:AH398)</f>
      </c>
      <c r="AI399" s="420">
        <f>SUM(AI395:AI398)</f>
      </c>
    </row>
    <row r="400">
      <c r="A400" s="334"/>
      <c r="B400" s="335" t="s">
        <v>179</v>
      </c>
      <c r="C400" s="374" t="s">
        <v>192</v>
      </c>
      <c r="D400" s="377">
        <v>1722.467</v>
      </c>
      <c r="E400" s="359">
        <v>3</v>
      </c>
      <c r="F400" s="342">
        <f t="shared" si="340"/>
      </c>
      <c r="G400" s="359">
        <v>684</v>
      </c>
      <c r="H400" s="428">
        <f t="shared" si="6"/>
      </c>
      <c r="I400" s="340">
        <f t="shared" si="23"/>
      </c>
      <c r="J400" s="341">
        <f t="shared" si="160"/>
      </c>
      <c r="K400" s="343">
        <f t="shared" si="192"/>
      </c>
      <c r="L400" s="344">
        <f t="shared" si="177"/>
      </c>
      <c r="M400" s="341">
        <f t="shared" si="257"/>
      </c>
      <c r="N400" s="345">
        <f t="shared" si="227"/>
      </c>
      <c r="O400" s="345">
        <f t="shared" si="242"/>
      </c>
      <c r="P400" s="345">
        <f t="shared" si="274"/>
      </c>
      <c r="Q400" s="345">
        <f t="shared" si="91"/>
      </c>
      <c r="R400" s="341">
        <f t="shared" si="289"/>
      </c>
      <c r="S400" s="343">
        <f t="shared" si="106"/>
      </c>
      <c r="T400" s="345">
        <f t="shared" si="127"/>
      </c>
      <c r="U400" s="345">
        <f t="shared" si="40"/>
      </c>
      <c r="V400" s="345">
        <f t="shared" si="57"/>
      </c>
      <c r="W400" s="345">
        <f t="shared" si="74"/>
      </c>
      <c r="X400" s="360" t="s">
        <v>181</v>
      </c>
      <c r="Y400" s="347" t="s">
        <v>205</v>
      </c>
      <c r="Z400" s="350">
        <v>146247</v>
      </c>
      <c r="AA400" s="350">
        <v>3478</v>
      </c>
      <c r="AB400" s="350">
        <v>57441</v>
      </c>
      <c r="AC400" s="350">
        <v>1158</v>
      </c>
      <c r="AD400" s="349">
        <v>3</v>
      </c>
      <c r="AE400" s="350">
        <v>8223</v>
      </c>
      <c r="AF400" s="350">
        <v>448</v>
      </c>
      <c r="AG400" s="350">
        <v>64</v>
      </c>
      <c r="AH400" s="350">
        <v>10</v>
      </c>
      <c r="AI400" s="418">
        <v>0</v>
      </c>
    </row>
    <row r="401">
      <c r="A401" s="334"/>
      <c r="B401" s="335" t="s">
        <v>179</v>
      </c>
      <c r="C401" s="375" t="s">
        <v>194</v>
      </c>
      <c r="D401" s="377">
        <v>1363.0439999999999</v>
      </c>
      <c r="E401" s="359">
        <v>0</v>
      </c>
      <c r="F401" s="342">
        <f t="shared" si="340"/>
      </c>
      <c r="G401" s="359">
        <v>0</v>
      </c>
      <c r="H401" s="428">
        <f t="shared" si="6"/>
      </c>
      <c r="I401" s="340">
        <f t="shared" si="23"/>
      </c>
      <c r="J401" s="341">
        <f t="shared" si="160"/>
      </c>
      <c r="K401" s="343">
        <f t="shared" si="192"/>
      </c>
      <c r="L401" s="344">
        <f t="shared" si="177"/>
      </c>
      <c r="M401" s="341">
        <f t="shared" si="257"/>
      </c>
      <c r="N401" s="345">
        <f t="shared" si="227"/>
      </c>
      <c r="O401" s="345">
        <f t="shared" si="242"/>
      </c>
      <c r="P401" s="345">
        <f t="shared" si="274"/>
      </c>
      <c r="Q401" s="345">
        <f t="shared" si="91"/>
      </c>
      <c r="R401" s="341">
        <f t="shared" si="289"/>
      </c>
      <c r="S401" s="343">
        <f t="shared" si="106"/>
      </c>
      <c r="T401" s="345">
        <f t="shared" si="127"/>
      </c>
      <c r="U401" s="345">
        <f t="shared" si="40"/>
      </c>
      <c r="V401" s="345">
        <f t="shared" si="57"/>
      </c>
      <c r="W401" s="345">
        <f t="shared" si="74"/>
      </c>
      <c r="X401" s="360" t="s">
        <v>181</v>
      </c>
      <c r="Y401" s="347" t="s">
        <v>205</v>
      </c>
      <c r="Z401" s="350">
        <v>123435</v>
      </c>
      <c r="AA401" s="350">
        <v>3152</v>
      </c>
      <c r="AB401" s="350">
        <v>66720</v>
      </c>
      <c r="AC401" s="350">
        <v>866</v>
      </c>
      <c r="AD401" s="349">
        <v>0</v>
      </c>
      <c r="AE401" s="350">
        <v>8836</v>
      </c>
      <c r="AF401" s="350">
        <v>274</v>
      </c>
      <c r="AG401" s="350">
        <v>58</v>
      </c>
      <c r="AH401" s="350">
        <v>11</v>
      </c>
      <c r="AI401" s="418">
        <v>0</v>
      </c>
    </row>
    <row r="402">
      <c r="A402" s="334"/>
      <c r="B402" s="335" t="s">
        <v>179</v>
      </c>
      <c r="C402" s="373" t="s">
        <v>196</v>
      </c>
      <c r="D402" s="377">
        <v>1506.111</v>
      </c>
      <c r="E402" s="359">
        <v>2</v>
      </c>
      <c r="F402" s="342">
        <f t="shared" si="340"/>
      </c>
      <c r="G402" s="359">
        <v>1056</v>
      </c>
      <c r="H402" s="428">
        <f t="shared" si="6"/>
      </c>
      <c r="I402" s="340">
        <f t="shared" si="23"/>
      </c>
      <c r="J402" s="341">
        <f t="shared" si="160"/>
      </c>
      <c r="K402" s="343">
        <f t="shared" si="192"/>
      </c>
      <c r="L402" s="344">
        <f t="shared" si="177"/>
      </c>
      <c r="M402" s="341">
        <f t="shared" si="257"/>
      </c>
      <c r="N402" s="345">
        <f t="shared" si="227"/>
      </c>
      <c r="O402" s="345">
        <f t="shared" si="242"/>
      </c>
      <c r="P402" s="345">
        <f t="shared" si="274"/>
      </c>
      <c r="Q402" s="345">
        <f t="shared" si="91"/>
      </c>
      <c r="R402" s="341">
        <f t="shared" si="289"/>
      </c>
      <c r="S402" s="343">
        <f t="shared" si="106"/>
      </c>
      <c r="T402" s="345">
        <f t="shared" si="127"/>
      </c>
      <c r="U402" s="345">
        <f t="shared" si="40"/>
      </c>
      <c r="V402" s="345">
        <f t="shared" si="57"/>
      </c>
      <c r="W402" s="345">
        <f t="shared" si="74"/>
      </c>
      <c r="X402" s="360" t="s">
        <v>181</v>
      </c>
      <c r="Y402" s="347" t="s">
        <v>205</v>
      </c>
      <c r="Z402" s="350">
        <v>132267</v>
      </c>
      <c r="AA402" s="350">
        <v>3183</v>
      </c>
      <c r="AB402" s="350">
        <v>71961</v>
      </c>
      <c r="AC402" s="350">
        <v>788</v>
      </c>
      <c r="AD402" s="350">
        <v>2</v>
      </c>
      <c r="AE402" s="350">
        <v>10265</v>
      </c>
      <c r="AF402" s="350">
        <v>230</v>
      </c>
      <c r="AG402" s="350">
        <v>48</v>
      </c>
      <c r="AH402" s="350">
        <v>9</v>
      </c>
      <c r="AI402" s="418">
        <v>0</v>
      </c>
    </row>
    <row r="403">
      <c r="A403" s="334"/>
      <c r="B403" s="335" t="s">
        <v>179</v>
      </c>
      <c r="C403" s="373" t="s">
        <v>197</v>
      </c>
      <c r="D403" s="377">
        <v>1275.534</v>
      </c>
      <c r="E403" s="359">
        <v>6</v>
      </c>
      <c r="F403" s="342">
        <f t="shared" si="340"/>
      </c>
      <c r="G403" s="359">
        <v>1293.8999999999978</v>
      </c>
      <c r="H403" s="428">
        <f t="shared" si="6"/>
      </c>
      <c r="I403" s="340">
        <f t="shared" si="23"/>
      </c>
      <c r="J403" s="341">
        <f t="shared" si="160"/>
      </c>
      <c r="K403" s="343">
        <f t="shared" si="192"/>
      </c>
      <c r="L403" s="344">
        <f t="shared" si="177"/>
      </c>
      <c r="M403" s="341">
        <f t="shared" si="257"/>
      </c>
      <c r="N403" s="345">
        <f t="shared" si="227"/>
      </c>
      <c r="O403" s="345">
        <f t="shared" si="242"/>
      </c>
      <c r="P403" s="345">
        <f t="shared" si="274"/>
      </c>
      <c r="Q403" s="345">
        <f t="shared" si="91"/>
      </c>
      <c r="R403" s="341">
        <f t="shared" si="289"/>
      </c>
      <c r="S403" s="343">
        <f t="shared" si="106"/>
      </c>
      <c r="T403" s="345">
        <f t="shared" si="127"/>
      </c>
      <c r="U403" s="345">
        <f t="shared" si="40"/>
      </c>
      <c r="V403" s="345">
        <f t="shared" si="57"/>
      </c>
      <c r="W403" s="345">
        <f t="shared" si="74"/>
      </c>
      <c r="X403" s="360" t="s">
        <v>181</v>
      </c>
      <c r="Y403" s="347" t="s">
        <v>205</v>
      </c>
      <c r="Z403" s="350">
        <v>124046</v>
      </c>
      <c r="AA403" s="350">
        <v>3164</v>
      </c>
      <c r="AB403" s="350">
        <v>75640</v>
      </c>
      <c r="AC403" s="350">
        <v>715</v>
      </c>
      <c r="AD403" s="350">
        <v>3</v>
      </c>
      <c r="AE403" s="350">
        <v>9403</v>
      </c>
      <c r="AF403" s="350">
        <v>236</v>
      </c>
      <c r="AG403" s="350">
        <v>63</v>
      </c>
      <c r="AH403" s="349">
        <v>16</v>
      </c>
      <c r="AI403" s="418">
        <v>2</v>
      </c>
    </row>
    <row r="404">
      <c r="A404" s="334"/>
      <c r="B404" s="387" t="s">
        <v>187</v>
      </c>
      <c r="C404" s="387"/>
      <c r="D404" s="362">
        <f>SUM(D400:D403)</f>
      </c>
      <c r="E404" s="420">
        <f>SUM(E400:E403)</f>
      </c>
      <c r="F404" s="365">
        <f t="shared" si="340"/>
      </c>
      <c r="G404" s="362">
        <f>SUM(G400:G403)</f>
      </c>
      <c r="H404" s="429">
        <f t="shared" si="6"/>
      </c>
      <c r="I404" s="362">
        <f t="shared" si="23"/>
      </c>
      <c r="J404" s="364">
        <f t="shared" si="160"/>
      </c>
      <c r="K404" s="366">
        <f t="shared" si="192"/>
      </c>
      <c r="L404" s="367">
        <f t="shared" si="177"/>
      </c>
      <c r="M404" s="364">
        <f t="shared" si="257"/>
      </c>
      <c r="N404" s="368">
        <f t="shared" si="227"/>
      </c>
      <c r="O404" s="368">
        <f t="shared" si="242"/>
      </c>
      <c r="P404" s="368">
        <f t="shared" si="274"/>
      </c>
      <c r="Q404" s="368">
        <f t="shared" si="91"/>
      </c>
      <c r="R404" s="364">
        <f t="shared" si="289"/>
      </c>
      <c r="S404" s="366">
        <f t="shared" si="106"/>
      </c>
      <c r="T404" s="368">
        <f t="shared" si="127"/>
      </c>
      <c r="U404" s="368">
        <f t="shared" si="40"/>
      </c>
      <c r="V404" s="368">
        <f t="shared" si="57"/>
      </c>
      <c r="W404" s="368">
        <f t="shared" si="74"/>
      </c>
      <c r="X404" s="368"/>
      <c r="Y404" s="369"/>
      <c r="Z404" s="362">
        <f>SUM(Z400:Z403)</f>
      </c>
      <c r="AA404" s="362">
        <f>SUM(AA400:AA403)</f>
      </c>
      <c r="AB404" s="362">
        <f>SUM(AB400:AB403)</f>
      </c>
      <c r="AC404" s="362">
        <f>SUM(AC400:AC403)</f>
      </c>
      <c r="AD404" s="362">
        <f>SUM(AD400:AD403)</f>
      </c>
      <c r="AE404" s="362">
        <f>SUM(AE400:AE403)</f>
      </c>
      <c r="AF404" s="362">
        <f>SUM(AF400:AF403)</f>
      </c>
      <c r="AG404" s="362">
        <f>SUM(AG400:AG403)</f>
      </c>
      <c r="AH404" s="362">
        <f>SUM(AH400:AH403)</f>
      </c>
      <c r="AI404" s="420">
        <f>SUM(AI400:AI403)</f>
      </c>
    </row>
    <row r="405">
      <c r="A405" s="334"/>
      <c r="B405" s="335" t="s">
        <v>195</v>
      </c>
      <c r="C405" s="374" t="s">
        <v>198</v>
      </c>
      <c r="D405" s="379">
        <v>1532.421</v>
      </c>
      <c r="E405" s="417">
        <v>4</v>
      </c>
      <c r="F405" s="342">
        <f t="shared" si="340"/>
      </c>
      <c r="G405" s="339">
        <v>1406.2999999999993</v>
      </c>
      <c r="H405" s="428">
        <f t="shared" si="6"/>
      </c>
      <c r="I405" s="340">
        <f t="shared" si="23"/>
      </c>
      <c r="J405" s="341">
        <f t="shared" si="160"/>
      </c>
      <c r="K405" s="343">
        <f t="shared" si="192"/>
      </c>
      <c r="L405" s="382">
        <f t="shared" si="177"/>
      </c>
      <c r="M405" s="383">
        <f t="shared" si="257"/>
      </c>
      <c r="N405" s="384">
        <f t="shared" si="227"/>
      </c>
      <c r="O405" s="384">
        <f t="shared" si="242"/>
      </c>
      <c r="P405" s="384">
        <f t="shared" si="274"/>
      </c>
      <c r="Q405" s="384">
        <f t="shared" si="91"/>
      </c>
      <c r="R405" s="383">
        <f t="shared" si="289"/>
      </c>
      <c r="S405" s="381">
        <f t="shared" si="106"/>
      </c>
      <c r="T405" s="384">
        <f t="shared" si="127"/>
      </c>
      <c r="U405" s="384">
        <f t="shared" si="40"/>
      </c>
      <c r="V405" s="384">
        <f t="shared" si="57"/>
      </c>
      <c r="W405" s="384">
        <f t="shared" si="74"/>
      </c>
      <c r="X405" s="360" t="s">
        <v>181</v>
      </c>
      <c r="Y405" s="347" t="s">
        <v>205</v>
      </c>
      <c r="Z405" s="350">
        <v>173669</v>
      </c>
      <c r="AA405" s="350">
        <v>3509</v>
      </c>
      <c r="AB405" s="350">
        <v>115753</v>
      </c>
      <c r="AC405" s="385">
        <v>790</v>
      </c>
      <c r="AD405" s="385">
        <v>3</v>
      </c>
      <c r="AE405" s="385">
        <v>11804</v>
      </c>
      <c r="AF405" s="385">
        <v>301</v>
      </c>
      <c r="AG405" s="385">
        <v>67</v>
      </c>
      <c r="AH405" s="385">
        <v>7</v>
      </c>
      <c r="AI405" s="418">
        <v>1</v>
      </c>
    </row>
    <row r="406">
      <c r="A406" s="334"/>
      <c r="B406" s="335" t="s">
        <v>195</v>
      </c>
      <c r="C406" s="373" t="s">
        <v>199</v>
      </c>
      <c r="D406" s="379">
        <v>1699.192</v>
      </c>
      <c r="E406" s="417">
        <v>8</v>
      </c>
      <c r="F406" s="342">
        <f t="shared" si="340"/>
      </c>
      <c r="G406" s="339">
        <v>2381.2000000000044</v>
      </c>
      <c r="H406" s="428">
        <f t="shared" si="6"/>
      </c>
      <c r="I406" s="340">
        <f t="shared" si="23"/>
      </c>
      <c r="J406" s="341">
        <f t="shared" si="160"/>
      </c>
      <c r="K406" s="343">
        <f t="shared" si="192"/>
      </c>
      <c r="L406" s="382">
        <f t="shared" si="177"/>
      </c>
      <c r="M406" s="383">
        <f t="shared" si="257"/>
      </c>
      <c r="N406" s="384">
        <f t="shared" si="227"/>
      </c>
      <c r="O406" s="384">
        <f t="shared" si="242"/>
      </c>
      <c r="P406" s="384">
        <f t="shared" si="274"/>
      </c>
      <c r="Q406" s="384">
        <f t="shared" si="91"/>
      </c>
      <c r="R406" s="383">
        <f t="shared" si="289"/>
      </c>
      <c r="S406" s="381">
        <f t="shared" si="106"/>
      </c>
      <c r="T406" s="384">
        <f t="shared" si="127"/>
      </c>
      <c r="U406" s="384">
        <f t="shared" si="40"/>
      </c>
      <c r="V406" s="384">
        <f t="shared" si="57"/>
      </c>
      <c r="W406" s="384">
        <f t="shared" si="74"/>
      </c>
      <c r="X406" s="360" t="s">
        <v>181</v>
      </c>
      <c r="Y406" s="347" t="s">
        <v>205</v>
      </c>
      <c r="Z406" s="350">
        <v>209738</v>
      </c>
      <c r="AA406" s="350">
        <v>3809</v>
      </c>
      <c r="AB406" s="350">
        <v>137225</v>
      </c>
      <c r="AC406" s="385">
        <v>940</v>
      </c>
      <c r="AD406" s="385">
        <v>6</v>
      </c>
      <c r="AE406" s="385">
        <v>13191</v>
      </c>
      <c r="AF406" s="385">
        <v>276</v>
      </c>
      <c r="AG406" s="385">
        <v>93</v>
      </c>
      <c r="AH406" s="385">
        <v>14</v>
      </c>
      <c r="AI406" s="418">
        <v>1</v>
      </c>
    </row>
    <row r="407">
      <c r="A407" s="334"/>
      <c r="B407" s="335" t="s">
        <v>195</v>
      </c>
      <c r="C407" s="386" t="s">
        <v>200</v>
      </c>
      <c r="D407" s="377">
        <v>1553.339</v>
      </c>
      <c r="E407" s="359">
        <v>7</v>
      </c>
      <c r="F407" s="342">
        <f t="shared" si="340"/>
      </c>
      <c r="G407" s="359">
        <v>1531.5999999999985</v>
      </c>
      <c r="H407" s="428">
        <f t="shared" si="6"/>
      </c>
      <c r="I407" s="340">
        <f t="shared" si="23"/>
      </c>
      <c r="J407" s="341">
        <f t="shared" si="160"/>
      </c>
      <c r="K407" s="343">
        <f t="shared" si="192"/>
      </c>
      <c r="L407" s="382">
        <f t="shared" si="177"/>
      </c>
      <c r="M407" s="383">
        <f t="shared" si="257"/>
      </c>
      <c r="N407" s="384">
        <f t="shared" si="227"/>
      </c>
      <c r="O407" s="384">
        <f t="shared" si="242"/>
      </c>
      <c r="P407" s="384">
        <f t="shared" si="274"/>
      </c>
      <c r="Q407" s="384">
        <f t="shared" si="91"/>
      </c>
      <c r="R407" s="383">
        <f t="shared" si="289"/>
      </c>
      <c r="S407" s="381">
        <f t="shared" si="106"/>
      </c>
      <c r="T407" s="384">
        <f t="shared" si="127"/>
      </c>
      <c r="U407" s="384">
        <f t="shared" si="40"/>
      </c>
      <c r="V407" s="384">
        <f t="shared" si="57"/>
      </c>
      <c r="W407" s="384">
        <f t="shared" si="74"/>
      </c>
      <c r="X407" s="360" t="s">
        <v>181</v>
      </c>
      <c r="Y407" s="347" t="s">
        <v>205</v>
      </c>
      <c r="Z407" s="350">
        <v>179495</v>
      </c>
      <c r="AA407" s="350">
        <v>4027</v>
      </c>
      <c r="AB407" s="350">
        <v>120356</v>
      </c>
      <c r="AC407" s="350">
        <v>1087</v>
      </c>
      <c r="AD407" s="350">
        <v>4</v>
      </c>
      <c r="AE407" s="350">
        <v>12477</v>
      </c>
      <c r="AF407" s="350">
        <v>293</v>
      </c>
      <c r="AG407" s="350">
        <v>96</v>
      </c>
      <c r="AH407" s="349">
        <v>17</v>
      </c>
      <c r="AI407" s="418">
        <v>3</v>
      </c>
    </row>
    <row r="408">
      <c r="A408" s="334"/>
      <c r="B408" s="335" t="s">
        <v>195</v>
      </c>
      <c r="C408" s="439" t="s">
        <v>212</v>
      </c>
      <c r="D408" s="440">
        <v>1004.5430000000001</v>
      </c>
      <c r="E408" s="359">
        <v>5</v>
      </c>
      <c r="F408" s="342">
        <f t="shared" si="340"/>
      </c>
      <c r="G408" s="359">
        <v>1108</v>
      </c>
      <c r="H408" s="430">
        <f t="shared" si="6"/>
      </c>
      <c r="I408" s="340">
        <f t="shared" si="23"/>
      </c>
      <c r="J408" s="341">
        <f t="shared" si="160"/>
      </c>
      <c r="K408" s="343">
        <f t="shared" si="192"/>
      </c>
      <c r="L408" s="382">
        <f t="shared" si="177"/>
      </c>
      <c r="M408" s="383">
        <f t="shared" si="257"/>
      </c>
      <c r="N408" s="384">
        <f t="shared" si="227"/>
      </c>
      <c r="O408" s="384">
        <f t="shared" si="242"/>
      </c>
      <c r="P408" s="384">
        <f t="shared" si="274"/>
      </c>
      <c r="Q408" s="384">
        <f t="shared" si="91"/>
      </c>
      <c r="R408" s="383">
        <f t="shared" si="289"/>
      </c>
      <c r="S408" s="381">
        <f t="shared" si="106"/>
      </c>
      <c r="T408" s="384">
        <f t="shared" si="127"/>
      </c>
      <c r="U408" s="384">
        <f t="shared" si="40"/>
      </c>
      <c r="V408" s="384">
        <f t="shared" si="57"/>
      </c>
      <c r="W408" s="384">
        <f t="shared" si="74"/>
      </c>
      <c r="X408" s="360" t="s">
        <v>181</v>
      </c>
      <c r="Y408" s="347" t="s">
        <v>205</v>
      </c>
      <c r="Z408" s="350">
        <v>113455</v>
      </c>
      <c r="AA408" s="350">
        <v>2808</v>
      </c>
      <c r="AB408" s="350">
        <v>60711</v>
      </c>
      <c r="AC408" s="350">
        <v>745</v>
      </c>
      <c r="AD408" s="350">
        <v>5</v>
      </c>
      <c r="AE408" s="350">
        <v>6244</v>
      </c>
      <c r="AF408" s="350">
        <v>220</v>
      </c>
      <c r="AG408" s="350">
        <v>55</v>
      </c>
      <c r="AH408" s="349">
        <v>13</v>
      </c>
      <c r="AI408" s="418">
        <v>0</v>
      </c>
    </row>
    <row r="409">
      <c r="A409" s="334"/>
      <c r="B409" s="387" t="s">
        <v>187</v>
      </c>
      <c r="C409" s="387"/>
      <c r="D409" s="362">
        <f>SUM(D405:D408)</f>
      </c>
      <c r="E409" s="420">
        <f>SUM(E405:E408)</f>
      </c>
      <c r="F409" s="366">
        <f t="shared" si="340"/>
      </c>
      <c r="G409" s="431">
        <f>SUM(G405:G408)</f>
      </c>
      <c r="H409" s="432">
        <f t="shared" si="6"/>
      </c>
      <c r="I409" s="433">
        <f t="shared" si="23"/>
      </c>
      <c r="J409" s="364">
        <f t="shared" si="160"/>
      </c>
      <c r="K409" s="366">
        <f t="shared" si="192"/>
      </c>
      <c r="L409" s="367">
        <f t="shared" si="177"/>
      </c>
      <c r="M409" s="364">
        <f t="shared" si="257"/>
      </c>
      <c r="N409" s="368">
        <f t="shared" si="227"/>
      </c>
      <c r="O409" s="368">
        <f t="shared" si="242"/>
      </c>
      <c r="P409" s="368">
        <f t="shared" si="274"/>
      </c>
      <c r="Q409" s="368">
        <f t="shared" si="91"/>
      </c>
      <c r="R409" s="364">
        <f t="shared" si="289"/>
      </c>
      <c r="S409" s="366">
        <f t="shared" si="106"/>
      </c>
      <c r="T409" s="368">
        <f t="shared" si="127"/>
      </c>
      <c r="U409" s="368">
        <f t="shared" si="40"/>
      </c>
      <c r="V409" s="368">
        <f t="shared" si="57"/>
      </c>
      <c r="W409" s="368">
        <f t="shared" si="74"/>
      </c>
      <c r="X409" s="368"/>
      <c r="Y409" s="369"/>
      <c r="Z409" s="362">
        <f>SUM(Z405:Z408)</f>
      </c>
      <c r="AA409" s="362">
        <f>SUM(AA405:AA408)</f>
      </c>
      <c r="AB409" s="362">
        <f>SUM(AB405:AB408)</f>
      </c>
      <c r="AC409" s="362">
        <f>SUM(AC405:AC408)</f>
      </c>
      <c r="AD409" s="362">
        <f>SUM(AD405:AD408)</f>
      </c>
      <c r="AE409" s="362">
        <f>SUM(AE405:AE408)</f>
      </c>
      <c r="AF409" s="362">
        <f>SUM(AF405:AF408)</f>
      </c>
      <c r="AG409" s="362">
        <f>SUM(AG405:AG408)</f>
      </c>
      <c r="AH409" s="362">
        <f>SUM(AH405:AH408)</f>
      </c>
      <c r="AI409" s="420">
        <f>SUM(AI405:AI408)</f>
      </c>
    </row>
    <row r="410">
      <c r="A410" s="444"/>
      <c r="B410" s="388" t="s">
        <v>201</v>
      </c>
      <c r="C410" s="388"/>
      <c r="D410" s="389">
        <f>SUM(D409+D394+D399+D404)</f>
      </c>
      <c r="E410" s="442">
        <f>SUM(E409+E394+E399+E404)</f>
      </c>
      <c r="F410" s="393">
        <f t="shared" si="340"/>
      </c>
      <c r="G410" s="434">
        <f>SUM(G409+G394+G399+G404)</f>
      </c>
      <c r="H410" s="441">
        <f t="shared" si="6"/>
      </c>
      <c r="I410" s="436">
        <f t="shared" si="23"/>
      </c>
      <c r="J410" s="391">
        <f t="shared" si="160"/>
      </c>
      <c r="K410" s="393">
        <f t="shared" si="192"/>
      </c>
      <c r="L410" s="394">
        <f t="shared" si="177"/>
      </c>
      <c r="M410" s="394">
        <f t="shared" si="257"/>
      </c>
      <c r="N410" s="395">
        <f t="shared" si="227"/>
      </c>
      <c r="O410" s="395">
        <f t="shared" si="242"/>
      </c>
      <c r="P410" s="395">
        <f t="shared" si="274"/>
      </c>
      <c r="Q410" s="395">
        <f t="shared" si="91"/>
      </c>
      <c r="R410" s="396">
        <f t="shared" si="289"/>
      </c>
      <c r="S410" s="397">
        <f t="shared" si="106"/>
      </c>
      <c r="T410" s="398">
        <f t="shared" si="127"/>
      </c>
      <c r="U410" s="398">
        <f t="shared" si="40"/>
      </c>
      <c r="V410" s="398">
        <f t="shared" si="57"/>
      </c>
      <c r="W410" s="398">
        <f t="shared" si="74"/>
      </c>
      <c r="X410" s="398"/>
      <c r="Y410" s="399"/>
      <c r="Z410" s="390">
        <f>SUM(Z394+Z409+Z399+Z404)</f>
      </c>
      <c r="AA410" s="390">
        <f>SUM(AA394+AA409+AA399+AA404)</f>
      </c>
      <c r="AB410" s="390">
        <f>SUM(AB394+AB409+AB399+AB404)</f>
      </c>
      <c r="AC410" s="390">
        <f>SUM(AC394+AC409+AC399+AC404)</f>
      </c>
      <c r="AD410" s="390">
        <f>SUM(AD394+AD409+AD399+AD404)</f>
      </c>
      <c r="AE410" s="390">
        <f>SUM(AE394+AE409+AE399+AE404)</f>
      </c>
      <c r="AF410" s="390">
        <f>SUM(AF394+AF409+AF399+AF404)</f>
      </c>
      <c r="AG410" s="390">
        <f>SUM(AG394+AG409+AG399+AG404)</f>
      </c>
      <c r="AH410" s="390">
        <f>SUM(AH394+AH409+AH399+AH404)</f>
      </c>
      <c r="AI410" s="390">
        <f>SUM(AI394+AI409+AI399+AI404)</f>
      </c>
      <c r="AJ410" s="445"/>
      <c r="AK410" s="445"/>
      <c r="AL410" s="445"/>
      <c r="AM410" s="445"/>
      <c r="AN410" s="445"/>
      <c r="AO410" s="445"/>
    </row>
    <row customHeight="true" ht="16.071428571428573" r="411">
      <c r="A411" s="319" t="s">
        <v>145</v>
      </c>
      <c r="B411" s="320" t="s">
        <v>146</v>
      </c>
      <c r="C411" s="321" t="s">
        <v>147</v>
      </c>
      <c r="D411" s="322" t="s">
        <v>148</v>
      </c>
      <c r="E411" s="426" t="s">
        <v>213</v>
      </c>
      <c r="F411" s="427" t="s">
        <v>214</v>
      </c>
      <c r="G411" s="324" t="s">
        <v>150</v>
      </c>
      <c r="H411" s="427" t="s">
        <v>215</v>
      </c>
      <c r="I411" s="324" t="s">
        <v>151</v>
      </c>
      <c r="J411" s="325" t="s">
        <v>152</v>
      </c>
      <c r="K411" s="325" t="s">
        <v>154</v>
      </c>
      <c r="L411" s="326" t="s">
        <v>155</v>
      </c>
      <c r="M411" s="326" t="s">
        <v>156</v>
      </c>
      <c r="N411" s="326" t="s">
        <v>157</v>
      </c>
      <c r="O411" s="326" t="s">
        <v>158</v>
      </c>
      <c r="P411" s="326" t="s">
        <v>159</v>
      </c>
      <c r="Q411" s="326" t="s">
        <v>160</v>
      </c>
      <c r="R411" s="326" t="s">
        <v>161</v>
      </c>
      <c r="S411" s="326" t="s">
        <v>162</v>
      </c>
      <c r="T411" s="327" t="s">
        <v>163</v>
      </c>
      <c r="U411" s="327" t="s">
        <v>164</v>
      </c>
      <c r="V411" s="327" t="s">
        <v>165</v>
      </c>
      <c r="W411" s="327" t="s">
        <v>166</v>
      </c>
      <c r="X411" s="328" t="s">
        <v>167</v>
      </c>
      <c r="Y411" s="328" t="s">
        <v>168</v>
      </c>
      <c r="Z411" s="329" t="s">
        <v>169</v>
      </c>
      <c r="AA411" s="329" t="s">
        <v>170</v>
      </c>
      <c r="AB411" s="329" t="s">
        <v>171</v>
      </c>
      <c r="AC411" s="330" t="s">
        <v>172</v>
      </c>
      <c r="AD411" s="330" t="s">
        <v>173</v>
      </c>
      <c r="AE411" s="331" t="s">
        <v>174</v>
      </c>
      <c r="AF411" s="330" t="s">
        <v>175</v>
      </c>
      <c r="AG411" s="330" t="s">
        <v>176</v>
      </c>
      <c r="AH411" s="332" t="s">
        <v>177</v>
      </c>
      <c r="AI411" s="333" t="s">
        <v>178</v>
      </c>
      <c r="AJ411" s="443"/>
      <c r="AK411" s="443"/>
      <c r="AL411" s="443"/>
      <c r="AM411" s="443"/>
      <c r="AN411" s="443"/>
      <c r="AO411" s="443"/>
    </row>
    <row customHeight="true" ht="16.071428571428573" r="412">
      <c r="A412" s="334">
        <v>46256</v>
      </c>
      <c r="B412" s="415" t="s">
        <v>188</v>
      </c>
      <c r="C412" s="354" t="s">
        <v>180</v>
      </c>
      <c r="D412" s="337">
        <v>1573.895</v>
      </c>
      <c r="E412" s="417">
        <v>1</v>
      </c>
      <c r="F412" s="342">
        <f t="shared" ref="F412:F432" si="341">D412/E412</f>
      </c>
      <c r="G412" s="339">
        <v>828</v>
      </c>
      <c r="H412" s="428">
        <f t="shared" ref="H412:H432" si="7">AD412</f>
      </c>
      <c r="I412" s="340">
        <f t="shared" ref="I412:I432" si="24">D412/AD412</f>
      </c>
      <c r="J412" s="341">
        <f t="shared" ref="J412:J432" si="161">G412/E412</f>
      </c>
      <c r="K412" s="343">
        <f t="shared" ref="K412:K432" si="193">G412/D412</f>
      </c>
      <c r="L412" s="344">
        <f t="shared" ref="L412:L432" si="178">D412/AB412</f>
      </c>
      <c r="M412" s="341">
        <f t="shared" ref="M412:M432" si="258">D412/AC412</f>
      </c>
      <c r="N412" s="345">
        <f t="shared" ref="N412:N432" si="228">AC412/AB412</f>
      </c>
      <c r="O412" s="345">
        <f t="shared" ref="O412:O432" si="243">AD412/AC412</f>
      </c>
      <c r="P412" s="345">
        <f t="shared" ref="P412:P432" si="275">AA412/Z412</f>
      </c>
      <c r="Q412" s="345">
        <f t="shared" ref="Q412:Q432" si="92">AD412/AA412</f>
      </c>
      <c r="R412" s="341">
        <f t="shared" ref="R412:R432" si="290">D412/Z412*1000</f>
      </c>
      <c r="S412" s="343">
        <f t="shared" ref="S412:S432" si="107">D412/AA412</f>
      </c>
      <c r="T412" s="345">
        <f t="shared" ref="T412:T432" si="128">AE412/AB412</f>
      </c>
      <c r="U412" s="345">
        <f t="shared" ref="U412:U432" si="41">AF412/AB412</f>
      </c>
      <c r="V412" s="345">
        <f t="shared" ref="V412:V432" si="58">AG412/AB412</f>
      </c>
      <c r="W412" s="345">
        <f t="shared" ref="W412:W432" si="75">AH412/AB412</f>
      </c>
      <c r="X412" s="346" t="s">
        <v>181</v>
      </c>
      <c r="Y412" s="347" t="s">
        <v>193</v>
      </c>
      <c r="Z412" s="348">
        <v>89457</v>
      </c>
      <c r="AA412" s="348">
        <v>2893</v>
      </c>
      <c r="AB412" s="348">
        <v>63635</v>
      </c>
      <c r="AC412" s="348">
        <v>802</v>
      </c>
      <c r="AD412" s="349">
        <v>1</v>
      </c>
      <c r="AE412" s="348">
        <v>13936</v>
      </c>
      <c r="AF412" s="350">
        <v>254</v>
      </c>
      <c r="AG412" s="350">
        <v>67</v>
      </c>
      <c r="AH412" s="350">
        <v>4</v>
      </c>
      <c r="AI412" s="418">
        <v>0</v>
      </c>
      <c r="AJ412" s="443"/>
      <c r="AK412" s="443"/>
      <c r="AL412" s="443"/>
      <c r="AM412" s="443"/>
      <c r="AN412" s="443"/>
      <c r="AO412" s="443"/>
    </row>
    <row customHeight="true" ht="16.071428571428573" r="413">
      <c r="A413" s="334"/>
      <c r="B413" s="415" t="s">
        <v>188</v>
      </c>
      <c r="C413" s="336" t="s">
        <v>183</v>
      </c>
      <c r="D413" s="337">
        <v>2720.11</v>
      </c>
      <c r="E413" s="417">
        <v>3</v>
      </c>
      <c r="F413" s="342">
        <f t="shared" si="341"/>
      </c>
      <c r="G413" s="339">
        <v>1284</v>
      </c>
      <c r="H413" s="428">
        <f t="shared" si="7"/>
      </c>
      <c r="I413" s="340">
        <f t="shared" si="24"/>
      </c>
      <c r="J413" s="341">
        <f t="shared" si="161"/>
      </c>
      <c r="K413" s="343">
        <f t="shared" si="193"/>
      </c>
      <c r="L413" s="344">
        <f t="shared" si="178"/>
      </c>
      <c r="M413" s="341">
        <f t="shared" si="258"/>
      </c>
      <c r="N413" s="345">
        <f t="shared" si="228"/>
      </c>
      <c r="O413" s="345">
        <f t="shared" si="243"/>
      </c>
      <c r="P413" s="345">
        <f t="shared" si="275"/>
      </c>
      <c r="Q413" s="345">
        <f t="shared" si="92"/>
      </c>
      <c r="R413" s="341">
        <f t="shared" si="290"/>
      </c>
      <c r="S413" s="343">
        <f t="shared" si="107"/>
      </c>
      <c r="T413" s="345">
        <f t="shared" si="128"/>
      </c>
      <c r="U413" s="345">
        <f t="shared" si="41"/>
      </c>
      <c r="V413" s="345">
        <f t="shared" si="58"/>
      </c>
      <c r="W413" s="345">
        <f t="shared" si="75"/>
      </c>
      <c r="X413" s="360" t="s">
        <v>181</v>
      </c>
      <c r="Y413" s="347" t="s">
        <v>193</v>
      </c>
      <c r="Z413" s="350">
        <v>152517</v>
      </c>
      <c r="AA413" s="348">
        <v>5521</v>
      </c>
      <c r="AB413" s="348">
        <v>119558</v>
      </c>
      <c r="AC413" s="348">
        <v>1299</v>
      </c>
      <c r="AD413" s="350">
        <v>3</v>
      </c>
      <c r="AE413" s="348">
        <v>24675</v>
      </c>
      <c r="AF413" s="350">
        <v>442</v>
      </c>
      <c r="AG413" s="350">
        <v>159</v>
      </c>
      <c r="AH413" s="349">
        <v>19</v>
      </c>
      <c r="AI413" s="418">
        <v>0</v>
      </c>
      <c r="AJ413" s="443"/>
      <c r="AK413" s="443"/>
      <c r="AL413" s="443"/>
      <c r="AM413" s="443"/>
      <c r="AN413" s="443"/>
      <c r="AO413" s="443"/>
    </row>
    <row customHeight="true" ht="16.071428571428573" r="414">
      <c r="A414" s="334"/>
      <c r="B414" s="415" t="s">
        <v>188</v>
      </c>
      <c r="C414" s="351" t="s">
        <v>184</v>
      </c>
      <c r="D414" s="377">
        <v>1622.4789999999998</v>
      </c>
      <c r="E414" s="359">
        <v>5</v>
      </c>
      <c r="F414" s="342">
        <f t="shared" si="341"/>
      </c>
      <c r="G414" s="359">
        <v>1644</v>
      </c>
      <c r="H414" s="428">
        <f t="shared" si="7"/>
      </c>
      <c r="I414" s="340">
        <f t="shared" si="24"/>
      </c>
      <c r="J414" s="341">
        <f t="shared" si="161"/>
      </c>
      <c r="K414" s="343">
        <f t="shared" si="193"/>
      </c>
      <c r="L414" s="344">
        <f t="shared" si="178"/>
      </c>
      <c r="M414" s="341">
        <f t="shared" si="258"/>
      </c>
      <c r="N414" s="345">
        <f t="shared" si="228"/>
      </c>
      <c r="O414" s="345">
        <f t="shared" si="243"/>
      </c>
      <c r="P414" s="345">
        <f t="shared" si="275"/>
      </c>
      <c r="Q414" s="345">
        <f t="shared" si="92"/>
      </c>
      <c r="R414" s="341">
        <f t="shared" si="290"/>
      </c>
      <c r="S414" s="343">
        <f t="shared" si="107"/>
      </c>
      <c r="T414" s="345">
        <f t="shared" si="128"/>
      </c>
      <c r="U414" s="345">
        <f t="shared" si="41"/>
      </c>
      <c r="V414" s="345">
        <f t="shared" si="58"/>
      </c>
      <c r="W414" s="345">
        <f t="shared" si="75"/>
      </c>
      <c r="X414" s="360" t="s">
        <v>181</v>
      </c>
      <c r="Y414" s="347" t="s">
        <v>193</v>
      </c>
      <c r="Z414" s="350">
        <v>116503</v>
      </c>
      <c r="AA414" s="350">
        <v>4929</v>
      </c>
      <c r="AB414" s="350">
        <v>81928</v>
      </c>
      <c r="AC414" s="350">
        <v>999</v>
      </c>
      <c r="AD414" s="350">
        <v>4</v>
      </c>
      <c r="AE414" s="350">
        <v>15862</v>
      </c>
      <c r="AF414" s="350">
        <v>316</v>
      </c>
      <c r="AG414" s="350">
        <v>102</v>
      </c>
      <c r="AH414" s="350">
        <v>8</v>
      </c>
      <c r="AI414" s="418">
        <v>0</v>
      </c>
      <c r="AJ414" s="443"/>
      <c r="AK414" s="443"/>
      <c r="AL414" s="443"/>
      <c r="AM414" s="443"/>
      <c r="AN414" s="443"/>
      <c r="AO414" s="443"/>
    </row>
    <row customHeight="true" ht="16.071428571428573" r="415">
      <c r="A415" s="334"/>
      <c r="B415" s="415" t="s">
        <v>188</v>
      </c>
      <c r="C415" s="416" t="s">
        <v>185</v>
      </c>
      <c r="D415" s="377">
        <v>1381.464</v>
      </c>
      <c r="E415" s="359">
        <v>5</v>
      </c>
      <c r="F415" s="342">
        <f t="shared" si="341"/>
      </c>
      <c r="G415" s="359">
        <v>1588.8000000000002</v>
      </c>
      <c r="H415" s="428">
        <f t="shared" si="7"/>
      </c>
      <c r="I415" s="340">
        <f t="shared" si="24"/>
      </c>
      <c r="J415" s="341">
        <f t="shared" si="161"/>
      </c>
      <c r="K415" s="343">
        <f t="shared" si="193"/>
      </c>
      <c r="L415" s="344">
        <f t="shared" si="178"/>
      </c>
      <c r="M415" s="341">
        <f t="shared" si="258"/>
      </c>
      <c r="N415" s="345">
        <f t="shared" si="228"/>
      </c>
      <c r="O415" s="345">
        <f t="shared" si="243"/>
      </c>
      <c r="P415" s="345">
        <f t="shared" si="275"/>
      </c>
      <c r="Q415" s="345">
        <f t="shared" si="92"/>
      </c>
      <c r="R415" s="341">
        <f t="shared" si="290"/>
      </c>
      <c r="S415" s="343">
        <f t="shared" si="107"/>
      </c>
      <c r="T415" s="345">
        <f t="shared" si="128"/>
      </c>
      <c r="U415" s="345">
        <f t="shared" si="41"/>
      </c>
      <c r="V415" s="345">
        <f t="shared" si="58"/>
      </c>
      <c r="W415" s="345">
        <f t="shared" si="75"/>
      </c>
      <c r="X415" s="360" t="s">
        <v>181</v>
      </c>
      <c r="Y415" s="347" t="s">
        <v>193</v>
      </c>
      <c r="Z415" s="350">
        <v>115871</v>
      </c>
      <c r="AA415" s="350">
        <v>6102</v>
      </c>
      <c r="AB415" s="350">
        <v>75641</v>
      </c>
      <c r="AC415" s="350">
        <v>686</v>
      </c>
      <c r="AD415" s="350">
        <v>5</v>
      </c>
      <c r="AE415" s="350">
        <v>10184</v>
      </c>
      <c r="AF415" s="350">
        <v>192</v>
      </c>
      <c r="AG415" s="350">
        <v>68</v>
      </c>
      <c r="AH415" s="349">
        <v>9</v>
      </c>
      <c r="AI415" s="418">
        <v>1</v>
      </c>
      <c r="AJ415" s="443"/>
      <c r="AK415" s="443"/>
      <c r="AL415" s="443"/>
      <c r="AM415" s="443"/>
      <c r="AN415" s="443"/>
      <c r="AO415" s="443"/>
    </row>
    <row customHeight="true" ht="16.071428571428573" r="416">
      <c r="A416" s="334"/>
      <c r="B416" s="387" t="s">
        <v>187</v>
      </c>
      <c r="C416" s="387"/>
      <c r="D416" s="362">
        <f>SUM(D412:D415)</f>
      </c>
      <c r="E416" s="437">
        <f>SUM(E412:E415)</f>
      </c>
      <c r="F416" s="365">
        <f t="shared" si="341"/>
      </c>
      <c r="G416" s="362">
        <f>SUM(G412:G415)</f>
      </c>
      <c r="H416" s="429">
        <f t="shared" si="7"/>
      </c>
      <c r="I416" s="362">
        <f t="shared" si="24"/>
      </c>
      <c r="J416" s="364">
        <f t="shared" si="161"/>
      </c>
      <c r="K416" s="366">
        <f t="shared" si="193"/>
      </c>
      <c r="L416" s="367">
        <f t="shared" si="178"/>
      </c>
      <c r="M416" s="364">
        <f t="shared" si="258"/>
      </c>
      <c r="N416" s="368">
        <f t="shared" si="228"/>
      </c>
      <c r="O416" s="368">
        <f t="shared" si="243"/>
      </c>
      <c r="P416" s="368">
        <f t="shared" si="275"/>
      </c>
      <c r="Q416" s="368">
        <f t="shared" si="92"/>
      </c>
      <c r="R416" s="364">
        <f t="shared" si="290"/>
      </c>
      <c r="S416" s="366">
        <f t="shared" si="107"/>
      </c>
      <c r="T416" s="368">
        <f t="shared" si="128"/>
      </c>
      <c r="U416" s="368">
        <f t="shared" si="41"/>
      </c>
      <c r="V416" s="368">
        <f t="shared" si="58"/>
      </c>
      <c r="W416" s="368">
        <f t="shared" si="75"/>
      </c>
      <c r="X416" s="368"/>
      <c r="Y416" s="369"/>
      <c r="Z416" s="362">
        <f>SUM(Z412:Z415)</f>
      </c>
      <c r="AA416" s="362">
        <f>SUM(AA412:AA415)</f>
      </c>
      <c r="AB416" s="362">
        <f>SUM(AB412:AB415)</f>
      </c>
      <c r="AC416" s="362">
        <f>SUM(AC412:AC415)</f>
      </c>
      <c r="AD416" s="362">
        <f>SUM(AD412:AD415)</f>
      </c>
      <c r="AE416" s="362">
        <f>SUM(AE412:AE415)</f>
      </c>
      <c r="AF416" s="362">
        <f>SUM(AF412:AF415)</f>
      </c>
      <c r="AG416" s="362">
        <f>SUM(AG412:AG415)</f>
      </c>
      <c r="AH416" s="362">
        <f>SUM(AH412:AH415)</f>
      </c>
      <c r="AI416" s="362">
        <f>SUM(AI412:AI415)</f>
      </c>
      <c r="AJ416" s="443"/>
      <c r="AK416" s="443"/>
      <c r="AL416" s="443"/>
      <c r="AM416" s="443"/>
      <c r="AN416" s="443"/>
      <c r="AO416" s="443"/>
    </row>
    <row customHeight="true" ht="16.071428571428573" r="417">
      <c r="A417" s="334"/>
      <c r="B417" s="335" t="s">
        <v>179</v>
      </c>
      <c r="C417" s="416" t="s">
        <v>186</v>
      </c>
      <c r="D417" s="371">
        <v>1643.8999999999999</v>
      </c>
      <c r="E417" s="417">
        <v>3</v>
      </c>
      <c r="F417" s="342">
        <f t="shared" si="341"/>
      </c>
      <c r="G417" s="339">
        <v>1245.5999999999995</v>
      </c>
      <c r="H417" s="428">
        <f t="shared" si="7"/>
      </c>
      <c r="I417" s="340">
        <f t="shared" si="24"/>
      </c>
      <c r="J417" s="341">
        <f t="shared" si="161"/>
      </c>
      <c r="K417" s="343">
        <f t="shared" si="193"/>
      </c>
      <c r="L417" s="344">
        <f t="shared" si="178"/>
      </c>
      <c r="M417" s="341">
        <f t="shared" si="258"/>
      </c>
      <c r="N417" s="345">
        <f t="shared" si="228"/>
      </c>
      <c r="O417" s="345">
        <f t="shared" si="243"/>
      </c>
      <c r="P417" s="345">
        <f t="shared" si="275"/>
      </c>
      <c r="Q417" s="345">
        <f t="shared" si="92"/>
      </c>
      <c r="R417" s="341">
        <f t="shared" si="290"/>
      </c>
      <c r="S417" s="343">
        <f t="shared" si="107"/>
      </c>
      <c r="T417" s="345">
        <f t="shared" si="128"/>
      </c>
      <c r="U417" s="345">
        <f t="shared" si="41"/>
      </c>
      <c r="V417" s="345">
        <f t="shared" si="58"/>
      </c>
      <c r="W417" s="345">
        <f t="shared" si="75"/>
      </c>
      <c r="X417" s="360" t="s">
        <v>181</v>
      </c>
      <c r="Y417" s="347" t="s">
        <v>193</v>
      </c>
      <c r="Z417" s="348">
        <v>156952</v>
      </c>
      <c r="AA417" s="348">
        <v>9163</v>
      </c>
      <c r="AB417" s="348">
        <v>105192</v>
      </c>
      <c r="AC417" s="350">
        <v>730</v>
      </c>
      <c r="AD417" s="350">
        <v>1</v>
      </c>
      <c r="AE417" s="348">
        <v>9788</v>
      </c>
      <c r="AF417" s="350">
        <v>287</v>
      </c>
      <c r="AG417" s="350">
        <v>106</v>
      </c>
      <c r="AH417" s="350">
        <v>21</v>
      </c>
      <c r="AI417" s="418">
        <v>1</v>
      </c>
      <c r="AJ417" s="443"/>
      <c r="AK417" s="443"/>
      <c r="AL417" s="443"/>
      <c r="AM417" s="443"/>
      <c r="AN417" s="443"/>
      <c r="AO417" s="443"/>
    </row>
    <row customHeight="true" ht="16.071428571428573" r="418">
      <c r="A418" s="334"/>
      <c r="B418" s="335" t="s">
        <v>179</v>
      </c>
      <c r="C418" s="370" t="s">
        <v>189</v>
      </c>
      <c r="D418" s="371">
        <v>1411.431</v>
      </c>
      <c r="E418" s="419">
        <v>8</v>
      </c>
      <c r="F418" s="342">
        <f t="shared" si="341"/>
      </c>
      <c r="G418" s="359">
        <v>3497.6000000000004</v>
      </c>
      <c r="H418" s="428">
        <f t="shared" si="7"/>
      </c>
      <c r="I418" s="340">
        <f t="shared" si="24"/>
      </c>
      <c r="J418" s="341">
        <f t="shared" si="161"/>
      </c>
      <c r="K418" s="343">
        <f t="shared" si="193"/>
      </c>
      <c r="L418" s="344">
        <f t="shared" si="178"/>
      </c>
      <c r="M418" s="341">
        <f t="shared" si="258"/>
      </c>
      <c r="N418" s="345">
        <f t="shared" si="228"/>
      </c>
      <c r="O418" s="345">
        <f t="shared" si="243"/>
      </c>
      <c r="P418" s="345">
        <f t="shared" si="275"/>
      </c>
      <c r="Q418" s="345">
        <f t="shared" si="92"/>
      </c>
      <c r="R418" s="341">
        <f t="shared" si="290"/>
      </c>
      <c r="S418" s="343">
        <f t="shared" si="107"/>
      </c>
      <c r="T418" s="345">
        <f t="shared" si="128"/>
      </c>
      <c r="U418" s="345">
        <f t="shared" si="41"/>
      </c>
      <c r="V418" s="345">
        <f t="shared" si="58"/>
      </c>
      <c r="W418" s="345">
        <f t="shared" si="75"/>
      </c>
      <c r="X418" s="360" t="s">
        <v>181</v>
      </c>
      <c r="Y418" s="347" t="s">
        <v>193</v>
      </c>
      <c r="Z418" s="350">
        <v>126962</v>
      </c>
      <c r="AA418" s="350">
        <v>8023</v>
      </c>
      <c r="AB418" s="350">
        <v>81246</v>
      </c>
      <c r="AC418" s="350">
        <v>697</v>
      </c>
      <c r="AD418" s="350">
        <v>7</v>
      </c>
      <c r="AE418" s="350">
        <v>7488</v>
      </c>
      <c r="AF418" s="350">
        <v>244</v>
      </c>
      <c r="AG418" s="350">
        <v>96</v>
      </c>
      <c r="AH418" s="350">
        <v>17</v>
      </c>
      <c r="AI418" s="418">
        <v>2</v>
      </c>
      <c r="AJ418" s="443"/>
      <c r="AK418" s="443"/>
      <c r="AL418" s="443"/>
      <c r="AM418" s="443"/>
      <c r="AN418" s="443"/>
      <c r="AO418" s="443"/>
    </row>
    <row customHeight="true" ht="16.071428571428573" r="419">
      <c r="A419" s="334"/>
      <c r="B419" s="335" t="s">
        <v>179</v>
      </c>
      <c r="C419" s="372" t="s">
        <v>190</v>
      </c>
      <c r="D419" s="371">
        <v>1252.347</v>
      </c>
      <c r="E419" s="419">
        <v>5</v>
      </c>
      <c r="F419" s="342">
        <f t="shared" si="341"/>
      </c>
      <c r="G419" s="359">
        <v>1048</v>
      </c>
      <c r="H419" s="428">
        <f t="shared" si="7"/>
      </c>
      <c r="I419" s="340">
        <f t="shared" si="24"/>
      </c>
      <c r="J419" s="341">
        <f t="shared" si="161"/>
      </c>
      <c r="K419" s="343">
        <f t="shared" si="193"/>
      </c>
      <c r="L419" s="344">
        <f t="shared" si="178"/>
      </c>
      <c r="M419" s="341">
        <f t="shared" si="258"/>
      </c>
      <c r="N419" s="345">
        <f t="shared" si="228"/>
      </c>
      <c r="O419" s="345">
        <f t="shared" si="243"/>
      </c>
      <c r="P419" s="345">
        <f t="shared" si="275"/>
      </c>
      <c r="Q419" s="345">
        <f t="shared" si="92"/>
      </c>
      <c r="R419" s="341">
        <f t="shared" si="290"/>
      </c>
      <c r="S419" s="343">
        <f t="shared" si="107"/>
      </c>
      <c r="T419" s="345">
        <f t="shared" si="128"/>
      </c>
      <c r="U419" s="345">
        <f t="shared" si="41"/>
      </c>
      <c r="V419" s="345">
        <f t="shared" si="58"/>
      </c>
      <c r="W419" s="345">
        <f t="shared" si="75"/>
      </c>
      <c r="X419" s="360" t="s">
        <v>181</v>
      </c>
      <c r="Y419" s="347" t="s">
        <v>193</v>
      </c>
      <c r="Z419" s="350">
        <v>93121</v>
      </c>
      <c r="AA419" s="350">
        <v>4145</v>
      </c>
      <c r="AB419" s="350">
        <v>63892</v>
      </c>
      <c r="AC419" s="350">
        <v>615</v>
      </c>
      <c r="AD419" s="350">
        <v>5</v>
      </c>
      <c r="AE419" s="350">
        <v>8325</v>
      </c>
      <c r="AF419" s="350">
        <v>184</v>
      </c>
      <c r="AG419" s="350">
        <v>66</v>
      </c>
      <c r="AH419" s="350">
        <v>14</v>
      </c>
      <c r="AI419" s="418">
        <v>0</v>
      </c>
      <c r="AJ419" s="443"/>
      <c r="AK419" s="443"/>
      <c r="AL419" s="443"/>
      <c r="AM419" s="443"/>
      <c r="AN419" s="443"/>
      <c r="AO419" s="443"/>
    </row>
    <row customHeight="true" ht="16.071428571428573" r="420">
      <c r="A420" s="334"/>
      <c r="B420" s="335" t="s">
        <v>179</v>
      </c>
      <c r="C420" s="373" t="s">
        <v>191</v>
      </c>
      <c r="D420" s="377">
        <v>1477.107</v>
      </c>
      <c r="E420" s="359">
        <v>5</v>
      </c>
      <c r="F420" s="342">
        <f t="shared" si="341"/>
      </c>
      <c r="G420" s="359">
        <v>2204.199999999999</v>
      </c>
      <c r="H420" s="428">
        <f t="shared" si="7"/>
      </c>
      <c r="I420" s="340">
        <f t="shared" si="24"/>
      </c>
      <c r="J420" s="341">
        <f t="shared" si="161"/>
      </c>
      <c r="K420" s="343">
        <f t="shared" si="193"/>
      </c>
      <c r="L420" s="344">
        <f t="shared" si="178"/>
      </c>
      <c r="M420" s="341">
        <f t="shared" si="258"/>
      </c>
      <c r="N420" s="345">
        <f t="shared" si="228"/>
      </c>
      <c r="O420" s="345">
        <f t="shared" si="243"/>
      </c>
      <c r="P420" s="345">
        <f t="shared" si="275"/>
      </c>
      <c r="Q420" s="345">
        <f t="shared" si="92"/>
      </c>
      <c r="R420" s="341">
        <f t="shared" si="290"/>
      </c>
      <c r="S420" s="343">
        <f t="shared" si="107"/>
      </c>
      <c r="T420" s="345">
        <f t="shared" si="128"/>
      </c>
      <c r="U420" s="345">
        <f t="shared" si="41"/>
      </c>
      <c r="V420" s="345">
        <f t="shared" si="58"/>
      </c>
      <c r="W420" s="345">
        <f t="shared" si="75"/>
      </c>
      <c r="X420" s="360" t="s">
        <v>181</v>
      </c>
      <c r="Y420" s="347" t="s">
        <v>193</v>
      </c>
      <c r="Z420" s="350">
        <v>109970</v>
      </c>
      <c r="AA420" s="350">
        <v>2764</v>
      </c>
      <c r="AB420" s="350">
        <v>79167</v>
      </c>
      <c r="AC420" s="350">
        <v>778</v>
      </c>
      <c r="AD420" s="350">
        <v>4</v>
      </c>
      <c r="AE420" s="350">
        <v>11072</v>
      </c>
      <c r="AF420" s="350">
        <v>304</v>
      </c>
      <c r="AG420" s="350">
        <v>64</v>
      </c>
      <c r="AH420" s="349">
        <v>12</v>
      </c>
      <c r="AI420" s="418">
        <v>0</v>
      </c>
      <c r="AJ420" s="443"/>
      <c r="AK420" s="443"/>
      <c r="AL420" s="443"/>
      <c r="AM420" s="443"/>
      <c r="AN420" s="443"/>
      <c r="AO420" s="443"/>
    </row>
    <row customHeight="true" ht="16.071428571428573" r="421">
      <c r="A421" s="334"/>
      <c r="B421" s="387" t="s">
        <v>187</v>
      </c>
      <c r="C421" s="387"/>
      <c r="D421" s="362">
        <f>SUM(D417:D420)</f>
      </c>
      <c r="E421" s="420">
        <f>SUM(E417:E420)</f>
      </c>
      <c r="F421" s="365">
        <f t="shared" si="341"/>
      </c>
      <c r="G421" s="362">
        <f>SUM(G417:G420)</f>
      </c>
      <c r="H421" s="429">
        <f t="shared" si="7"/>
      </c>
      <c r="I421" s="362">
        <f t="shared" si="24"/>
      </c>
      <c r="J421" s="364">
        <f t="shared" si="161"/>
      </c>
      <c r="K421" s="366">
        <f t="shared" si="193"/>
      </c>
      <c r="L421" s="367">
        <f t="shared" si="178"/>
      </c>
      <c r="M421" s="364">
        <f t="shared" si="258"/>
      </c>
      <c r="N421" s="368">
        <f t="shared" si="228"/>
      </c>
      <c r="O421" s="368">
        <f t="shared" si="243"/>
      </c>
      <c r="P421" s="368">
        <f t="shared" si="275"/>
      </c>
      <c r="Q421" s="368">
        <f t="shared" si="92"/>
      </c>
      <c r="R421" s="364">
        <f t="shared" si="290"/>
      </c>
      <c r="S421" s="366">
        <f t="shared" si="107"/>
      </c>
      <c r="T421" s="368">
        <f t="shared" si="128"/>
      </c>
      <c r="U421" s="368">
        <f t="shared" si="41"/>
      </c>
      <c r="V421" s="368">
        <f t="shared" si="58"/>
      </c>
      <c r="W421" s="368">
        <f t="shared" si="75"/>
      </c>
      <c r="X421" s="368"/>
      <c r="Y421" s="369"/>
      <c r="Z421" s="362">
        <f>SUM(Z417:Z420)</f>
      </c>
      <c r="AA421" s="362">
        <f>SUM(AA417:AA420)</f>
      </c>
      <c r="AB421" s="362">
        <f>SUM(AB417:AB420)</f>
      </c>
      <c r="AC421" s="362">
        <f>SUM(AC417:AC420)</f>
      </c>
      <c r="AD421" s="362">
        <f>SUM(AD417:AD420)</f>
      </c>
      <c r="AE421" s="362">
        <f>SUM(AE417:AE420)</f>
      </c>
      <c r="AF421" s="362">
        <f>SUM(AF417:AF420)</f>
      </c>
      <c r="AG421" s="362">
        <f>SUM(AG417:AG420)</f>
      </c>
      <c r="AH421" s="362">
        <f>SUM(AH417:AH420)</f>
      </c>
      <c r="AI421" s="420">
        <f>SUM(AI417:AI420)</f>
      </c>
      <c r="AJ421" s="443"/>
      <c r="AK421" s="443"/>
      <c r="AL421" s="443"/>
      <c r="AM421" s="443"/>
      <c r="AN421" s="443"/>
      <c r="AO421" s="443"/>
    </row>
    <row customHeight="true" ht="16.071428571428573" r="422">
      <c r="A422" s="334"/>
      <c r="B422" s="335" t="s">
        <v>208</v>
      </c>
      <c r="C422" s="374" t="s">
        <v>192</v>
      </c>
      <c r="D422" s="377">
        <v>1610.592</v>
      </c>
      <c r="E422" s="359">
        <v>2</v>
      </c>
      <c r="F422" s="342">
        <f t="shared" si="341"/>
      </c>
      <c r="G422" s="359">
        <v>1024</v>
      </c>
      <c r="H422" s="428">
        <f t="shared" si="7"/>
      </c>
      <c r="I422" s="340">
        <f t="shared" si="24"/>
      </c>
      <c r="J422" s="341">
        <f t="shared" si="161"/>
      </c>
      <c r="K422" s="343">
        <f t="shared" si="193"/>
      </c>
      <c r="L422" s="344">
        <f t="shared" si="178"/>
      </c>
      <c r="M422" s="341">
        <f t="shared" si="258"/>
      </c>
      <c r="N422" s="345">
        <f t="shared" si="228"/>
      </c>
      <c r="O422" s="345">
        <f t="shared" si="243"/>
      </c>
      <c r="P422" s="345">
        <f t="shared" si="275"/>
      </c>
      <c r="Q422" s="345">
        <f t="shared" si="92"/>
      </c>
      <c r="R422" s="341">
        <f t="shared" si="290"/>
      </c>
      <c r="S422" s="343">
        <f t="shared" si="107"/>
      </c>
      <c r="T422" s="345">
        <f t="shared" si="128"/>
      </c>
      <c r="U422" s="345">
        <f t="shared" si="41"/>
      </c>
      <c r="V422" s="345">
        <f t="shared" si="58"/>
      </c>
      <c r="W422" s="345">
        <f t="shared" si="75"/>
      </c>
      <c r="X422" s="360" t="s">
        <v>181</v>
      </c>
      <c r="Y422" s="347" t="s">
        <v>205</v>
      </c>
      <c r="Z422" s="350">
        <v>131677</v>
      </c>
      <c r="AA422" s="350">
        <v>2753</v>
      </c>
      <c r="AB422" s="350">
        <v>95229</v>
      </c>
      <c r="AC422" s="350">
        <v>751</v>
      </c>
      <c r="AD422" s="349">
        <v>2</v>
      </c>
      <c r="AE422" s="350">
        <v>10906</v>
      </c>
      <c r="AF422" s="350">
        <v>307</v>
      </c>
      <c r="AG422" s="350">
        <v>58</v>
      </c>
      <c r="AH422" s="350">
        <v>13</v>
      </c>
      <c r="AI422" s="418">
        <v>0</v>
      </c>
      <c r="AJ422" s="443"/>
      <c r="AK422" s="443"/>
      <c r="AL422" s="443"/>
      <c r="AM422" s="443"/>
      <c r="AN422" s="443"/>
      <c r="AO422" s="443"/>
    </row>
    <row customHeight="true" ht="16.071428571428573" r="423">
      <c r="A423" s="334"/>
      <c r="B423" s="335" t="s">
        <v>208</v>
      </c>
      <c r="C423" s="375" t="s">
        <v>194</v>
      </c>
      <c r="D423" s="377">
        <v>2391.0570000000002</v>
      </c>
      <c r="E423" s="359">
        <v>7</v>
      </c>
      <c r="F423" s="342">
        <f t="shared" si="341"/>
      </c>
      <c r="G423" s="359">
        <v>4521.200000000003</v>
      </c>
      <c r="H423" s="428">
        <f t="shared" si="7"/>
      </c>
      <c r="I423" s="340">
        <f t="shared" si="24"/>
      </c>
      <c r="J423" s="341">
        <f t="shared" si="161"/>
      </c>
      <c r="K423" s="343">
        <f t="shared" si="193"/>
      </c>
      <c r="L423" s="344">
        <f t="shared" si="178"/>
      </c>
      <c r="M423" s="341">
        <f t="shared" si="258"/>
      </c>
      <c r="N423" s="345">
        <f t="shared" si="228"/>
      </c>
      <c r="O423" s="345">
        <f t="shared" si="243"/>
      </c>
      <c r="P423" s="345">
        <f t="shared" si="275"/>
      </c>
      <c r="Q423" s="345">
        <f t="shared" si="92"/>
      </c>
      <c r="R423" s="341">
        <f t="shared" si="290"/>
      </c>
      <c r="S423" s="343">
        <f t="shared" si="107"/>
      </c>
      <c r="T423" s="345">
        <f t="shared" si="128"/>
      </c>
      <c r="U423" s="345">
        <f t="shared" si="41"/>
      </c>
      <c r="V423" s="345">
        <f t="shared" si="58"/>
      </c>
      <c r="W423" s="345">
        <f t="shared" si="75"/>
      </c>
      <c r="X423" s="360" t="s">
        <v>181</v>
      </c>
      <c r="Y423" s="347" t="s">
        <v>205</v>
      </c>
      <c r="Z423" s="350">
        <v>192400</v>
      </c>
      <c r="AA423" s="350">
        <v>3985</v>
      </c>
      <c r="AB423" s="350">
        <v>156339</v>
      </c>
      <c r="AC423" s="350">
        <v>1169</v>
      </c>
      <c r="AD423" s="349">
        <v>6</v>
      </c>
      <c r="AE423" s="350">
        <v>16446</v>
      </c>
      <c r="AF423" s="350">
        <v>370</v>
      </c>
      <c r="AG423" s="350">
        <v>123</v>
      </c>
      <c r="AH423" s="350">
        <v>17</v>
      </c>
      <c r="AI423" s="418">
        <v>1</v>
      </c>
      <c r="AJ423" s="443"/>
      <c r="AK423" s="443"/>
      <c r="AL423" s="443"/>
      <c r="AM423" s="443"/>
      <c r="AN423" s="443"/>
      <c r="AO423" s="443"/>
    </row>
    <row customHeight="true" ht="16.071428571428573" r="424">
      <c r="A424" s="334"/>
      <c r="B424" s="335" t="s">
        <v>208</v>
      </c>
      <c r="C424" s="373" t="s">
        <v>196</v>
      </c>
      <c r="D424" s="377">
        <v>2171.175</v>
      </c>
      <c r="E424" s="359">
        <v>8</v>
      </c>
      <c r="F424" s="342">
        <f t="shared" si="341"/>
      </c>
      <c r="G424" s="359">
        <v>3496.699999999997</v>
      </c>
      <c r="H424" s="428">
        <f t="shared" si="7"/>
      </c>
      <c r="I424" s="340">
        <f t="shared" si="24"/>
      </c>
      <c r="J424" s="341">
        <f t="shared" si="161"/>
      </c>
      <c r="K424" s="343">
        <f t="shared" si="193"/>
      </c>
      <c r="L424" s="344">
        <f t="shared" si="178"/>
      </c>
      <c r="M424" s="341">
        <f t="shared" si="258"/>
      </c>
      <c r="N424" s="345">
        <f t="shared" si="228"/>
      </c>
      <c r="O424" s="345">
        <f t="shared" si="243"/>
      </c>
      <c r="P424" s="345">
        <f t="shared" si="275"/>
      </c>
      <c r="Q424" s="345">
        <f t="shared" si="92"/>
      </c>
      <c r="R424" s="341">
        <f t="shared" si="290"/>
      </c>
      <c r="S424" s="343">
        <f t="shared" si="107"/>
      </c>
      <c r="T424" s="345">
        <f t="shared" si="128"/>
      </c>
      <c r="U424" s="345">
        <f t="shared" si="41"/>
      </c>
      <c r="V424" s="345">
        <f t="shared" si="58"/>
      </c>
      <c r="W424" s="345">
        <f t="shared" si="75"/>
      </c>
      <c r="X424" s="360" t="s">
        <v>181</v>
      </c>
      <c r="Y424" s="347" t="s">
        <v>205</v>
      </c>
      <c r="Z424" s="350">
        <v>163521</v>
      </c>
      <c r="AA424" s="350">
        <v>3678</v>
      </c>
      <c r="AB424" s="350">
        <v>130288</v>
      </c>
      <c r="AC424" s="350">
        <v>936</v>
      </c>
      <c r="AD424" s="350">
        <v>9</v>
      </c>
      <c r="AE424" s="350">
        <v>14889</v>
      </c>
      <c r="AF424" s="350">
        <v>342</v>
      </c>
      <c r="AG424" s="350">
        <v>96</v>
      </c>
      <c r="AH424" s="350">
        <v>15</v>
      </c>
      <c r="AI424" s="418">
        <v>1</v>
      </c>
      <c r="AJ424" s="443"/>
      <c r="AK424" s="443"/>
      <c r="AL424" s="443"/>
      <c r="AM424" s="443"/>
      <c r="AN424" s="443"/>
      <c r="AO424" s="443"/>
    </row>
    <row customHeight="true" ht="16.071428571428573" r="425">
      <c r="A425" s="334"/>
      <c r="B425" s="335" t="s">
        <v>208</v>
      </c>
      <c r="C425" s="373" t="s">
        <v>197</v>
      </c>
      <c r="D425" s="377">
        <v>1787.7469999999998</v>
      </c>
      <c r="E425" s="359">
        <v>18</v>
      </c>
      <c r="F425" s="342">
        <f t="shared" si="341"/>
      </c>
      <c r="G425" s="359">
        <v>5923.800000000003</v>
      </c>
      <c r="H425" s="428">
        <f t="shared" si="7"/>
      </c>
      <c r="I425" s="340">
        <f t="shared" si="24"/>
      </c>
      <c r="J425" s="341">
        <f t="shared" si="161"/>
      </c>
      <c r="K425" s="343">
        <f t="shared" si="193"/>
      </c>
      <c r="L425" s="344">
        <f t="shared" si="178"/>
      </c>
      <c r="M425" s="341">
        <f t="shared" si="258"/>
      </c>
      <c r="N425" s="345">
        <f t="shared" si="228"/>
      </c>
      <c r="O425" s="345">
        <f t="shared" si="243"/>
      </c>
      <c r="P425" s="345">
        <f t="shared" si="275"/>
      </c>
      <c r="Q425" s="345">
        <f t="shared" si="92"/>
      </c>
      <c r="R425" s="341">
        <f t="shared" si="290"/>
      </c>
      <c r="S425" s="343">
        <f t="shared" si="107"/>
      </c>
      <c r="T425" s="345">
        <f t="shared" si="128"/>
      </c>
      <c r="U425" s="345">
        <f t="shared" si="41"/>
      </c>
      <c r="V425" s="345">
        <f t="shared" si="58"/>
      </c>
      <c r="W425" s="345">
        <f t="shared" si="75"/>
      </c>
      <c r="X425" s="360" t="s">
        <v>181</v>
      </c>
      <c r="Y425" s="347" t="s">
        <v>205</v>
      </c>
      <c r="Z425" s="350">
        <v>141329</v>
      </c>
      <c r="AA425" s="350">
        <v>3216</v>
      </c>
      <c r="AB425" s="350">
        <v>110628</v>
      </c>
      <c r="AC425" s="350">
        <v>912</v>
      </c>
      <c r="AD425" s="350">
        <v>11</v>
      </c>
      <c r="AE425" s="350">
        <v>14029</v>
      </c>
      <c r="AF425" s="350">
        <v>390</v>
      </c>
      <c r="AG425" s="350">
        <v>95</v>
      </c>
      <c r="AH425" s="349">
        <v>12</v>
      </c>
      <c r="AI425" s="418">
        <v>2</v>
      </c>
      <c r="AJ425" s="443"/>
      <c r="AK425" s="443"/>
      <c r="AL425" s="443"/>
      <c r="AM425" s="443"/>
      <c r="AN425" s="443"/>
      <c r="AO425" s="443"/>
    </row>
    <row customHeight="true" ht="16.071428571428573" r="426">
      <c r="A426" s="334"/>
      <c r="B426" s="387" t="s">
        <v>187</v>
      </c>
      <c r="C426" s="387"/>
      <c r="D426" s="362">
        <f>SUM(D422:D425)</f>
      </c>
      <c r="E426" s="420">
        <f>SUM(E422:E425)</f>
      </c>
      <c r="F426" s="365">
        <f t="shared" si="341"/>
      </c>
      <c r="G426" s="362">
        <f>SUM(G422:G425)</f>
      </c>
      <c r="H426" s="429">
        <f t="shared" si="7"/>
      </c>
      <c r="I426" s="362">
        <f t="shared" si="24"/>
      </c>
      <c r="J426" s="364">
        <f t="shared" si="161"/>
      </c>
      <c r="K426" s="366">
        <f t="shared" si="193"/>
      </c>
      <c r="L426" s="367">
        <f t="shared" si="178"/>
      </c>
      <c r="M426" s="364">
        <f t="shared" si="258"/>
      </c>
      <c r="N426" s="368">
        <f t="shared" si="228"/>
      </c>
      <c r="O426" s="368">
        <f t="shared" si="243"/>
      </c>
      <c r="P426" s="368">
        <f t="shared" si="275"/>
      </c>
      <c r="Q426" s="368">
        <f t="shared" si="92"/>
      </c>
      <c r="R426" s="364">
        <f t="shared" si="290"/>
      </c>
      <c r="S426" s="366">
        <f t="shared" si="107"/>
      </c>
      <c r="T426" s="368">
        <f t="shared" si="128"/>
      </c>
      <c r="U426" s="368">
        <f t="shared" si="41"/>
      </c>
      <c r="V426" s="368">
        <f t="shared" si="58"/>
      </c>
      <c r="W426" s="368">
        <f t="shared" si="75"/>
      </c>
      <c r="X426" s="368"/>
      <c r="Y426" s="369"/>
      <c r="Z426" s="362">
        <f>SUM(Z422:Z425)</f>
      </c>
      <c r="AA426" s="362">
        <f>SUM(AA422:AA425)</f>
      </c>
      <c r="AB426" s="362">
        <f>SUM(AB422:AB425)</f>
      </c>
      <c r="AC426" s="362">
        <f>SUM(AC422:AC425)</f>
      </c>
      <c r="AD426" s="362">
        <f>SUM(AD422:AD425)</f>
      </c>
      <c r="AE426" s="362">
        <f>SUM(AE422:AE425)</f>
      </c>
      <c r="AF426" s="362">
        <f>SUM(AF422:AF425)</f>
      </c>
      <c r="AG426" s="362">
        <f>SUM(AG422:AG425)</f>
      </c>
      <c r="AH426" s="362">
        <f>SUM(AH422:AH425)</f>
      </c>
      <c r="AI426" s="420">
        <f>SUM(AI422:AI425)</f>
      </c>
      <c r="AJ426" s="443"/>
      <c r="AK426" s="443"/>
      <c r="AL426" s="443"/>
      <c r="AM426" s="443"/>
      <c r="AN426" s="443"/>
      <c r="AO426" s="443"/>
    </row>
    <row customHeight="true" ht="16.071428571428573" r="427">
      <c r="A427" s="334"/>
      <c r="B427" s="335" t="s">
        <v>203</v>
      </c>
      <c r="C427" s="374" t="s">
        <v>198</v>
      </c>
      <c r="D427" s="379">
        <v>2157.8779999999997</v>
      </c>
      <c r="E427" s="417">
        <v>4</v>
      </c>
      <c r="F427" s="342">
        <f t="shared" si="341"/>
      </c>
      <c r="G427" s="339">
        <v>1448</v>
      </c>
      <c r="H427" s="428">
        <f t="shared" si="7"/>
      </c>
      <c r="I427" s="340">
        <f t="shared" si="24"/>
      </c>
      <c r="J427" s="341">
        <f t="shared" si="161"/>
      </c>
      <c r="K427" s="343">
        <f t="shared" si="193"/>
      </c>
      <c r="L427" s="382">
        <f t="shared" si="178"/>
      </c>
      <c r="M427" s="383">
        <f t="shared" si="258"/>
      </c>
      <c r="N427" s="384">
        <f t="shared" si="228"/>
      </c>
      <c r="O427" s="384">
        <f t="shared" si="243"/>
      </c>
      <c r="P427" s="384">
        <f t="shared" si="275"/>
      </c>
      <c r="Q427" s="384">
        <f t="shared" si="92"/>
      </c>
      <c r="R427" s="383">
        <f t="shared" si="290"/>
      </c>
      <c r="S427" s="381">
        <f t="shared" si="107"/>
      </c>
      <c r="T427" s="384">
        <f t="shared" si="128"/>
      </c>
      <c r="U427" s="384">
        <f t="shared" si="41"/>
      </c>
      <c r="V427" s="384">
        <f t="shared" si="58"/>
      </c>
      <c r="W427" s="384">
        <f t="shared" si="75"/>
      </c>
      <c r="X427" s="360" t="s">
        <v>181</v>
      </c>
      <c r="Y427" s="347" t="s">
        <v>205</v>
      </c>
      <c r="Z427" s="350">
        <v>172277</v>
      </c>
      <c r="AA427" s="350">
        <v>3747</v>
      </c>
      <c r="AB427" s="350">
        <v>142470</v>
      </c>
      <c r="AC427" s="385">
        <v>968</v>
      </c>
      <c r="AD427" s="385">
        <v>4</v>
      </c>
      <c r="AE427" s="385">
        <v>17519</v>
      </c>
      <c r="AF427" s="385">
        <v>441</v>
      </c>
      <c r="AG427" s="385">
        <v>102</v>
      </c>
      <c r="AH427" s="385">
        <v>10</v>
      </c>
      <c r="AI427" s="418">
        <v>0</v>
      </c>
      <c r="AJ427" s="443"/>
      <c r="AK427" s="443"/>
      <c r="AL427" s="443"/>
      <c r="AM427" s="443"/>
      <c r="AN427" s="443"/>
      <c r="AO427" s="443"/>
    </row>
    <row customHeight="true" ht="16.071428571428573" r="428">
      <c r="A428" s="334"/>
      <c r="B428" s="335" t="s">
        <v>203</v>
      </c>
      <c r="C428" s="373" t="s">
        <v>199</v>
      </c>
      <c r="D428" s="379">
        <v>2316.038</v>
      </c>
      <c r="E428" s="417">
        <v>6</v>
      </c>
      <c r="F428" s="342">
        <f t="shared" si="341"/>
      </c>
      <c r="G428" s="339">
        <v>1871.9999999999964</v>
      </c>
      <c r="H428" s="428">
        <f t="shared" si="7"/>
      </c>
      <c r="I428" s="340">
        <f t="shared" si="24"/>
      </c>
      <c r="J428" s="341">
        <f t="shared" si="161"/>
      </c>
      <c r="K428" s="343">
        <f t="shared" si="193"/>
      </c>
      <c r="L428" s="382">
        <f t="shared" si="178"/>
      </c>
      <c r="M428" s="383">
        <f t="shared" si="258"/>
      </c>
      <c r="N428" s="384">
        <f t="shared" si="228"/>
      </c>
      <c r="O428" s="384">
        <f t="shared" si="243"/>
      </c>
      <c r="P428" s="384">
        <f t="shared" si="275"/>
      </c>
      <c r="Q428" s="384">
        <f t="shared" si="92"/>
      </c>
      <c r="R428" s="383">
        <f t="shared" si="290"/>
      </c>
      <c r="S428" s="381">
        <f t="shared" si="107"/>
      </c>
      <c r="T428" s="384">
        <f t="shared" si="128"/>
      </c>
      <c r="U428" s="384">
        <f t="shared" si="41"/>
      </c>
      <c r="V428" s="384">
        <f t="shared" si="58"/>
      </c>
      <c r="W428" s="384">
        <f t="shared" si="75"/>
      </c>
      <c r="X428" s="360" t="s">
        <v>181</v>
      </c>
      <c r="Y428" s="347" t="s">
        <v>205</v>
      </c>
      <c r="Z428" s="350">
        <v>198688</v>
      </c>
      <c r="AA428" s="350">
        <v>3989</v>
      </c>
      <c r="AB428" s="350">
        <v>169391</v>
      </c>
      <c r="AC428" s="385">
        <v>1278</v>
      </c>
      <c r="AD428" s="385">
        <v>6</v>
      </c>
      <c r="AE428" s="385">
        <v>20083</v>
      </c>
      <c r="AF428" s="385">
        <v>419</v>
      </c>
      <c r="AG428" s="385">
        <v>120</v>
      </c>
      <c r="AH428" s="385">
        <v>23</v>
      </c>
      <c r="AI428" s="418">
        <v>0</v>
      </c>
      <c r="AJ428" s="443"/>
      <c r="AK428" s="443"/>
      <c r="AL428" s="443"/>
      <c r="AM428" s="443"/>
      <c r="AN428" s="443"/>
      <c r="AO428" s="443"/>
    </row>
    <row customHeight="true" ht="16.071428571428573" r="429">
      <c r="A429" s="334"/>
      <c r="B429" s="335" t="s">
        <v>203</v>
      </c>
      <c r="C429" s="386" t="s">
        <v>200</v>
      </c>
      <c r="D429" s="377">
        <v>2054.172</v>
      </c>
      <c r="E429" s="359">
        <v>2</v>
      </c>
      <c r="F429" s="342">
        <f t="shared" si="341"/>
      </c>
      <c r="G429" s="359">
        <v>2388</v>
      </c>
      <c r="H429" s="428">
        <f t="shared" si="7"/>
      </c>
      <c r="I429" s="340">
        <f t="shared" si="24"/>
      </c>
      <c r="J429" s="341">
        <f t="shared" si="161"/>
      </c>
      <c r="K429" s="343">
        <f t="shared" si="193"/>
      </c>
      <c r="L429" s="382">
        <f t="shared" si="178"/>
      </c>
      <c r="M429" s="383">
        <f t="shared" si="258"/>
      </c>
      <c r="N429" s="384">
        <f t="shared" si="228"/>
      </c>
      <c r="O429" s="384">
        <f t="shared" si="243"/>
      </c>
      <c r="P429" s="384">
        <f t="shared" si="275"/>
      </c>
      <c r="Q429" s="384">
        <f t="shared" si="92"/>
      </c>
      <c r="R429" s="383">
        <f t="shared" si="290"/>
      </c>
      <c r="S429" s="381">
        <f t="shared" si="107"/>
      </c>
      <c r="T429" s="384">
        <f t="shared" si="128"/>
      </c>
      <c r="U429" s="384">
        <f t="shared" si="41"/>
      </c>
      <c r="V429" s="384">
        <f t="shared" si="58"/>
      </c>
      <c r="W429" s="384">
        <f t="shared" si="75"/>
      </c>
      <c r="X429" s="360" t="s">
        <v>181</v>
      </c>
      <c r="Y429" s="347" t="s">
        <v>205</v>
      </c>
      <c r="Z429" s="350">
        <v>176957</v>
      </c>
      <c r="AA429" s="350">
        <v>3903</v>
      </c>
      <c r="AB429" s="350">
        <v>139088</v>
      </c>
      <c r="AC429" s="350">
        <v>1198</v>
      </c>
      <c r="AD429" s="350">
        <v>1</v>
      </c>
      <c r="AE429" s="350">
        <v>15966</v>
      </c>
      <c r="AF429" s="350">
        <v>387</v>
      </c>
      <c r="AG429" s="350">
        <v>111</v>
      </c>
      <c r="AH429" s="349">
        <v>27</v>
      </c>
      <c r="AI429" s="418">
        <v>1</v>
      </c>
      <c r="AJ429" s="443"/>
      <c r="AK429" s="443"/>
      <c r="AL429" s="443"/>
      <c r="AM429" s="443"/>
      <c r="AN429" s="443"/>
      <c r="AO429" s="443"/>
    </row>
    <row customHeight="true" ht="16.071428571428573" r="430">
      <c r="A430" s="334"/>
      <c r="B430" s="335" t="s">
        <v>203</v>
      </c>
      <c r="C430" s="439" t="s">
        <v>212</v>
      </c>
      <c r="D430" s="440">
        <v>1228.842</v>
      </c>
      <c r="E430" s="359">
        <v>1</v>
      </c>
      <c r="F430" s="342">
        <f t="shared" si="341"/>
      </c>
      <c r="G430" s="359">
        <v>228</v>
      </c>
      <c r="H430" s="430">
        <f t="shared" si="7"/>
      </c>
      <c r="I430" s="340">
        <f t="shared" si="24"/>
      </c>
      <c r="J430" s="341">
        <f t="shared" si="161"/>
      </c>
      <c r="K430" s="343">
        <f t="shared" si="193"/>
      </c>
      <c r="L430" s="382">
        <f t="shared" si="178"/>
      </c>
      <c r="M430" s="383">
        <f t="shared" si="258"/>
      </c>
      <c r="N430" s="384">
        <f t="shared" si="228"/>
      </c>
      <c r="O430" s="384">
        <f t="shared" si="243"/>
      </c>
      <c r="P430" s="384">
        <f t="shared" si="275"/>
      </c>
      <c r="Q430" s="384">
        <f t="shared" si="92"/>
      </c>
      <c r="R430" s="383">
        <f t="shared" si="290"/>
      </c>
      <c r="S430" s="381">
        <f t="shared" si="107"/>
      </c>
      <c r="T430" s="384">
        <f t="shared" si="128"/>
      </c>
      <c r="U430" s="384">
        <f t="shared" si="41"/>
      </c>
      <c r="V430" s="384">
        <f t="shared" si="58"/>
      </c>
      <c r="W430" s="384">
        <f t="shared" si="75"/>
      </c>
      <c r="X430" s="360" t="s">
        <v>181</v>
      </c>
      <c r="Y430" s="347" t="s">
        <v>205</v>
      </c>
      <c r="Z430" s="350">
        <v>123662</v>
      </c>
      <c r="AA430" s="350">
        <v>3523</v>
      </c>
      <c r="AB430" s="350">
        <v>92715</v>
      </c>
      <c r="AC430" s="350">
        <v>869</v>
      </c>
      <c r="AD430" s="350">
        <v>1</v>
      </c>
      <c r="AE430" s="350">
        <v>8805</v>
      </c>
      <c r="AF430" s="350">
        <v>257</v>
      </c>
      <c r="AG430" s="350">
        <v>78</v>
      </c>
      <c r="AH430" s="349">
        <v>13</v>
      </c>
      <c r="AI430" s="418">
        <v>0</v>
      </c>
      <c r="AJ430" s="443"/>
      <c r="AK430" s="443"/>
      <c r="AL430" s="443"/>
      <c r="AM430" s="443"/>
      <c r="AN430" s="443"/>
      <c r="AO430" s="443"/>
    </row>
    <row customHeight="true" ht="16.071428571428573" r="431">
      <c r="A431" s="334"/>
      <c r="B431" s="387" t="s">
        <v>187</v>
      </c>
      <c r="C431" s="387"/>
      <c r="D431" s="362">
        <f>SUM(D427:D430)</f>
      </c>
      <c r="E431" s="420">
        <f>SUM(E427:E430)</f>
      </c>
      <c r="F431" s="366">
        <f t="shared" si="341"/>
      </c>
      <c r="G431" s="431">
        <f>SUM(G427:G430)</f>
      </c>
      <c r="H431" s="432">
        <f t="shared" si="7"/>
      </c>
      <c r="I431" s="433">
        <f t="shared" si="24"/>
      </c>
      <c r="J431" s="364">
        <f t="shared" si="161"/>
      </c>
      <c r="K431" s="366">
        <f t="shared" si="193"/>
      </c>
      <c r="L431" s="367">
        <f t="shared" si="178"/>
      </c>
      <c r="M431" s="364">
        <f t="shared" si="258"/>
      </c>
      <c r="N431" s="368">
        <f t="shared" si="228"/>
      </c>
      <c r="O431" s="368">
        <f t="shared" si="243"/>
      </c>
      <c r="P431" s="368">
        <f t="shared" si="275"/>
      </c>
      <c r="Q431" s="368">
        <f t="shared" si="92"/>
      </c>
      <c r="R431" s="364">
        <f t="shared" si="290"/>
      </c>
      <c r="S431" s="366">
        <f t="shared" si="107"/>
      </c>
      <c r="T431" s="368">
        <f t="shared" si="128"/>
      </c>
      <c r="U431" s="368">
        <f t="shared" si="41"/>
      </c>
      <c r="V431" s="368">
        <f t="shared" si="58"/>
      </c>
      <c r="W431" s="368">
        <f t="shared" si="75"/>
      </c>
      <c r="X431" s="368"/>
      <c r="Y431" s="369"/>
      <c r="Z431" s="362">
        <f>SUM(Z427:Z430)</f>
      </c>
      <c r="AA431" s="362">
        <f>SUM(AA427:AA430)</f>
      </c>
      <c r="AB431" s="362">
        <f>SUM(AB427:AB430)</f>
      </c>
      <c r="AC431" s="362">
        <f>SUM(AC427:AC430)</f>
      </c>
      <c r="AD431" s="362">
        <f>SUM(AD427:AD430)</f>
      </c>
      <c r="AE431" s="362">
        <f>SUM(AE427:AE430)</f>
      </c>
      <c r="AF431" s="362">
        <f>SUM(AF427:AF430)</f>
      </c>
      <c r="AG431" s="362">
        <f>SUM(AG427:AG430)</f>
      </c>
      <c r="AH431" s="362">
        <f>SUM(AH427:AH430)</f>
      </c>
      <c r="AI431" s="420">
        <f>SUM(AI427:AI430)</f>
      </c>
      <c r="AJ431" s="443"/>
      <c r="AK431" s="443"/>
      <c r="AL431" s="443"/>
      <c r="AM431" s="443"/>
      <c r="AN431" s="443"/>
      <c r="AO431" s="443"/>
    </row>
    <row customHeight="true" ht="16.071428571428573" r="432">
      <c r="A432" s="334"/>
      <c r="B432" s="388" t="s">
        <v>201</v>
      </c>
      <c r="C432" s="388"/>
      <c r="D432" s="389">
        <f>SUM(D431+D416+D421+D426)</f>
      </c>
      <c r="E432" s="442">
        <f>SUM(E431+E416+E421+E426)</f>
      </c>
      <c r="F432" s="393">
        <f t="shared" si="341"/>
      </c>
      <c r="G432" s="434">
        <f>SUM(G431+G416+G421+G426)</f>
      </c>
      <c r="H432" s="441">
        <f t="shared" si="7"/>
      </c>
      <c r="I432" s="436">
        <f t="shared" si="24"/>
      </c>
      <c r="J432" s="391">
        <f t="shared" si="161"/>
      </c>
      <c r="K432" s="393">
        <f t="shared" si="193"/>
      </c>
      <c r="L432" s="394">
        <f t="shared" si="178"/>
      </c>
      <c r="M432" s="394">
        <f t="shared" si="258"/>
      </c>
      <c r="N432" s="395">
        <f t="shared" si="228"/>
      </c>
      <c r="O432" s="395">
        <f t="shared" si="243"/>
      </c>
      <c r="P432" s="395">
        <f t="shared" si="275"/>
      </c>
      <c r="Q432" s="395">
        <f t="shared" si="92"/>
      </c>
      <c r="R432" s="396">
        <f t="shared" si="290"/>
      </c>
      <c r="S432" s="397">
        <f t="shared" si="107"/>
      </c>
      <c r="T432" s="398">
        <f t="shared" si="128"/>
      </c>
      <c r="U432" s="398">
        <f t="shared" si="41"/>
      </c>
      <c r="V432" s="398">
        <f t="shared" si="58"/>
      </c>
      <c r="W432" s="398">
        <f t="shared" si="75"/>
      </c>
      <c r="X432" s="398"/>
      <c r="Y432" s="399"/>
      <c r="Z432" s="390">
        <f>SUM(Z416+Z431+Z421+Z426)</f>
      </c>
      <c r="AA432" s="390">
        <f>SUM(AA416+AA431+AA421+AA426)</f>
      </c>
      <c r="AB432" s="390">
        <f>SUM(AB416+AB431+AB421+AB426)</f>
      </c>
      <c r="AC432" s="390">
        <f>SUM(AC416+AC431+AC421+AC426)</f>
      </c>
      <c r="AD432" s="390">
        <f>SUM(AD416+AD431+AD421+AD426)</f>
      </c>
      <c r="AE432" s="390">
        <f>SUM(AE416+AE431+AE421+AE426)</f>
      </c>
      <c r="AF432" s="390">
        <f>SUM(AF416+AF431+AF421+AF426)</f>
      </c>
      <c r="AG432" s="390">
        <f>SUM(AG416+AG431+AG421+AG426)</f>
      </c>
      <c r="AH432" s="390">
        <f>SUM(AH416+AH431+AH421+AH426)</f>
      </c>
      <c r="AI432" s="390">
        <f>SUM(AI416+AI431+AI421+AI426)</f>
      </c>
      <c r="AJ432" s="443"/>
      <c r="AK432" s="443"/>
      <c r="AL432" s="443"/>
      <c r="AM432" s="443"/>
      <c r="AN432" s="443"/>
      <c r="AO432" s="443"/>
    </row>
    <row customHeight="true" ht="16.071428571428573" r="433">
      <c r="A433" s="319" t="s">
        <v>145</v>
      </c>
      <c r="B433" s="320" t="s">
        <v>146</v>
      </c>
      <c r="C433" s="321" t="s">
        <v>147</v>
      </c>
      <c r="D433" s="322" t="s">
        <v>148</v>
      </c>
      <c r="E433" s="426" t="s">
        <v>213</v>
      </c>
      <c r="F433" s="427" t="s">
        <v>214</v>
      </c>
      <c r="G433" s="324" t="s">
        <v>150</v>
      </c>
      <c r="H433" s="427" t="s">
        <v>215</v>
      </c>
      <c r="I433" s="324" t="s">
        <v>151</v>
      </c>
      <c r="J433" s="325" t="s">
        <v>152</v>
      </c>
      <c r="K433" s="325" t="s">
        <v>154</v>
      </c>
      <c r="L433" s="326" t="s">
        <v>155</v>
      </c>
      <c r="M433" s="326" t="s">
        <v>156</v>
      </c>
      <c r="N433" s="326" t="s">
        <v>157</v>
      </c>
      <c r="O433" s="326" t="s">
        <v>158</v>
      </c>
      <c r="P433" s="326" t="s">
        <v>159</v>
      </c>
      <c r="Q433" s="326" t="s">
        <v>160</v>
      </c>
      <c r="R433" s="326" t="s">
        <v>161</v>
      </c>
      <c r="S433" s="326" t="s">
        <v>162</v>
      </c>
      <c r="T433" s="327" t="s">
        <v>163</v>
      </c>
      <c r="U433" s="327" t="s">
        <v>164</v>
      </c>
      <c r="V433" s="327" t="s">
        <v>165</v>
      </c>
      <c r="W433" s="327" t="s">
        <v>166</v>
      </c>
      <c r="X433" s="328" t="s">
        <v>167</v>
      </c>
      <c r="Y433" s="328" t="s">
        <v>168</v>
      </c>
      <c r="Z433" s="329" t="s">
        <v>169</v>
      </c>
      <c r="AA433" s="329" t="s">
        <v>170</v>
      </c>
      <c r="AB433" s="329" t="s">
        <v>171</v>
      </c>
      <c r="AC433" s="330" t="s">
        <v>172</v>
      </c>
      <c r="AD433" s="330" t="s">
        <v>173</v>
      </c>
      <c r="AE433" s="331" t="s">
        <v>174</v>
      </c>
      <c r="AF433" s="330" t="s">
        <v>175</v>
      </c>
      <c r="AG433" s="330" t="s">
        <v>176</v>
      </c>
      <c r="AH433" s="332" t="s">
        <v>177</v>
      </c>
      <c r="AI433" s="333" t="s">
        <v>178</v>
      </c>
      <c r="AJ433" s="443"/>
      <c r="AK433" s="443"/>
      <c r="AL433" s="443"/>
      <c r="AM433" s="443"/>
      <c r="AN433" s="443"/>
      <c r="AO433" s="443"/>
    </row>
    <row customHeight="true" ht="16.071428571428573" r="434">
      <c r="A434" s="334">
        <v>46257</v>
      </c>
      <c r="B434" s="415" t="s">
        <v>179</v>
      </c>
      <c r="C434" s="354" t="s">
        <v>180</v>
      </c>
      <c r="D434" s="337">
        <v>2812.4269999999997</v>
      </c>
      <c r="E434" s="417">
        <v>4</v>
      </c>
      <c r="F434" s="342">
        <f t="shared" ref="F434:F454" si="342">D434/E434</f>
      </c>
      <c r="G434" s="339">
        <v>1448</v>
      </c>
      <c r="H434" s="428">
        <f t="shared" ref="H434:H454" si="8">AD434</f>
      </c>
      <c r="I434" s="340">
        <f t="shared" ref="I434:I454" si="25">D434/AD434</f>
      </c>
      <c r="J434" s="341">
        <f t="shared" ref="J434:J454" si="162">G434/E434</f>
      </c>
      <c r="K434" s="343">
        <f t="shared" ref="K434:K454" si="194">G434/D434</f>
      </c>
      <c r="L434" s="344">
        <f t="shared" ref="L434:L454" si="179">D434/AB434</f>
      </c>
      <c r="M434" s="341">
        <f t="shared" ref="M434:M454" si="259">D434/AC434</f>
      </c>
      <c r="N434" s="345">
        <f t="shared" ref="N434:N454" si="229">AC434/AB434</f>
      </c>
      <c r="O434" s="345">
        <f t="shared" ref="O434:O454" si="244">AD434/AC434</f>
      </c>
      <c r="P434" s="345">
        <f t="shared" ref="P434:P454" si="276">AA434/Z434</f>
      </c>
      <c r="Q434" s="345">
        <f t="shared" ref="Q434:Q454" si="93">AD434/AA434</f>
      </c>
      <c r="R434" s="341">
        <f t="shared" ref="R434:R454" si="291">D434/Z434*1000</f>
      </c>
      <c r="S434" s="343">
        <f t="shared" ref="S434:S454" si="108">D434/AA434</f>
      </c>
      <c r="T434" s="345">
        <f t="shared" ref="T434:T454" si="129">AE434/AB434</f>
      </c>
      <c r="U434" s="345">
        <f t="shared" ref="U434:U454" si="42">AF434/AB434</f>
      </c>
      <c r="V434" s="345">
        <f t="shared" ref="V434:V454" si="59">AG434/AB434</f>
      </c>
      <c r="W434" s="345">
        <f t="shared" ref="W434:W454" si="76">AH434/AB434</f>
      </c>
      <c r="X434" s="346" t="s">
        <v>181</v>
      </c>
      <c r="Y434" s="347" t="s">
        <v>193</v>
      </c>
      <c r="Z434" s="348">
        <v>116716</v>
      </c>
      <c r="AA434" s="348">
        <v>4631</v>
      </c>
      <c r="AB434" s="348">
        <v>111528</v>
      </c>
      <c r="AC434" s="348">
        <v>1247</v>
      </c>
      <c r="AD434" s="349">
        <v>2</v>
      </c>
      <c r="AE434" s="348">
        <v>26705</v>
      </c>
      <c r="AF434" s="350">
        <v>408</v>
      </c>
      <c r="AG434" s="350">
        <v>151</v>
      </c>
      <c r="AH434" s="350">
        <v>24</v>
      </c>
      <c r="AI434" s="418">
        <v>0</v>
      </c>
      <c r="AJ434" s="443"/>
      <c r="AK434" s="443"/>
      <c r="AL434" s="443"/>
      <c r="AM434" s="443"/>
      <c r="AN434" s="443"/>
      <c r="AO434" s="443"/>
    </row>
    <row customHeight="true" ht="16.071428571428573" r="435">
      <c r="A435" s="334"/>
      <c r="B435" s="415" t="s">
        <v>179</v>
      </c>
      <c r="C435" s="336" t="s">
        <v>183</v>
      </c>
      <c r="D435" s="337">
        <v>3179.366</v>
      </c>
      <c r="E435" s="417">
        <v>13</v>
      </c>
      <c r="F435" s="342">
        <f t="shared" si="342"/>
      </c>
      <c r="G435" s="339">
        <v>5229.2</v>
      </c>
      <c r="H435" s="428">
        <f t="shared" si="8"/>
      </c>
      <c r="I435" s="340">
        <f t="shared" si="25"/>
      </c>
      <c r="J435" s="341">
        <f t="shared" si="162"/>
      </c>
      <c r="K435" s="343">
        <f t="shared" si="194"/>
      </c>
      <c r="L435" s="344">
        <f t="shared" si="179"/>
      </c>
      <c r="M435" s="341">
        <f t="shared" si="259"/>
      </c>
      <c r="N435" s="345">
        <f t="shared" si="229"/>
      </c>
      <c r="O435" s="345">
        <f t="shared" si="244"/>
      </c>
      <c r="P435" s="345">
        <f t="shared" si="276"/>
      </c>
      <c r="Q435" s="345">
        <f t="shared" si="93"/>
      </c>
      <c r="R435" s="341">
        <f t="shared" si="291"/>
      </c>
      <c r="S435" s="343">
        <f t="shared" si="108"/>
      </c>
      <c r="T435" s="345">
        <f t="shared" si="129"/>
      </c>
      <c r="U435" s="345">
        <f t="shared" si="42"/>
      </c>
      <c r="V435" s="345">
        <f t="shared" si="59"/>
      </c>
      <c r="W435" s="345">
        <f t="shared" si="76"/>
      </c>
      <c r="X435" s="360" t="s">
        <v>181</v>
      </c>
      <c r="Y435" s="347" t="s">
        <v>193</v>
      </c>
      <c r="Z435" s="350">
        <v>145935</v>
      </c>
      <c r="AA435" s="348">
        <v>6014</v>
      </c>
      <c r="AB435" s="348">
        <v>129475</v>
      </c>
      <c r="AC435" s="348">
        <v>1356</v>
      </c>
      <c r="AD435" s="350">
        <v>12</v>
      </c>
      <c r="AE435" s="348">
        <v>25253</v>
      </c>
      <c r="AF435" s="350">
        <v>509</v>
      </c>
      <c r="AG435" s="350">
        <v>150</v>
      </c>
      <c r="AH435" s="349">
        <v>28</v>
      </c>
      <c r="AI435" s="418">
        <v>3</v>
      </c>
      <c r="AJ435" s="443"/>
      <c r="AK435" s="443"/>
      <c r="AL435" s="443"/>
      <c r="AM435" s="443"/>
      <c r="AN435" s="443"/>
      <c r="AO435" s="443"/>
    </row>
    <row customHeight="true" ht="16.071428571428573" r="436">
      <c r="A436" s="334"/>
      <c r="B436" s="415" t="s">
        <v>179</v>
      </c>
      <c r="C436" s="351" t="s">
        <v>184</v>
      </c>
      <c r="D436" s="377">
        <v>2032.882</v>
      </c>
      <c r="E436" s="359">
        <v>8</v>
      </c>
      <c r="F436" s="342">
        <f t="shared" si="342"/>
      </c>
      <c r="G436" s="359">
        <v>3493.2</v>
      </c>
      <c r="H436" s="428">
        <f t="shared" si="8"/>
      </c>
      <c r="I436" s="340">
        <f t="shared" si="25"/>
      </c>
      <c r="J436" s="341">
        <f t="shared" si="162"/>
      </c>
      <c r="K436" s="343">
        <f t="shared" si="194"/>
      </c>
      <c r="L436" s="344">
        <f t="shared" si="179"/>
      </c>
      <c r="M436" s="341">
        <f t="shared" si="259"/>
      </c>
      <c r="N436" s="345">
        <f t="shared" si="229"/>
      </c>
      <c r="O436" s="345">
        <f t="shared" si="244"/>
      </c>
      <c r="P436" s="345">
        <f t="shared" si="276"/>
      </c>
      <c r="Q436" s="345">
        <f t="shared" si="93"/>
      </c>
      <c r="R436" s="341">
        <f t="shared" si="291"/>
      </c>
      <c r="S436" s="343">
        <f t="shared" si="108"/>
      </c>
      <c r="T436" s="345">
        <f t="shared" si="129"/>
      </c>
      <c r="U436" s="345">
        <f t="shared" si="42"/>
      </c>
      <c r="V436" s="345">
        <f t="shared" si="59"/>
      </c>
      <c r="W436" s="345">
        <f t="shared" si="76"/>
      </c>
      <c r="X436" s="360" t="s">
        <v>181</v>
      </c>
      <c r="Y436" s="347" t="s">
        <v>193</v>
      </c>
      <c r="Z436" s="350">
        <v>109714</v>
      </c>
      <c r="AA436" s="350">
        <v>5457</v>
      </c>
      <c r="AB436" s="350">
        <v>94500</v>
      </c>
      <c r="AC436" s="350">
        <v>1035</v>
      </c>
      <c r="AD436" s="350">
        <v>6</v>
      </c>
      <c r="AE436" s="350">
        <v>17493</v>
      </c>
      <c r="AF436" s="350">
        <v>318</v>
      </c>
      <c r="AG436" s="350">
        <v>86</v>
      </c>
      <c r="AH436" s="350">
        <v>18</v>
      </c>
      <c r="AI436" s="418">
        <v>1</v>
      </c>
      <c r="AJ436" s="443"/>
      <c r="AK436" s="443"/>
      <c r="AL436" s="443"/>
      <c r="AM436" s="443"/>
      <c r="AN436" s="443"/>
      <c r="AO436" s="443"/>
    </row>
    <row customHeight="true" ht="16.071428571428573" r="437">
      <c r="A437" s="334"/>
      <c r="B437" s="415" t="s">
        <v>179</v>
      </c>
      <c r="C437" s="416" t="s">
        <v>185</v>
      </c>
      <c r="D437" s="377">
        <v>1398.516</v>
      </c>
      <c r="E437" s="359">
        <v>8</v>
      </c>
      <c r="F437" s="342">
        <f t="shared" si="342"/>
      </c>
      <c r="G437" s="359">
        <v>2960</v>
      </c>
      <c r="H437" s="428">
        <f t="shared" si="8"/>
      </c>
      <c r="I437" s="340">
        <f t="shared" si="25"/>
      </c>
      <c r="J437" s="341">
        <f t="shared" si="162"/>
      </c>
      <c r="K437" s="343">
        <f t="shared" si="194"/>
      </c>
      <c r="L437" s="344">
        <f t="shared" si="179"/>
      </c>
      <c r="M437" s="341">
        <f t="shared" si="259"/>
      </c>
      <c r="N437" s="345">
        <f t="shared" si="229"/>
      </c>
      <c r="O437" s="345">
        <f t="shared" si="244"/>
      </c>
      <c r="P437" s="345">
        <f t="shared" si="276"/>
      </c>
      <c r="Q437" s="345">
        <f t="shared" si="93"/>
      </c>
      <c r="R437" s="341">
        <f t="shared" si="291"/>
      </c>
      <c r="S437" s="343">
        <f t="shared" si="108"/>
      </c>
      <c r="T437" s="345">
        <f t="shared" si="129"/>
      </c>
      <c r="U437" s="345">
        <f t="shared" si="42"/>
      </c>
      <c r="V437" s="345">
        <f t="shared" si="59"/>
      </c>
      <c r="W437" s="345">
        <f t="shared" si="76"/>
      </c>
      <c r="X437" s="360" t="s">
        <v>181</v>
      </c>
      <c r="Y437" s="347" t="s">
        <v>193</v>
      </c>
      <c r="Z437" s="350">
        <v>84365</v>
      </c>
      <c r="AA437" s="350">
        <v>4525</v>
      </c>
      <c r="AB437" s="350">
        <v>67011</v>
      </c>
      <c r="AC437" s="350">
        <v>853</v>
      </c>
      <c r="AD437" s="350">
        <v>7</v>
      </c>
      <c r="AE437" s="350">
        <v>12395</v>
      </c>
      <c r="AF437" s="350">
        <v>280</v>
      </c>
      <c r="AG437" s="350">
        <v>82</v>
      </c>
      <c r="AH437" s="349">
        <v>4</v>
      </c>
      <c r="AI437" s="418">
        <v>0</v>
      </c>
      <c r="AJ437" s="443"/>
      <c r="AK437" s="443"/>
      <c r="AL437" s="443"/>
      <c r="AM437" s="443"/>
      <c r="AN437" s="443"/>
      <c r="AO437" s="443"/>
    </row>
    <row customHeight="true" ht="16.071428571428573" r="438">
      <c r="A438" s="334"/>
      <c r="B438" s="387" t="s">
        <v>187</v>
      </c>
      <c r="C438" s="387"/>
      <c r="D438" s="362">
        <f>SUM(D434:D437)</f>
      </c>
      <c r="E438" s="437">
        <f>SUM(E434:E437)</f>
      </c>
      <c r="F438" s="365">
        <f t="shared" si="342"/>
      </c>
      <c r="G438" s="362">
        <f>SUM(G434:G437)</f>
      </c>
      <c r="H438" s="429">
        <f t="shared" si="8"/>
      </c>
      <c r="I438" s="362">
        <f t="shared" si="25"/>
      </c>
      <c r="J438" s="364">
        <f t="shared" si="162"/>
      </c>
      <c r="K438" s="366">
        <f t="shared" si="194"/>
      </c>
      <c r="L438" s="367">
        <f t="shared" si="179"/>
      </c>
      <c r="M438" s="364">
        <f t="shared" si="259"/>
      </c>
      <c r="N438" s="368">
        <f t="shared" si="229"/>
      </c>
      <c r="O438" s="368">
        <f t="shared" si="244"/>
      </c>
      <c r="P438" s="368">
        <f t="shared" si="276"/>
      </c>
      <c r="Q438" s="368">
        <f t="shared" si="93"/>
      </c>
      <c r="R438" s="364">
        <f t="shared" si="291"/>
      </c>
      <c r="S438" s="366">
        <f t="shared" si="108"/>
      </c>
      <c r="T438" s="368">
        <f t="shared" si="129"/>
      </c>
      <c r="U438" s="368">
        <f t="shared" si="42"/>
      </c>
      <c r="V438" s="368">
        <f t="shared" si="59"/>
      </c>
      <c r="W438" s="368">
        <f t="shared" si="76"/>
      </c>
      <c r="X438" s="368"/>
      <c r="Y438" s="369"/>
      <c r="Z438" s="362">
        <f>SUM(Z434:Z437)</f>
      </c>
      <c r="AA438" s="362">
        <f>SUM(AA434:AA437)</f>
      </c>
      <c r="AB438" s="362">
        <f>SUM(AB434:AB437)</f>
      </c>
      <c r="AC438" s="362">
        <f>SUM(AC434:AC437)</f>
      </c>
      <c r="AD438" s="362">
        <f>SUM(AD434:AD437)</f>
      </c>
      <c r="AE438" s="362">
        <f>SUM(AE434:AE437)</f>
      </c>
      <c r="AF438" s="362">
        <f>SUM(AF434:AF437)</f>
      </c>
      <c r="AG438" s="362">
        <f>SUM(AG434:AG437)</f>
      </c>
      <c r="AH438" s="362">
        <f>SUM(AH434:AH437)</f>
      </c>
      <c r="AI438" s="362">
        <f>SUM(AI434:AI437)</f>
      </c>
      <c r="AJ438" s="443"/>
      <c r="AK438" s="443"/>
      <c r="AL438" s="443"/>
      <c r="AM438" s="443"/>
      <c r="AN438" s="443"/>
      <c r="AO438" s="443"/>
    </row>
    <row customHeight="true" ht="16.071428571428573" r="439">
      <c r="A439" s="334"/>
      <c r="B439" s="335" t="s">
        <v>203</v>
      </c>
      <c r="C439" s="416" t="s">
        <v>186</v>
      </c>
      <c r="D439" s="371">
        <v>1590.266</v>
      </c>
      <c r="E439" s="417">
        <v>8</v>
      </c>
      <c r="F439" s="342">
        <f t="shared" si="342"/>
      </c>
      <c r="G439" s="339">
        <v>2864</v>
      </c>
      <c r="H439" s="428">
        <f t="shared" si="8"/>
      </c>
      <c r="I439" s="340">
        <f t="shared" si="25"/>
      </c>
      <c r="J439" s="341">
        <f t="shared" si="162"/>
      </c>
      <c r="K439" s="343">
        <f t="shared" si="194"/>
      </c>
      <c r="L439" s="344">
        <f t="shared" si="179"/>
      </c>
      <c r="M439" s="341">
        <f t="shared" si="259"/>
      </c>
      <c r="N439" s="345">
        <f t="shared" si="229"/>
      </c>
      <c r="O439" s="345">
        <f t="shared" si="244"/>
      </c>
      <c r="P439" s="345">
        <f t="shared" si="276"/>
      </c>
      <c r="Q439" s="345">
        <f t="shared" si="93"/>
      </c>
      <c r="R439" s="341">
        <f t="shared" si="291"/>
      </c>
      <c r="S439" s="343">
        <f t="shared" si="108"/>
      </c>
      <c r="T439" s="345">
        <f t="shared" si="129"/>
      </c>
      <c r="U439" s="345">
        <f t="shared" si="42"/>
      </c>
      <c r="V439" s="345">
        <f t="shared" si="59"/>
      </c>
      <c r="W439" s="345">
        <f t="shared" si="76"/>
      </c>
      <c r="X439" s="360" t="s">
        <v>181</v>
      </c>
      <c r="Y439" s="347" t="s">
        <v>193</v>
      </c>
      <c r="Z439" s="348">
        <v>111257</v>
      </c>
      <c r="AA439" s="348">
        <v>4995</v>
      </c>
      <c r="AB439" s="348">
        <v>85210</v>
      </c>
      <c r="AC439" s="350">
        <v>757</v>
      </c>
      <c r="AD439" s="350">
        <v>8</v>
      </c>
      <c r="AE439" s="348">
        <v>12620</v>
      </c>
      <c r="AF439" s="350">
        <v>307</v>
      </c>
      <c r="AG439" s="350">
        <v>72</v>
      </c>
      <c r="AH439" s="350">
        <v>11</v>
      </c>
      <c r="AI439" s="418">
        <v>0</v>
      </c>
      <c r="AJ439" s="443"/>
      <c r="AK439" s="443"/>
      <c r="AL439" s="443"/>
      <c r="AM439" s="443"/>
      <c r="AN439" s="443"/>
      <c r="AO439" s="443"/>
    </row>
    <row customHeight="true" ht="16.071428571428573" r="440">
      <c r="A440" s="334"/>
      <c r="B440" s="335" t="s">
        <v>203</v>
      </c>
      <c r="C440" s="370" t="s">
        <v>189</v>
      </c>
      <c r="D440" s="371">
        <v>1643.9989999999998</v>
      </c>
      <c r="E440" s="419">
        <v>3</v>
      </c>
      <c r="F440" s="342">
        <f t="shared" si="342"/>
      </c>
      <c r="G440" s="359">
        <v>684.0000000000018</v>
      </c>
      <c r="H440" s="428">
        <f t="shared" si="8"/>
      </c>
      <c r="I440" s="340">
        <f t="shared" si="25"/>
      </c>
      <c r="J440" s="341">
        <f t="shared" si="162"/>
      </c>
      <c r="K440" s="343">
        <f t="shared" si="194"/>
      </c>
      <c r="L440" s="344">
        <f t="shared" si="179"/>
      </c>
      <c r="M440" s="341">
        <f t="shared" si="259"/>
      </c>
      <c r="N440" s="345">
        <f t="shared" si="229"/>
      </c>
      <c r="O440" s="345">
        <f t="shared" si="244"/>
      </c>
      <c r="P440" s="345">
        <f t="shared" si="276"/>
      </c>
      <c r="Q440" s="345">
        <f t="shared" si="93"/>
      </c>
      <c r="R440" s="341">
        <f t="shared" si="291"/>
      </c>
      <c r="S440" s="343">
        <f t="shared" si="108"/>
      </c>
      <c r="T440" s="345">
        <f t="shared" si="129"/>
      </c>
      <c r="U440" s="345">
        <f t="shared" si="42"/>
      </c>
      <c r="V440" s="345">
        <f t="shared" si="59"/>
      </c>
      <c r="W440" s="345">
        <f t="shared" si="76"/>
      </c>
      <c r="X440" s="360" t="s">
        <v>181</v>
      </c>
      <c r="Y440" s="347" t="s">
        <v>193</v>
      </c>
      <c r="Z440" s="350">
        <v>117647</v>
      </c>
      <c r="AA440" s="350">
        <v>7020</v>
      </c>
      <c r="AB440" s="350">
        <v>90712</v>
      </c>
      <c r="AC440" s="350">
        <v>781</v>
      </c>
      <c r="AD440" s="350">
        <v>4</v>
      </c>
      <c r="AE440" s="350">
        <v>11131</v>
      </c>
      <c r="AF440" s="350">
        <v>300</v>
      </c>
      <c r="AG440" s="350">
        <v>79</v>
      </c>
      <c r="AH440" s="350">
        <v>11</v>
      </c>
      <c r="AI440" s="418">
        <v>0</v>
      </c>
      <c r="AJ440" s="443"/>
      <c r="AK440" s="443"/>
      <c r="AL440" s="443"/>
      <c r="AM440" s="443"/>
      <c r="AN440" s="443"/>
      <c r="AO440" s="443"/>
    </row>
    <row customHeight="true" ht="16.071428571428573" r="441">
      <c r="A441" s="334"/>
      <c r="B441" s="335" t="s">
        <v>203</v>
      </c>
      <c r="C441" s="372" t="s">
        <v>190</v>
      </c>
      <c r="D441" s="371">
        <v>1558.468</v>
      </c>
      <c r="E441" s="419">
        <v>4</v>
      </c>
      <c r="F441" s="342">
        <f t="shared" si="342"/>
      </c>
      <c r="G441" s="359">
        <v>2080</v>
      </c>
      <c r="H441" s="428">
        <f t="shared" si="8"/>
      </c>
      <c r="I441" s="340">
        <f t="shared" si="25"/>
      </c>
      <c r="J441" s="341">
        <f t="shared" si="162"/>
      </c>
      <c r="K441" s="343">
        <f t="shared" si="194"/>
      </c>
      <c r="L441" s="344">
        <f t="shared" si="179"/>
      </c>
      <c r="M441" s="341">
        <f t="shared" si="259"/>
      </c>
      <c r="N441" s="345">
        <f t="shared" si="229"/>
      </c>
      <c r="O441" s="345">
        <f t="shared" si="244"/>
      </c>
      <c r="P441" s="345">
        <f t="shared" si="276"/>
      </c>
      <c r="Q441" s="345">
        <f t="shared" si="93"/>
      </c>
      <c r="R441" s="341">
        <f t="shared" si="291"/>
      </c>
      <c r="S441" s="343">
        <f t="shared" si="108"/>
      </c>
      <c r="T441" s="345">
        <f t="shared" si="129"/>
      </c>
      <c r="U441" s="345">
        <f t="shared" si="42"/>
      </c>
      <c r="V441" s="345">
        <f t="shared" si="59"/>
      </c>
      <c r="W441" s="345">
        <f t="shared" si="76"/>
      </c>
      <c r="X441" s="360" t="s">
        <v>181</v>
      </c>
      <c r="Y441" s="347" t="s">
        <v>193</v>
      </c>
      <c r="Z441" s="350">
        <v>99503</v>
      </c>
      <c r="AA441" s="350">
        <v>6231</v>
      </c>
      <c r="AB441" s="350">
        <v>77525</v>
      </c>
      <c r="AC441" s="350">
        <v>871</v>
      </c>
      <c r="AD441" s="350">
        <v>4</v>
      </c>
      <c r="AE441" s="350">
        <v>11476</v>
      </c>
      <c r="AF441" s="350">
        <v>317</v>
      </c>
      <c r="AG441" s="350">
        <v>79</v>
      </c>
      <c r="AH441" s="350">
        <v>13</v>
      </c>
      <c r="AI441" s="418">
        <v>0</v>
      </c>
      <c r="AJ441" s="443"/>
      <c r="AK441" s="443"/>
      <c r="AL441" s="443"/>
      <c r="AM441" s="443"/>
      <c r="AN441" s="443"/>
      <c r="AO441" s="443"/>
    </row>
    <row customHeight="true" ht="16.071428571428573" r="442">
      <c r="A442" s="334"/>
      <c r="B442" s="335" t="s">
        <v>203</v>
      </c>
      <c r="C442" s="373" t="s">
        <v>191</v>
      </c>
      <c r="D442" s="377">
        <v>1327.7269999999999</v>
      </c>
      <c r="E442" s="359">
        <v>3</v>
      </c>
      <c r="F442" s="342">
        <f t="shared" si="342"/>
      </c>
      <c r="G442" s="359">
        <v>500</v>
      </c>
      <c r="H442" s="428">
        <f t="shared" si="8"/>
      </c>
      <c r="I442" s="340">
        <f t="shared" si="25"/>
      </c>
      <c r="J442" s="341">
        <f t="shared" si="162"/>
      </c>
      <c r="K442" s="343">
        <f t="shared" si="194"/>
      </c>
      <c r="L442" s="344">
        <f t="shared" si="179"/>
      </c>
      <c r="M442" s="341">
        <f t="shared" si="259"/>
      </c>
      <c r="N442" s="345">
        <f t="shared" si="229"/>
      </c>
      <c r="O442" s="345">
        <f t="shared" si="244"/>
      </c>
      <c r="P442" s="345">
        <f t="shared" si="276"/>
      </c>
      <c r="Q442" s="345">
        <f t="shared" si="93"/>
      </c>
      <c r="R442" s="341">
        <f t="shared" si="291"/>
      </c>
      <c r="S442" s="343">
        <f t="shared" si="108"/>
      </c>
      <c r="T442" s="345">
        <f t="shared" si="129"/>
      </c>
      <c r="U442" s="345">
        <f t="shared" si="42"/>
      </c>
      <c r="V442" s="345">
        <f t="shared" si="59"/>
      </c>
      <c r="W442" s="345">
        <f t="shared" si="76"/>
      </c>
      <c r="X442" s="360" t="s">
        <v>181</v>
      </c>
      <c r="Y442" s="347" t="s">
        <v>193</v>
      </c>
      <c r="Z442" s="350">
        <v>82431</v>
      </c>
      <c r="AA442" s="350">
        <v>3022</v>
      </c>
      <c r="AB442" s="350">
        <v>56361</v>
      </c>
      <c r="AC442" s="350">
        <v>892</v>
      </c>
      <c r="AD442" s="350">
        <v>3</v>
      </c>
      <c r="AE442" s="350">
        <v>9781</v>
      </c>
      <c r="AF442" s="350">
        <v>302</v>
      </c>
      <c r="AG442" s="350">
        <v>69</v>
      </c>
      <c r="AH442" s="349">
        <v>17</v>
      </c>
      <c r="AI442" s="418">
        <v>0</v>
      </c>
      <c r="AJ442" s="443"/>
      <c r="AK442" s="443"/>
      <c r="AL442" s="443"/>
      <c r="AM442" s="443"/>
      <c r="AN442" s="443"/>
      <c r="AO442" s="443"/>
    </row>
    <row customHeight="true" ht="16.071428571428573" r="443">
      <c r="A443" s="334"/>
      <c r="B443" s="387" t="s">
        <v>187</v>
      </c>
      <c r="C443" s="387"/>
      <c r="D443" s="362">
        <f>SUM(D439:D442)</f>
      </c>
      <c r="E443" s="420">
        <f>SUM(E439:E442)</f>
      </c>
      <c r="F443" s="365">
        <f t="shared" si="342"/>
      </c>
      <c r="G443" s="362">
        <f>SUM(G439:G442)</f>
      </c>
      <c r="H443" s="429">
        <f t="shared" si="8"/>
      </c>
      <c r="I443" s="362">
        <f t="shared" si="25"/>
      </c>
      <c r="J443" s="364">
        <f t="shared" si="162"/>
      </c>
      <c r="K443" s="366">
        <f t="shared" si="194"/>
      </c>
      <c r="L443" s="367">
        <f t="shared" si="179"/>
      </c>
      <c r="M443" s="364">
        <f t="shared" si="259"/>
      </c>
      <c r="N443" s="368">
        <f t="shared" si="229"/>
      </c>
      <c r="O443" s="368">
        <f t="shared" si="244"/>
      </c>
      <c r="P443" s="368">
        <f t="shared" si="276"/>
      </c>
      <c r="Q443" s="368">
        <f t="shared" si="93"/>
      </c>
      <c r="R443" s="364">
        <f t="shared" si="291"/>
      </c>
      <c r="S443" s="366">
        <f t="shared" si="108"/>
      </c>
      <c r="T443" s="368">
        <f t="shared" si="129"/>
      </c>
      <c r="U443" s="368">
        <f t="shared" si="42"/>
      </c>
      <c r="V443" s="368">
        <f t="shared" si="59"/>
      </c>
      <c r="W443" s="368">
        <f t="shared" si="76"/>
      </c>
      <c r="X443" s="368"/>
      <c r="Y443" s="369"/>
      <c r="Z443" s="362">
        <f>SUM(Z439:Z442)</f>
      </c>
      <c r="AA443" s="362">
        <f>SUM(AA439:AA442)</f>
      </c>
      <c r="AB443" s="362">
        <f>SUM(AB439:AB442)</f>
      </c>
      <c r="AC443" s="362">
        <f>SUM(AC439:AC442)</f>
      </c>
      <c r="AD443" s="362">
        <f>SUM(AD439:AD442)</f>
      </c>
      <c r="AE443" s="362">
        <f>SUM(AE439:AE442)</f>
      </c>
      <c r="AF443" s="362">
        <f>SUM(AF439:AF442)</f>
      </c>
      <c r="AG443" s="362">
        <f>SUM(AG439:AG442)</f>
      </c>
      <c r="AH443" s="362">
        <f>SUM(AH439:AH442)</f>
      </c>
      <c r="AI443" s="420">
        <f>SUM(AI439:AI442)</f>
      </c>
      <c r="AJ443" s="443"/>
      <c r="AK443" s="443"/>
      <c r="AL443" s="443"/>
      <c r="AM443" s="443"/>
      <c r="AN443" s="443"/>
      <c r="AO443" s="443"/>
    </row>
    <row customHeight="true" ht="16.071428571428573" r="444">
      <c r="A444" s="334"/>
      <c r="B444" s="335" t="s">
        <v>195</v>
      </c>
      <c r="C444" s="374" t="s">
        <v>192</v>
      </c>
      <c r="D444" s="377">
        <v>1309.775</v>
      </c>
      <c r="E444" s="359">
        <v>0</v>
      </c>
      <c r="F444" s="342">
        <f t="shared" si="342"/>
      </c>
      <c r="G444" s="359">
        <v>0</v>
      </c>
      <c r="H444" s="428">
        <f t="shared" si="8"/>
      </c>
      <c r="I444" s="340">
        <f t="shared" si="25"/>
      </c>
      <c r="J444" s="341">
        <f t="shared" si="162"/>
      </c>
      <c r="K444" s="343">
        <f t="shared" si="194"/>
      </c>
      <c r="L444" s="344">
        <f t="shared" si="179"/>
      </c>
      <c r="M444" s="341">
        <f t="shared" si="259"/>
      </c>
      <c r="N444" s="345">
        <f t="shared" si="229"/>
      </c>
      <c r="O444" s="345">
        <f t="shared" si="244"/>
      </c>
      <c r="P444" s="345">
        <f t="shared" si="276"/>
      </c>
      <c r="Q444" s="345">
        <f t="shared" si="93"/>
      </c>
      <c r="R444" s="341">
        <f t="shared" si="291"/>
      </c>
      <c r="S444" s="343">
        <f t="shared" si="108"/>
      </c>
      <c r="T444" s="345">
        <f t="shared" si="129"/>
      </c>
      <c r="U444" s="345">
        <f t="shared" si="42"/>
      </c>
      <c r="V444" s="345">
        <f t="shared" si="59"/>
      </c>
      <c r="W444" s="345">
        <f t="shared" si="76"/>
      </c>
      <c r="X444" s="360" t="s">
        <v>181</v>
      </c>
      <c r="Y444" s="347" t="s">
        <v>205</v>
      </c>
      <c r="Z444" s="350">
        <v>97260</v>
      </c>
      <c r="AA444" s="350">
        <v>3542</v>
      </c>
      <c r="AB444" s="350">
        <v>62262</v>
      </c>
      <c r="AC444" s="350">
        <v>847</v>
      </c>
      <c r="AD444" s="349">
        <v>0</v>
      </c>
      <c r="AE444" s="350">
        <v>10052</v>
      </c>
      <c r="AF444" s="350">
        <v>313</v>
      </c>
      <c r="AG444" s="350">
        <v>67</v>
      </c>
      <c r="AH444" s="350">
        <v>14</v>
      </c>
      <c r="AI444" s="418">
        <v>0</v>
      </c>
      <c r="AJ444" s="443"/>
      <c r="AK444" s="443"/>
      <c r="AL444" s="443"/>
      <c r="AM444" s="443"/>
      <c r="AN444" s="443"/>
      <c r="AO444" s="443"/>
    </row>
    <row customHeight="true" ht="16.071428571428573" r="445">
      <c r="A445" s="334"/>
      <c r="B445" s="335" t="s">
        <v>195</v>
      </c>
      <c r="C445" s="375" t="s">
        <v>194</v>
      </c>
      <c r="D445" s="377">
        <v>1221.368</v>
      </c>
      <c r="E445" s="359">
        <v>6</v>
      </c>
      <c r="F445" s="342">
        <f t="shared" si="342"/>
      </c>
      <c r="G445" s="359">
        <v>1925.2000000000007</v>
      </c>
      <c r="H445" s="428">
        <f t="shared" si="8"/>
      </c>
      <c r="I445" s="340">
        <f t="shared" si="25"/>
      </c>
      <c r="J445" s="341">
        <f t="shared" si="162"/>
      </c>
      <c r="K445" s="343">
        <f t="shared" si="194"/>
      </c>
      <c r="L445" s="344">
        <f t="shared" si="179"/>
      </c>
      <c r="M445" s="341">
        <f t="shared" si="259"/>
      </c>
      <c r="N445" s="345">
        <f t="shared" si="229"/>
      </c>
      <c r="O445" s="345">
        <f t="shared" si="244"/>
      </c>
      <c r="P445" s="345">
        <f t="shared" si="276"/>
      </c>
      <c r="Q445" s="345">
        <f t="shared" si="93"/>
      </c>
      <c r="R445" s="341">
        <f t="shared" si="291"/>
      </c>
      <c r="S445" s="343">
        <f t="shared" si="108"/>
      </c>
      <c r="T445" s="345">
        <f t="shared" si="129"/>
      </c>
      <c r="U445" s="345">
        <f t="shared" si="42"/>
      </c>
      <c r="V445" s="345">
        <f t="shared" si="59"/>
      </c>
      <c r="W445" s="345">
        <f t="shared" si="76"/>
      </c>
      <c r="X445" s="360" t="s">
        <v>181</v>
      </c>
      <c r="Y445" s="347" t="s">
        <v>205</v>
      </c>
      <c r="Z445" s="350">
        <v>96476</v>
      </c>
      <c r="AA445" s="350">
        <v>3843</v>
      </c>
      <c r="AB445" s="350">
        <v>65955</v>
      </c>
      <c r="AC445" s="350">
        <v>995</v>
      </c>
      <c r="AD445" s="349">
        <v>5</v>
      </c>
      <c r="AE445" s="350">
        <v>11256</v>
      </c>
      <c r="AF445" s="350">
        <v>326</v>
      </c>
      <c r="AG445" s="350">
        <v>42</v>
      </c>
      <c r="AH445" s="350">
        <v>7</v>
      </c>
      <c r="AI445" s="418">
        <v>1</v>
      </c>
      <c r="AJ445" s="443"/>
      <c r="AK445" s="443"/>
      <c r="AL445" s="443"/>
      <c r="AM445" s="443"/>
      <c r="AN445" s="443"/>
      <c r="AO445" s="443"/>
    </row>
    <row customHeight="true" ht="16.071428571428573" r="446">
      <c r="A446" s="334"/>
      <c r="B446" s="335" t="s">
        <v>195</v>
      </c>
      <c r="C446" s="373" t="s">
        <v>196</v>
      </c>
      <c r="D446" s="377">
        <v>1293.637</v>
      </c>
      <c r="E446" s="359">
        <v>4</v>
      </c>
      <c r="F446" s="342">
        <f t="shared" si="342"/>
      </c>
      <c r="G446" s="359">
        <v>1469.2000000000007</v>
      </c>
      <c r="H446" s="428">
        <f t="shared" si="8"/>
      </c>
      <c r="I446" s="340">
        <f t="shared" si="25"/>
      </c>
      <c r="J446" s="341">
        <f t="shared" si="162"/>
      </c>
      <c r="K446" s="343">
        <f t="shared" si="194"/>
      </c>
      <c r="L446" s="344">
        <f t="shared" si="179"/>
      </c>
      <c r="M446" s="341">
        <f t="shared" si="259"/>
      </c>
      <c r="N446" s="345">
        <f t="shared" si="229"/>
      </c>
      <c r="O446" s="345">
        <f t="shared" si="244"/>
      </c>
      <c r="P446" s="345">
        <f t="shared" si="276"/>
      </c>
      <c r="Q446" s="345">
        <f t="shared" si="93"/>
      </c>
      <c r="R446" s="341">
        <f t="shared" si="291"/>
      </c>
      <c r="S446" s="343">
        <f t="shared" si="108"/>
      </c>
      <c r="T446" s="345">
        <f t="shared" si="129"/>
      </c>
      <c r="U446" s="345">
        <f t="shared" si="42"/>
      </c>
      <c r="V446" s="345">
        <f t="shared" si="59"/>
      </c>
      <c r="W446" s="345">
        <f t="shared" si="76"/>
      </c>
      <c r="X446" s="360" t="s">
        <v>181</v>
      </c>
      <c r="Y446" s="347" t="s">
        <v>205</v>
      </c>
      <c r="Z446" s="350">
        <v>107628</v>
      </c>
      <c r="AA446" s="350">
        <v>3609</v>
      </c>
      <c r="AB446" s="350">
        <v>81322</v>
      </c>
      <c r="AC446" s="350">
        <v>850</v>
      </c>
      <c r="AD446" s="350">
        <v>3</v>
      </c>
      <c r="AE446" s="350">
        <v>13628</v>
      </c>
      <c r="AF446" s="350">
        <v>322</v>
      </c>
      <c r="AG446" s="350">
        <v>79</v>
      </c>
      <c r="AH446" s="350">
        <v>15</v>
      </c>
      <c r="AI446" s="418">
        <v>0</v>
      </c>
      <c r="AJ446" s="443"/>
      <c r="AK446" s="443"/>
      <c r="AL446" s="443"/>
      <c r="AM446" s="443"/>
      <c r="AN446" s="443"/>
      <c r="AO446" s="443"/>
    </row>
    <row customHeight="true" ht="16.071428571428573" r="447">
      <c r="A447" s="334"/>
      <c r="B447" s="335" t="s">
        <v>195</v>
      </c>
      <c r="C447" s="373" t="s">
        <v>197</v>
      </c>
      <c r="D447" s="377">
        <v>1337.645</v>
      </c>
      <c r="E447" s="359">
        <v>1</v>
      </c>
      <c r="F447" s="342">
        <f t="shared" si="342"/>
      </c>
      <c r="G447" s="359">
        <v>828</v>
      </c>
      <c r="H447" s="428">
        <f t="shared" si="8"/>
      </c>
      <c r="I447" s="340">
        <f t="shared" si="25"/>
      </c>
      <c r="J447" s="341">
        <f t="shared" si="162"/>
      </c>
      <c r="K447" s="343">
        <f t="shared" si="194"/>
      </c>
      <c r="L447" s="344">
        <f t="shared" si="179"/>
      </c>
      <c r="M447" s="341">
        <f t="shared" si="259"/>
      </c>
      <c r="N447" s="345">
        <f t="shared" si="229"/>
      </c>
      <c r="O447" s="345">
        <f t="shared" si="244"/>
      </c>
      <c r="P447" s="345">
        <f t="shared" si="276"/>
      </c>
      <c r="Q447" s="345">
        <f t="shared" si="93"/>
      </c>
      <c r="R447" s="341">
        <f t="shared" si="291"/>
      </c>
      <c r="S447" s="343">
        <f t="shared" si="108"/>
      </c>
      <c r="T447" s="345">
        <f t="shared" si="129"/>
      </c>
      <c r="U447" s="345">
        <f t="shared" si="42"/>
      </c>
      <c r="V447" s="345">
        <f t="shared" si="59"/>
      </c>
      <c r="W447" s="345">
        <f t="shared" si="76"/>
      </c>
      <c r="X447" s="360" t="s">
        <v>181</v>
      </c>
      <c r="Y447" s="347" t="s">
        <v>205</v>
      </c>
      <c r="Z447" s="350">
        <v>113074</v>
      </c>
      <c r="AA447" s="350">
        <v>3771</v>
      </c>
      <c r="AB447" s="350">
        <v>83051</v>
      </c>
      <c r="AC447" s="350">
        <v>873</v>
      </c>
      <c r="AD447" s="350">
        <v>2</v>
      </c>
      <c r="AE447" s="350">
        <v>14981</v>
      </c>
      <c r="AF447" s="350">
        <v>368</v>
      </c>
      <c r="AG447" s="350">
        <v>73</v>
      </c>
      <c r="AH447" s="349">
        <v>17</v>
      </c>
      <c r="AI447" s="418">
        <v>0</v>
      </c>
      <c r="AJ447" s="443"/>
      <c r="AK447" s="443"/>
      <c r="AL447" s="443"/>
      <c r="AM447" s="443"/>
      <c r="AN447" s="443"/>
      <c r="AO447" s="443"/>
    </row>
    <row customHeight="true" ht="16.071428571428573" r="448">
      <c r="A448" s="334"/>
      <c r="B448" s="387" t="s">
        <v>187</v>
      </c>
      <c r="C448" s="387"/>
      <c r="D448" s="362">
        <f>SUM(D444:D447)</f>
      </c>
      <c r="E448" s="420">
        <f>SUM(E444:E447)</f>
      </c>
      <c r="F448" s="365">
        <f t="shared" si="342"/>
      </c>
      <c r="G448" s="362">
        <f>SUM(G444:G447)</f>
      </c>
      <c r="H448" s="429">
        <f t="shared" si="8"/>
      </c>
      <c r="I448" s="362">
        <f t="shared" si="25"/>
      </c>
      <c r="J448" s="364">
        <f t="shared" si="162"/>
      </c>
      <c r="K448" s="366">
        <f t="shared" si="194"/>
      </c>
      <c r="L448" s="367">
        <f t="shared" si="179"/>
      </c>
      <c r="M448" s="364">
        <f t="shared" si="259"/>
      </c>
      <c r="N448" s="368">
        <f t="shared" si="229"/>
      </c>
      <c r="O448" s="368">
        <f t="shared" si="244"/>
      </c>
      <c r="P448" s="368">
        <f t="shared" si="276"/>
      </c>
      <c r="Q448" s="368">
        <f t="shared" si="93"/>
      </c>
      <c r="R448" s="364">
        <f t="shared" si="291"/>
      </c>
      <c r="S448" s="366">
        <f t="shared" si="108"/>
      </c>
      <c r="T448" s="368">
        <f t="shared" si="129"/>
      </c>
      <c r="U448" s="368">
        <f t="shared" si="42"/>
      </c>
      <c r="V448" s="368">
        <f t="shared" si="59"/>
      </c>
      <c r="W448" s="368">
        <f t="shared" si="76"/>
      </c>
      <c r="X448" s="368"/>
      <c r="Y448" s="369"/>
      <c r="Z448" s="362">
        <f>SUM(Z444:Z447)</f>
      </c>
      <c r="AA448" s="362">
        <f>SUM(AA444:AA447)</f>
      </c>
      <c r="AB448" s="362">
        <f>SUM(AB444:AB447)</f>
      </c>
      <c r="AC448" s="362">
        <f>SUM(AC444:AC447)</f>
      </c>
      <c r="AD448" s="362">
        <f>SUM(AD444:AD447)</f>
      </c>
      <c r="AE448" s="362">
        <f>SUM(AE444:AE447)</f>
      </c>
      <c r="AF448" s="362">
        <f>SUM(AF444:AF447)</f>
      </c>
      <c r="AG448" s="362">
        <f>SUM(AG444:AG447)</f>
      </c>
      <c r="AH448" s="362">
        <f>SUM(AH444:AH447)</f>
      </c>
      <c r="AI448" s="420">
        <f>SUM(AI444:AI447)</f>
      </c>
      <c r="AJ448" s="443"/>
      <c r="AK448" s="443"/>
      <c r="AL448" s="443"/>
      <c r="AM448" s="443"/>
      <c r="AN448" s="443"/>
      <c r="AO448" s="443"/>
    </row>
    <row customHeight="true" ht="16.071428571428573" r="449">
      <c r="A449" s="334"/>
      <c r="B449" s="335" t="s">
        <v>208</v>
      </c>
      <c r="C449" s="374" t="s">
        <v>198</v>
      </c>
      <c r="D449" s="379">
        <v>1531.713</v>
      </c>
      <c r="E449" s="417">
        <v>5</v>
      </c>
      <c r="F449" s="342">
        <f t="shared" si="342"/>
      </c>
      <c r="G449" s="339">
        <v>2869.5999999999985</v>
      </c>
      <c r="H449" s="428">
        <f t="shared" si="8"/>
      </c>
      <c r="I449" s="340">
        <f t="shared" si="25"/>
      </c>
      <c r="J449" s="341">
        <f t="shared" si="162"/>
      </c>
      <c r="K449" s="343">
        <f t="shared" si="194"/>
      </c>
      <c r="L449" s="382">
        <f t="shared" si="179"/>
      </c>
      <c r="M449" s="383">
        <f t="shared" si="259"/>
      </c>
      <c r="N449" s="384">
        <f t="shared" si="229"/>
      </c>
      <c r="O449" s="384">
        <f t="shared" si="244"/>
      </c>
      <c r="P449" s="384">
        <f t="shared" si="276"/>
      </c>
      <c r="Q449" s="384">
        <f t="shared" si="93"/>
      </c>
      <c r="R449" s="383">
        <f t="shared" si="291"/>
      </c>
      <c r="S449" s="381">
        <f t="shared" si="108"/>
      </c>
      <c r="T449" s="384">
        <f t="shared" si="129"/>
      </c>
      <c r="U449" s="384">
        <f t="shared" si="42"/>
      </c>
      <c r="V449" s="384">
        <f t="shared" si="59"/>
      </c>
      <c r="W449" s="384">
        <f t="shared" si="76"/>
      </c>
      <c r="X449" s="360" t="s">
        <v>181</v>
      </c>
      <c r="Y449" s="347" t="s">
        <v>205</v>
      </c>
      <c r="Z449" s="350">
        <v>146595</v>
      </c>
      <c r="AA449" s="350">
        <v>4543</v>
      </c>
      <c r="AB449" s="350">
        <v>108339</v>
      </c>
      <c r="AC449" s="385">
        <v>988</v>
      </c>
      <c r="AD449" s="385">
        <v>5</v>
      </c>
      <c r="AE449" s="385">
        <v>18398</v>
      </c>
      <c r="AF449" s="385">
        <v>468</v>
      </c>
      <c r="AG449" s="385">
        <v>115</v>
      </c>
      <c r="AH449" s="385">
        <v>22</v>
      </c>
      <c r="AI449" s="418">
        <v>1</v>
      </c>
      <c r="AJ449" s="443"/>
      <c r="AK449" s="443"/>
      <c r="AL449" s="443"/>
      <c r="AM449" s="443"/>
      <c r="AN449" s="443"/>
      <c r="AO449" s="443"/>
    </row>
    <row customHeight="true" ht="16.071428571428573" r="450">
      <c r="A450" s="334"/>
      <c r="B450" s="335" t="s">
        <v>208</v>
      </c>
      <c r="C450" s="373" t="s">
        <v>199</v>
      </c>
      <c r="D450" s="379">
        <v>1512.27</v>
      </c>
      <c r="E450" s="417">
        <v>11</v>
      </c>
      <c r="F450" s="342">
        <f t="shared" si="342"/>
      </c>
      <c r="G450" s="339">
        <v>3439.9000000000015</v>
      </c>
      <c r="H450" s="428">
        <f t="shared" si="8"/>
      </c>
      <c r="I450" s="340">
        <f t="shared" si="25"/>
      </c>
      <c r="J450" s="341">
        <f t="shared" si="162"/>
      </c>
      <c r="K450" s="343">
        <f t="shared" si="194"/>
      </c>
      <c r="L450" s="382">
        <f t="shared" si="179"/>
      </c>
      <c r="M450" s="383">
        <f t="shared" si="259"/>
      </c>
      <c r="N450" s="384">
        <f t="shared" si="229"/>
      </c>
      <c r="O450" s="384">
        <f t="shared" si="244"/>
      </c>
      <c r="P450" s="384">
        <f t="shared" si="276"/>
      </c>
      <c r="Q450" s="384">
        <f t="shared" si="93"/>
      </c>
      <c r="R450" s="383">
        <f t="shared" si="291"/>
      </c>
      <c r="S450" s="381">
        <f t="shared" si="108"/>
      </c>
      <c r="T450" s="384">
        <f t="shared" si="129"/>
      </c>
      <c r="U450" s="384">
        <f t="shared" si="42"/>
      </c>
      <c r="V450" s="384">
        <f t="shared" si="59"/>
      </c>
      <c r="W450" s="384">
        <f t="shared" si="76"/>
      </c>
      <c r="X450" s="360" t="s">
        <v>181</v>
      </c>
      <c r="Y450" s="347" t="s">
        <v>205</v>
      </c>
      <c r="Z450" s="350">
        <v>165070</v>
      </c>
      <c r="AA450" s="350">
        <v>4317</v>
      </c>
      <c r="AB450" s="350">
        <v>124375</v>
      </c>
      <c r="AC450" s="385">
        <v>1080</v>
      </c>
      <c r="AD450" s="385">
        <v>4</v>
      </c>
      <c r="AE450" s="385">
        <v>18143</v>
      </c>
      <c r="AF450" s="385">
        <v>498</v>
      </c>
      <c r="AG450" s="385">
        <v>120</v>
      </c>
      <c r="AH450" s="385">
        <v>15</v>
      </c>
      <c r="AI450" s="418">
        <v>3</v>
      </c>
      <c r="AJ450" s="443"/>
      <c r="AK450" s="443"/>
      <c r="AL450" s="443"/>
      <c r="AM450" s="443"/>
      <c r="AN450" s="443"/>
      <c r="AO450" s="443"/>
    </row>
    <row customHeight="true" ht="16.071428571428573" r="451">
      <c r="A451" s="334"/>
      <c r="B451" s="335" t="s">
        <v>208</v>
      </c>
      <c r="C451" s="386" t="s">
        <v>200</v>
      </c>
      <c r="D451" s="377">
        <v>1233.483</v>
      </c>
      <c r="E451" s="359">
        <v>6</v>
      </c>
      <c r="F451" s="342">
        <f t="shared" si="342"/>
      </c>
      <c r="G451" s="359">
        <v>1823</v>
      </c>
      <c r="H451" s="428">
        <f t="shared" si="8"/>
      </c>
      <c r="I451" s="340">
        <f t="shared" si="25"/>
      </c>
      <c r="J451" s="341">
        <f t="shared" si="162"/>
      </c>
      <c r="K451" s="343">
        <f t="shared" si="194"/>
      </c>
      <c r="L451" s="382">
        <f t="shared" si="179"/>
      </c>
      <c r="M451" s="383">
        <f t="shared" si="259"/>
      </c>
      <c r="N451" s="384">
        <f t="shared" si="229"/>
      </c>
      <c r="O451" s="384">
        <f t="shared" si="244"/>
      </c>
      <c r="P451" s="384">
        <f t="shared" si="276"/>
      </c>
      <c r="Q451" s="384">
        <f t="shared" si="93"/>
      </c>
      <c r="R451" s="383">
        <f t="shared" si="291"/>
      </c>
      <c r="S451" s="381">
        <f t="shared" si="108"/>
      </c>
      <c r="T451" s="384">
        <f t="shared" si="129"/>
      </c>
      <c r="U451" s="384">
        <f t="shared" si="42"/>
      </c>
      <c r="V451" s="384">
        <f t="shared" si="59"/>
      </c>
      <c r="W451" s="384">
        <f t="shared" si="76"/>
      </c>
      <c r="X451" s="360" t="s">
        <v>181</v>
      </c>
      <c r="Y451" s="347" t="s">
        <v>205</v>
      </c>
      <c r="Z451" s="350">
        <v>144247</v>
      </c>
      <c r="AA451" s="350">
        <v>3671</v>
      </c>
      <c r="AB451" s="350">
        <v>101470</v>
      </c>
      <c r="AC451" s="350">
        <v>1124</v>
      </c>
      <c r="AD451" s="350">
        <v>5</v>
      </c>
      <c r="AE451" s="350">
        <v>11546</v>
      </c>
      <c r="AF451" s="350">
        <v>430</v>
      </c>
      <c r="AG451" s="350">
        <v>69</v>
      </c>
      <c r="AH451" s="349">
        <v>12</v>
      </c>
      <c r="AI451" s="418">
        <v>1</v>
      </c>
      <c r="AJ451" s="443"/>
      <c r="AK451" s="443"/>
      <c r="AL451" s="443"/>
      <c r="AM451" s="443"/>
      <c r="AN451" s="443"/>
      <c r="AO451" s="443"/>
    </row>
    <row customHeight="true" ht="16.071428571428573" r="452">
      <c r="A452" s="334"/>
      <c r="B452" s="335" t="s">
        <v>208</v>
      </c>
      <c r="C452" s="439" t="s">
        <v>212</v>
      </c>
      <c r="D452" s="440">
        <v>1048.732</v>
      </c>
      <c r="E452" s="359">
        <v>9</v>
      </c>
      <c r="F452" s="342">
        <f t="shared" si="342"/>
      </c>
      <c r="G452" s="359">
        <v>3438.4000000000015</v>
      </c>
      <c r="H452" s="430">
        <f t="shared" si="8"/>
      </c>
      <c r="I452" s="340">
        <f t="shared" si="25"/>
      </c>
      <c r="J452" s="341">
        <f t="shared" si="162"/>
      </c>
      <c r="K452" s="343">
        <f t="shared" si="194"/>
      </c>
      <c r="L452" s="382">
        <f t="shared" si="179"/>
      </c>
      <c r="M452" s="383">
        <f t="shared" si="259"/>
      </c>
      <c r="N452" s="384">
        <f t="shared" si="229"/>
      </c>
      <c r="O452" s="384">
        <f t="shared" si="244"/>
      </c>
      <c r="P452" s="384">
        <f t="shared" si="276"/>
      </c>
      <c r="Q452" s="384">
        <f t="shared" si="93"/>
      </c>
      <c r="R452" s="383">
        <f t="shared" si="291"/>
      </c>
      <c r="S452" s="381">
        <f t="shared" si="108"/>
      </c>
      <c r="T452" s="384">
        <f t="shared" si="129"/>
      </c>
      <c r="U452" s="384">
        <f t="shared" si="42"/>
      </c>
      <c r="V452" s="384">
        <f t="shared" si="59"/>
      </c>
      <c r="W452" s="384">
        <f t="shared" si="76"/>
      </c>
      <c r="X452" s="360" t="s">
        <v>181</v>
      </c>
      <c r="Y452" s="347" t="s">
        <v>205</v>
      </c>
      <c r="Z452" s="350">
        <v>116326</v>
      </c>
      <c r="AA452" s="350">
        <v>3142</v>
      </c>
      <c r="AB452" s="350">
        <v>82033</v>
      </c>
      <c r="AC452" s="350">
        <v>747</v>
      </c>
      <c r="AD452" s="350">
        <v>5</v>
      </c>
      <c r="AE452" s="350">
        <v>7737</v>
      </c>
      <c r="AF452" s="350">
        <v>313</v>
      </c>
      <c r="AG452" s="350">
        <v>60</v>
      </c>
      <c r="AH452" s="349">
        <v>16</v>
      </c>
      <c r="AI452" s="418">
        <v>2</v>
      </c>
      <c r="AJ452" s="443"/>
      <c r="AK452" s="443"/>
      <c r="AL452" s="443"/>
      <c r="AM452" s="443"/>
      <c r="AN452" s="443"/>
      <c r="AO452" s="443"/>
    </row>
    <row customHeight="true" ht="16.071428571428573" r="453">
      <c r="A453" s="334"/>
      <c r="B453" s="387" t="s">
        <v>187</v>
      </c>
      <c r="C453" s="387"/>
      <c r="D453" s="362">
        <f>SUM(D449:D452)</f>
      </c>
      <c r="E453" s="420">
        <f>SUM(E449:E452)</f>
      </c>
      <c r="F453" s="366">
        <f t="shared" si="342"/>
      </c>
      <c r="G453" s="431">
        <f>SUM(G449:G452)</f>
      </c>
      <c r="H453" s="432">
        <f t="shared" si="8"/>
      </c>
      <c r="I453" s="433">
        <f t="shared" si="25"/>
      </c>
      <c r="J453" s="364">
        <f t="shared" si="162"/>
      </c>
      <c r="K453" s="366">
        <f t="shared" si="194"/>
      </c>
      <c r="L453" s="367">
        <f t="shared" si="179"/>
      </c>
      <c r="M453" s="364">
        <f t="shared" si="259"/>
      </c>
      <c r="N453" s="368">
        <f t="shared" si="229"/>
      </c>
      <c r="O453" s="368">
        <f t="shared" si="244"/>
      </c>
      <c r="P453" s="368">
        <f t="shared" si="276"/>
      </c>
      <c r="Q453" s="368">
        <f t="shared" si="93"/>
      </c>
      <c r="R453" s="364">
        <f t="shared" si="291"/>
      </c>
      <c r="S453" s="366">
        <f t="shared" si="108"/>
      </c>
      <c r="T453" s="368">
        <f t="shared" si="129"/>
      </c>
      <c r="U453" s="368">
        <f t="shared" si="42"/>
      </c>
      <c r="V453" s="368">
        <f t="shared" si="59"/>
      </c>
      <c r="W453" s="368">
        <f t="shared" si="76"/>
      </c>
      <c r="X453" s="368"/>
      <c r="Y453" s="369"/>
      <c r="Z453" s="362">
        <f>SUM(Z449:Z452)</f>
      </c>
      <c r="AA453" s="362">
        <f>SUM(AA449:AA452)</f>
      </c>
      <c r="AB453" s="362">
        <f>SUM(AB449:AB452)</f>
      </c>
      <c r="AC453" s="362">
        <f>SUM(AC449:AC452)</f>
      </c>
      <c r="AD453" s="362">
        <f>SUM(AD449:AD452)</f>
      </c>
      <c r="AE453" s="362">
        <f>SUM(AE449:AE452)</f>
      </c>
      <c r="AF453" s="362">
        <f>SUM(AF449:AF452)</f>
      </c>
      <c r="AG453" s="362">
        <f>SUM(AG449:AG452)</f>
      </c>
      <c r="AH453" s="362">
        <f>SUM(AH449:AH452)</f>
      </c>
      <c r="AI453" s="420">
        <f>SUM(AI449:AI452)</f>
      </c>
      <c r="AJ453" s="443"/>
      <c r="AK453" s="443"/>
      <c r="AL453" s="443"/>
      <c r="AM453" s="443"/>
      <c r="AN453" s="443"/>
      <c r="AO453" s="443"/>
    </row>
    <row customHeight="true" ht="16.071428571428573" r="454">
      <c r="A454" s="334"/>
      <c r="B454" s="388" t="s">
        <v>201</v>
      </c>
      <c r="C454" s="388"/>
      <c r="D454" s="389">
        <f>SUM(D453+D438+D443+D448)</f>
      </c>
      <c r="E454" s="442">
        <f>SUM(E453+E438+E443+E448)</f>
      </c>
      <c r="F454" s="393">
        <f t="shared" si="342"/>
      </c>
      <c r="G454" s="434">
        <f>SUM(G453+G438+G443+G448)</f>
      </c>
      <c r="H454" s="441">
        <f t="shared" si="8"/>
      </c>
      <c r="I454" s="436">
        <f t="shared" si="25"/>
      </c>
      <c r="J454" s="391">
        <f t="shared" si="162"/>
      </c>
      <c r="K454" s="393">
        <f t="shared" si="194"/>
      </c>
      <c r="L454" s="394">
        <f t="shared" si="179"/>
      </c>
      <c r="M454" s="394">
        <f t="shared" si="259"/>
      </c>
      <c r="N454" s="395">
        <f t="shared" si="229"/>
      </c>
      <c r="O454" s="395">
        <f t="shared" si="244"/>
      </c>
      <c r="P454" s="395">
        <f t="shared" si="276"/>
      </c>
      <c r="Q454" s="395">
        <f t="shared" si="93"/>
      </c>
      <c r="R454" s="396">
        <f t="shared" si="291"/>
      </c>
      <c r="S454" s="397">
        <f t="shared" si="108"/>
      </c>
      <c r="T454" s="398">
        <f t="shared" si="129"/>
      </c>
      <c r="U454" s="398">
        <f t="shared" si="42"/>
      </c>
      <c r="V454" s="398">
        <f t="shared" si="59"/>
      </c>
      <c r="W454" s="398">
        <f t="shared" si="76"/>
      </c>
      <c r="X454" s="398"/>
      <c r="Y454" s="399"/>
      <c r="Z454" s="390">
        <f>SUM(Z438+Z453+Z443+Z448)</f>
      </c>
      <c r="AA454" s="390">
        <f>SUM(AA438+AA453+AA443+AA448)</f>
      </c>
      <c r="AB454" s="390">
        <f>SUM(AB438+AB453+AB443+AB448)</f>
      </c>
      <c r="AC454" s="390">
        <f>SUM(AC438+AC453+AC443+AC448)</f>
      </c>
      <c r="AD454" s="390">
        <f>SUM(AD438+AD453+AD443+AD448)</f>
      </c>
      <c r="AE454" s="390">
        <f>SUM(AE438+AE453+AE443+AE448)</f>
      </c>
      <c r="AF454" s="390">
        <f>SUM(AF438+AF453+AF443+AF448)</f>
      </c>
      <c r="AG454" s="390">
        <f>SUM(AG438+AG453+AG443+AG448)</f>
      </c>
      <c r="AH454" s="390">
        <f>SUM(AH438+AH453+AH443+AH448)</f>
      </c>
      <c r="AI454" s="390">
        <f>SUM(AI438+AI453+AI443+AI448)</f>
      </c>
      <c r="AJ454" s="443"/>
      <c r="AK454" s="443"/>
      <c r="AL454" s="443"/>
      <c r="AM454" s="443"/>
      <c r="AN454" s="443"/>
      <c r="AO454" s="443"/>
    </row>
    <row customHeight="true" ht="16.071428571428573" r="455">
      <c r="A455" s="319" t="s">
        <v>145</v>
      </c>
      <c r="B455" s="320" t="s">
        <v>146</v>
      </c>
      <c r="C455" s="321" t="s">
        <v>147</v>
      </c>
      <c r="D455" s="322" t="s">
        <v>148</v>
      </c>
      <c r="E455" s="426" t="s">
        <v>213</v>
      </c>
      <c r="F455" s="427" t="s">
        <v>214</v>
      </c>
      <c r="G455" s="324" t="s">
        <v>150</v>
      </c>
      <c r="H455" s="427" t="s">
        <v>215</v>
      </c>
      <c r="I455" s="324" t="s">
        <v>151</v>
      </c>
      <c r="J455" s="325" t="s">
        <v>152</v>
      </c>
      <c r="K455" s="325" t="s">
        <v>154</v>
      </c>
      <c r="L455" s="326" t="s">
        <v>155</v>
      </c>
      <c r="M455" s="326" t="s">
        <v>156</v>
      </c>
      <c r="N455" s="326" t="s">
        <v>157</v>
      </c>
      <c r="O455" s="326" t="s">
        <v>158</v>
      </c>
      <c r="P455" s="326" t="s">
        <v>159</v>
      </c>
      <c r="Q455" s="326" t="s">
        <v>160</v>
      </c>
      <c r="R455" s="326" t="s">
        <v>161</v>
      </c>
      <c r="S455" s="326" t="s">
        <v>162</v>
      </c>
      <c r="T455" s="327" t="s">
        <v>163</v>
      </c>
      <c r="U455" s="327" t="s">
        <v>164</v>
      </c>
      <c r="V455" s="327" t="s">
        <v>165</v>
      </c>
      <c r="W455" s="327" t="s">
        <v>166</v>
      </c>
      <c r="X455" s="328" t="s">
        <v>167</v>
      </c>
      <c r="Y455" s="328" t="s">
        <v>168</v>
      </c>
      <c r="Z455" s="329" t="s">
        <v>169</v>
      </c>
      <c r="AA455" s="329" t="s">
        <v>170</v>
      </c>
      <c r="AB455" s="329" t="s">
        <v>171</v>
      </c>
      <c r="AC455" s="330" t="s">
        <v>172</v>
      </c>
      <c r="AD455" s="330" t="s">
        <v>173</v>
      </c>
      <c r="AE455" s="331" t="s">
        <v>174</v>
      </c>
      <c r="AF455" s="330" t="s">
        <v>175</v>
      </c>
      <c r="AG455" s="330" t="s">
        <v>176</v>
      </c>
      <c r="AH455" s="332" t="s">
        <v>177</v>
      </c>
      <c r="AI455" s="333" t="s">
        <v>178</v>
      </c>
      <c r="AJ455" s="443"/>
      <c r="AK455" s="443"/>
      <c r="AL455" s="443"/>
      <c r="AM455" s="443"/>
      <c r="AN455" s="443"/>
      <c r="AO455" s="443"/>
    </row>
    <row customHeight="true" ht="16.071428571428573" r="456">
      <c r="A456" s="334">
        <v>46258</v>
      </c>
      <c r="B456" s="415" t="s">
        <v>179</v>
      </c>
      <c r="C456" s="354" t="s">
        <v>180</v>
      </c>
      <c r="D456" s="337">
        <v>1272.5210000000002</v>
      </c>
      <c r="E456" s="417">
        <v>4</v>
      </c>
      <c r="F456" s="342">
        <f t="shared" ref="F456:F476" si="343">D456/E456</f>
      </c>
      <c r="G456" s="339">
        <v>1480</v>
      </c>
      <c r="H456" s="428">
        <f t="shared" ref="H456:H476" si="9">AD456</f>
      </c>
      <c r="I456" s="340">
        <f t="shared" ref="I456:I476" si="26">D456/AD456</f>
      </c>
      <c r="J456" s="341">
        <f t="shared" ref="J456:J476" si="163">G456/E456</f>
      </c>
      <c r="K456" s="343">
        <f t="shared" ref="K456:K476" si="195">G456/D456</f>
      </c>
      <c r="L456" s="344">
        <f t="shared" ref="L456:L476" si="180">D456/AB456</f>
      </c>
      <c r="M456" s="341">
        <f t="shared" ref="M456:M476" si="260">D456/AC456</f>
      </c>
      <c r="N456" s="345">
        <f t="shared" ref="N456:N476" si="230">AC456/AB456</f>
      </c>
      <c r="O456" s="345">
        <f t="shared" ref="O456:O476" si="245">AD456/AC456</f>
      </c>
      <c r="P456" s="345">
        <f t="shared" ref="P456:P476" si="277">AA456/Z456</f>
      </c>
      <c r="Q456" s="345">
        <f t="shared" ref="Q456:Q476" si="94">AD456/AA456</f>
      </c>
      <c r="R456" s="341">
        <f t="shared" ref="R456:R476" si="292">D456/Z456*1000</f>
      </c>
      <c r="S456" s="343">
        <f t="shared" ref="S456:S476" si="109">D456/AA456</f>
      </c>
      <c r="T456" s="345">
        <f t="shared" ref="T456:T476" si="130">AE456/AB456</f>
      </c>
      <c r="U456" s="345">
        <f t="shared" ref="U456:U476" si="43">AF456/AB456</f>
      </c>
      <c r="V456" s="345">
        <f t="shared" ref="V456:V476" si="60">AG456/AB456</f>
      </c>
      <c r="W456" s="345">
        <f t="shared" ref="W456:W476" si="77">AH456/AB456</f>
      </c>
      <c r="X456" s="346" t="s">
        <v>181</v>
      </c>
      <c r="Y456" s="347" t="s">
        <v>193</v>
      </c>
      <c r="Z456" s="348">
        <v>66895</v>
      </c>
      <c r="AA456" s="348">
        <v>2441</v>
      </c>
      <c r="AB456" s="348">
        <v>51491</v>
      </c>
      <c r="AC456" s="348">
        <v>776</v>
      </c>
      <c r="AD456" s="349">
        <v>3</v>
      </c>
      <c r="AE456" s="348">
        <v>14059</v>
      </c>
      <c r="AF456" s="350">
        <v>200</v>
      </c>
      <c r="AG456" s="350">
        <v>68</v>
      </c>
      <c r="AH456" s="350">
        <v>8</v>
      </c>
      <c r="AI456" s="418">
        <v>0</v>
      </c>
      <c r="AJ456" s="443"/>
      <c r="AK456" s="443"/>
      <c r="AL456" s="443"/>
      <c r="AM456" s="443"/>
      <c r="AN456" s="443"/>
      <c r="AO456" s="443"/>
    </row>
    <row customHeight="true" ht="16.071428571428573" r="457">
      <c r="A457" s="334"/>
      <c r="B457" s="415" t="s">
        <v>179</v>
      </c>
      <c r="C457" s="336" t="s">
        <v>183</v>
      </c>
      <c r="D457" s="337">
        <v>1926.412</v>
      </c>
      <c r="E457" s="417">
        <v>5</v>
      </c>
      <c r="F457" s="342">
        <f t="shared" si="343"/>
      </c>
      <c r="G457" s="339">
        <v>2876</v>
      </c>
      <c r="H457" s="428">
        <f t="shared" si="9"/>
      </c>
      <c r="I457" s="340">
        <f t="shared" si="26"/>
      </c>
      <c r="J457" s="341">
        <f t="shared" si="163"/>
      </c>
      <c r="K457" s="343">
        <f t="shared" si="195"/>
      </c>
      <c r="L457" s="344">
        <f t="shared" si="180"/>
      </c>
      <c r="M457" s="341">
        <f t="shared" si="260"/>
      </c>
      <c r="N457" s="345">
        <f t="shared" si="230"/>
      </c>
      <c r="O457" s="345">
        <f t="shared" si="245"/>
      </c>
      <c r="P457" s="345">
        <f t="shared" si="277"/>
      </c>
      <c r="Q457" s="345">
        <f t="shared" si="94"/>
      </c>
      <c r="R457" s="341">
        <f t="shared" si="292"/>
      </c>
      <c r="S457" s="343">
        <f t="shared" si="109"/>
      </c>
      <c r="T457" s="345">
        <f t="shared" si="130"/>
      </c>
      <c r="U457" s="345">
        <f t="shared" si="43"/>
      </c>
      <c r="V457" s="345">
        <f t="shared" si="60"/>
      </c>
      <c r="W457" s="345">
        <f t="shared" si="77"/>
      </c>
      <c r="X457" s="360" t="s">
        <v>181</v>
      </c>
      <c r="Y457" s="347" t="s">
        <v>193</v>
      </c>
      <c r="Z457" s="350">
        <v>102906</v>
      </c>
      <c r="AA457" s="348">
        <v>3654</v>
      </c>
      <c r="AB457" s="348">
        <v>73362</v>
      </c>
      <c r="AC457" s="348">
        <v>1055</v>
      </c>
      <c r="AD457" s="350">
        <v>3</v>
      </c>
      <c r="AE457" s="348">
        <v>17569</v>
      </c>
      <c r="AF457" s="350">
        <v>371</v>
      </c>
      <c r="AG457" s="350">
        <v>85</v>
      </c>
      <c r="AH457" s="349">
        <v>13</v>
      </c>
      <c r="AI457" s="418">
        <v>0</v>
      </c>
      <c r="AJ457" s="443"/>
      <c r="AK457" s="443"/>
      <c r="AL457" s="443"/>
      <c r="AM457" s="443"/>
      <c r="AN457" s="443"/>
      <c r="AO457" s="443"/>
    </row>
    <row customHeight="true" ht="16.071428571428573" r="458">
      <c r="A458" s="334"/>
      <c r="B458" s="415" t="s">
        <v>179</v>
      </c>
      <c r="C458" s="351" t="s">
        <v>184</v>
      </c>
      <c r="D458" s="377">
        <v>1670.32</v>
      </c>
      <c r="E458" s="359">
        <v>7</v>
      </c>
      <c r="F458" s="342">
        <f t="shared" si="343"/>
      </c>
      <c r="G458" s="359">
        <v>2796</v>
      </c>
      <c r="H458" s="428">
        <f t="shared" si="9"/>
      </c>
      <c r="I458" s="340">
        <f t="shared" si="26"/>
      </c>
      <c r="J458" s="341">
        <f t="shared" si="163"/>
      </c>
      <c r="K458" s="343">
        <f t="shared" si="195"/>
      </c>
      <c r="L458" s="344">
        <f t="shared" si="180"/>
      </c>
      <c r="M458" s="341">
        <f t="shared" si="260"/>
      </c>
      <c r="N458" s="345">
        <f t="shared" si="230"/>
      </c>
      <c r="O458" s="345">
        <f t="shared" si="245"/>
      </c>
      <c r="P458" s="345">
        <f t="shared" si="277"/>
      </c>
      <c r="Q458" s="345">
        <f t="shared" si="94"/>
      </c>
      <c r="R458" s="341">
        <f t="shared" si="292"/>
      </c>
      <c r="S458" s="343">
        <f t="shared" si="109"/>
      </c>
      <c r="T458" s="345">
        <f t="shared" si="130"/>
      </c>
      <c r="U458" s="345">
        <f t="shared" si="43"/>
      </c>
      <c r="V458" s="345">
        <f t="shared" si="60"/>
      </c>
      <c r="W458" s="345">
        <f t="shared" si="77"/>
      </c>
      <c r="X458" s="360" t="s">
        <v>181</v>
      </c>
      <c r="Y458" s="347" t="s">
        <v>193</v>
      </c>
      <c r="Z458" s="350">
        <v>101336</v>
      </c>
      <c r="AA458" s="350">
        <v>4042</v>
      </c>
      <c r="AB458" s="350">
        <v>72053</v>
      </c>
      <c r="AC458" s="350">
        <v>906</v>
      </c>
      <c r="AD458" s="350">
        <v>7</v>
      </c>
      <c r="AE458" s="350">
        <v>14992</v>
      </c>
      <c r="AF458" s="350">
        <v>330</v>
      </c>
      <c r="AG458" s="350">
        <v>90</v>
      </c>
      <c r="AH458" s="350">
        <v>18</v>
      </c>
      <c r="AI458" s="418">
        <v>0</v>
      </c>
      <c r="AJ458" s="443"/>
      <c r="AK458" s="443"/>
      <c r="AL458" s="443"/>
      <c r="AM458" s="443"/>
      <c r="AN458" s="443"/>
      <c r="AO458" s="443"/>
    </row>
    <row customHeight="true" ht="16.071428571428573" r="459">
      <c r="A459" s="334"/>
      <c r="B459" s="415" t="s">
        <v>179</v>
      </c>
      <c r="C459" s="416" t="s">
        <v>185</v>
      </c>
      <c r="D459" s="377">
        <v>1752.4</v>
      </c>
      <c r="E459" s="359">
        <v>2</v>
      </c>
      <c r="F459" s="342">
        <f t="shared" si="343"/>
      </c>
      <c r="G459" s="359">
        <v>424</v>
      </c>
      <c r="H459" s="428">
        <f t="shared" si="9"/>
      </c>
      <c r="I459" s="340">
        <f t="shared" si="26"/>
      </c>
      <c r="J459" s="341">
        <f t="shared" si="163"/>
      </c>
      <c r="K459" s="343">
        <f t="shared" si="195"/>
      </c>
      <c r="L459" s="344">
        <f t="shared" si="180"/>
      </c>
      <c r="M459" s="341">
        <f t="shared" si="260"/>
      </c>
      <c r="N459" s="345">
        <f t="shared" si="230"/>
      </c>
      <c r="O459" s="345">
        <f t="shared" si="245"/>
      </c>
      <c r="P459" s="345">
        <f t="shared" si="277"/>
      </c>
      <c r="Q459" s="345">
        <f t="shared" si="94"/>
      </c>
      <c r="R459" s="341">
        <f t="shared" si="292"/>
      </c>
      <c r="S459" s="343">
        <f t="shared" si="109"/>
      </c>
      <c r="T459" s="345">
        <f t="shared" si="130"/>
      </c>
      <c r="U459" s="345">
        <f t="shared" si="43"/>
      </c>
      <c r="V459" s="345">
        <f t="shared" si="60"/>
      </c>
      <c r="W459" s="345">
        <f t="shared" si="77"/>
      </c>
      <c r="X459" s="360" t="s">
        <v>181</v>
      </c>
      <c r="Y459" s="347" t="s">
        <v>193</v>
      </c>
      <c r="Z459" s="350">
        <v>109735</v>
      </c>
      <c r="AA459" s="350">
        <v>5278</v>
      </c>
      <c r="AB459" s="350">
        <v>84127</v>
      </c>
      <c r="AC459" s="350">
        <v>762</v>
      </c>
      <c r="AD459" s="350">
        <v>1</v>
      </c>
      <c r="AE459" s="350">
        <v>15760</v>
      </c>
      <c r="AF459" s="350">
        <v>337</v>
      </c>
      <c r="AG459" s="350">
        <v>98</v>
      </c>
      <c r="AH459" s="349">
        <v>19</v>
      </c>
      <c r="AI459" s="418">
        <v>0</v>
      </c>
      <c r="AJ459" s="443"/>
      <c r="AK459" s="443"/>
      <c r="AL459" s="443"/>
      <c r="AM459" s="443"/>
      <c r="AN459" s="443"/>
      <c r="AO459" s="443"/>
    </row>
    <row customHeight="true" ht="16.071428571428573" r="460">
      <c r="A460" s="334"/>
      <c r="B460" s="387" t="s">
        <v>187</v>
      </c>
      <c r="C460" s="387"/>
      <c r="D460" s="362">
        <f>SUM(D456:D459)</f>
      </c>
      <c r="E460" s="437">
        <f>SUM(E456:E459)</f>
      </c>
      <c r="F460" s="365">
        <f t="shared" si="343"/>
      </c>
      <c r="G460" s="362">
        <f>SUM(G456:G459)</f>
      </c>
      <c r="H460" s="429">
        <f t="shared" si="9"/>
      </c>
      <c r="I460" s="362">
        <f t="shared" si="26"/>
      </c>
      <c r="J460" s="364">
        <f t="shared" si="163"/>
      </c>
      <c r="K460" s="366">
        <f t="shared" si="195"/>
      </c>
      <c r="L460" s="367">
        <f t="shared" si="180"/>
      </c>
      <c r="M460" s="364">
        <f t="shared" si="260"/>
      </c>
      <c r="N460" s="368">
        <f t="shared" si="230"/>
      </c>
      <c r="O460" s="368">
        <f t="shared" si="245"/>
      </c>
      <c r="P460" s="368">
        <f t="shared" si="277"/>
      </c>
      <c r="Q460" s="368">
        <f t="shared" si="94"/>
      </c>
      <c r="R460" s="364">
        <f t="shared" si="292"/>
      </c>
      <c r="S460" s="366">
        <f t="shared" si="109"/>
      </c>
      <c r="T460" s="368">
        <f t="shared" si="130"/>
      </c>
      <c r="U460" s="368">
        <f t="shared" si="43"/>
      </c>
      <c r="V460" s="368">
        <f t="shared" si="60"/>
      </c>
      <c r="W460" s="368">
        <f t="shared" si="77"/>
      </c>
      <c r="X460" s="368"/>
      <c r="Y460" s="369"/>
      <c r="Z460" s="362">
        <f>SUM(Z456:Z459)</f>
      </c>
      <c r="AA460" s="362">
        <f>SUM(AA456:AA459)</f>
      </c>
      <c r="AB460" s="362">
        <f>SUM(AB456:AB459)</f>
      </c>
      <c r="AC460" s="362">
        <f>SUM(AC456:AC459)</f>
      </c>
      <c r="AD460" s="362">
        <f>SUM(AD456:AD459)</f>
      </c>
      <c r="AE460" s="362">
        <f>SUM(AE456:AE459)</f>
      </c>
      <c r="AF460" s="362">
        <f>SUM(AF456:AF459)</f>
      </c>
      <c r="AG460" s="362">
        <f>SUM(AG456:AG459)</f>
      </c>
      <c r="AH460" s="362">
        <f>SUM(AH456:AH459)</f>
      </c>
      <c r="AI460" s="362">
        <f>SUM(AI456:AI459)</f>
      </c>
      <c r="AJ460" s="443"/>
      <c r="AK460" s="443"/>
      <c r="AL460" s="443"/>
      <c r="AM460" s="443"/>
      <c r="AN460" s="443"/>
      <c r="AO460" s="443"/>
    </row>
    <row customHeight="true" ht="16.071428571428573" r="461">
      <c r="A461" s="334"/>
      <c r="B461" s="335" t="s">
        <v>195</v>
      </c>
      <c r="C461" s="416" t="s">
        <v>186</v>
      </c>
      <c r="D461" s="371">
        <v>1683.356</v>
      </c>
      <c r="E461" s="417">
        <v>7</v>
      </c>
      <c r="F461" s="342">
        <f t="shared" si="343"/>
      </c>
      <c r="G461" s="339">
        <v>2083.5</v>
      </c>
      <c r="H461" s="428">
        <f t="shared" si="9"/>
      </c>
      <c r="I461" s="340">
        <f t="shared" si="26"/>
      </c>
      <c r="J461" s="341">
        <f t="shared" si="163"/>
      </c>
      <c r="K461" s="343">
        <f t="shared" si="195"/>
      </c>
      <c r="L461" s="344">
        <f t="shared" si="180"/>
      </c>
      <c r="M461" s="341">
        <f t="shared" si="260"/>
      </c>
      <c r="N461" s="345">
        <f t="shared" si="230"/>
      </c>
      <c r="O461" s="345">
        <f t="shared" si="245"/>
      </c>
      <c r="P461" s="345">
        <f t="shared" si="277"/>
      </c>
      <c r="Q461" s="345">
        <f t="shared" si="94"/>
      </c>
      <c r="R461" s="341">
        <f t="shared" si="292"/>
      </c>
      <c r="S461" s="343">
        <f t="shared" si="109"/>
      </c>
      <c r="T461" s="345">
        <f t="shared" si="130"/>
      </c>
      <c r="U461" s="345">
        <f t="shared" si="43"/>
      </c>
      <c r="V461" s="345">
        <f t="shared" si="60"/>
      </c>
      <c r="W461" s="345">
        <f t="shared" si="77"/>
      </c>
      <c r="X461" s="360" t="s">
        <v>181</v>
      </c>
      <c r="Y461" s="347" t="s">
        <v>193</v>
      </c>
      <c r="Z461" s="348">
        <v>123958</v>
      </c>
      <c r="AA461" s="348">
        <v>6338</v>
      </c>
      <c r="AB461" s="348">
        <v>94369</v>
      </c>
      <c r="AC461" s="350">
        <v>940</v>
      </c>
      <c r="AD461" s="350">
        <v>7</v>
      </c>
      <c r="AE461" s="348">
        <v>15517</v>
      </c>
      <c r="AF461" s="350">
        <v>336</v>
      </c>
      <c r="AG461" s="350">
        <v>99</v>
      </c>
      <c r="AH461" s="350">
        <v>19</v>
      </c>
      <c r="AI461" s="418">
        <v>4</v>
      </c>
      <c r="AJ461" s="443"/>
      <c r="AK461" s="443"/>
      <c r="AL461" s="443"/>
      <c r="AM461" s="443"/>
      <c r="AN461" s="443"/>
      <c r="AO461" s="443"/>
    </row>
    <row customHeight="true" ht="16.071428571428573" r="462">
      <c r="A462" s="334"/>
      <c r="B462" s="335" t="s">
        <v>195</v>
      </c>
      <c r="C462" s="370" t="s">
        <v>189</v>
      </c>
      <c r="D462" s="371">
        <v>1687.154</v>
      </c>
      <c r="E462" s="419">
        <v>2</v>
      </c>
      <c r="F462" s="342">
        <f t="shared" si="343"/>
      </c>
      <c r="G462" s="359">
        <v>456</v>
      </c>
      <c r="H462" s="428">
        <f t="shared" si="9"/>
      </c>
      <c r="I462" s="340">
        <f t="shared" si="26"/>
      </c>
      <c r="J462" s="341">
        <f t="shared" si="163"/>
      </c>
      <c r="K462" s="343">
        <f t="shared" si="195"/>
      </c>
      <c r="L462" s="344">
        <f t="shared" si="180"/>
      </c>
      <c r="M462" s="341">
        <f t="shared" si="260"/>
      </c>
      <c r="N462" s="345">
        <f t="shared" si="230"/>
      </c>
      <c r="O462" s="345">
        <f t="shared" si="245"/>
      </c>
      <c r="P462" s="345">
        <f t="shared" si="277"/>
      </c>
      <c r="Q462" s="345">
        <f t="shared" si="94"/>
      </c>
      <c r="R462" s="341">
        <f t="shared" si="292"/>
      </c>
      <c r="S462" s="343">
        <f t="shared" si="109"/>
      </c>
      <c r="T462" s="345">
        <f t="shared" si="130"/>
      </c>
      <c r="U462" s="345">
        <f t="shared" si="43"/>
      </c>
      <c r="V462" s="345">
        <f t="shared" si="60"/>
      </c>
      <c r="W462" s="345">
        <f t="shared" si="77"/>
      </c>
      <c r="X462" s="360" t="s">
        <v>181</v>
      </c>
      <c r="Y462" s="347" t="s">
        <v>193</v>
      </c>
      <c r="Z462" s="350">
        <v>109770</v>
      </c>
      <c r="AA462" s="350">
        <v>5806</v>
      </c>
      <c r="AB462" s="350">
        <v>82323</v>
      </c>
      <c r="AC462" s="350">
        <v>934</v>
      </c>
      <c r="AD462" s="350">
        <v>2</v>
      </c>
      <c r="AE462" s="350">
        <v>12589</v>
      </c>
      <c r="AF462" s="350">
        <v>311</v>
      </c>
      <c r="AG462" s="350">
        <v>83</v>
      </c>
      <c r="AH462" s="350">
        <v>15</v>
      </c>
      <c r="AI462" s="418">
        <v>0</v>
      </c>
      <c r="AJ462" s="443"/>
      <c r="AK462" s="443"/>
      <c r="AL462" s="443"/>
      <c r="AM462" s="443"/>
      <c r="AN462" s="443"/>
      <c r="AO462" s="443"/>
    </row>
    <row customHeight="true" ht="16.071428571428573" r="463">
      <c r="A463" s="334"/>
      <c r="B463" s="335" t="s">
        <v>195</v>
      </c>
      <c r="C463" s="372" t="s">
        <v>190</v>
      </c>
      <c r="D463" s="371">
        <v>2195.2839999999997</v>
      </c>
      <c r="E463" s="419">
        <v>4</v>
      </c>
      <c r="F463" s="342">
        <f t="shared" si="343"/>
      </c>
      <c r="G463" s="359">
        <v>1984</v>
      </c>
      <c r="H463" s="428">
        <f t="shared" si="9"/>
      </c>
      <c r="I463" s="340">
        <f t="shared" si="26"/>
      </c>
      <c r="J463" s="341">
        <f t="shared" si="163"/>
      </c>
      <c r="K463" s="343">
        <f t="shared" si="195"/>
      </c>
      <c r="L463" s="344">
        <f t="shared" si="180"/>
      </c>
      <c r="M463" s="341">
        <f t="shared" si="260"/>
      </c>
      <c r="N463" s="345">
        <f t="shared" si="230"/>
      </c>
      <c r="O463" s="345">
        <f t="shared" si="245"/>
      </c>
      <c r="P463" s="345">
        <f t="shared" si="277"/>
      </c>
      <c r="Q463" s="345">
        <f t="shared" si="94"/>
      </c>
      <c r="R463" s="341">
        <f t="shared" si="292"/>
      </c>
      <c r="S463" s="343">
        <f t="shared" si="109"/>
      </c>
      <c r="T463" s="345">
        <f t="shared" si="130"/>
      </c>
      <c r="U463" s="345">
        <f t="shared" si="43"/>
      </c>
      <c r="V463" s="345">
        <f t="shared" si="60"/>
      </c>
      <c r="W463" s="345">
        <f t="shared" si="77"/>
      </c>
      <c r="X463" s="360" t="s">
        <v>181</v>
      </c>
      <c r="Y463" s="347" t="s">
        <v>193</v>
      </c>
      <c r="Z463" s="350">
        <v>167887</v>
      </c>
      <c r="AA463" s="350">
        <v>12796</v>
      </c>
      <c r="AB463" s="350">
        <v>140731</v>
      </c>
      <c r="AC463" s="350">
        <v>1136</v>
      </c>
      <c r="AD463" s="350">
        <v>3</v>
      </c>
      <c r="AE463" s="350">
        <v>18194</v>
      </c>
      <c r="AF463" s="350">
        <v>483</v>
      </c>
      <c r="AG463" s="350">
        <v>146</v>
      </c>
      <c r="AH463" s="350">
        <v>24</v>
      </c>
      <c r="AI463" s="418">
        <v>0</v>
      </c>
      <c r="AJ463" s="443"/>
      <c r="AK463" s="443"/>
      <c r="AL463" s="443"/>
      <c r="AM463" s="443"/>
      <c r="AN463" s="443"/>
      <c r="AO463" s="443"/>
    </row>
    <row customHeight="true" ht="16.071428571428573" r="464">
      <c r="A464" s="334"/>
      <c r="B464" s="335" t="s">
        <v>195</v>
      </c>
      <c r="C464" s="373" t="s">
        <v>191</v>
      </c>
      <c r="D464" s="377">
        <v>2684.209</v>
      </c>
      <c r="E464" s="359">
        <v>9</v>
      </c>
      <c r="F464" s="342">
        <f t="shared" si="343"/>
      </c>
      <c r="G464" s="359">
        <v>4316.200000000001</v>
      </c>
      <c r="H464" s="428">
        <f t="shared" si="9"/>
      </c>
      <c r="I464" s="340">
        <f t="shared" si="26"/>
      </c>
      <c r="J464" s="341">
        <f t="shared" si="163"/>
      </c>
      <c r="K464" s="343">
        <f t="shared" si="195"/>
      </c>
      <c r="L464" s="344">
        <f t="shared" si="180"/>
      </c>
      <c r="M464" s="341">
        <f t="shared" si="260"/>
      </c>
      <c r="N464" s="345">
        <f t="shared" si="230"/>
      </c>
      <c r="O464" s="345">
        <f t="shared" si="245"/>
      </c>
      <c r="P464" s="345">
        <f t="shared" si="277"/>
      </c>
      <c r="Q464" s="345">
        <f t="shared" si="94"/>
      </c>
      <c r="R464" s="341">
        <f t="shared" si="292"/>
      </c>
      <c r="S464" s="343">
        <f t="shared" si="109"/>
      </c>
      <c r="T464" s="345">
        <f t="shared" si="130"/>
      </c>
      <c r="U464" s="345">
        <f t="shared" si="43"/>
      </c>
      <c r="V464" s="345">
        <f t="shared" si="60"/>
      </c>
      <c r="W464" s="345">
        <f t="shared" si="77"/>
      </c>
      <c r="X464" s="360" t="s">
        <v>181</v>
      </c>
      <c r="Y464" s="347" t="s">
        <v>193</v>
      </c>
      <c r="Z464" s="350">
        <v>237829</v>
      </c>
      <c r="AA464" s="350">
        <v>19863</v>
      </c>
      <c r="AB464" s="350">
        <v>207441</v>
      </c>
      <c r="AC464" s="350">
        <v>1457</v>
      </c>
      <c r="AD464" s="350">
        <v>8</v>
      </c>
      <c r="AE464" s="350">
        <v>25137</v>
      </c>
      <c r="AF464" s="350">
        <v>563</v>
      </c>
      <c r="AG464" s="350">
        <v>229</v>
      </c>
      <c r="AH464" s="349">
        <v>34</v>
      </c>
      <c r="AI464" s="418">
        <v>1</v>
      </c>
      <c r="AJ464" s="443"/>
      <c r="AK464" s="443"/>
      <c r="AL464" s="443"/>
      <c r="AM464" s="443"/>
      <c r="AN464" s="443"/>
      <c r="AO464" s="443"/>
    </row>
    <row customHeight="true" ht="16.071428571428573" r="465">
      <c r="A465" s="334"/>
      <c r="B465" s="387" t="s">
        <v>187</v>
      </c>
      <c r="C465" s="387"/>
      <c r="D465" s="362">
        <f>SUM(D461:D464)</f>
      </c>
      <c r="E465" s="420">
        <f>SUM(E461:E464)</f>
      </c>
      <c r="F465" s="365">
        <f t="shared" si="343"/>
      </c>
      <c r="G465" s="362">
        <f>SUM(G461:G464)</f>
      </c>
      <c r="H465" s="429">
        <f t="shared" si="9"/>
      </c>
      <c r="I465" s="362">
        <f t="shared" si="26"/>
      </c>
      <c r="J465" s="364">
        <f t="shared" si="163"/>
      </c>
      <c r="K465" s="366">
        <f t="shared" si="195"/>
      </c>
      <c r="L465" s="367">
        <f t="shared" si="180"/>
      </c>
      <c r="M465" s="364">
        <f t="shared" si="260"/>
      </c>
      <c r="N465" s="368">
        <f t="shared" si="230"/>
      </c>
      <c r="O465" s="368">
        <f t="shared" si="245"/>
      </c>
      <c r="P465" s="368">
        <f t="shared" si="277"/>
      </c>
      <c r="Q465" s="368">
        <f t="shared" si="94"/>
      </c>
      <c r="R465" s="364">
        <f t="shared" si="292"/>
      </c>
      <c r="S465" s="366">
        <f t="shared" si="109"/>
      </c>
      <c r="T465" s="368">
        <f t="shared" si="130"/>
      </c>
      <c r="U465" s="368">
        <f t="shared" si="43"/>
      </c>
      <c r="V465" s="368">
        <f t="shared" si="60"/>
      </c>
      <c r="W465" s="368">
        <f t="shared" si="77"/>
      </c>
      <c r="X465" s="368"/>
      <c r="Y465" s="369"/>
      <c r="Z465" s="362">
        <f>SUM(Z461:Z464)</f>
      </c>
      <c r="AA465" s="362">
        <f>SUM(AA461:AA464)</f>
      </c>
      <c r="AB465" s="362">
        <f>SUM(AB461:AB464)</f>
      </c>
      <c r="AC465" s="362">
        <f>SUM(AC461:AC464)</f>
      </c>
      <c r="AD465" s="362">
        <f>SUM(AD461:AD464)</f>
      </c>
      <c r="AE465" s="362">
        <f>SUM(AE461:AE464)</f>
      </c>
      <c r="AF465" s="362">
        <f>SUM(AF461:AF464)</f>
      </c>
      <c r="AG465" s="362">
        <f>SUM(AG461:AG464)</f>
      </c>
      <c r="AH465" s="362">
        <f>SUM(AH461:AH464)</f>
      </c>
      <c r="AI465" s="420">
        <f>SUM(AI461:AI464)</f>
      </c>
      <c r="AJ465" s="443"/>
      <c r="AK465" s="443"/>
      <c r="AL465" s="443"/>
      <c r="AM465" s="443"/>
      <c r="AN465" s="443"/>
      <c r="AO465" s="443"/>
    </row>
    <row customHeight="true" ht="16.071428571428573" r="466">
      <c r="A466" s="334"/>
      <c r="B466" s="335" t="s">
        <v>208</v>
      </c>
      <c r="C466" s="374" t="s">
        <v>192</v>
      </c>
      <c r="D466" s="377">
        <v>2877.279</v>
      </c>
      <c r="E466" s="359">
        <v>10</v>
      </c>
      <c r="F466" s="342">
        <f t="shared" si="343"/>
      </c>
      <c r="G466" s="359">
        <v>4637.200000000001</v>
      </c>
      <c r="H466" s="428">
        <f t="shared" si="9"/>
      </c>
      <c r="I466" s="340">
        <f t="shared" si="26"/>
      </c>
      <c r="J466" s="341">
        <f t="shared" si="163"/>
      </c>
      <c r="K466" s="343">
        <f t="shared" si="195"/>
      </c>
      <c r="L466" s="344">
        <f t="shared" si="180"/>
      </c>
      <c r="M466" s="341">
        <f t="shared" si="260"/>
      </c>
      <c r="N466" s="345">
        <f t="shared" si="230"/>
      </c>
      <c r="O466" s="345">
        <f t="shared" si="245"/>
      </c>
      <c r="P466" s="345">
        <f t="shared" si="277"/>
      </c>
      <c r="Q466" s="345">
        <f t="shared" si="94"/>
      </c>
      <c r="R466" s="341">
        <f t="shared" si="292"/>
      </c>
      <c r="S466" s="343">
        <f t="shared" si="109"/>
      </c>
      <c r="T466" s="345">
        <f t="shared" si="130"/>
      </c>
      <c r="U466" s="345">
        <f t="shared" si="43"/>
      </c>
      <c r="V466" s="345">
        <f t="shared" si="60"/>
      </c>
      <c r="W466" s="345">
        <f t="shared" si="77"/>
      </c>
      <c r="X466" s="360" t="s">
        <v>181</v>
      </c>
      <c r="Y466" s="347" t="s">
        <v>205</v>
      </c>
      <c r="Z466" s="350">
        <v>238490</v>
      </c>
      <c r="AA466" s="350">
        <v>19695</v>
      </c>
      <c r="AB466" s="350">
        <v>208639</v>
      </c>
      <c r="AC466" s="350">
        <v>1698</v>
      </c>
      <c r="AD466" s="349">
        <v>11</v>
      </c>
      <c r="AE466" s="350">
        <v>26846</v>
      </c>
      <c r="AF466" s="350">
        <v>605</v>
      </c>
      <c r="AG466" s="350">
        <v>269</v>
      </c>
      <c r="AH466" s="350">
        <v>27</v>
      </c>
      <c r="AI466" s="418">
        <v>1</v>
      </c>
      <c r="AJ466" s="443"/>
      <c r="AK466" s="443"/>
      <c r="AL466" s="443"/>
      <c r="AM466" s="443"/>
      <c r="AN466" s="443"/>
      <c r="AO466" s="443"/>
    </row>
    <row customHeight="true" ht="16.071428571428573" r="467">
      <c r="A467" s="334"/>
      <c r="B467" s="335" t="s">
        <v>208</v>
      </c>
      <c r="C467" s="375" t="s">
        <v>194</v>
      </c>
      <c r="D467" s="377">
        <v>3557.6369999999997</v>
      </c>
      <c r="E467" s="359">
        <v>15</v>
      </c>
      <c r="F467" s="342">
        <f t="shared" si="343"/>
      </c>
      <c r="G467" s="359">
        <v>4577.200000000001</v>
      </c>
      <c r="H467" s="428">
        <f t="shared" si="9"/>
      </c>
      <c r="I467" s="340">
        <f t="shared" si="26"/>
      </c>
      <c r="J467" s="341">
        <f t="shared" si="163"/>
      </c>
      <c r="K467" s="343">
        <f t="shared" si="195"/>
      </c>
      <c r="L467" s="344">
        <f t="shared" si="180"/>
      </c>
      <c r="M467" s="341">
        <f t="shared" si="260"/>
      </c>
      <c r="N467" s="345">
        <f t="shared" si="230"/>
      </c>
      <c r="O467" s="345">
        <f t="shared" si="245"/>
      </c>
      <c r="P467" s="345">
        <f t="shared" si="277"/>
      </c>
      <c r="Q467" s="345">
        <f t="shared" si="94"/>
      </c>
      <c r="R467" s="341">
        <f t="shared" si="292"/>
      </c>
      <c r="S467" s="343">
        <f t="shared" si="109"/>
      </c>
      <c r="T467" s="345">
        <f t="shared" si="130"/>
      </c>
      <c r="U467" s="345">
        <f t="shared" si="43"/>
      </c>
      <c r="V467" s="345">
        <f t="shared" si="60"/>
      </c>
      <c r="W467" s="345">
        <f t="shared" si="77"/>
      </c>
      <c r="X467" s="360" t="s">
        <v>181</v>
      </c>
      <c r="Y467" s="347" t="s">
        <v>205</v>
      </c>
      <c r="Z467" s="350">
        <v>304453</v>
      </c>
      <c r="AA467" s="350">
        <v>13124</v>
      </c>
      <c r="AB467" s="350">
        <v>247160</v>
      </c>
      <c r="AC467" s="350">
        <v>1982</v>
      </c>
      <c r="AD467" s="349">
        <v>13</v>
      </c>
      <c r="AE467" s="350">
        <v>37712</v>
      </c>
      <c r="AF467" s="350">
        <v>729</v>
      </c>
      <c r="AG467" s="350">
        <v>259</v>
      </c>
      <c r="AH467" s="350">
        <v>29</v>
      </c>
      <c r="AI467" s="418">
        <v>1</v>
      </c>
      <c r="AJ467" s="443"/>
      <c r="AK467" s="443"/>
      <c r="AL467" s="443"/>
      <c r="AM467" s="443"/>
      <c r="AN467" s="443"/>
      <c r="AO467" s="443"/>
    </row>
    <row customHeight="true" ht="16.071428571428573" r="468">
      <c r="A468" s="334"/>
      <c r="B468" s="335" t="s">
        <v>208</v>
      </c>
      <c r="C468" s="373" t="s">
        <v>196</v>
      </c>
      <c r="D468" s="377">
        <v>3843.806</v>
      </c>
      <c r="E468" s="359">
        <v>9</v>
      </c>
      <c r="F468" s="342">
        <f t="shared" si="343"/>
      </c>
      <c r="G468" s="359">
        <v>3104.600000000002</v>
      </c>
      <c r="H468" s="428">
        <f t="shared" si="9"/>
      </c>
      <c r="I468" s="340">
        <f t="shared" si="26"/>
      </c>
      <c r="J468" s="341">
        <f t="shared" si="163"/>
      </c>
      <c r="K468" s="343">
        <f t="shared" si="195"/>
      </c>
      <c r="L468" s="344">
        <f t="shared" si="180"/>
      </c>
      <c r="M468" s="341">
        <f t="shared" si="260"/>
      </c>
      <c r="N468" s="345">
        <f t="shared" si="230"/>
      </c>
      <c r="O468" s="345">
        <f t="shared" si="245"/>
      </c>
      <c r="P468" s="345">
        <f t="shared" si="277"/>
      </c>
      <c r="Q468" s="345">
        <f t="shared" si="94"/>
      </c>
      <c r="R468" s="341">
        <f t="shared" si="292"/>
      </c>
      <c r="S468" s="343">
        <f t="shared" si="109"/>
      </c>
      <c r="T468" s="345">
        <f t="shared" si="130"/>
      </c>
      <c r="U468" s="345">
        <f t="shared" si="43"/>
      </c>
      <c r="V468" s="345">
        <f t="shared" si="60"/>
      </c>
      <c r="W468" s="345">
        <f t="shared" si="77"/>
      </c>
      <c r="X468" s="360" t="s">
        <v>181</v>
      </c>
      <c r="Y468" s="347" t="s">
        <v>205</v>
      </c>
      <c r="Z468" s="350">
        <v>357391</v>
      </c>
      <c r="AA468" s="350">
        <v>10641</v>
      </c>
      <c r="AB468" s="350">
        <v>274531</v>
      </c>
      <c r="AC468" s="350">
        <v>1869</v>
      </c>
      <c r="AD468" s="350">
        <v>7</v>
      </c>
      <c r="AE468" s="350">
        <v>36677</v>
      </c>
      <c r="AF468" s="350">
        <v>639</v>
      </c>
      <c r="AG468" s="350">
        <v>235</v>
      </c>
      <c r="AH468" s="350">
        <v>23</v>
      </c>
      <c r="AI468" s="418">
        <v>2</v>
      </c>
      <c r="AJ468" s="443"/>
      <c r="AK468" s="443"/>
      <c r="AL468" s="443"/>
      <c r="AM468" s="443"/>
      <c r="AN468" s="443"/>
      <c r="AO468" s="443"/>
    </row>
    <row customHeight="true" ht="16.071428571428573" r="469">
      <c r="A469" s="334"/>
      <c r="B469" s="335" t="s">
        <v>208</v>
      </c>
      <c r="C469" s="373" t="s">
        <v>197</v>
      </c>
      <c r="D469" s="377">
        <v>3391.984</v>
      </c>
      <c r="E469" s="359">
        <v>12</v>
      </c>
      <c r="F469" s="342">
        <f t="shared" si="343"/>
      </c>
      <c r="G469" s="359">
        <v>4824.299999999996</v>
      </c>
      <c r="H469" s="428">
        <f t="shared" si="9"/>
      </c>
      <c r="I469" s="340">
        <f t="shared" si="26"/>
      </c>
      <c r="J469" s="341">
        <f t="shared" si="163"/>
      </c>
      <c r="K469" s="343">
        <f t="shared" si="195"/>
      </c>
      <c r="L469" s="344">
        <f t="shared" si="180"/>
      </c>
      <c r="M469" s="341">
        <f t="shared" si="260"/>
      </c>
      <c r="N469" s="345">
        <f t="shared" si="230"/>
      </c>
      <c r="O469" s="345">
        <f t="shared" si="245"/>
      </c>
      <c r="P469" s="345">
        <f t="shared" si="277"/>
      </c>
      <c r="Q469" s="345">
        <f t="shared" si="94"/>
      </c>
      <c r="R469" s="341">
        <f t="shared" si="292"/>
      </c>
      <c r="S469" s="343">
        <f t="shared" si="109"/>
      </c>
      <c r="T469" s="345">
        <f t="shared" si="130"/>
      </c>
      <c r="U469" s="345">
        <f t="shared" si="43"/>
      </c>
      <c r="V469" s="345">
        <f t="shared" si="60"/>
      </c>
      <c r="W469" s="345">
        <f t="shared" si="77"/>
      </c>
      <c r="X469" s="360" t="s">
        <v>181</v>
      </c>
      <c r="Y469" s="347" t="s">
        <v>205</v>
      </c>
      <c r="Z469" s="350">
        <v>311016</v>
      </c>
      <c r="AA469" s="350">
        <v>9760</v>
      </c>
      <c r="AB469" s="350">
        <v>236050</v>
      </c>
      <c r="AC469" s="350">
        <v>1603</v>
      </c>
      <c r="AD469" s="350">
        <v>9</v>
      </c>
      <c r="AE469" s="350">
        <v>32311</v>
      </c>
      <c r="AF469" s="350">
        <v>587</v>
      </c>
      <c r="AG469" s="350">
        <v>216</v>
      </c>
      <c r="AH469" s="349">
        <v>17</v>
      </c>
      <c r="AI469" s="418">
        <v>2</v>
      </c>
      <c r="AJ469" s="443"/>
      <c r="AK469" s="443"/>
      <c r="AL469" s="443"/>
      <c r="AM469" s="443"/>
      <c r="AN469" s="443"/>
      <c r="AO469" s="443"/>
    </row>
    <row customHeight="true" ht="16.071428571428573" r="470">
      <c r="A470" s="334"/>
      <c r="B470" s="387" t="s">
        <v>187</v>
      </c>
      <c r="C470" s="387"/>
      <c r="D470" s="362">
        <f>SUM(D466:D469)</f>
      </c>
      <c r="E470" s="420">
        <f>SUM(E466:E469)</f>
      </c>
      <c r="F470" s="365">
        <f t="shared" si="343"/>
      </c>
      <c r="G470" s="362">
        <f>SUM(G466:G469)</f>
      </c>
      <c r="H470" s="429">
        <f t="shared" si="9"/>
      </c>
      <c r="I470" s="362">
        <f t="shared" si="26"/>
      </c>
      <c r="J470" s="364">
        <f t="shared" si="163"/>
      </c>
      <c r="K470" s="366">
        <f t="shared" si="195"/>
      </c>
      <c r="L470" s="367">
        <f t="shared" si="180"/>
      </c>
      <c r="M470" s="364">
        <f t="shared" si="260"/>
      </c>
      <c r="N470" s="368">
        <f t="shared" si="230"/>
      </c>
      <c r="O470" s="368">
        <f t="shared" si="245"/>
      </c>
      <c r="P470" s="368">
        <f t="shared" si="277"/>
      </c>
      <c r="Q470" s="368">
        <f t="shared" si="94"/>
      </c>
      <c r="R470" s="364">
        <f t="shared" si="292"/>
      </c>
      <c r="S470" s="366">
        <f t="shared" si="109"/>
      </c>
      <c r="T470" s="368">
        <f t="shared" si="130"/>
      </c>
      <c r="U470" s="368">
        <f t="shared" si="43"/>
      </c>
      <c r="V470" s="368">
        <f t="shared" si="60"/>
      </c>
      <c r="W470" s="368">
        <f t="shared" si="77"/>
      </c>
      <c r="X470" s="368"/>
      <c r="Y470" s="369"/>
      <c r="Z470" s="362">
        <f>SUM(Z466:Z469)</f>
      </c>
      <c r="AA470" s="362">
        <f>SUM(AA466:AA469)</f>
      </c>
      <c r="AB470" s="362">
        <f>SUM(AB466:AB469)</f>
      </c>
      <c r="AC470" s="362">
        <f>SUM(AC466:AC469)</f>
      </c>
      <c r="AD470" s="362">
        <f>SUM(AD466:AD469)</f>
      </c>
      <c r="AE470" s="362">
        <f>SUM(AE466:AE469)</f>
      </c>
      <c r="AF470" s="362">
        <f>SUM(AF466:AF469)</f>
      </c>
      <c r="AG470" s="362">
        <f>SUM(AG466:AG469)</f>
      </c>
      <c r="AH470" s="362">
        <f>SUM(AH466:AH469)</f>
      </c>
      <c r="AI470" s="420">
        <f>SUM(AI466:AI469)</f>
      </c>
      <c r="AJ470" s="443"/>
      <c r="AK470" s="443"/>
      <c r="AL470" s="443"/>
      <c r="AM470" s="443"/>
      <c r="AN470" s="443"/>
      <c r="AO470" s="443"/>
    </row>
    <row customHeight="true" ht="16.071428571428573" r="471">
      <c r="A471" s="334"/>
      <c r="B471" s="335" t="s">
        <v>188</v>
      </c>
      <c r="C471" s="374" t="s">
        <v>198</v>
      </c>
      <c r="D471" s="379">
        <v>3894.34</v>
      </c>
      <c r="E471" s="417">
        <v>10</v>
      </c>
      <c r="F471" s="342">
        <f t="shared" si="343"/>
      </c>
      <c r="G471" s="339">
        <v>2760.7000000000044</v>
      </c>
      <c r="H471" s="428">
        <f t="shared" si="9"/>
      </c>
      <c r="I471" s="340">
        <f t="shared" si="26"/>
      </c>
      <c r="J471" s="341">
        <f t="shared" si="163"/>
      </c>
      <c r="K471" s="343">
        <f t="shared" si="195"/>
      </c>
      <c r="L471" s="382">
        <f t="shared" si="180"/>
      </c>
      <c r="M471" s="383">
        <f t="shared" si="260"/>
      </c>
      <c r="N471" s="384">
        <f t="shared" si="230"/>
      </c>
      <c r="O471" s="384">
        <f t="shared" si="245"/>
      </c>
      <c r="P471" s="384">
        <f t="shared" si="277"/>
      </c>
      <c r="Q471" s="384">
        <f t="shared" si="94"/>
      </c>
      <c r="R471" s="383">
        <f t="shared" si="292"/>
      </c>
      <c r="S471" s="381">
        <f t="shared" si="109"/>
      </c>
      <c r="T471" s="384">
        <f t="shared" si="130"/>
      </c>
      <c r="U471" s="384">
        <f t="shared" si="43"/>
      </c>
      <c r="V471" s="384">
        <f t="shared" si="60"/>
      </c>
      <c r="W471" s="384">
        <f t="shared" si="77"/>
      </c>
      <c r="X471" s="360" t="s">
        <v>181</v>
      </c>
      <c r="Y471" s="347" t="s">
        <v>205</v>
      </c>
      <c r="Z471" s="350">
        <v>384593</v>
      </c>
      <c r="AA471" s="350">
        <v>9828</v>
      </c>
      <c r="AB471" s="350">
        <v>253082</v>
      </c>
      <c r="AC471" s="385">
        <v>2053</v>
      </c>
      <c r="AD471" s="385">
        <v>6</v>
      </c>
      <c r="AE471" s="385">
        <v>36321</v>
      </c>
      <c r="AF471" s="385">
        <v>735</v>
      </c>
      <c r="AG471" s="385">
        <v>285</v>
      </c>
      <c r="AH471" s="385">
        <v>42</v>
      </c>
      <c r="AI471" s="418">
        <v>1</v>
      </c>
      <c r="AJ471" s="443"/>
      <c r="AK471" s="443"/>
      <c r="AL471" s="443"/>
      <c r="AM471" s="443"/>
      <c r="AN471" s="443"/>
      <c r="AO471" s="443"/>
    </row>
    <row customHeight="true" ht="16.071428571428573" r="472">
      <c r="A472" s="334"/>
      <c r="B472" s="335" t="s">
        <v>188</v>
      </c>
      <c r="C472" s="373" t="s">
        <v>199</v>
      </c>
      <c r="D472" s="379">
        <v>3510.9700000000003</v>
      </c>
      <c r="E472" s="417">
        <v>13</v>
      </c>
      <c r="F472" s="342">
        <f t="shared" si="343"/>
      </c>
      <c r="G472" s="339">
        <v>3426.2999999999956</v>
      </c>
      <c r="H472" s="428">
        <f t="shared" si="9"/>
      </c>
      <c r="I472" s="340">
        <f t="shared" si="26"/>
      </c>
      <c r="J472" s="341">
        <f t="shared" si="163"/>
      </c>
      <c r="K472" s="343">
        <f t="shared" si="195"/>
      </c>
      <c r="L472" s="382">
        <f t="shared" si="180"/>
      </c>
      <c r="M472" s="383">
        <f t="shared" si="260"/>
      </c>
      <c r="N472" s="384">
        <f t="shared" si="230"/>
      </c>
      <c r="O472" s="384">
        <f t="shared" si="245"/>
      </c>
      <c r="P472" s="384">
        <f t="shared" si="277"/>
      </c>
      <c r="Q472" s="384">
        <f t="shared" si="94"/>
      </c>
      <c r="R472" s="383">
        <f t="shared" si="292"/>
      </c>
      <c r="S472" s="381">
        <f t="shared" si="109"/>
      </c>
      <c r="T472" s="384">
        <f t="shared" si="130"/>
      </c>
      <c r="U472" s="384">
        <f t="shared" si="43"/>
      </c>
      <c r="V472" s="384">
        <f t="shared" si="60"/>
      </c>
      <c r="W472" s="384">
        <f t="shared" si="77"/>
      </c>
      <c r="X472" s="360" t="s">
        <v>181</v>
      </c>
      <c r="Y472" s="347" t="s">
        <v>205</v>
      </c>
      <c r="Z472" s="350">
        <v>381860</v>
      </c>
      <c r="AA472" s="350">
        <v>9163</v>
      </c>
      <c r="AB472" s="350">
        <v>254840</v>
      </c>
      <c r="AC472" s="385">
        <v>1872</v>
      </c>
      <c r="AD472" s="385">
        <v>13</v>
      </c>
      <c r="AE472" s="385">
        <v>35455</v>
      </c>
      <c r="AF472" s="385">
        <v>664</v>
      </c>
      <c r="AG472" s="385">
        <v>240</v>
      </c>
      <c r="AH472" s="385">
        <v>42</v>
      </c>
      <c r="AI472" s="418">
        <v>0</v>
      </c>
      <c r="AJ472" s="443"/>
      <c r="AK472" s="443"/>
      <c r="AL472" s="443"/>
      <c r="AM472" s="443"/>
      <c r="AN472" s="443"/>
      <c r="AO472" s="443"/>
    </row>
    <row customHeight="true" ht="16.071428571428573" r="473">
      <c r="A473" s="334"/>
      <c r="B473" s="335" t="s">
        <v>188</v>
      </c>
      <c r="C473" s="386" t="s">
        <v>200</v>
      </c>
      <c r="D473" s="377">
        <v>3782.884</v>
      </c>
      <c r="E473" s="359">
        <v>5</v>
      </c>
      <c r="F473" s="342">
        <f t="shared" si="343"/>
      </c>
      <c r="G473" s="359">
        <v>1718.4000000000015</v>
      </c>
      <c r="H473" s="428">
        <f t="shared" si="9"/>
      </c>
      <c r="I473" s="340">
        <f t="shared" si="26"/>
      </c>
      <c r="J473" s="341">
        <f t="shared" si="163"/>
      </c>
      <c r="K473" s="343">
        <f t="shared" si="195"/>
      </c>
      <c r="L473" s="382">
        <f t="shared" si="180"/>
      </c>
      <c r="M473" s="383">
        <f t="shared" si="260"/>
      </c>
      <c r="N473" s="384">
        <f t="shared" si="230"/>
      </c>
      <c r="O473" s="384">
        <f t="shared" si="245"/>
      </c>
      <c r="P473" s="384">
        <f t="shared" si="277"/>
      </c>
      <c r="Q473" s="384">
        <f t="shared" si="94"/>
      </c>
      <c r="R473" s="383">
        <f t="shared" si="292"/>
      </c>
      <c r="S473" s="381">
        <f t="shared" si="109"/>
      </c>
      <c r="T473" s="384">
        <f t="shared" si="130"/>
      </c>
      <c r="U473" s="384">
        <f t="shared" si="43"/>
      </c>
      <c r="V473" s="384">
        <f t="shared" si="60"/>
      </c>
      <c r="W473" s="384">
        <f t="shared" si="77"/>
      </c>
      <c r="X473" s="360" t="s">
        <v>181</v>
      </c>
      <c r="Y473" s="347" t="s">
        <v>205</v>
      </c>
      <c r="Z473" s="350">
        <v>450444</v>
      </c>
      <c r="AA473" s="350">
        <v>9767</v>
      </c>
      <c r="AB473" s="350">
        <v>270030</v>
      </c>
      <c r="AC473" s="350">
        <v>2093</v>
      </c>
      <c r="AD473" s="350">
        <v>5</v>
      </c>
      <c r="AE473" s="350">
        <v>27956</v>
      </c>
      <c r="AF473" s="350">
        <v>715</v>
      </c>
      <c r="AG473" s="350">
        <v>223</v>
      </c>
      <c r="AH473" s="349">
        <v>47</v>
      </c>
      <c r="AI473" s="418">
        <v>0</v>
      </c>
      <c r="AJ473" s="443"/>
      <c r="AK473" s="443"/>
      <c r="AL473" s="443"/>
      <c r="AM473" s="443"/>
      <c r="AN473" s="443"/>
      <c r="AO473" s="443"/>
    </row>
    <row customHeight="true" ht="16.071428571428573" r="474">
      <c r="A474" s="334"/>
      <c r="B474" s="335" t="s">
        <v>188</v>
      </c>
      <c r="C474" s="439" t="s">
        <v>212</v>
      </c>
      <c r="D474" s="440">
        <v>1950.0610000000001</v>
      </c>
      <c r="E474" s="359">
        <v>1</v>
      </c>
      <c r="F474" s="342">
        <f t="shared" si="343"/>
      </c>
      <c r="G474" s="359">
        <v>228</v>
      </c>
      <c r="H474" s="430">
        <f t="shared" si="9"/>
      </c>
      <c r="I474" s="340">
        <f t="shared" si="26"/>
      </c>
      <c r="J474" s="341">
        <f t="shared" si="163"/>
      </c>
      <c r="K474" s="343">
        <f t="shared" si="195"/>
      </c>
      <c r="L474" s="382">
        <f t="shared" si="180"/>
      </c>
      <c r="M474" s="383">
        <f t="shared" si="260"/>
      </c>
      <c r="N474" s="384">
        <f t="shared" si="230"/>
      </c>
      <c r="O474" s="384">
        <f t="shared" si="245"/>
      </c>
      <c r="P474" s="384">
        <f t="shared" si="277"/>
      </c>
      <c r="Q474" s="384">
        <f t="shared" si="94"/>
      </c>
      <c r="R474" s="383">
        <f t="shared" si="292"/>
      </c>
      <c r="S474" s="381">
        <f t="shared" si="109"/>
      </c>
      <c r="T474" s="384">
        <f t="shared" si="130"/>
      </c>
      <c r="U474" s="384">
        <f t="shared" si="43"/>
      </c>
      <c r="V474" s="384">
        <f t="shared" si="60"/>
      </c>
      <c r="W474" s="384">
        <f t="shared" si="77"/>
      </c>
      <c r="X474" s="360" t="s">
        <v>181</v>
      </c>
      <c r="Y474" s="347" t="s">
        <v>205</v>
      </c>
      <c r="Z474" s="350">
        <v>250862</v>
      </c>
      <c r="AA474" s="350">
        <v>6635</v>
      </c>
      <c r="AB474" s="350">
        <v>123797</v>
      </c>
      <c r="AC474" s="350">
        <v>1280</v>
      </c>
      <c r="AD474" s="350">
        <v>1</v>
      </c>
      <c r="AE474" s="350">
        <v>12080</v>
      </c>
      <c r="AF474" s="350">
        <v>374</v>
      </c>
      <c r="AG474" s="350">
        <v>113</v>
      </c>
      <c r="AH474" s="349">
        <v>21</v>
      </c>
      <c r="AI474" s="418">
        <v>0</v>
      </c>
      <c r="AJ474" s="443"/>
      <c r="AK474" s="443"/>
      <c r="AL474" s="443"/>
      <c r="AM474" s="443"/>
      <c r="AN474" s="443"/>
      <c r="AO474" s="443"/>
    </row>
    <row customHeight="true" ht="16.071428571428573" r="475">
      <c r="A475" s="334"/>
      <c r="B475" s="387" t="s">
        <v>187</v>
      </c>
      <c r="C475" s="387"/>
      <c r="D475" s="362">
        <f>SUM(D471:D474)</f>
      </c>
      <c r="E475" s="420">
        <f>SUM(E471:E474)</f>
      </c>
      <c r="F475" s="366">
        <f t="shared" si="343"/>
      </c>
      <c r="G475" s="431">
        <f>SUM(G471:G474)</f>
      </c>
      <c r="H475" s="432">
        <f t="shared" si="9"/>
      </c>
      <c r="I475" s="433">
        <f t="shared" si="26"/>
      </c>
      <c r="J475" s="364">
        <f t="shared" si="163"/>
      </c>
      <c r="K475" s="366">
        <f t="shared" si="195"/>
      </c>
      <c r="L475" s="367">
        <f t="shared" si="180"/>
      </c>
      <c r="M475" s="364">
        <f t="shared" si="260"/>
      </c>
      <c r="N475" s="368">
        <f t="shared" si="230"/>
      </c>
      <c r="O475" s="368">
        <f t="shared" si="245"/>
      </c>
      <c r="P475" s="368">
        <f t="shared" si="277"/>
      </c>
      <c r="Q475" s="368">
        <f t="shared" si="94"/>
      </c>
      <c r="R475" s="364">
        <f t="shared" si="292"/>
      </c>
      <c r="S475" s="366">
        <f t="shared" si="109"/>
      </c>
      <c r="T475" s="368">
        <f t="shared" si="130"/>
      </c>
      <c r="U475" s="368">
        <f t="shared" si="43"/>
      </c>
      <c r="V475" s="368">
        <f t="shared" si="60"/>
      </c>
      <c r="W475" s="368">
        <f t="shared" si="77"/>
      </c>
      <c r="X475" s="368"/>
      <c r="Y475" s="369"/>
      <c r="Z475" s="362">
        <f>SUM(Z471:Z474)</f>
      </c>
      <c r="AA475" s="362">
        <f>SUM(AA471:AA474)</f>
      </c>
      <c r="AB475" s="362">
        <f>SUM(AB471:AB474)</f>
      </c>
      <c r="AC475" s="362">
        <f>SUM(AC471:AC474)</f>
      </c>
      <c r="AD475" s="362">
        <f>SUM(AD471:AD474)</f>
      </c>
      <c r="AE475" s="362">
        <f>SUM(AE471:AE474)</f>
      </c>
      <c r="AF475" s="362">
        <f>SUM(AF471:AF474)</f>
      </c>
      <c r="AG475" s="362">
        <f>SUM(AG471:AG474)</f>
      </c>
      <c r="AH475" s="362">
        <f>SUM(AH471:AH474)</f>
      </c>
      <c r="AI475" s="420">
        <f>SUM(AI471:AI474)</f>
      </c>
      <c r="AJ475" s="443"/>
      <c r="AK475" s="443"/>
      <c r="AL475" s="443"/>
      <c r="AM475" s="443"/>
      <c r="AN475" s="443"/>
      <c r="AO475" s="443"/>
    </row>
    <row customHeight="true" ht="16.071428571428573" r="476">
      <c r="A476" s="334"/>
      <c r="B476" s="388" t="s">
        <v>201</v>
      </c>
      <c r="C476" s="388"/>
      <c r="D476" s="389">
        <f>SUM(D475+D460+D465+D470)</f>
      </c>
      <c r="E476" s="442">
        <f>SUM(E475+E460+E465+E470)</f>
      </c>
      <c r="F476" s="393">
        <f t="shared" si="343"/>
      </c>
      <c r="G476" s="434">
        <f>SUM(G475+G460+G465+G470)</f>
      </c>
      <c r="H476" s="441">
        <f t="shared" si="9"/>
      </c>
      <c r="I476" s="436">
        <f t="shared" si="26"/>
      </c>
      <c r="J476" s="391">
        <f t="shared" si="163"/>
      </c>
      <c r="K476" s="393">
        <f t="shared" si="195"/>
      </c>
      <c r="L476" s="394">
        <f t="shared" si="180"/>
      </c>
      <c r="M476" s="394">
        <f t="shared" si="260"/>
      </c>
      <c r="N476" s="395">
        <f t="shared" si="230"/>
      </c>
      <c r="O476" s="395">
        <f t="shared" si="245"/>
      </c>
      <c r="P476" s="395">
        <f t="shared" si="277"/>
      </c>
      <c r="Q476" s="395">
        <f t="shared" si="94"/>
      </c>
      <c r="R476" s="396">
        <f t="shared" si="292"/>
      </c>
      <c r="S476" s="397">
        <f t="shared" si="109"/>
      </c>
      <c r="T476" s="398">
        <f t="shared" si="130"/>
      </c>
      <c r="U476" s="398">
        <f t="shared" si="43"/>
      </c>
      <c r="V476" s="398">
        <f t="shared" si="60"/>
      </c>
      <c r="W476" s="398">
        <f t="shared" si="77"/>
      </c>
      <c r="X476" s="398"/>
      <c r="Y476" s="399"/>
      <c r="Z476" s="390">
        <f>SUM(Z460+Z475+Z465+Z470)</f>
      </c>
      <c r="AA476" s="390">
        <f>SUM(AA460+AA475+AA465+AA470)</f>
      </c>
      <c r="AB476" s="390">
        <f>SUM(AB460+AB475+AB465+AB470)</f>
      </c>
      <c r="AC476" s="390">
        <f>SUM(AC460+AC475+AC465+AC470)</f>
      </c>
      <c r="AD476" s="390">
        <f>SUM(AD460+AD475+AD465+AD470)</f>
      </c>
      <c r="AE476" s="390">
        <f>SUM(AE460+AE475+AE465+AE470)</f>
      </c>
      <c r="AF476" s="390">
        <f>SUM(AF460+AF475+AF465+AF470)</f>
      </c>
      <c r="AG476" s="390">
        <f>SUM(AG460+AG475+AG465+AG470)</f>
      </c>
      <c r="AH476" s="390">
        <f>SUM(AH460+AH475+AH465+AH470)</f>
      </c>
      <c r="AI476" s="390">
        <f>SUM(AI460+AI475+AI465+AI470)</f>
      </c>
      <c r="AJ476" s="443"/>
      <c r="AK476" s="443"/>
      <c r="AL476" s="443"/>
      <c r="AM476" s="443"/>
      <c r="AN476" s="443"/>
      <c r="AO476" s="443"/>
    </row>
    <row customHeight="true" ht="16.071428571428573" r="477">
      <c r="A477" s="319" t="s">
        <v>145</v>
      </c>
      <c r="B477" s="320" t="s">
        <v>146</v>
      </c>
      <c r="C477" s="321" t="s">
        <v>147</v>
      </c>
      <c r="D477" s="322" t="s">
        <v>148</v>
      </c>
      <c r="E477" s="426" t="s">
        <v>213</v>
      </c>
      <c r="F477" s="427" t="s">
        <v>214</v>
      </c>
      <c r="G477" s="324" t="s">
        <v>150</v>
      </c>
      <c r="H477" s="427" t="s">
        <v>215</v>
      </c>
      <c r="I477" s="324" t="s">
        <v>151</v>
      </c>
      <c r="J477" s="325" t="s">
        <v>152</v>
      </c>
      <c r="K477" s="325" t="s">
        <v>154</v>
      </c>
      <c r="L477" s="326" t="s">
        <v>155</v>
      </c>
      <c r="M477" s="326" t="s">
        <v>156</v>
      </c>
      <c r="N477" s="326" t="s">
        <v>157</v>
      </c>
      <c r="O477" s="326" t="s">
        <v>158</v>
      </c>
      <c r="P477" s="326" t="s">
        <v>159</v>
      </c>
      <c r="Q477" s="326" t="s">
        <v>160</v>
      </c>
      <c r="R477" s="326" t="s">
        <v>161</v>
      </c>
      <c r="S477" s="326" t="s">
        <v>162</v>
      </c>
      <c r="T477" s="327" t="s">
        <v>163</v>
      </c>
      <c r="U477" s="327" t="s">
        <v>164</v>
      </c>
      <c r="V477" s="327" t="s">
        <v>165</v>
      </c>
      <c r="W477" s="327" t="s">
        <v>166</v>
      </c>
      <c r="X477" s="328" t="s">
        <v>167</v>
      </c>
      <c r="Y477" s="328" t="s">
        <v>168</v>
      </c>
      <c r="Z477" s="329" t="s">
        <v>169</v>
      </c>
      <c r="AA477" s="329" t="s">
        <v>170</v>
      </c>
      <c r="AB477" s="329" t="s">
        <v>171</v>
      </c>
      <c r="AC477" s="330" t="s">
        <v>172</v>
      </c>
      <c r="AD477" s="330" t="s">
        <v>173</v>
      </c>
      <c r="AE477" s="331" t="s">
        <v>174</v>
      </c>
      <c r="AF477" s="330" t="s">
        <v>175</v>
      </c>
      <c r="AG477" s="330" t="s">
        <v>176</v>
      </c>
      <c r="AH477" s="332" t="s">
        <v>177</v>
      </c>
      <c r="AI477" s="333" t="s">
        <v>178</v>
      </c>
      <c r="AJ477" s="443"/>
      <c r="AK477" s="443"/>
      <c r="AL477" s="443"/>
      <c r="AM477" s="443"/>
      <c r="AN477" s="443"/>
      <c r="AO477" s="443"/>
    </row>
    <row customHeight="true" ht="16.071428571428573" r="478">
      <c r="A478" s="334">
        <v>46259</v>
      </c>
      <c r="B478" s="335" t="s">
        <v>188</v>
      </c>
      <c r="C478" s="354" t="s">
        <v>180</v>
      </c>
      <c r="D478" s="337">
        <v>4557.070000000001</v>
      </c>
      <c r="E478" s="417">
        <v>6</v>
      </c>
      <c r="F478" s="342">
        <f t="shared" ref="F478:F498" si="344">D478/E478</f>
      </c>
      <c r="G478" s="339">
        <v>1876</v>
      </c>
      <c r="H478" s="428">
        <f t="shared" ref="H478:H498" si="10">AD478</f>
      </c>
      <c r="I478" s="340">
        <f t="shared" ref="I478:I498" si="27">D478/AD478</f>
      </c>
      <c r="J478" s="341">
        <f t="shared" ref="J478:J498" si="164">G478/E478</f>
      </c>
      <c r="K478" s="343">
        <f t="shared" ref="K478:K498" si="196">G478/D478</f>
      </c>
      <c r="L478" s="344">
        <f t="shared" ref="L478:L498" si="181">D478/AB478</f>
      </c>
      <c r="M478" s="341">
        <f t="shared" ref="M478:M498" si="261">D478/AC478</f>
      </c>
      <c r="N478" s="345">
        <f t="shared" ref="N478:N498" si="231">AC478/AB478</f>
      </c>
      <c r="O478" s="345">
        <f t="shared" ref="O478:O498" si="246">AD478/AC478</f>
      </c>
      <c r="P478" s="345">
        <f t="shared" ref="P478:P498" si="278">AA478/Z478</f>
      </c>
      <c r="Q478" s="345">
        <f t="shared" ref="Q478:Q498" si="95">AD478/AA478</f>
      </c>
      <c r="R478" s="341">
        <f t="shared" ref="R478:R498" si="293">D478/Z478*1000</f>
      </c>
      <c r="S478" s="343">
        <f t="shared" ref="S478:S498" si="110">D478/AA478</f>
      </c>
      <c r="T478" s="345">
        <f t="shared" ref="T478:T498" si="131">AE478/AB478</f>
      </c>
      <c r="U478" s="345">
        <f t="shared" ref="U478:U498" si="44">AF478/AB478</f>
      </c>
      <c r="V478" s="345">
        <f t="shared" ref="V478:V498" si="61">AG478/AB478</f>
      </c>
      <c r="W478" s="345">
        <f t="shared" ref="W478:W498" si="78">AH478/AB478</f>
      </c>
      <c r="X478" s="346" t="s">
        <v>181</v>
      </c>
      <c r="Y478" s="347" t="s">
        <v>193</v>
      </c>
      <c r="Z478" s="348">
        <v>239322</v>
      </c>
      <c r="AA478" s="348">
        <v>9505</v>
      </c>
      <c r="AB478" s="348">
        <v>202056</v>
      </c>
      <c r="AC478" s="348">
        <v>1886</v>
      </c>
      <c r="AD478" s="349">
        <v>6</v>
      </c>
      <c r="AE478" s="348">
        <v>46441</v>
      </c>
      <c r="AF478" s="350">
        <v>713</v>
      </c>
      <c r="AG478" s="350">
        <v>267</v>
      </c>
      <c r="AH478" s="350">
        <v>41</v>
      </c>
      <c r="AI478" s="418">
        <v>0</v>
      </c>
      <c r="AJ478" s="443"/>
      <c r="AK478" s="443"/>
      <c r="AL478" s="443"/>
      <c r="AM478" s="443"/>
      <c r="AN478" s="443"/>
      <c r="AO478" s="443"/>
    </row>
    <row customHeight="true" ht="16.071428571428573" r="479">
      <c r="A479" s="334"/>
      <c r="B479" s="335" t="s">
        <v>188</v>
      </c>
      <c r="C479" s="336" t="s">
        <v>183</v>
      </c>
      <c r="D479" s="337">
        <v>5460.250999999999</v>
      </c>
      <c r="E479" s="417">
        <v>21</v>
      </c>
      <c r="F479" s="342">
        <f t="shared" si="344"/>
      </c>
      <c r="G479" s="339">
        <v>6886.4</v>
      </c>
      <c r="H479" s="428">
        <f t="shared" si="10"/>
      </c>
      <c r="I479" s="340">
        <f t="shared" si="27"/>
      </c>
      <c r="J479" s="341">
        <f t="shared" si="164"/>
      </c>
      <c r="K479" s="343">
        <f t="shared" si="196"/>
      </c>
      <c r="L479" s="344">
        <f t="shared" si="181"/>
      </c>
      <c r="M479" s="341">
        <f t="shared" si="261"/>
      </c>
      <c r="N479" s="345">
        <f t="shared" si="231"/>
      </c>
      <c r="O479" s="345">
        <f t="shared" si="246"/>
      </c>
      <c r="P479" s="345">
        <f t="shared" si="278"/>
      </c>
      <c r="Q479" s="345">
        <f t="shared" si="95"/>
      </c>
      <c r="R479" s="341">
        <f t="shared" si="293"/>
      </c>
      <c r="S479" s="343">
        <f t="shared" si="110"/>
      </c>
      <c r="T479" s="345">
        <f t="shared" si="131"/>
      </c>
      <c r="U479" s="345">
        <f t="shared" si="44"/>
      </c>
      <c r="V479" s="345">
        <f t="shared" si="61"/>
      </c>
      <c r="W479" s="345">
        <f t="shared" si="78"/>
      </c>
      <c r="X479" s="360" t="s">
        <v>181</v>
      </c>
      <c r="Y479" s="347" t="s">
        <v>193</v>
      </c>
      <c r="Z479" s="350">
        <v>272063</v>
      </c>
      <c r="AA479" s="348">
        <v>10693</v>
      </c>
      <c r="AB479" s="348">
        <v>219980</v>
      </c>
      <c r="AC479" s="348">
        <v>2340</v>
      </c>
      <c r="AD479" s="350">
        <v>17</v>
      </c>
      <c r="AE479" s="348">
        <v>47538</v>
      </c>
      <c r="AF479" s="350">
        <v>767</v>
      </c>
      <c r="AG479" s="350">
        <v>281</v>
      </c>
      <c r="AH479" s="349">
        <v>31</v>
      </c>
      <c r="AI479" s="418">
        <v>2</v>
      </c>
      <c r="AJ479" s="443"/>
      <c r="AK479" s="443"/>
      <c r="AL479" s="443"/>
      <c r="AM479" s="443"/>
      <c r="AN479" s="443"/>
      <c r="AO479" s="443"/>
    </row>
    <row customHeight="true" ht="16.071428571428573" r="480">
      <c r="A480" s="334"/>
      <c r="B480" s="335" t="s">
        <v>188</v>
      </c>
      <c r="C480" s="351" t="s">
        <v>184</v>
      </c>
      <c r="D480" s="377">
        <v>3018.1460000000006</v>
      </c>
      <c r="E480" s="359">
        <v>8</v>
      </c>
      <c r="F480" s="342">
        <f t="shared" si="344"/>
      </c>
      <c r="G480" s="359">
        <v>2328</v>
      </c>
      <c r="H480" s="428">
        <f t="shared" si="10"/>
      </c>
      <c r="I480" s="340">
        <f t="shared" si="27"/>
      </c>
      <c r="J480" s="341">
        <f t="shared" si="164"/>
      </c>
      <c r="K480" s="343">
        <f t="shared" si="196"/>
      </c>
      <c r="L480" s="344">
        <f t="shared" si="181"/>
      </c>
      <c r="M480" s="341">
        <f t="shared" si="261"/>
      </c>
      <c r="N480" s="345">
        <f t="shared" si="231"/>
      </c>
      <c r="O480" s="345">
        <f t="shared" si="246"/>
      </c>
      <c r="P480" s="345">
        <f t="shared" si="278"/>
      </c>
      <c r="Q480" s="345">
        <f t="shared" si="95"/>
      </c>
      <c r="R480" s="341">
        <f t="shared" si="293"/>
      </c>
      <c r="S480" s="343">
        <f t="shared" si="110"/>
      </c>
      <c r="T480" s="345">
        <f t="shared" si="131"/>
      </c>
      <c r="U480" s="345">
        <f t="shared" si="44"/>
      </c>
      <c r="V480" s="345">
        <f t="shared" si="61"/>
      </c>
      <c r="W480" s="345">
        <f t="shared" si="78"/>
      </c>
      <c r="X480" s="360" t="s">
        <v>181</v>
      </c>
      <c r="Y480" s="347" t="s">
        <v>193</v>
      </c>
      <c r="Z480" s="350">
        <v>233749</v>
      </c>
      <c r="AA480" s="350">
        <v>8202</v>
      </c>
      <c r="AB480" s="350">
        <v>159893</v>
      </c>
      <c r="AC480" s="350">
        <v>1565</v>
      </c>
      <c r="AD480" s="350">
        <v>9</v>
      </c>
      <c r="AE480" s="350">
        <v>25480</v>
      </c>
      <c r="AF480" s="350">
        <v>540</v>
      </c>
      <c r="AG480" s="350">
        <v>147</v>
      </c>
      <c r="AH480" s="350">
        <v>22</v>
      </c>
      <c r="AI480" s="418">
        <v>0</v>
      </c>
      <c r="AJ480" s="443"/>
      <c r="AK480" s="443"/>
      <c r="AL480" s="443"/>
      <c r="AM480" s="443"/>
      <c r="AN480" s="443"/>
      <c r="AO480" s="443"/>
    </row>
    <row customHeight="true" ht="16.071428571428573" r="481">
      <c r="A481" s="334"/>
      <c r="B481" s="335" t="s">
        <v>188</v>
      </c>
      <c r="C481" s="416" t="s">
        <v>185</v>
      </c>
      <c r="D481" s="377">
        <v>3538.561</v>
      </c>
      <c r="E481" s="359">
        <v>3</v>
      </c>
      <c r="F481" s="342">
        <f t="shared" si="344"/>
      </c>
      <c r="G481" s="359">
        <v>1210.300000000001</v>
      </c>
      <c r="H481" s="428">
        <f t="shared" si="10"/>
      </c>
      <c r="I481" s="340">
        <f t="shared" si="27"/>
      </c>
      <c r="J481" s="341">
        <f t="shared" si="164"/>
      </c>
      <c r="K481" s="343">
        <f t="shared" si="196"/>
      </c>
      <c r="L481" s="344">
        <f t="shared" si="181"/>
      </c>
      <c r="M481" s="341">
        <f t="shared" si="261"/>
      </c>
      <c r="N481" s="345">
        <f t="shared" si="231"/>
      </c>
      <c r="O481" s="345">
        <f t="shared" si="246"/>
      </c>
      <c r="P481" s="345">
        <f t="shared" si="278"/>
      </c>
      <c r="Q481" s="345">
        <f t="shared" si="95"/>
      </c>
      <c r="R481" s="341">
        <f t="shared" si="293"/>
      </c>
      <c r="S481" s="343">
        <f t="shared" si="110"/>
      </c>
      <c r="T481" s="345">
        <f t="shared" si="131"/>
      </c>
      <c r="U481" s="345">
        <f t="shared" si="44"/>
      </c>
      <c r="V481" s="345">
        <f t="shared" si="61"/>
      </c>
      <c r="W481" s="345">
        <f t="shared" si="78"/>
      </c>
      <c r="X481" s="360" t="s">
        <v>181</v>
      </c>
      <c r="Y481" s="347" t="s">
        <v>193</v>
      </c>
      <c r="Z481" s="350">
        <v>300397</v>
      </c>
      <c r="AA481" s="350">
        <v>10340</v>
      </c>
      <c r="AB481" s="350">
        <v>230500</v>
      </c>
      <c r="AC481" s="350">
        <v>1814</v>
      </c>
      <c r="AD481" s="350">
        <v>3</v>
      </c>
      <c r="AE481" s="350">
        <v>35174</v>
      </c>
      <c r="AF481" s="350">
        <v>711</v>
      </c>
      <c r="AG481" s="350">
        <v>239</v>
      </c>
      <c r="AH481" s="349">
        <v>30</v>
      </c>
      <c r="AI481" s="418">
        <v>1</v>
      </c>
      <c r="AJ481" s="443"/>
      <c r="AK481" s="443"/>
      <c r="AL481" s="443"/>
      <c r="AM481" s="443"/>
      <c r="AN481" s="443"/>
      <c r="AO481" s="443"/>
    </row>
    <row customHeight="true" ht="16.071428571428573" r="482">
      <c r="A482" s="334"/>
      <c r="B482" s="387" t="s">
        <v>187</v>
      </c>
      <c r="C482" s="387"/>
      <c r="D482" s="362">
        <f>SUM(D478:D481)</f>
      </c>
      <c r="E482" s="437">
        <f>SUM(E478:E481)</f>
      </c>
      <c r="F482" s="365">
        <f t="shared" si="344"/>
      </c>
      <c r="G482" s="362">
        <f>SUM(G478:G481)</f>
      </c>
      <c r="H482" s="429">
        <f t="shared" si="10"/>
      </c>
      <c r="I482" s="362">
        <f t="shared" si="27"/>
      </c>
      <c r="J482" s="364">
        <f t="shared" si="164"/>
      </c>
      <c r="K482" s="366">
        <f t="shared" si="196"/>
      </c>
      <c r="L482" s="367">
        <f t="shared" si="181"/>
      </c>
      <c r="M482" s="364">
        <f t="shared" si="261"/>
      </c>
      <c r="N482" s="368">
        <f t="shared" si="231"/>
      </c>
      <c r="O482" s="368">
        <f t="shared" si="246"/>
      </c>
      <c r="P482" s="368">
        <f t="shared" si="278"/>
      </c>
      <c r="Q482" s="368">
        <f t="shared" si="95"/>
      </c>
      <c r="R482" s="364">
        <f t="shared" si="293"/>
      </c>
      <c r="S482" s="366">
        <f t="shared" si="110"/>
      </c>
      <c r="T482" s="368">
        <f t="shared" si="131"/>
      </c>
      <c r="U482" s="368">
        <f t="shared" si="44"/>
      </c>
      <c r="V482" s="368">
        <f t="shared" si="61"/>
      </c>
      <c r="W482" s="368">
        <f t="shared" si="78"/>
      </c>
      <c r="X482" s="368"/>
      <c r="Y482" s="369"/>
      <c r="Z482" s="362">
        <f>SUM(Z478:Z481)</f>
      </c>
      <c r="AA482" s="362">
        <f>SUM(AA478:AA481)</f>
      </c>
      <c r="AB482" s="362">
        <f>SUM(AB478:AB481)</f>
      </c>
      <c r="AC482" s="362">
        <f>SUM(AC478:AC481)</f>
      </c>
      <c r="AD482" s="362">
        <f>SUM(AD478:AD481)</f>
      </c>
      <c r="AE482" s="362">
        <f>SUM(AE478:AE481)</f>
      </c>
      <c r="AF482" s="362">
        <f>SUM(AF478:AF481)</f>
      </c>
      <c r="AG482" s="362">
        <f>SUM(AG478:AG481)</f>
      </c>
      <c r="AH482" s="362">
        <f>SUM(AH478:AH481)</f>
      </c>
      <c r="AI482" s="362">
        <f>SUM(AI478:AI481)</f>
      </c>
      <c r="AJ482" s="443"/>
      <c r="AK482" s="443"/>
      <c r="AL482" s="443"/>
      <c r="AM482" s="443"/>
      <c r="AN482" s="443"/>
      <c r="AO482" s="443"/>
    </row>
    <row customHeight="true" ht="16.071428571428573" r="483">
      <c r="A483" s="334"/>
      <c r="B483" s="415" t="s">
        <v>179</v>
      </c>
      <c r="C483" s="416" t="s">
        <v>186</v>
      </c>
      <c r="D483" s="371">
        <v>3401.726</v>
      </c>
      <c r="E483" s="417">
        <v>13</v>
      </c>
      <c r="F483" s="342">
        <f t="shared" si="344"/>
      </c>
      <c r="G483" s="339">
        <v>3849.6799999999985</v>
      </c>
      <c r="H483" s="428">
        <f t="shared" si="10"/>
      </c>
      <c r="I483" s="340">
        <f t="shared" si="27"/>
      </c>
      <c r="J483" s="341">
        <f t="shared" si="164"/>
      </c>
      <c r="K483" s="343">
        <f t="shared" si="196"/>
      </c>
      <c r="L483" s="344">
        <f t="shared" si="181"/>
      </c>
      <c r="M483" s="341">
        <f t="shared" si="261"/>
      </c>
      <c r="N483" s="345">
        <f t="shared" si="231"/>
      </c>
      <c r="O483" s="345">
        <f t="shared" si="246"/>
      </c>
      <c r="P483" s="345">
        <f t="shared" si="278"/>
      </c>
      <c r="Q483" s="345">
        <f t="shared" si="95"/>
      </c>
      <c r="R483" s="341">
        <f t="shared" si="293"/>
      </c>
      <c r="S483" s="343">
        <f t="shared" si="110"/>
      </c>
      <c r="T483" s="345">
        <f t="shared" si="131"/>
      </c>
      <c r="U483" s="345">
        <f t="shared" si="44"/>
      </c>
      <c r="V483" s="345">
        <f t="shared" si="61"/>
      </c>
      <c r="W483" s="345">
        <f t="shared" si="78"/>
      </c>
      <c r="X483" s="360" t="s">
        <v>181</v>
      </c>
      <c r="Y483" s="347" t="s">
        <v>193</v>
      </c>
      <c r="Z483" s="348">
        <v>271118</v>
      </c>
      <c r="AA483" s="348">
        <v>11514</v>
      </c>
      <c r="AB483" s="348">
        <v>225162</v>
      </c>
      <c r="AC483" s="350">
        <v>1645</v>
      </c>
      <c r="AD483" s="350">
        <v>11</v>
      </c>
      <c r="AE483" s="348">
        <v>40066</v>
      </c>
      <c r="AF483" s="350">
        <v>623</v>
      </c>
      <c r="AG483" s="350">
        <v>307</v>
      </c>
      <c r="AH483" s="350">
        <v>58</v>
      </c>
      <c r="AI483" s="418">
        <v>1</v>
      </c>
      <c r="AJ483" s="443"/>
      <c r="AK483" s="443"/>
      <c r="AL483" s="443"/>
      <c r="AM483" s="443"/>
      <c r="AN483" s="443"/>
      <c r="AO483" s="443"/>
    </row>
    <row customHeight="true" ht="16.071428571428573" r="484">
      <c r="A484" s="334"/>
      <c r="B484" s="415" t="s">
        <v>179</v>
      </c>
      <c r="C484" s="370" t="s">
        <v>189</v>
      </c>
      <c r="D484" s="371">
        <v>3517.568</v>
      </c>
      <c r="E484" s="419">
        <v>10</v>
      </c>
      <c r="F484" s="342">
        <f t="shared" si="344"/>
      </c>
      <c r="G484" s="359">
        <v>4603.200000000003</v>
      </c>
      <c r="H484" s="428">
        <f t="shared" si="10"/>
      </c>
      <c r="I484" s="340">
        <f t="shared" si="27"/>
      </c>
      <c r="J484" s="341">
        <f t="shared" si="164"/>
      </c>
      <c r="K484" s="343">
        <f t="shared" si="196"/>
      </c>
      <c r="L484" s="344">
        <f t="shared" si="181"/>
      </c>
      <c r="M484" s="341">
        <f t="shared" si="261"/>
      </c>
      <c r="N484" s="345">
        <f t="shared" si="231"/>
      </c>
      <c r="O484" s="345">
        <f t="shared" si="246"/>
      </c>
      <c r="P484" s="345">
        <f t="shared" si="278"/>
      </c>
      <c r="Q484" s="345">
        <f t="shared" si="95"/>
      </c>
      <c r="R484" s="341">
        <f t="shared" si="293"/>
      </c>
      <c r="S484" s="343">
        <f t="shared" si="110"/>
      </c>
      <c r="T484" s="345">
        <f t="shared" si="131"/>
      </c>
      <c r="U484" s="345">
        <f t="shared" si="44"/>
      </c>
      <c r="V484" s="345">
        <f t="shared" si="61"/>
      </c>
      <c r="W484" s="345">
        <f t="shared" si="78"/>
      </c>
      <c r="X484" s="360" t="s">
        <v>181</v>
      </c>
      <c r="Y484" s="347" t="s">
        <v>193</v>
      </c>
      <c r="Z484" s="350">
        <v>283275</v>
      </c>
      <c r="AA484" s="350">
        <v>11852</v>
      </c>
      <c r="AB484" s="350">
        <v>232602</v>
      </c>
      <c r="AC484" s="350">
        <v>1849</v>
      </c>
      <c r="AD484" s="350">
        <v>8</v>
      </c>
      <c r="AE484" s="350">
        <v>39547</v>
      </c>
      <c r="AF484" s="350">
        <v>692</v>
      </c>
      <c r="AG484" s="350">
        <v>307</v>
      </c>
      <c r="AH484" s="350">
        <v>47</v>
      </c>
      <c r="AI484" s="418">
        <v>2</v>
      </c>
      <c r="AJ484" s="443"/>
      <c r="AK484" s="443"/>
      <c r="AL484" s="443"/>
      <c r="AM484" s="443"/>
      <c r="AN484" s="443"/>
      <c r="AO484" s="443"/>
    </row>
    <row customHeight="true" ht="16.071428571428573" r="485">
      <c r="A485" s="334"/>
      <c r="B485" s="415" t="s">
        <v>179</v>
      </c>
      <c r="C485" s="372" t="s">
        <v>190</v>
      </c>
      <c r="D485" s="371">
        <v>3121.0240000000003</v>
      </c>
      <c r="E485" s="419">
        <v>5</v>
      </c>
      <c r="F485" s="342">
        <f t="shared" si="344"/>
      </c>
      <c r="G485" s="359">
        <v>2290.7999999999993</v>
      </c>
      <c r="H485" s="428">
        <f t="shared" si="10"/>
      </c>
      <c r="I485" s="340">
        <f t="shared" si="27"/>
      </c>
      <c r="J485" s="341">
        <f t="shared" si="164"/>
      </c>
      <c r="K485" s="343">
        <f t="shared" si="196"/>
      </c>
      <c r="L485" s="344">
        <f t="shared" si="181"/>
      </c>
      <c r="M485" s="341">
        <f t="shared" si="261"/>
      </c>
      <c r="N485" s="345">
        <f t="shared" si="231"/>
      </c>
      <c r="O485" s="345">
        <f t="shared" si="246"/>
      </c>
      <c r="P485" s="345">
        <f t="shared" si="278"/>
      </c>
      <c r="Q485" s="345">
        <f t="shared" si="95"/>
      </c>
      <c r="R485" s="341">
        <f t="shared" si="293"/>
      </c>
      <c r="S485" s="343">
        <f t="shared" si="110"/>
      </c>
      <c r="T485" s="345">
        <f t="shared" si="131"/>
      </c>
      <c r="U485" s="345">
        <f t="shared" si="44"/>
      </c>
      <c r="V485" s="345">
        <f t="shared" si="61"/>
      </c>
      <c r="W485" s="345">
        <f t="shared" si="78"/>
      </c>
      <c r="X485" s="360" t="s">
        <v>181</v>
      </c>
      <c r="Y485" s="347" t="s">
        <v>193</v>
      </c>
      <c r="Z485" s="350">
        <v>271019</v>
      </c>
      <c r="AA485" s="350">
        <v>9398</v>
      </c>
      <c r="AB485" s="350">
        <v>220462</v>
      </c>
      <c r="AC485" s="350">
        <v>1595</v>
      </c>
      <c r="AD485" s="350">
        <v>4</v>
      </c>
      <c r="AE485" s="350">
        <v>35195</v>
      </c>
      <c r="AF485" s="350">
        <v>644</v>
      </c>
      <c r="AG485" s="350">
        <v>274</v>
      </c>
      <c r="AH485" s="350">
        <v>50</v>
      </c>
      <c r="AI485" s="418">
        <v>2</v>
      </c>
      <c r="AJ485" s="443"/>
      <c r="AK485" s="443"/>
      <c r="AL485" s="443"/>
      <c r="AM485" s="443"/>
      <c r="AN485" s="443"/>
      <c r="AO485" s="443"/>
    </row>
    <row customHeight="true" ht="16.071428571428573" r="486">
      <c r="A486" s="334"/>
      <c r="B486" s="415" t="s">
        <v>179</v>
      </c>
      <c r="C486" s="373" t="s">
        <v>191</v>
      </c>
      <c r="D486" s="377">
        <v>2762.256</v>
      </c>
      <c r="E486" s="359">
        <v>6</v>
      </c>
      <c r="F486" s="342">
        <f t="shared" si="344"/>
      </c>
      <c r="G486" s="359">
        <v>2504</v>
      </c>
      <c r="H486" s="428">
        <f t="shared" si="10"/>
      </c>
      <c r="I486" s="340">
        <f t="shared" si="27"/>
      </c>
      <c r="J486" s="341">
        <f t="shared" si="164"/>
      </c>
      <c r="K486" s="343">
        <f t="shared" si="196"/>
      </c>
      <c r="L486" s="344">
        <f t="shared" si="181"/>
      </c>
      <c r="M486" s="341">
        <f t="shared" si="261"/>
      </c>
      <c r="N486" s="345">
        <f t="shared" si="231"/>
      </c>
      <c r="O486" s="345">
        <f t="shared" si="246"/>
      </c>
      <c r="P486" s="345">
        <f t="shared" si="278"/>
      </c>
      <c r="Q486" s="345">
        <f t="shared" si="95"/>
      </c>
      <c r="R486" s="341">
        <f t="shared" si="293"/>
      </c>
      <c r="S486" s="343">
        <f t="shared" si="110"/>
      </c>
      <c r="T486" s="345">
        <f t="shared" si="131"/>
      </c>
      <c r="U486" s="345">
        <f t="shared" si="44"/>
      </c>
      <c r="V486" s="345">
        <f t="shared" si="61"/>
      </c>
      <c r="W486" s="345">
        <f t="shared" si="78"/>
      </c>
      <c r="X486" s="360" t="s">
        <v>181</v>
      </c>
      <c r="Y486" s="347" t="s">
        <v>193</v>
      </c>
      <c r="Z486" s="350">
        <v>261904</v>
      </c>
      <c r="AA486" s="350">
        <v>6635</v>
      </c>
      <c r="AB486" s="350">
        <v>215247</v>
      </c>
      <c r="AC486" s="350">
        <v>1539</v>
      </c>
      <c r="AD486" s="350">
        <v>6</v>
      </c>
      <c r="AE486" s="350">
        <v>33616</v>
      </c>
      <c r="AF486" s="350">
        <v>600</v>
      </c>
      <c r="AG486" s="350">
        <v>235</v>
      </c>
      <c r="AH486" s="349">
        <v>46</v>
      </c>
      <c r="AI486" s="418">
        <v>0</v>
      </c>
      <c r="AJ486" s="443"/>
      <c r="AK486" s="443"/>
      <c r="AL486" s="443"/>
      <c r="AM486" s="443"/>
      <c r="AN486" s="443"/>
      <c r="AO486" s="443"/>
    </row>
    <row customHeight="true" ht="16.071428571428573" r="487">
      <c r="A487" s="334"/>
      <c r="B487" s="387" t="s">
        <v>187</v>
      </c>
      <c r="C487" s="387"/>
      <c r="D487" s="362">
        <f>SUM(D483:D486)</f>
      </c>
      <c r="E487" s="420">
        <f>SUM(E483:E486)</f>
      </c>
      <c r="F487" s="365">
        <f t="shared" si="344"/>
      </c>
      <c r="G487" s="362">
        <f>SUM(G483:G486)</f>
      </c>
      <c r="H487" s="429">
        <f t="shared" si="10"/>
      </c>
      <c r="I487" s="362">
        <f t="shared" si="27"/>
      </c>
      <c r="J487" s="364">
        <f t="shared" si="164"/>
      </c>
      <c r="K487" s="366">
        <f t="shared" si="196"/>
      </c>
      <c r="L487" s="367">
        <f t="shared" si="181"/>
      </c>
      <c r="M487" s="364">
        <f t="shared" si="261"/>
      </c>
      <c r="N487" s="368">
        <f t="shared" si="231"/>
      </c>
      <c r="O487" s="368">
        <f t="shared" si="246"/>
      </c>
      <c r="P487" s="368">
        <f t="shared" si="278"/>
      </c>
      <c r="Q487" s="368">
        <f t="shared" si="95"/>
      </c>
      <c r="R487" s="364">
        <f t="shared" si="293"/>
      </c>
      <c r="S487" s="366">
        <f t="shared" si="110"/>
      </c>
      <c r="T487" s="368">
        <f t="shared" si="131"/>
      </c>
      <c r="U487" s="368">
        <f t="shared" si="44"/>
      </c>
      <c r="V487" s="368">
        <f t="shared" si="61"/>
      </c>
      <c r="W487" s="368">
        <f t="shared" si="78"/>
      </c>
      <c r="X487" s="368"/>
      <c r="Y487" s="369"/>
      <c r="Z487" s="362">
        <f>SUM(Z483:Z486)</f>
      </c>
      <c r="AA487" s="362">
        <f>SUM(AA483:AA486)</f>
      </c>
      <c r="AB487" s="362">
        <f>SUM(AB483:AB486)</f>
      </c>
      <c r="AC487" s="362">
        <f>SUM(AC483:AC486)</f>
      </c>
      <c r="AD487" s="362">
        <f>SUM(AD483:AD486)</f>
      </c>
      <c r="AE487" s="362">
        <f>SUM(AE483:AE486)</f>
      </c>
      <c r="AF487" s="362">
        <f>SUM(AF483:AF486)</f>
      </c>
      <c r="AG487" s="362">
        <f>SUM(AG483:AG486)</f>
      </c>
      <c r="AH487" s="362">
        <f>SUM(AH483:AH486)</f>
      </c>
      <c r="AI487" s="420">
        <f>SUM(AI483:AI486)</f>
      </c>
      <c r="AJ487" s="443"/>
      <c r="AK487" s="443"/>
      <c r="AL487" s="443"/>
      <c r="AM487" s="443"/>
      <c r="AN487" s="443"/>
      <c r="AO487" s="443"/>
    </row>
    <row customHeight="true" ht="16.071428571428573" r="488">
      <c r="A488" s="334"/>
      <c r="B488" s="335" t="s">
        <v>203</v>
      </c>
      <c r="C488" s="374" t="s">
        <v>192</v>
      </c>
      <c r="D488" s="377">
        <v>3037.331</v>
      </c>
      <c r="E488" s="359">
        <v>11</v>
      </c>
      <c r="F488" s="342">
        <f t="shared" si="344"/>
      </c>
      <c r="G488" s="359">
        <v>4148</v>
      </c>
      <c r="H488" s="428">
        <f t="shared" si="10"/>
      </c>
      <c r="I488" s="340">
        <f t="shared" si="27"/>
      </c>
      <c r="J488" s="341">
        <f t="shared" si="164"/>
      </c>
      <c r="K488" s="343">
        <f t="shared" si="196"/>
      </c>
      <c r="L488" s="344">
        <f t="shared" si="181"/>
      </c>
      <c r="M488" s="341">
        <f t="shared" si="261"/>
      </c>
      <c r="N488" s="345">
        <f t="shared" si="231"/>
      </c>
      <c r="O488" s="345">
        <f t="shared" si="246"/>
      </c>
      <c r="P488" s="345">
        <f t="shared" si="278"/>
      </c>
      <c r="Q488" s="345">
        <f t="shared" si="95"/>
      </c>
      <c r="R488" s="341">
        <f t="shared" si="293"/>
      </c>
      <c r="S488" s="343">
        <f t="shared" si="110"/>
      </c>
      <c r="T488" s="345">
        <f t="shared" si="131"/>
      </c>
      <c r="U488" s="345">
        <f t="shared" si="44"/>
      </c>
      <c r="V488" s="345">
        <f t="shared" si="61"/>
      </c>
      <c r="W488" s="345">
        <f t="shared" si="78"/>
      </c>
      <c r="X488" s="360" t="s">
        <v>181</v>
      </c>
      <c r="Y488" s="347" t="s">
        <v>205</v>
      </c>
      <c r="Z488" s="350">
        <v>325591</v>
      </c>
      <c r="AA488" s="350">
        <v>6860</v>
      </c>
      <c r="AB488" s="350">
        <v>196640</v>
      </c>
      <c r="AC488" s="350">
        <v>1787</v>
      </c>
      <c r="AD488" s="349">
        <v>11</v>
      </c>
      <c r="AE488" s="350">
        <v>26282</v>
      </c>
      <c r="AF488" s="350">
        <v>476</v>
      </c>
      <c r="AG488" s="350">
        <v>162</v>
      </c>
      <c r="AH488" s="350">
        <v>28</v>
      </c>
      <c r="AI488" s="418">
        <v>0</v>
      </c>
      <c r="AJ488" s="443"/>
      <c r="AK488" s="443"/>
      <c r="AL488" s="443"/>
      <c r="AM488" s="443"/>
      <c r="AN488" s="443"/>
      <c r="AO488" s="443"/>
    </row>
    <row customHeight="true" ht="16.071428571428573" r="489">
      <c r="A489" s="334"/>
      <c r="B489" s="335" t="s">
        <v>203</v>
      </c>
      <c r="C489" s="375" t="s">
        <v>194</v>
      </c>
      <c r="D489" s="377">
        <v>2190.686</v>
      </c>
      <c r="E489" s="359">
        <v>3</v>
      </c>
      <c r="F489" s="342">
        <f t="shared" si="344"/>
      </c>
      <c r="G489" s="359">
        <v>652</v>
      </c>
      <c r="H489" s="428">
        <f t="shared" si="10"/>
      </c>
      <c r="I489" s="340">
        <f t="shared" si="27"/>
      </c>
      <c r="J489" s="341">
        <f t="shared" si="164"/>
      </c>
      <c r="K489" s="343">
        <f t="shared" si="196"/>
      </c>
      <c r="L489" s="344">
        <f t="shared" si="181"/>
      </c>
      <c r="M489" s="341">
        <f t="shared" si="261"/>
      </c>
      <c r="N489" s="345">
        <f t="shared" si="231"/>
      </c>
      <c r="O489" s="345">
        <f t="shared" si="246"/>
      </c>
      <c r="P489" s="345">
        <f t="shared" si="278"/>
      </c>
      <c r="Q489" s="345">
        <f t="shared" si="95"/>
      </c>
      <c r="R489" s="341">
        <f t="shared" si="293"/>
      </c>
      <c r="S489" s="343">
        <f t="shared" si="110"/>
      </c>
      <c r="T489" s="345">
        <f t="shared" si="131"/>
      </c>
      <c r="U489" s="345">
        <f t="shared" si="44"/>
      </c>
      <c r="V489" s="345">
        <f t="shared" si="61"/>
      </c>
      <c r="W489" s="345">
        <f t="shared" si="78"/>
      </c>
      <c r="X489" s="360" t="s">
        <v>181</v>
      </c>
      <c r="Y489" s="347" t="s">
        <v>205</v>
      </c>
      <c r="Z489" s="350">
        <v>271878</v>
      </c>
      <c r="AA489" s="350">
        <v>5013</v>
      </c>
      <c r="AB489" s="350">
        <v>139113</v>
      </c>
      <c r="AC489" s="350">
        <v>1244</v>
      </c>
      <c r="AD489" s="349">
        <v>3</v>
      </c>
      <c r="AE489" s="350">
        <v>15213</v>
      </c>
      <c r="AF489" s="350">
        <v>261</v>
      </c>
      <c r="AG489" s="350">
        <v>89</v>
      </c>
      <c r="AH489" s="350">
        <v>13</v>
      </c>
      <c r="AI489" s="418">
        <v>0</v>
      </c>
      <c r="AJ489" s="443"/>
      <c r="AK489" s="443"/>
      <c r="AL489" s="443"/>
      <c r="AM489" s="443"/>
      <c r="AN489" s="443"/>
      <c r="AO489" s="443"/>
    </row>
    <row customHeight="true" ht="16.071428571428573" r="490">
      <c r="A490" s="334"/>
      <c r="B490" s="335" t="s">
        <v>203</v>
      </c>
      <c r="C490" s="373" t="s">
        <v>196</v>
      </c>
      <c r="D490" s="377">
        <v>2827.506</v>
      </c>
      <c r="E490" s="359">
        <v>8</v>
      </c>
      <c r="F490" s="342">
        <f t="shared" si="344"/>
      </c>
      <c r="G490" s="359">
        <v>2310.7999999999993</v>
      </c>
      <c r="H490" s="428">
        <f t="shared" si="10"/>
      </c>
      <c r="I490" s="340">
        <f t="shared" si="27"/>
      </c>
      <c r="J490" s="341">
        <f t="shared" si="164"/>
      </c>
      <c r="K490" s="343">
        <f t="shared" si="196"/>
      </c>
      <c r="L490" s="344">
        <f t="shared" si="181"/>
      </c>
      <c r="M490" s="341">
        <f t="shared" si="261"/>
      </c>
      <c r="N490" s="345">
        <f t="shared" si="231"/>
      </c>
      <c r="O490" s="345">
        <f t="shared" si="246"/>
      </c>
      <c r="P490" s="345">
        <f t="shared" si="278"/>
      </c>
      <c r="Q490" s="345">
        <f t="shared" si="95"/>
      </c>
      <c r="R490" s="341">
        <f t="shared" si="293"/>
      </c>
      <c r="S490" s="343">
        <f t="shared" si="110"/>
      </c>
      <c r="T490" s="345">
        <f t="shared" si="131"/>
      </c>
      <c r="U490" s="345">
        <f t="shared" si="44"/>
      </c>
      <c r="V490" s="345">
        <f t="shared" si="61"/>
      </c>
      <c r="W490" s="345">
        <f t="shared" si="78"/>
      </c>
      <c r="X490" s="360" t="s">
        <v>181</v>
      </c>
      <c r="Y490" s="347" t="s">
        <v>205</v>
      </c>
      <c r="Z490" s="350">
        <v>328062</v>
      </c>
      <c r="AA490" s="350">
        <v>5306</v>
      </c>
      <c r="AB490" s="350">
        <v>150650</v>
      </c>
      <c r="AC490" s="350">
        <v>1497</v>
      </c>
      <c r="AD490" s="350">
        <v>5</v>
      </c>
      <c r="AE490" s="350">
        <v>23063</v>
      </c>
      <c r="AF490" s="350">
        <v>370</v>
      </c>
      <c r="AG490" s="350">
        <v>145</v>
      </c>
      <c r="AH490" s="350">
        <v>20</v>
      </c>
      <c r="AI490" s="418">
        <v>1</v>
      </c>
      <c r="AJ490" s="443"/>
      <c r="AK490" s="443"/>
      <c r="AL490" s="443"/>
      <c r="AM490" s="443"/>
      <c r="AN490" s="443"/>
      <c r="AO490" s="443"/>
    </row>
    <row customHeight="true" ht="16.071428571428573" r="491">
      <c r="A491" s="334"/>
      <c r="B491" s="335" t="s">
        <v>203</v>
      </c>
      <c r="C491" s="373" t="s">
        <v>197</v>
      </c>
      <c r="D491" s="377">
        <v>3203.985</v>
      </c>
      <c r="E491" s="359">
        <v>3</v>
      </c>
      <c r="F491" s="342">
        <f t="shared" si="344"/>
      </c>
      <c r="G491" s="359">
        <v>620</v>
      </c>
      <c r="H491" s="428">
        <f t="shared" si="10"/>
      </c>
      <c r="I491" s="340">
        <f t="shared" si="27"/>
      </c>
      <c r="J491" s="341">
        <f t="shared" si="164"/>
      </c>
      <c r="K491" s="343">
        <f t="shared" si="196"/>
      </c>
      <c r="L491" s="344">
        <f t="shared" si="181"/>
      </c>
      <c r="M491" s="341">
        <f t="shared" si="261"/>
      </c>
      <c r="N491" s="345">
        <f t="shared" si="231"/>
      </c>
      <c r="O491" s="345">
        <f t="shared" si="246"/>
      </c>
      <c r="P491" s="345">
        <f t="shared" si="278"/>
      </c>
      <c r="Q491" s="345">
        <f t="shared" si="95"/>
      </c>
      <c r="R491" s="341">
        <f t="shared" si="293"/>
      </c>
      <c r="S491" s="343">
        <f t="shared" si="110"/>
      </c>
      <c r="T491" s="345">
        <f t="shared" si="131"/>
      </c>
      <c r="U491" s="345">
        <f t="shared" si="44"/>
      </c>
      <c r="V491" s="345">
        <f t="shared" si="61"/>
      </c>
      <c r="W491" s="345">
        <f t="shared" si="78"/>
      </c>
      <c r="X491" s="360" t="s">
        <v>181</v>
      </c>
      <c r="Y491" s="347" t="s">
        <v>205</v>
      </c>
      <c r="Z491" s="350">
        <v>317485</v>
      </c>
      <c r="AA491" s="350">
        <v>6031</v>
      </c>
      <c r="AB491" s="350">
        <v>209499</v>
      </c>
      <c r="AC491" s="350">
        <v>1709</v>
      </c>
      <c r="AD491" s="350">
        <v>4</v>
      </c>
      <c r="AE491" s="350">
        <v>32657</v>
      </c>
      <c r="AF491" s="350">
        <v>529</v>
      </c>
      <c r="AG491" s="350">
        <v>235</v>
      </c>
      <c r="AH491" s="349">
        <v>22</v>
      </c>
      <c r="AI491" s="418">
        <v>0</v>
      </c>
      <c r="AJ491" s="443"/>
      <c r="AK491" s="443"/>
      <c r="AL491" s="443"/>
      <c r="AM491" s="443"/>
      <c r="AN491" s="443"/>
      <c r="AO491" s="443"/>
    </row>
    <row customHeight="true" ht="16.071428571428573" r="492">
      <c r="A492" s="334"/>
      <c r="B492" s="387" t="s">
        <v>187</v>
      </c>
      <c r="C492" s="387"/>
      <c r="D492" s="362">
        <f>SUM(D488:D491)</f>
      </c>
      <c r="E492" s="420">
        <f>SUM(E488:E491)</f>
      </c>
      <c r="F492" s="365">
        <f t="shared" si="344"/>
      </c>
      <c r="G492" s="362">
        <f>SUM(G488:G491)</f>
      </c>
      <c r="H492" s="429">
        <f t="shared" si="10"/>
      </c>
      <c r="I492" s="362">
        <f t="shared" si="27"/>
      </c>
      <c r="J492" s="364">
        <f t="shared" si="164"/>
      </c>
      <c r="K492" s="366">
        <f t="shared" si="196"/>
      </c>
      <c r="L492" s="367">
        <f t="shared" si="181"/>
      </c>
      <c r="M492" s="364">
        <f t="shared" si="261"/>
      </c>
      <c r="N492" s="368">
        <f t="shared" si="231"/>
      </c>
      <c r="O492" s="368">
        <f t="shared" si="246"/>
      </c>
      <c r="P492" s="368">
        <f t="shared" si="278"/>
      </c>
      <c r="Q492" s="368">
        <f t="shared" si="95"/>
      </c>
      <c r="R492" s="364">
        <f t="shared" si="293"/>
      </c>
      <c r="S492" s="366">
        <f t="shared" si="110"/>
      </c>
      <c r="T492" s="368">
        <f t="shared" si="131"/>
      </c>
      <c r="U492" s="368">
        <f t="shared" si="44"/>
      </c>
      <c r="V492" s="368">
        <f t="shared" si="61"/>
      </c>
      <c r="W492" s="368">
        <f t="shared" si="78"/>
      </c>
      <c r="X492" s="368"/>
      <c r="Y492" s="369"/>
      <c r="Z492" s="362">
        <f>SUM(Z488:Z491)</f>
      </c>
      <c r="AA492" s="362">
        <f>SUM(AA488:AA491)</f>
      </c>
      <c r="AB492" s="362">
        <f>SUM(AB488:AB491)</f>
      </c>
      <c r="AC492" s="362">
        <f>SUM(AC488:AC491)</f>
      </c>
      <c r="AD492" s="362">
        <f>SUM(AD488:AD491)</f>
      </c>
      <c r="AE492" s="362">
        <f>SUM(AE488:AE491)</f>
      </c>
      <c r="AF492" s="362">
        <f>SUM(AF488:AF491)</f>
      </c>
      <c r="AG492" s="362">
        <f>SUM(AG488:AG491)</f>
      </c>
      <c r="AH492" s="362">
        <f>SUM(AH488:AH491)</f>
      </c>
      <c r="AI492" s="420">
        <f>SUM(AI488:AI491)</f>
      </c>
      <c r="AJ492" s="443"/>
      <c r="AK492" s="443"/>
      <c r="AL492" s="443"/>
      <c r="AM492" s="443"/>
      <c r="AN492" s="443"/>
      <c r="AO492" s="443"/>
    </row>
    <row customHeight="true" ht="16.071428571428573" r="493">
      <c r="A493" s="334"/>
      <c r="B493" s="335" t="s">
        <v>208</v>
      </c>
      <c r="C493" s="374" t="s">
        <v>198</v>
      </c>
      <c r="D493" s="379">
        <v>2622.188</v>
      </c>
      <c r="E493" s="417">
        <v>6</v>
      </c>
      <c r="F493" s="342">
        <f t="shared" si="344"/>
      </c>
      <c r="G493" s="339">
        <v>1957.199999999997</v>
      </c>
      <c r="H493" s="428">
        <f t="shared" si="10"/>
      </c>
      <c r="I493" s="340">
        <f t="shared" si="27"/>
      </c>
      <c r="J493" s="341">
        <f t="shared" si="164"/>
      </c>
      <c r="K493" s="343">
        <f t="shared" si="196"/>
      </c>
      <c r="L493" s="382">
        <f t="shared" si="181"/>
      </c>
      <c r="M493" s="383">
        <f t="shared" si="261"/>
      </c>
      <c r="N493" s="384">
        <f t="shared" si="231"/>
      </c>
      <c r="O493" s="384">
        <f t="shared" si="246"/>
      </c>
      <c r="P493" s="384">
        <f t="shared" si="278"/>
      </c>
      <c r="Q493" s="384">
        <f t="shared" si="95"/>
      </c>
      <c r="R493" s="383">
        <f t="shared" si="293"/>
      </c>
      <c r="S493" s="381">
        <f t="shared" si="110"/>
      </c>
      <c r="T493" s="384">
        <f t="shared" si="131"/>
      </c>
      <c r="U493" s="384">
        <f t="shared" si="44"/>
      </c>
      <c r="V493" s="384">
        <f t="shared" si="61"/>
      </c>
      <c r="W493" s="384">
        <f t="shared" si="78"/>
      </c>
      <c r="X493" s="360" t="s">
        <v>181</v>
      </c>
      <c r="Y493" s="347" t="s">
        <v>205</v>
      </c>
      <c r="Z493" s="350">
        <v>277685</v>
      </c>
      <c r="AA493" s="350">
        <v>7707</v>
      </c>
      <c r="AB493" s="350">
        <v>209658</v>
      </c>
      <c r="AC493" s="385">
        <v>1604</v>
      </c>
      <c r="AD493" s="385">
        <v>5</v>
      </c>
      <c r="AE493" s="385">
        <v>32621</v>
      </c>
      <c r="AF493" s="385">
        <v>561</v>
      </c>
      <c r="AG493" s="385">
        <v>244</v>
      </c>
      <c r="AH493" s="385">
        <v>29</v>
      </c>
      <c r="AI493" s="418">
        <v>1</v>
      </c>
      <c r="AJ493" s="443"/>
      <c r="AK493" s="443"/>
      <c r="AL493" s="443"/>
      <c r="AM493" s="443"/>
      <c r="AN493" s="443"/>
      <c r="AO493" s="443"/>
    </row>
    <row customHeight="true" ht="16.071428571428573" r="494">
      <c r="A494" s="334"/>
      <c r="B494" s="335" t="s">
        <v>208</v>
      </c>
      <c r="C494" s="373" t="s">
        <v>199</v>
      </c>
      <c r="D494" s="379">
        <v>981.195</v>
      </c>
      <c r="E494" s="417">
        <v>3</v>
      </c>
      <c r="F494" s="342">
        <f t="shared" si="344"/>
      </c>
      <c r="G494" s="339">
        <v>1884</v>
      </c>
      <c r="H494" s="428">
        <f t="shared" si="10"/>
      </c>
      <c r="I494" s="340">
        <f t="shared" si="27"/>
      </c>
      <c r="J494" s="341">
        <f t="shared" si="164"/>
      </c>
      <c r="K494" s="343">
        <f t="shared" si="196"/>
      </c>
      <c r="L494" s="382">
        <f t="shared" si="181"/>
      </c>
      <c r="M494" s="383">
        <f t="shared" si="261"/>
      </c>
      <c r="N494" s="384">
        <f t="shared" si="231"/>
      </c>
      <c r="O494" s="384">
        <f t="shared" si="246"/>
      </c>
      <c r="P494" s="384">
        <f t="shared" si="278"/>
      </c>
      <c r="Q494" s="384">
        <f t="shared" si="95"/>
      </c>
      <c r="R494" s="383">
        <f t="shared" si="293"/>
      </c>
      <c r="S494" s="381">
        <f t="shared" si="110"/>
      </c>
      <c r="T494" s="384">
        <f t="shared" si="131"/>
      </c>
      <c r="U494" s="384">
        <f t="shared" si="44"/>
      </c>
      <c r="V494" s="384">
        <f t="shared" si="61"/>
      </c>
      <c r="W494" s="384">
        <f t="shared" si="78"/>
      </c>
      <c r="X494" s="360" t="s">
        <v>181</v>
      </c>
      <c r="Y494" s="347" t="s">
        <v>205</v>
      </c>
      <c r="Z494" s="350">
        <v>101446</v>
      </c>
      <c r="AA494" s="350">
        <v>3816</v>
      </c>
      <c r="AB494" s="350">
        <v>60667</v>
      </c>
      <c r="AC494" s="385">
        <v>573</v>
      </c>
      <c r="AD494" s="385">
        <v>3</v>
      </c>
      <c r="AE494" s="385">
        <v>9754</v>
      </c>
      <c r="AF494" s="385">
        <v>264</v>
      </c>
      <c r="AG494" s="385">
        <v>62</v>
      </c>
      <c r="AH494" s="385">
        <v>12</v>
      </c>
      <c r="AI494" s="418">
        <v>0</v>
      </c>
      <c r="AJ494" s="443"/>
      <c r="AK494" s="443"/>
      <c r="AL494" s="443"/>
      <c r="AM494" s="443"/>
      <c r="AN494" s="443"/>
      <c r="AO494" s="443"/>
    </row>
    <row customHeight="true" ht="16.071428571428573" r="495">
      <c r="A495" s="334"/>
      <c r="B495" s="335" t="s">
        <v>208</v>
      </c>
      <c r="C495" s="386" t="s">
        <v>200</v>
      </c>
      <c r="D495" s="377">
        <v>786.125</v>
      </c>
      <c r="E495" s="359">
        <v>6</v>
      </c>
      <c r="F495" s="342">
        <f t="shared" si="344"/>
      </c>
      <c r="G495" s="359">
        <v>1140</v>
      </c>
      <c r="H495" s="428">
        <f t="shared" si="10"/>
      </c>
      <c r="I495" s="340">
        <f t="shared" si="27"/>
      </c>
      <c r="J495" s="341">
        <f t="shared" si="164"/>
      </c>
      <c r="K495" s="343">
        <f t="shared" si="196"/>
      </c>
      <c r="L495" s="382">
        <f t="shared" si="181"/>
      </c>
      <c r="M495" s="383">
        <f t="shared" si="261"/>
      </c>
      <c r="N495" s="384">
        <f t="shared" si="231"/>
      </c>
      <c r="O495" s="384">
        <f t="shared" si="246"/>
      </c>
      <c r="P495" s="384">
        <f t="shared" si="278"/>
      </c>
      <c r="Q495" s="384">
        <f t="shared" si="95"/>
      </c>
      <c r="R495" s="383">
        <f t="shared" si="293"/>
      </c>
      <c r="S495" s="381">
        <f t="shared" si="110"/>
      </c>
      <c r="T495" s="384">
        <f t="shared" si="131"/>
      </c>
      <c r="U495" s="384">
        <f t="shared" si="44"/>
      </c>
      <c r="V495" s="384">
        <f t="shared" si="61"/>
      </c>
      <c r="W495" s="384">
        <f t="shared" si="78"/>
      </c>
      <c r="X495" s="360" t="s">
        <v>181</v>
      </c>
      <c r="Y495" s="347" t="s">
        <v>205</v>
      </c>
      <c r="Z495" s="350">
        <v>80632</v>
      </c>
      <c r="AA495" s="350">
        <v>2385</v>
      </c>
      <c r="AB495" s="350">
        <v>51693</v>
      </c>
      <c r="AC495" s="350">
        <v>503</v>
      </c>
      <c r="AD495" s="350">
        <v>6</v>
      </c>
      <c r="AE495" s="350">
        <v>6971</v>
      </c>
      <c r="AF495" s="350">
        <v>140</v>
      </c>
      <c r="AG495" s="350">
        <v>48</v>
      </c>
      <c r="AH495" s="349">
        <v>14</v>
      </c>
      <c r="AI495" s="418">
        <v>0</v>
      </c>
      <c r="AJ495" s="443"/>
      <c r="AK495" s="443"/>
      <c r="AL495" s="443"/>
      <c r="AM495" s="443"/>
      <c r="AN495" s="443"/>
      <c r="AO495" s="443"/>
    </row>
    <row customHeight="true" ht="16.071428571428573" r="496">
      <c r="A496" s="334"/>
      <c r="B496" s="335" t="s">
        <v>208</v>
      </c>
      <c r="C496" s="439" t="s">
        <v>212</v>
      </c>
      <c r="D496" s="440">
        <v>782.277</v>
      </c>
      <c r="E496" s="359">
        <v>1</v>
      </c>
      <c r="F496" s="342">
        <f t="shared" si="344"/>
      </c>
      <c r="G496" s="359">
        <v>456</v>
      </c>
      <c r="H496" s="430">
        <f t="shared" si="10"/>
      </c>
      <c r="I496" s="340">
        <f t="shared" si="27"/>
      </c>
      <c r="J496" s="341">
        <f t="shared" si="164"/>
      </c>
      <c r="K496" s="343">
        <f t="shared" si="196"/>
      </c>
      <c r="L496" s="382">
        <f t="shared" si="181"/>
      </c>
      <c r="M496" s="383">
        <f t="shared" si="261"/>
      </c>
      <c r="N496" s="384">
        <f t="shared" si="231"/>
      </c>
      <c r="O496" s="384">
        <f t="shared" si="246"/>
      </c>
      <c r="P496" s="384">
        <f t="shared" si="278"/>
      </c>
      <c r="Q496" s="384">
        <f t="shared" si="95"/>
      </c>
      <c r="R496" s="383">
        <f t="shared" si="293"/>
      </c>
      <c r="S496" s="381">
        <f t="shared" si="110"/>
      </c>
      <c r="T496" s="384">
        <f t="shared" si="131"/>
      </c>
      <c r="U496" s="384">
        <f t="shared" si="44"/>
      </c>
      <c r="V496" s="384">
        <f t="shared" si="61"/>
      </c>
      <c r="W496" s="384">
        <f t="shared" si="78"/>
      </c>
      <c r="X496" s="360" t="s">
        <v>181</v>
      </c>
      <c r="Y496" s="347" t="s">
        <v>205</v>
      </c>
      <c r="Z496" s="350">
        <v>90414</v>
      </c>
      <c r="AA496" s="350">
        <v>2588</v>
      </c>
      <c r="AB496" s="350">
        <v>49637</v>
      </c>
      <c r="AC496" s="350">
        <v>415</v>
      </c>
      <c r="AD496" s="350">
        <v>1</v>
      </c>
      <c r="AE496" s="350">
        <v>5206</v>
      </c>
      <c r="AF496" s="350">
        <v>127</v>
      </c>
      <c r="AG496" s="350">
        <v>26</v>
      </c>
      <c r="AH496" s="349">
        <v>6</v>
      </c>
      <c r="AI496" s="418">
        <v>1</v>
      </c>
      <c r="AJ496" s="443"/>
      <c r="AK496" s="443"/>
      <c r="AL496" s="443"/>
      <c r="AM496" s="443"/>
      <c r="AN496" s="443"/>
      <c r="AO496" s="443"/>
    </row>
    <row customHeight="true" ht="16.071428571428573" r="497">
      <c r="A497" s="334"/>
      <c r="B497" s="387" t="s">
        <v>187</v>
      </c>
      <c r="C497" s="387"/>
      <c r="D497" s="362">
        <f>SUM(D493:D496)</f>
      </c>
      <c r="E497" s="420">
        <f>SUM(E493:E496)</f>
      </c>
      <c r="F497" s="366">
        <f t="shared" si="344"/>
      </c>
      <c r="G497" s="431">
        <f>SUM(G493:G496)</f>
      </c>
      <c r="H497" s="432">
        <f t="shared" si="10"/>
      </c>
      <c r="I497" s="433">
        <f t="shared" si="27"/>
      </c>
      <c r="J497" s="364">
        <f t="shared" si="164"/>
      </c>
      <c r="K497" s="366">
        <f t="shared" si="196"/>
      </c>
      <c r="L497" s="367">
        <f t="shared" si="181"/>
      </c>
      <c r="M497" s="364">
        <f t="shared" si="261"/>
      </c>
      <c r="N497" s="368">
        <f t="shared" si="231"/>
      </c>
      <c r="O497" s="368">
        <f t="shared" si="246"/>
      </c>
      <c r="P497" s="368">
        <f t="shared" si="278"/>
      </c>
      <c r="Q497" s="368">
        <f t="shared" si="95"/>
      </c>
      <c r="R497" s="364">
        <f t="shared" si="293"/>
      </c>
      <c r="S497" s="366">
        <f t="shared" si="110"/>
      </c>
      <c r="T497" s="368">
        <f t="shared" si="131"/>
      </c>
      <c r="U497" s="368">
        <f t="shared" si="44"/>
      </c>
      <c r="V497" s="368">
        <f t="shared" si="61"/>
      </c>
      <c r="W497" s="368">
        <f t="shared" si="78"/>
      </c>
      <c r="X497" s="368"/>
      <c r="Y497" s="369"/>
      <c r="Z497" s="362">
        <f>SUM(Z493:Z496)</f>
      </c>
      <c r="AA497" s="362">
        <f>SUM(AA493:AA496)</f>
      </c>
      <c r="AB497" s="362">
        <f>SUM(AB493:AB496)</f>
      </c>
      <c r="AC497" s="362">
        <f>SUM(AC493:AC496)</f>
      </c>
      <c r="AD497" s="362">
        <f>SUM(AD493:AD496)</f>
      </c>
      <c r="AE497" s="362">
        <f>SUM(AE493:AE496)</f>
      </c>
      <c r="AF497" s="362">
        <f>SUM(AF493:AF496)</f>
      </c>
      <c r="AG497" s="362">
        <f>SUM(AG493:AG496)</f>
      </c>
      <c r="AH497" s="362">
        <f>SUM(AH493:AH496)</f>
      </c>
      <c r="AI497" s="420">
        <f>SUM(AI493:AI496)</f>
      </c>
      <c r="AJ497" s="443"/>
      <c r="AK497" s="443"/>
      <c r="AL497" s="443"/>
      <c r="AM497" s="443"/>
      <c r="AN497" s="443"/>
      <c r="AO497" s="443"/>
    </row>
    <row customHeight="true" ht="16.071428571428573" r="498">
      <c r="A498" s="334"/>
      <c r="B498" s="388" t="s">
        <v>201</v>
      </c>
      <c r="C498" s="388"/>
      <c r="D498" s="389">
        <f>SUM(D497+D482+D487+D492)</f>
      </c>
      <c r="E498" s="442">
        <f>SUM(E497+E482+E487+E492)</f>
      </c>
      <c r="F498" s="393">
        <f t="shared" si="344"/>
      </c>
      <c r="G498" s="434">
        <f>SUM(G497+G482+G487+G492)</f>
      </c>
      <c r="H498" s="441">
        <f t="shared" si="10"/>
      </c>
      <c r="I498" s="436">
        <f t="shared" si="27"/>
      </c>
      <c r="J498" s="391">
        <f t="shared" si="164"/>
      </c>
      <c r="K498" s="393">
        <f t="shared" si="196"/>
      </c>
      <c r="L498" s="394">
        <f t="shared" si="181"/>
      </c>
      <c r="M498" s="394">
        <f t="shared" si="261"/>
      </c>
      <c r="N498" s="395">
        <f t="shared" si="231"/>
      </c>
      <c r="O498" s="395">
        <f t="shared" si="246"/>
      </c>
      <c r="P498" s="395">
        <f t="shared" si="278"/>
      </c>
      <c r="Q498" s="395">
        <f t="shared" si="95"/>
      </c>
      <c r="R498" s="396">
        <f t="shared" si="293"/>
      </c>
      <c r="S498" s="397">
        <f t="shared" si="110"/>
      </c>
      <c r="T498" s="398">
        <f t="shared" si="131"/>
      </c>
      <c r="U498" s="398">
        <f t="shared" si="44"/>
      </c>
      <c r="V498" s="398">
        <f t="shared" si="61"/>
      </c>
      <c r="W498" s="398">
        <f t="shared" si="78"/>
      </c>
      <c r="X498" s="398"/>
      <c r="Y498" s="399"/>
      <c r="Z498" s="390">
        <f>SUM(Z482+Z497+Z487+Z492)</f>
      </c>
      <c r="AA498" s="390">
        <f>SUM(AA482+AA497+AA487+AA492)</f>
      </c>
      <c r="AB498" s="390">
        <f>SUM(AB482+AB497+AB487+AB492)</f>
      </c>
      <c r="AC498" s="390">
        <f>SUM(AC482+AC497+AC487+AC492)</f>
      </c>
      <c r="AD498" s="390">
        <f>SUM(AD482+AD497+AD487+AD492)</f>
      </c>
      <c r="AE498" s="390">
        <f>SUM(AE482+AE497+AE487+AE492)</f>
      </c>
      <c r="AF498" s="390">
        <f>SUM(AF482+AF497+AF487+AF492)</f>
      </c>
      <c r="AG498" s="390">
        <f>SUM(AG482+AG497+AG487+AG492)</f>
      </c>
      <c r="AH498" s="390">
        <f>SUM(AH482+AH497+AH487+AH492)</f>
      </c>
      <c r="AI498" s="390">
        <f>SUM(AI482+AI497+AI487+AI492)</f>
      </c>
      <c r="AJ498" s="443"/>
      <c r="AK498" s="443"/>
      <c r="AL498" s="443"/>
      <c r="AM498" s="443"/>
      <c r="AN498" s="443"/>
      <c r="AO498" s="443"/>
    </row>
    <row customHeight="true" ht="16.071428571428573" r="499">
      <c r="A499" s="319" t="s">
        <v>145</v>
      </c>
      <c r="B499" s="320" t="s">
        <v>146</v>
      </c>
      <c r="C499" s="321" t="s">
        <v>147</v>
      </c>
      <c r="D499" s="322" t="s">
        <v>148</v>
      </c>
      <c r="E499" s="426" t="s">
        <v>213</v>
      </c>
      <c r="F499" s="427" t="s">
        <v>214</v>
      </c>
      <c r="G499" s="324" t="s">
        <v>150</v>
      </c>
      <c r="H499" s="427" t="s">
        <v>215</v>
      </c>
      <c r="I499" s="324" t="s">
        <v>151</v>
      </c>
      <c r="J499" s="325" t="s">
        <v>152</v>
      </c>
      <c r="K499" s="325" t="s">
        <v>154</v>
      </c>
      <c r="L499" s="326" t="s">
        <v>155</v>
      </c>
      <c r="M499" s="326" t="s">
        <v>156</v>
      </c>
      <c r="N499" s="326" t="s">
        <v>157</v>
      </c>
      <c r="O499" s="326" t="s">
        <v>158</v>
      </c>
      <c r="P499" s="326" t="s">
        <v>159</v>
      </c>
      <c r="Q499" s="326" t="s">
        <v>160</v>
      </c>
      <c r="R499" s="326" t="s">
        <v>161</v>
      </c>
      <c r="S499" s="326" t="s">
        <v>162</v>
      </c>
      <c r="T499" s="327" t="s">
        <v>163</v>
      </c>
      <c r="U499" s="327" t="s">
        <v>164</v>
      </c>
      <c r="V499" s="327" t="s">
        <v>165</v>
      </c>
      <c r="W499" s="327" t="s">
        <v>166</v>
      </c>
      <c r="X499" s="328" t="s">
        <v>167</v>
      </c>
      <c r="Y499" s="328" t="s">
        <v>168</v>
      </c>
      <c r="Z499" s="329" t="s">
        <v>169</v>
      </c>
      <c r="AA499" s="329" t="s">
        <v>170</v>
      </c>
      <c r="AB499" s="329" t="s">
        <v>171</v>
      </c>
      <c r="AC499" s="330" t="s">
        <v>172</v>
      </c>
      <c r="AD499" s="330" t="s">
        <v>173</v>
      </c>
      <c r="AE499" s="331" t="s">
        <v>174</v>
      </c>
      <c r="AF499" s="330" t="s">
        <v>175</v>
      </c>
      <c r="AG499" s="330" t="s">
        <v>176</v>
      </c>
      <c r="AH499" s="332" t="s">
        <v>177</v>
      </c>
      <c r="AI499" s="333" t="s">
        <v>178</v>
      </c>
      <c r="AJ499" s="443"/>
      <c r="AK499" s="443"/>
      <c r="AL499" s="443"/>
      <c r="AM499" s="443"/>
      <c r="AN499" s="443"/>
      <c r="AO499" s="443"/>
    </row>
    <row customHeight="true" ht="16.071428571428573" r="500">
      <c r="A500" s="334">
        <v>46260</v>
      </c>
      <c r="B500" s="415" t="s">
        <v>179</v>
      </c>
      <c r="C500" s="354" t="s">
        <v>180</v>
      </c>
      <c r="D500" s="337">
        <v>1535.73</v>
      </c>
      <c r="E500" s="417">
        <v>2</v>
      </c>
      <c r="F500" s="342">
        <f t="shared" ref="F500:F520" si="345">D500/E500</f>
      </c>
      <c r="G500" s="339">
        <v>424</v>
      </c>
      <c r="H500" s="428">
        <f t="shared" ref="H500:H520" si="11">AD500</f>
      </c>
      <c r="I500" s="340">
        <f t="shared" ref="I500:I520" si="28">D500/AD500</f>
      </c>
      <c r="J500" s="341">
        <f t="shared" ref="J500:J520" si="165">G500/E500</f>
      </c>
      <c r="K500" s="343">
        <f t="shared" ref="K500:K520" si="197">G500/D500</f>
      </c>
      <c r="L500" s="344">
        <f t="shared" ref="L500:L520" si="182">D500/AB500</f>
      </c>
      <c r="M500" s="341">
        <f t="shared" ref="M500:M520" si="262">D500/AC500</f>
      </c>
      <c r="N500" s="345">
        <f t="shared" ref="N500:N520" si="232">AC500/AB500</f>
      </c>
      <c r="O500" s="345">
        <f t="shared" ref="O500:O520" si="247">AD500/AC500</f>
      </c>
      <c r="P500" s="345">
        <f t="shared" ref="P500:P520" si="279">AA500/Z500</f>
      </c>
      <c r="Q500" s="345">
        <f t="shared" ref="Q500:Q520" si="96">AD500/AA500</f>
      </c>
      <c r="R500" s="341">
        <f t="shared" ref="R500:R520" si="294">D500/Z500*1000</f>
      </c>
      <c r="S500" s="343">
        <f t="shared" ref="S500:S520" si="111">D500/AA500</f>
      </c>
      <c r="T500" s="345">
        <f t="shared" ref="T500:T520" si="132">AE500/AB500</f>
      </c>
      <c r="U500" s="345">
        <f t="shared" ref="U500:U520" si="45">AF500/AB500</f>
      </c>
      <c r="V500" s="345">
        <f t="shared" ref="V500:V520" si="62">AG500/AB500</f>
      </c>
      <c r="W500" s="345">
        <f t="shared" ref="W500:W520" si="79">AH500/AB500</f>
      </c>
      <c r="X500" s="346" t="s">
        <v>181</v>
      </c>
      <c r="Y500" s="347" t="s">
        <v>193</v>
      </c>
      <c r="Z500" s="348">
        <v>114103</v>
      </c>
      <c r="AA500" s="348">
        <v>2863</v>
      </c>
      <c r="AB500" s="348">
        <v>101009</v>
      </c>
      <c r="AC500" s="348">
        <v>917</v>
      </c>
      <c r="AD500" s="349">
        <v>2</v>
      </c>
      <c r="AE500" s="348">
        <v>19454</v>
      </c>
      <c r="AF500" s="350">
        <v>436</v>
      </c>
      <c r="AG500" s="350">
        <v>85</v>
      </c>
      <c r="AH500" s="350">
        <v>11</v>
      </c>
      <c r="AI500" s="418">
        <v>0</v>
      </c>
      <c r="AJ500" s="443"/>
      <c r="AK500" s="443"/>
      <c r="AL500" s="443"/>
      <c r="AM500" s="443"/>
      <c r="AN500" s="443"/>
      <c r="AO500" s="443"/>
    </row>
    <row customHeight="true" ht="16.071428571428573" r="501">
      <c r="A501" s="334"/>
      <c r="B501" s="415" t="s">
        <v>179</v>
      </c>
      <c r="C501" s="336" t="s">
        <v>183</v>
      </c>
      <c r="D501" s="337">
        <v>1161.312</v>
      </c>
      <c r="E501" s="417">
        <v>3</v>
      </c>
      <c r="F501" s="342">
        <f t="shared" si="345"/>
      </c>
      <c r="G501" s="339">
        <v>642.3</v>
      </c>
      <c r="H501" s="428">
        <f t="shared" si="11"/>
      </c>
      <c r="I501" s="340">
        <f t="shared" si="28"/>
      </c>
      <c r="J501" s="341">
        <f t="shared" si="165"/>
      </c>
      <c r="K501" s="343">
        <f t="shared" si="197"/>
      </c>
      <c r="L501" s="344">
        <f t="shared" si="182"/>
      </c>
      <c r="M501" s="341">
        <f t="shared" si="262"/>
      </c>
      <c r="N501" s="345">
        <f t="shared" si="232"/>
      </c>
      <c r="O501" s="345">
        <f t="shared" si="247"/>
      </c>
      <c r="P501" s="345">
        <f t="shared" si="279"/>
      </c>
      <c r="Q501" s="345">
        <f t="shared" si="96"/>
      </c>
      <c r="R501" s="341">
        <f t="shared" si="294"/>
      </c>
      <c r="S501" s="343">
        <f t="shared" si="111"/>
      </c>
      <c r="T501" s="345">
        <f t="shared" si="132"/>
      </c>
      <c r="U501" s="345">
        <f t="shared" si="45"/>
      </c>
      <c r="V501" s="345">
        <f t="shared" si="62"/>
      </c>
      <c r="W501" s="345">
        <f t="shared" si="79"/>
      </c>
      <c r="X501" s="360" t="s">
        <v>181</v>
      </c>
      <c r="Y501" s="347" t="s">
        <v>193</v>
      </c>
      <c r="Z501" s="350">
        <v>75835</v>
      </c>
      <c r="AA501" s="348">
        <v>2958</v>
      </c>
      <c r="AB501" s="348">
        <v>59673</v>
      </c>
      <c r="AC501" s="348">
        <v>687</v>
      </c>
      <c r="AD501" s="350">
        <v>3</v>
      </c>
      <c r="AE501" s="348">
        <v>11653</v>
      </c>
      <c r="AF501" s="350">
        <v>271</v>
      </c>
      <c r="AG501" s="350">
        <v>54</v>
      </c>
      <c r="AH501" s="349">
        <v>11</v>
      </c>
      <c r="AI501" s="418">
        <v>1</v>
      </c>
      <c r="AJ501" s="443"/>
      <c r="AK501" s="443"/>
      <c r="AL501" s="443"/>
      <c r="AM501" s="443"/>
      <c r="AN501" s="443"/>
      <c r="AO501" s="443"/>
    </row>
    <row customHeight="true" ht="16.071428571428573" r="502">
      <c r="A502" s="334"/>
      <c r="B502" s="415" t="s">
        <v>179</v>
      </c>
      <c r="C502" s="351" t="s">
        <v>184</v>
      </c>
      <c r="D502" s="377">
        <v>1481.346</v>
      </c>
      <c r="E502" s="359">
        <v>6</v>
      </c>
      <c r="F502" s="342">
        <f t="shared" si="345"/>
      </c>
      <c r="G502" s="359">
        <v>2529.6000000000004</v>
      </c>
      <c r="H502" s="428">
        <f t="shared" si="11"/>
      </c>
      <c r="I502" s="340">
        <f t="shared" si="28"/>
      </c>
      <c r="J502" s="341">
        <f t="shared" si="165"/>
      </c>
      <c r="K502" s="343">
        <f t="shared" si="197"/>
      </c>
      <c r="L502" s="344">
        <f t="shared" si="182"/>
      </c>
      <c r="M502" s="341">
        <f t="shared" si="262"/>
      </c>
      <c r="N502" s="345">
        <f t="shared" si="232"/>
      </c>
      <c r="O502" s="345">
        <f t="shared" si="247"/>
      </c>
      <c r="P502" s="345">
        <f t="shared" si="279"/>
      </c>
      <c r="Q502" s="345">
        <f t="shared" si="96"/>
      </c>
      <c r="R502" s="341">
        <f t="shared" si="294"/>
      </c>
      <c r="S502" s="343">
        <f t="shared" si="111"/>
      </c>
      <c r="T502" s="345">
        <f t="shared" si="132"/>
      </c>
      <c r="U502" s="345">
        <f t="shared" si="45"/>
      </c>
      <c r="V502" s="345">
        <f t="shared" si="62"/>
      </c>
      <c r="W502" s="345">
        <f t="shared" si="79"/>
      </c>
      <c r="X502" s="360" t="s">
        <v>181</v>
      </c>
      <c r="Y502" s="347" t="s">
        <v>193</v>
      </c>
      <c r="Z502" s="350">
        <v>84700</v>
      </c>
      <c r="AA502" s="350">
        <v>4515</v>
      </c>
      <c r="AB502" s="350">
        <v>65307</v>
      </c>
      <c r="AC502" s="350">
        <v>851</v>
      </c>
      <c r="AD502" s="350">
        <v>5</v>
      </c>
      <c r="AE502" s="350">
        <v>13109</v>
      </c>
      <c r="AF502" s="350">
        <v>340</v>
      </c>
      <c r="AG502" s="350">
        <v>69</v>
      </c>
      <c r="AH502" s="350">
        <v>11</v>
      </c>
      <c r="AI502" s="418">
        <v>1</v>
      </c>
      <c r="AJ502" s="443"/>
      <c r="AK502" s="443"/>
      <c r="AL502" s="443"/>
      <c r="AM502" s="443"/>
      <c r="AN502" s="443"/>
      <c r="AO502" s="443"/>
    </row>
    <row customHeight="true" ht="16.071428571428573" r="503">
      <c r="A503" s="334"/>
      <c r="B503" s="415" t="s">
        <v>179</v>
      </c>
      <c r="C503" s="416" t="s">
        <v>185</v>
      </c>
      <c r="D503" s="377">
        <v>2055.063</v>
      </c>
      <c r="E503" s="359">
        <v>5</v>
      </c>
      <c r="F503" s="342">
        <f t="shared" si="345"/>
      </c>
      <c r="G503" s="359">
        <v>1107.999999999999</v>
      </c>
      <c r="H503" s="428">
        <f t="shared" si="11"/>
      </c>
      <c r="I503" s="340">
        <f t="shared" si="28"/>
      </c>
      <c r="J503" s="341">
        <f t="shared" si="165"/>
      </c>
      <c r="K503" s="343">
        <f t="shared" si="197"/>
      </c>
      <c r="L503" s="344">
        <f t="shared" si="182"/>
      </c>
      <c r="M503" s="341">
        <f t="shared" si="262"/>
      </c>
      <c r="N503" s="345">
        <f t="shared" si="232"/>
      </c>
      <c r="O503" s="345">
        <f t="shared" si="247"/>
      </c>
      <c r="P503" s="345">
        <f t="shared" si="279"/>
      </c>
      <c r="Q503" s="345">
        <f t="shared" si="96"/>
      </c>
      <c r="R503" s="341">
        <f t="shared" si="294"/>
      </c>
      <c r="S503" s="343">
        <f t="shared" si="111"/>
      </c>
      <c r="T503" s="345">
        <f t="shared" si="132"/>
      </c>
      <c r="U503" s="345">
        <f t="shared" si="45"/>
      </c>
      <c r="V503" s="345">
        <f t="shared" si="62"/>
      </c>
      <c r="W503" s="345">
        <f t="shared" si="79"/>
      </c>
      <c r="X503" s="360" t="s">
        <v>181</v>
      </c>
      <c r="Y503" s="347" t="s">
        <v>193</v>
      </c>
      <c r="Z503" s="350">
        <v>109446</v>
      </c>
      <c r="AA503" s="350">
        <v>6060</v>
      </c>
      <c r="AB503" s="350">
        <v>82259</v>
      </c>
      <c r="AC503" s="350">
        <v>928</v>
      </c>
      <c r="AD503" s="350">
        <v>5</v>
      </c>
      <c r="AE503" s="350">
        <v>17911</v>
      </c>
      <c r="AF503" s="350">
        <v>330</v>
      </c>
      <c r="AG503" s="350">
        <v>113</v>
      </c>
      <c r="AH503" s="349">
        <v>17</v>
      </c>
      <c r="AI503" s="418">
        <v>0</v>
      </c>
      <c r="AJ503" s="443"/>
      <c r="AK503" s="443"/>
      <c r="AL503" s="443"/>
      <c r="AM503" s="443"/>
      <c r="AN503" s="443"/>
      <c r="AO503" s="443"/>
    </row>
    <row customHeight="true" ht="16.071428571428573" r="504">
      <c r="A504" s="334"/>
      <c r="B504" s="415" t="s">
        <v>179</v>
      </c>
      <c r="C504" s="416" t="s">
        <v>186</v>
      </c>
      <c r="D504" s="440">
        <v>3663.7889999999998</v>
      </c>
      <c r="E504" s="359">
        <v>5</v>
      </c>
      <c r="F504" s="342">
        <f t="shared" si="345"/>
      </c>
      <c r="G504" s="359">
        <v>3040</v>
      </c>
      <c r="H504" s="430">
        <f t="shared" si="11"/>
      </c>
      <c r="I504" s="340">
        <f t="shared" si="28"/>
      </c>
      <c r="J504" s="341">
        <f t="shared" si="165"/>
      </c>
      <c r="K504" s="343">
        <f t="shared" si="197"/>
      </c>
      <c r="L504" s="382">
        <f t="shared" si="182"/>
      </c>
      <c r="M504" s="383">
        <f t="shared" si="262"/>
      </c>
      <c r="N504" s="384">
        <f t="shared" si="232"/>
      </c>
      <c r="O504" s="384">
        <f t="shared" si="247"/>
      </c>
      <c r="P504" s="384">
        <f t="shared" si="279"/>
      </c>
      <c r="Q504" s="384">
        <f t="shared" si="96"/>
      </c>
      <c r="R504" s="383">
        <f t="shared" si="294"/>
      </c>
      <c r="S504" s="381">
        <f t="shared" si="111"/>
      </c>
      <c r="T504" s="384">
        <f t="shared" si="132"/>
      </c>
      <c r="U504" s="384">
        <f t="shared" si="45"/>
      </c>
      <c r="V504" s="384">
        <f t="shared" si="62"/>
      </c>
      <c r="W504" s="384">
        <f t="shared" si="79"/>
      </c>
      <c r="X504" s="360" t="s">
        <v>181</v>
      </c>
      <c r="Y504" s="347" t="s">
        <v>193</v>
      </c>
      <c r="Z504" s="350">
        <v>299869</v>
      </c>
      <c r="AA504" s="350">
        <v>12016</v>
      </c>
      <c r="AB504" s="350">
        <v>216154</v>
      </c>
      <c r="AC504" s="350">
        <v>1819</v>
      </c>
      <c r="AD504" s="350">
        <v>4</v>
      </c>
      <c r="AE504" s="350">
        <v>35529</v>
      </c>
      <c r="AF504" s="350">
        <v>767</v>
      </c>
      <c r="AG504" s="350">
        <v>263</v>
      </c>
      <c r="AH504" s="349">
        <v>34</v>
      </c>
      <c r="AI504" s="418">
        <v>0</v>
      </c>
      <c r="AJ504" s="443"/>
      <c r="AK504" s="443"/>
      <c r="AL504" s="443"/>
      <c r="AM504" s="443"/>
      <c r="AN504" s="443"/>
      <c r="AO504" s="443"/>
    </row>
    <row customHeight="true" ht="16.071428571428573" r="505">
      <c r="A505" s="334"/>
      <c r="B505" s="387" t="s">
        <v>187</v>
      </c>
      <c r="C505" s="387"/>
      <c r="D505" s="362">
        <f>SUM(D500:D504)</f>
      </c>
      <c r="E505" s="362">
        <f>SUM(E500:E504)</f>
      </c>
      <c r="F505" s="366">
        <f t="shared" si="345"/>
      </c>
      <c r="G505" s="431">
        <f>SUM(G500:G504)</f>
      </c>
      <c r="H505" s="432">
        <f t="shared" si="11"/>
      </c>
      <c r="I505" s="433">
        <f t="shared" si="28"/>
      </c>
      <c r="J505" s="364">
        <f t="shared" si="165"/>
      </c>
      <c r="K505" s="366">
        <f t="shared" si="197"/>
      </c>
      <c r="L505" s="367">
        <f t="shared" si="182"/>
      </c>
      <c r="M505" s="364">
        <f t="shared" si="262"/>
      </c>
      <c r="N505" s="368">
        <f t="shared" si="232"/>
      </c>
      <c r="O505" s="368">
        <f t="shared" si="247"/>
      </c>
      <c r="P505" s="368">
        <f t="shared" si="279"/>
      </c>
      <c r="Q505" s="368">
        <f t="shared" si="96"/>
      </c>
      <c r="R505" s="364">
        <f t="shared" si="294"/>
      </c>
      <c r="S505" s="366">
        <f t="shared" si="111"/>
      </c>
      <c r="T505" s="368">
        <f t="shared" si="132"/>
      </c>
      <c r="U505" s="368">
        <f t="shared" si="45"/>
      </c>
      <c r="V505" s="368">
        <f t="shared" si="62"/>
      </c>
      <c r="W505" s="368">
        <f t="shared" si="79"/>
      </c>
      <c r="X505" s="368"/>
      <c r="Y505" s="369"/>
      <c r="Z505" s="362">
        <f>SUM(Z500:Z504)</f>
      </c>
      <c r="AA505" s="362">
        <f>SUM(AA500:AA504)</f>
      </c>
      <c r="AB505" s="362">
        <f>SUM(AB500:AB504)</f>
      </c>
      <c r="AC505" s="362">
        <f>SUM(AC500:AC504)</f>
      </c>
      <c r="AD505" s="362">
        <f>SUM(AD500:AD504)</f>
      </c>
      <c r="AE505" s="362">
        <f>SUM(AE500:AE504)</f>
      </c>
      <c r="AF505" s="362">
        <f>SUM(AF500:AF504)</f>
      </c>
      <c r="AG505" s="362">
        <f>SUM(AG500:AG504)</f>
      </c>
      <c r="AH505" s="362">
        <f>SUM(AH500:AH504)</f>
      </c>
      <c r="AI505" s="362">
        <f>SUM(AI500:AI504)</f>
      </c>
      <c r="AJ505" s="443"/>
      <c r="AK505" s="443"/>
      <c r="AL505" s="443"/>
      <c r="AM505" s="443"/>
      <c r="AN505" s="443"/>
      <c r="AO505" s="443"/>
    </row>
    <row customHeight="true" ht="16.071428571428573" r="506">
      <c r="A506" s="334"/>
      <c r="B506" s="415" t="s">
        <v>216</v>
      </c>
      <c r="C506" s="370" t="s">
        <v>189</v>
      </c>
      <c r="D506" s="371">
        <v>4262.044</v>
      </c>
      <c r="E506" s="419">
        <v>7</v>
      </c>
      <c r="F506" s="342">
        <f t="shared" si="345"/>
      </c>
      <c r="G506" s="359">
        <v>1444</v>
      </c>
      <c r="H506" s="428">
        <f t="shared" si="11"/>
      </c>
      <c r="I506" s="340">
        <f t="shared" si="28"/>
      </c>
      <c r="J506" s="341">
        <f t="shared" si="165"/>
      </c>
      <c r="K506" s="343">
        <f t="shared" si="197"/>
      </c>
      <c r="L506" s="344">
        <f t="shared" si="182"/>
      </c>
      <c r="M506" s="341">
        <f t="shared" si="262"/>
      </c>
      <c r="N506" s="345">
        <f t="shared" si="232"/>
      </c>
      <c r="O506" s="345">
        <f t="shared" si="247"/>
      </c>
      <c r="P506" s="345">
        <f t="shared" si="279"/>
      </c>
      <c r="Q506" s="345">
        <f t="shared" si="96"/>
      </c>
      <c r="R506" s="341">
        <f t="shared" si="294"/>
      </c>
      <c r="S506" s="343">
        <f t="shared" si="111"/>
      </c>
      <c r="T506" s="345">
        <f t="shared" si="132"/>
      </c>
      <c r="U506" s="345">
        <f t="shared" si="45"/>
      </c>
      <c r="V506" s="345">
        <f t="shared" si="62"/>
      </c>
      <c r="W506" s="345">
        <f t="shared" si="79"/>
      </c>
      <c r="X506" s="360" t="s">
        <v>181</v>
      </c>
      <c r="Y506" s="347" t="s">
        <v>193</v>
      </c>
      <c r="Z506" s="350">
        <v>333603</v>
      </c>
      <c r="AA506" s="350">
        <v>19828</v>
      </c>
      <c r="AB506" s="350">
        <v>272450</v>
      </c>
      <c r="AC506" s="350">
        <v>2341</v>
      </c>
      <c r="AD506" s="350">
        <v>7</v>
      </c>
      <c r="AE506" s="350">
        <v>43890</v>
      </c>
      <c r="AF506" s="350">
        <v>964</v>
      </c>
      <c r="AG506" s="350">
        <v>356</v>
      </c>
      <c r="AH506" s="350">
        <v>64</v>
      </c>
      <c r="AI506" s="418">
        <v>0</v>
      </c>
      <c r="AJ506" s="443"/>
      <c r="AK506" s="443"/>
      <c r="AL506" s="443"/>
      <c r="AM506" s="443"/>
      <c r="AN506" s="443"/>
      <c r="AO506" s="443"/>
    </row>
    <row customHeight="true" ht="16.071428571428573" r="507">
      <c r="A507" s="334"/>
      <c r="B507" s="415" t="s">
        <v>216</v>
      </c>
      <c r="C507" s="372" t="s">
        <v>190</v>
      </c>
      <c r="D507" s="371">
        <v>1872.4920000000002</v>
      </c>
      <c r="E507" s="419">
        <v>6</v>
      </c>
      <c r="F507" s="342">
        <f t="shared" si="345"/>
      </c>
      <c r="G507" s="359">
        <v>2568</v>
      </c>
      <c r="H507" s="428">
        <f t="shared" si="11"/>
      </c>
      <c r="I507" s="340">
        <f t="shared" si="28"/>
      </c>
      <c r="J507" s="341">
        <f t="shared" si="165"/>
      </c>
      <c r="K507" s="343">
        <f t="shared" si="197"/>
      </c>
      <c r="L507" s="344">
        <f t="shared" si="182"/>
      </c>
      <c r="M507" s="341">
        <f t="shared" si="262"/>
      </c>
      <c r="N507" s="345">
        <f t="shared" si="232"/>
      </c>
      <c r="O507" s="345">
        <f t="shared" si="247"/>
      </c>
      <c r="P507" s="345">
        <f t="shared" si="279"/>
      </c>
      <c r="Q507" s="345">
        <f t="shared" si="96"/>
      </c>
      <c r="R507" s="341">
        <f t="shared" si="294"/>
      </c>
      <c r="S507" s="343">
        <f t="shared" si="111"/>
      </c>
      <c r="T507" s="345">
        <f t="shared" si="132"/>
      </c>
      <c r="U507" s="345">
        <f t="shared" si="45"/>
      </c>
      <c r="V507" s="345">
        <f t="shared" si="62"/>
      </c>
      <c r="W507" s="345">
        <f t="shared" si="79"/>
      </c>
      <c r="X507" s="360" t="s">
        <v>181</v>
      </c>
      <c r="Y507" s="347" t="s">
        <v>193</v>
      </c>
      <c r="Z507" s="350">
        <v>173496</v>
      </c>
      <c r="AA507" s="350">
        <v>10119</v>
      </c>
      <c r="AB507" s="350">
        <v>108206</v>
      </c>
      <c r="AC507" s="350">
        <v>1203</v>
      </c>
      <c r="AD507" s="350">
        <v>5</v>
      </c>
      <c r="AE507" s="350">
        <v>13873</v>
      </c>
      <c r="AF507" s="350">
        <v>465</v>
      </c>
      <c r="AG507" s="350">
        <v>131</v>
      </c>
      <c r="AH507" s="350">
        <v>30</v>
      </c>
      <c r="AI507" s="418">
        <v>0</v>
      </c>
      <c r="AJ507" s="443"/>
      <c r="AK507" s="443"/>
      <c r="AL507" s="443"/>
      <c r="AM507" s="443"/>
      <c r="AN507" s="443"/>
      <c r="AO507" s="443"/>
    </row>
    <row customHeight="true" ht="16.071428571428573" r="508">
      <c r="A508" s="334"/>
      <c r="B508" s="387" t="s">
        <v>187</v>
      </c>
      <c r="C508" s="387"/>
      <c r="D508" s="362">
        <f>SUM(D506:D507)</f>
      </c>
      <c r="E508" s="420">
        <f>SUM(E506:E507)</f>
      </c>
      <c r="F508" s="365">
        <f t="shared" si="345"/>
      </c>
      <c r="G508" s="362">
        <f>SUM(G506:G507)</f>
      </c>
      <c r="H508" s="429">
        <f t="shared" si="11"/>
      </c>
      <c r="I508" s="362">
        <f t="shared" si="28"/>
      </c>
      <c r="J508" s="364">
        <f t="shared" si="165"/>
      </c>
      <c r="K508" s="366">
        <f t="shared" si="197"/>
      </c>
      <c r="L508" s="367">
        <f t="shared" si="182"/>
      </c>
      <c r="M508" s="364">
        <f t="shared" si="262"/>
      </c>
      <c r="N508" s="368">
        <f t="shared" si="232"/>
      </c>
      <c r="O508" s="368">
        <f t="shared" si="247"/>
      </c>
      <c r="P508" s="368">
        <f t="shared" si="279"/>
      </c>
      <c r="Q508" s="368">
        <f t="shared" si="96"/>
      </c>
      <c r="R508" s="364">
        <f t="shared" si="294"/>
      </c>
      <c r="S508" s="366">
        <f t="shared" si="111"/>
      </c>
      <c r="T508" s="368">
        <f t="shared" si="132"/>
      </c>
      <c r="U508" s="368">
        <f t="shared" si="45"/>
      </c>
      <c r="V508" s="368">
        <f t="shared" si="62"/>
      </c>
      <c r="W508" s="368">
        <f t="shared" si="79"/>
      </c>
      <c r="X508" s="368"/>
      <c r="Y508" s="369"/>
      <c r="Z508" s="362">
        <f>SUM(Z506:Z507)</f>
      </c>
      <c r="AA508" s="362">
        <f>SUM(AA506:AA507)</f>
      </c>
      <c r="AB508" s="362">
        <f>SUM(AB506:AB507)</f>
      </c>
      <c r="AC508" s="362">
        <f>SUM(AC506:AC507)</f>
      </c>
      <c r="AD508" s="362">
        <f>SUM(AD506:AD507)</f>
      </c>
      <c r="AE508" s="362">
        <f>SUM(AE506:AE507)</f>
      </c>
      <c r="AF508" s="362">
        <f>SUM(AF506:AF507)</f>
      </c>
      <c r="AG508" s="362">
        <f>SUM(AG506:AG507)</f>
      </c>
      <c r="AH508" s="362">
        <f>SUM(AH506:AH507)</f>
      </c>
      <c r="AI508" s="420">
        <f>SUM(AI506:AI507)</f>
      </c>
      <c r="AJ508" s="443"/>
      <c r="AK508" s="443"/>
      <c r="AL508" s="443"/>
      <c r="AM508" s="443"/>
      <c r="AN508" s="443"/>
      <c r="AO508" s="443"/>
    </row>
    <row customHeight="true" ht="16.071428571428573" r="509">
      <c r="A509" s="334"/>
      <c r="B509" s="335" t="s">
        <v>188</v>
      </c>
      <c r="C509" s="373" t="s">
        <v>191</v>
      </c>
      <c r="D509" s="377">
        <v>1316.8159999999998</v>
      </c>
      <c r="E509" s="359">
        <v>4</v>
      </c>
      <c r="F509" s="342">
        <f t="shared" si="345"/>
      </c>
      <c r="G509" s="359">
        <v>1392</v>
      </c>
      <c r="H509" s="428">
        <f t="shared" si="11"/>
      </c>
      <c r="I509" s="340">
        <f t="shared" si="28"/>
      </c>
      <c r="J509" s="341">
        <f t="shared" si="165"/>
      </c>
      <c r="K509" s="343">
        <f t="shared" si="197"/>
      </c>
      <c r="L509" s="344">
        <f t="shared" si="182"/>
      </c>
      <c r="M509" s="341">
        <f t="shared" si="262"/>
      </c>
      <c r="N509" s="345">
        <f t="shared" si="232"/>
      </c>
      <c r="O509" s="345">
        <f t="shared" si="247"/>
      </c>
      <c r="P509" s="345">
        <f t="shared" si="279"/>
      </c>
      <c r="Q509" s="345">
        <f t="shared" si="96"/>
      </c>
      <c r="R509" s="341">
        <f t="shared" si="294"/>
      </c>
      <c r="S509" s="343">
        <f t="shared" si="111"/>
      </c>
      <c r="T509" s="345">
        <f t="shared" si="132"/>
      </c>
      <c r="U509" s="345">
        <f t="shared" si="45"/>
      </c>
      <c r="V509" s="345">
        <f t="shared" si="62"/>
      </c>
      <c r="W509" s="345">
        <f t="shared" si="79"/>
      </c>
      <c r="X509" s="360" t="s">
        <v>181</v>
      </c>
      <c r="Y509" s="347" t="s">
        <v>193</v>
      </c>
      <c r="Z509" s="350">
        <v>122556</v>
      </c>
      <c r="AA509" s="350">
        <v>7365</v>
      </c>
      <c r="AB509" s="350">
        <v>80930</v>
      </c>
      <c r="AC509" s="350">
        <v>850</v>
      </c>
      <c r="AD509" s="349">
        <v>5</v>
      </c>
      <c r="AE509" s="350">
        <v>8032</v>
      </c>
      <c r="AF509" s="350">
        <v>258</v>
      </c>
      <c r="AG509" s="350">
        <v>75</v>
      </c>
      <c r="AH509" s="350">
        <v>10</v>
      </c>
      <c r="AI509" s="418">
        <v>0</v>
      </c>
      <c r="AJ509" s="443"/>
      <c r="AK509" s="443"/>
      <c r="AL509" s="443"/>
      <c r="AM509" s="443"/>
      <c r="AN509" s="443"/>
      <c r="AO509" s="443"/>
    </row>
    <row r="510">
      <c r="A510" s="334"/>
      <c r="B510" s="335" t="s">
        <v>188</v>
      </c>
      <c r="C510" s="374" t="s">
        <v>192</v>
      </c>
      <c r="D510" s="377">
        <v>1782.127</v>
      </c>
      <c r="E510" s="359">
        <v>3</v>
      </c>
      <c r="F510" s="342">
        <f t="shared" si="345"/>
      </c>
      <c r="G510" s="359">
        <v>652</v>
      </c>
      <c r="H510" s="428">
        <f t="shared" si="11"/>
      </c>
      <c r="I510" s="340">
        <f t="shared" si="28"/>
      </c>
      <c r="J510" s="341">
        <f t="shared" si="165"/>
      </c>
      <c r="K510" s="343">
        <f t="shared" si="197"/>
      </c>
      <c r="L510" s="344">
        <f t="shared" si="182"/>
      </c>
      <c r="M510" s="341">
        <f t="shared" si="262"/>
      </c>
      <c r="N510" s="345">
        <f t="shared" si="232"/>
      </c>
      <c r="O510" s="345">
        <f t="shared" si="247"/>
      </c>
      <c r="P510" s="345">
        <f t="shared" si="279"/>
      </c>
      <c r="Q510" s="345">
        <f t="shared" si="96"/>
      </c>
      <c r="R510" s="341">
        <f t="shared" si="294"/>
      </c>
      <c r="S510" s="343">
        <f t="shared" si="111"/>
      </c>
      <c r="T510" s="345">
        <f t="shared" si="132"/>
      </c>
      <c r="U510" s="345">
        <f t="shared" si="45"/>
      </c>
      <c r="V510" s="345">
        <f t="shared" si="62"/>
      </c>
      <c r="W510" s="345">
        <f t="shared" si="79"/>
      </c>
      <c r="X510" s="360" t="s">
        <v>181</v>
      </c>
      <c r="Y510" s="347" t="s">
        <v>205</v>
      </c>
      <c r="Z510" s="350">
        <v>176338</v>
      </c>
      <c r="AA510" s="350">
        <v>12310</v>
      </c>
      <c r="AB510" s="350">
        <v>120516</v>
      </c>
      <c r="AC510" s="350">
        <v>1136</v>
      </c>
      <c r="AD510" s="349">
        <v>3</v>
      </c>
      <c r="AE510" s="350">
        <v>13315</v>
      </c>
      <c r="AF510" s="350">
        <v>364</v>
      </c>
      <c r="AG510" s="350">
        <v>131</v>
      </c>
      <c r="AH510" s="350">
        <v>11</v>
      </c>
      <c r="AI510" s="418">
        <v>0</v>
      </c>
    </row>
    <row r="511">
      <c r="A511" s="334"/>
      <c r="B511" s="335" t="s">
        <v>188</v>
      </c>
      <c r="C511" s="375" t="s">
        <v>194</v>
      </c>
      <c r="D511" s="377">
        <v>2663.423</v>
      </c>
      <c r="E511" s="359">
        <v>7</v>
      </c>
      <c r="F511" s="342">
        <f t="shared" si="345"/>
      </c>
      <c r="G511" s="359">
        <v>2164</v>
      </c>
      <c r="H511" s="428">
        <f t="shared" si="11"/>
      </c>
      <c r="I511" s="340">
        <f t="shared" si="28"/>
      </c>
      <c r="J511" s="341">
        <f t="shared" si="165"/>
      </c>
      <c r="K511" s="343">
        <f t="shared" si="197"/>
      </c>
      <c r="L511" s="344">
        <f t="shared" si="182"/>
      </c>
      <c r="M511" s="341">
        <f t="shared" si="262"/>
      </c>
      <c r="N511" s="345">
        <f t="shared" si="232"/>
      </c>
      <c r="O511" s="345">
        <f t="shared" si="247"/>
      </c>
      <c r="P511" s="345">
        <f t="shared" si="279"/>
      </c>
      <c r="Q511" s="345">
        <f t="shared" si="96"/>
      </c>
      <c r="R511" s="341">
        <f t="shared" si="294"/>
      </c>
      <c r="S511" s="343">
        <f t="shared" si="111"/>
      </c>
      <c r="T511" s="345">
        <f t="shared" si="132"/>
      </c>
      <c r="U511" s="345">
        <f t="shared" si="45"/>
      </c>
      <c r="V511" s="345">
        <f t="shared" si="62"/>
      </c>
      <c r="W511" s="345">
        <f t="shared" si="79"/>
      </c>
      <c r="X511" s="360" t="s">
        <v>181</v>
      </c>
      <c r="Y511" s="347" t="s">
        <v>205</v>
      </c>
      <c r="Z511" s="350">
        <v>307795</v>
      </c>
      <c r="AA511" s="350">
        <v>19260</v>
      </c>
      <c r="AB511" s="350">
        <v>242080</v>
      </c>
      <c r="AC511" s="350">
        <v>1682</v>
      </c>
      <c r="AD511" s="350">
        <v>6</v>
      </c>
      <c r="AE511" s="350">
        <v>23027</v>
      </c>
      <c r="AF511" s="350">
        <v>608</v>
      </c>
      <c r="AG511" s="350">
        <v>246</v>
      </c>
      <c r="AH511" s="350">
        <v>9</v>
      </c>
      <c r="AI511" s="418">
        <v>0</v>
      </c>
    </row>
    <row r="512">
      <c r="A512" s="334"/>
      <c r="B512" s="335" t="s">
        <v>188</v>
      </c>
      <c r="C512" s="373" t="s">
        <v>196</v>
      </c>
      <c r="D512" s="377">
        <v>2526.571</v>
      </c>
      <c r="E512" s="359">
        <v>4</v>
      </c>
      <c r="F512" s="342">
        <f t="shared" si="345"/>
      </c>
      <c r="G512" s="359">
        <v>1480.0000000000018</v>
      </c>
      <c r="H512" s="428">
        <f t="shared" si="11"/>
      </c>
      <c r="I512" s="340">
        <f t="shared" si="28"/>
      </c>
      <c r="J512" s="341">
        <f t="shared" si="165"/>
      </c>
      <c r="K512" s="343">
        <f t="shared" si="197"/>
      </c>
      <c r="L512" s="344">
        <f t="shared" si="182"/>
      </c>
      <c r="M512" s="341">
        <f t="shared" si="262"/>
      </c>
      <c r="N512" s="345">
        <f t="shared" si="232"/>
      </c>
      <c r="O512" s="345">
        <f t="shared" si="247"/>
      </c>
      <c r="P512" s="345">
        <f t="shared" si="279"/>
      </c>
      <c r="Q512" s="345">
        <f t="shared" si="96"/>
      </c>
      <c r="R512" s="341">
        <f t="shared" si="294"/>
      </c>
      <c r="S512" s="343">
        <f t="shared" si="111"/>
      </c>
      <c r="T512" s="345">
        <f t="shared" si="132"/>
      </c>
      <c r="U512" s="345">
        <f t="shared" si="45"/>
      </c>
      <c r="V512" s="345">
        <f t="shared" si="62"/>
      </c>
      <c r="W512" s="345">
        <f t="shared" si="79"/>
      </c>
      <c r="X512" s="360" t="s">
        <v>181</v>
      </c>
      <c r="Y512" s="347" t="s">
        <v>205</v>
      </c>
      <c r="Z512" s="350">
        <v>272810</v>
      </c>
      <c r="AA512" s="350">
        <v>16153</v>
      </c>
      <c r="AB512" s="350">
        <v>189154</v>
      </c>
      <c r="AC512" s="350">
        <v>1409</v>
      </c>
      <c r="AD512" s="350">
        <v>5</v>
      </c>
      <c r="AE512" s="350">
        <v>19556</v>
      </c>
      <c r="AF512" s="350">
        <v>498</v>
      </c>
      <c r="AG512" s="350">
        <v>177</v>
      </c>
      <c r="AH512" s="349">
        <v>16</v>
      </c>
      <c r="AI512" s="418">
        <v>0</v>
      </c>
    </row>
    <row r="513">
      <c r="A513" s="334"/>
      <c r="B513" s="387" t="s">
        <v>187</v>
      </c>
      <c r="C513" s="387"/>
      <c r="D513" s="362">
        <f>SUM(D509:D512)</f>
      </c>
      <c r="E513" s="420">
        <f>SUM(E509:E512)</f>
      </c>
      <c r="F513" s="365">
        <f t="shared" si="345"/>
      </c>
      <c r="G513" s="362">
        <f>SUM(G509:G512)</f>
      </c>
      <c r="H513" s="429">
        <f t="shared" si="11"/>
      </c>
      <c r="I513" s="362">
        <f t="shared" si="28"/>
      </c>
      <c r="J513" s="364">
        <f t="shared" si="165"/>
      </c>
      <c r="K513" s="366">
        <f t="shared" si="197"/>
      </c>
      <c r="L513" s="367">
        <f t="shared" si="182"/>
      </c>
      <c r="M513" s="364">
        <f t="shared" si="262"/>
      </c>
      <c r="N513" s="368">
        <f t="shared" si="232"/>
      </c>
      <c r="O513" s="368">
        <f t="shared" si="247"/>
      </c>
      <c r="P513" s="368">
        <f t="shared" si="279"/>
      </c>
      <c r="Q513" s="368">
        <f t="shared" si="96"/>
      </c>
      <c r="R513" s="364">
        <f t="shared" si="294"/>
      </c>
      <c r="S513" s="366">
        <f t="shared" si="111"/>
      </c>
      <c r="T513" s="368">
        <f t="shared" si="132"/>
      </c>
      <c r="U513" s="368">
        <f t="shared" si="45"/>
      </c>
      <c r="V513" s="368">
        <f t="shared" si="62"/>
      </c>
      <c r="W513" s="368">
        <f t="shared" si="79"/>
      </c>
      <c r="X513" s="368"/>
      <c r="Y513" s="369"/>
      <c r="Z513" s="362">
        <f>SUM(Z509:Z512)</f>
      </c>
      <c r="AA513" s="362">
        <f>SUM(AA509:AA512)</f>
      </c>
      <c r="AB513" s="362">
        <f>SUM(AB509:AB512)</f>
      </c>
      <c r="AC513" s="362">
        <f>SUM(AC509:AC512)</f>
      </c>
      <c r="AD513" s="362">
        <f>SUM(AD509:AD512)</f>
      </c>
      <c r="AE513" s="362">
        <f>SUM(AE509:AE512)</f>
      </c>
      <c r="AF513" s="362">
        <f>SUM(AF509:AF512)</f>
      </c>
      <c r="AG513" s="362">
        <f>SUM(AG509:AG512)</f>
      </c>
      <c r="AH513" s="362">
        <f>SUM(AH509:AH512)</f>
      </c>
      <c r="AI513" s="420">
        <f>SUM(AI509:AI512)</f>
      </c>
    </row>
    <row customHeight="true" ht="16.071428571428573" r="514">
      <c r="A514" s="334"/>
      <c r="B514" s="335" t="s">
        <v>208</v>
      </c>
      <c r="C514" s="373" t="s">
        <v>197</v>
      </c>
      <c r="D514" s="377">
        <v>2074.55</v>
      </c>
      <c r="E514" s="359">
        <v>7</v>
      </c>
      <c r="F514" s="342">
        <f t="shared" si="345"/>
      </c>
      <c r="G514" s="359">
        <v>3364</v>
      </c>
      <c r="H514" s="428">
        <f t="shared" si="11"/>
      </c>
      <c r="I514" s="340">
        <f t="shared" si="28"/>
      </c>
      <c r="J514" s="341">
        <f t="shared" si="165"/>
      </c>
      <c r="K514" s="343">
        <f t="shared" si="197"/>
      </c>
      <c r="L514" s="344">
        <f t="shared" si="182"/>
      </c>
      <c r="M514" s="341">
        <f t="shared" si="262"/>
      </c>
      <c r="N514" s="345">
        <f t="shared" si="232"/>
      </c>
      <c r="O514" s="345">
        <f t="shared" si="247"/>
      </c>
      <c r="P514" s="345">
        <f t="shared" si="279"/>
      </c>
      <c r="Q514" s="345">
        <f t="shared" si="96"/>
      </c>
      <c r="R514" s="341">
        <f t="shared" si="294"/>
      </c>
      <c r="S514" s="343">
        <f t="shared" si="111"/>
      </c>
      <c r="T514" s="345">
        <f t="shared" si="132"/>
      </c>
      <c r="U514" s="345">
        <f t="shared" si="45"/>
      </c>
      <c r="V514" s="345">
        <f t="shared" si="62"/>
      </c>
      <c r="W514" s="345">
        <f t="shared" si="79"/>
      </c>
      <c r="X514" s="360" t="s">
        <v>181</v>
      </c>
      <c r="Y514" s="347" t="s">
        <v>205</v>
      </c>
      <c r="Z514" s="350">
        <v>238075</v>
      </c>
      <c r="AA514" s="350">
        <v>6305</v>
      </c>
      <c r="AB514" s="350">
        <v>138401</v>
      </c>
      <c r="AC514" s="350">
        <v>1088</v>
      </c>
      <c r="AD514" s="350">
        <v>7</v>
      </c>
      <c r="AE514" s="350">
        <v>11028</v>
      </c>
      <c r="AF514" s="350">
        <v>276</v>
      </c>
      <c r="AG514" s="350">
        <v>69</v>
      </c>
      <c r="AH514" s="349">
        <v>19</v>
      </c>
      <c r="AI514" s="418">
        <v>0</v>
      </c>
    </row>
    <row r="515">
      <c r="A515" s="334"/>
      <c r="B515" s="335" t="s">
        <v>208</v>
      </c>
      <c r="C515" s="374" t="s">
        <v>198</v>
      </c>
      <c r="D515" s="379">
        <v>3597.517</v>
      </c>
      <c r="E515" s="417">
        <v>10</v>
      </c>
      <c r="F515" s="342">
        <f t="shared" si="345"/>
      </c>
      <c r="G515" s="339">
        <v>4566.799999999999</v>
      </c>
      <c r="H515" s="428">
        <f t="shared" si="11"/>
      </c>
      <c r="I515" s="340">
        <f t="shared" si="28"/>
      </c>
      <c r="J515" s="341">
        <f t="shared" si="165"/>
      </c>
      <c r="K515" s="343">
        <f t="shared" si="197"/>
      </c>
      <c r="L515" s="382">
        <f t="shared" si="182"/>
      </c>
      <c r="M515" s="383">
        <f t="shared" si="262"/>
      </c>
      <c r="N515" s="384">
        <f t="shared" si="232"/>
      </c>
      <c r="O515" s="384">
        <f t="shared" si="247"/>
      </c>
      <c r="P515" s="384">
        <f t="shared" si="279"/>
      </c>
      <c r="Q515" s="384">
        <f t="shared" si="96"/>
      </c>
      <c r="R515" s="383">
        <f t="shared" si="294"/>
      </c>
      <c r="S515" s="381">
        <f t="shared" si="111"/>
      </c>
      <c r="T515" s="384">
        <f t="shared" si="132"/>
      </c>
      <c r="U515" s="384">
        <f t="shared" si="45"/>
      </c>
      <c r="V515" s="384">
        <f t="shared" si="62"/>
      </c>
      <c r="W515" s="384">
        <f t="shared" si="79"/>
      </c>
      <c r="X515" s="360" t="s">
        <v>181</v>
      </c>
      <c r="Y515" s="347" t="s">
        <v>205</v>
      </c>
      <c r="Z515" s="350">
        <v>408816</v>
      </c>
      <c r="AA515" s="350">
        <v>5766</v>
      </c>
      <c r="AB515" s="350">
        <v>216593</v>
      </c>
      <c r="AC515" s="385">
        <v>1910</v>
      </c>
      <c r="AD515" s="385">
        <v>10</v>
      </c>
      <c r="AE515" s="385">
        <v>18952</v>
      </c>
      <c r="AF515" s="385">
        <v>400</v>
      </c>
      <c r="AG515" s="385">
        <v>114</v>
      </c>
      <c r="AH515" s="385">
        <v>24</v>
      </c>
      <c r="AI515" s="418">
        <v>3</v>
      </c>
    </row>
    <row r="516">
      <c r="A516" s="334"/>
      <c r="B516" s="335" t="s">
        <v>208</v>
      </c>
      <c r="C516" s="373" t="s">
        <v>199</v>
      </c>
      <c r="D516" s="379">
        <v>3628.316</v>
      </c>
      <c r="E516" s="417">
        <v>9</v>
      </c>
      <c r="F516" s="342">
        <f t="shared" si="345"/>
      </c>
      <c r="G516" s="339">
        <v>1904.6000000000058</v>
      </c>
      <c r="H516" s="428">
        <f t="shared" si="11"/>
      </c>
      <c r="I516" s="340">
        <f t="shared" si="28"/>
      </c>
      <c r="J516" s="341">
        <f t="shared" si="165"/>
      </c>
      <c r="K516" s="343">
        <f t="shared" si="197"/>
      </c>
      <c r="L516" s="382">
        <f t="shared" si="182"/>
      </c>
      <c r="M516" s="383">
        <f t="shared" si="262"/>
      </c>
      <c r="N516" s="384">
        <f t="shared" si="232"/>
      </c>
      <c r="O516" s="384">
        <f t="shared" si="247"/>
      </c>
      <c r="P516" s="384">
        <f t="shared" si="279"/>
      </c>
      <c r="Q516" s="384">
        <f t="shared" si="96"/>
      </c>
      <c r="R516" s="383">
        <f t="shared" si="294"/>
      </c>
      <c r="S516" s="381">
        <f t="shared" si="111"/>
      </c>
      <c r="T516" s="384">
        <f t="shared" si="132"/>
      </c>
      <c r="U516" s="384">
        <f t="shared" si="45"/>
      </c>
      <c r="V516" s="384">
        <f t="shared" si="62"/>
      </c>
      <c r="W516" s="384">
        <f t="shared" si="79"/>
      </c>
      <c r="X516" s="360" t="s">
        <v>181</v>
      </c>
      <c r="Y516" s="347" t="s">
        <v>205</v>
      </c>
      <c r="Z516" s="350">
        <v>457155</v>
      </c>
      <c r="AA516" s="350">
        <v>5783</v>
      </c>
      <c r="AB516" s="350">
        <v>266027</v>
      </c>
      <c r="AC516" s="385">
        <v>1927</v>
      </c>
      <c r="AD516" s="385">
        <v>7</v>
      </c>
      <c r="AE516" s="385">
        <v>19350</v>
      </c>
      <c r="AF516" s="385">
        <v>413</v>
      </c>
      <c r="AG516" s="385">
        <v>131</v>
      </c>
      <c r="AH516" s="385">
        <v>27</v>
      </c>
      <c r="AI516" s="418">
        <v>1</v>
      </c>
    </row>
    <row r="517">
      <c r="A517" s="334"/>
      <c r="B517" s="335" t="s">
        <v>208</v>
      </c>
      <c r="C517" s="386" t="s">
        <v>200</v>
      </c>
      <c r="D517" s="377">
        <v>2310.1850000000004</v>
      </c>
      <c r="E517" s="359">
        <v>6</v>
      </c>
      <c r="F517" s="342">
        <f t="shared" si="345"/>
      </c>
      <c r="G517" s="359">
        <v>1237.199999999997</v>
      </c>
      <c r="H517" s="428">
        <f t="shared" si="11"/>
      </c>
      <c r="I517" s="340">
        <f t="shared" si="28"/>
      </c>
      <c r="J517" s="341">
        <f t="shared" si="165"/>
      </c>
      <c r="K517" s="343">
        <f t="shared" si="197"/>
      </c>
      <c r="L517" s="382">
        <f t="shared" si="182"/>
      </c>
      <c r="M517" s="383">
        <f t="shared" si="262"/>
      </c>
      <c r="N517" s="384">
        <f t="shared" si="232"/>
      </c>
      <c r="O517" s="384">
        <f t="shared" si="247"/>
      </c>
      <c r="P517" s="384">
        <f t="shared" si="279"/>
      </c>
      <c r="Q517" s="384">
        <f t="shared" si="96"/>
      </c>
      <c r="R517" s="383">
        <f t="shared" si="294"/>
      </c>
      <c r="S517" s="381">
        <f t="shared" si="111"/>
      </c>
      <c r="T517" s="384">
        <f t="shared" si="132"/>
      </c>
      <c r="U517" s="384">
        <f t="shared" si="45"/>
      </c>
      <c r="V517" s="384">
        <f t="shared" si="62"/>
      </c>
      <c r="W517" s="384">
        <f t="shared" si="79"/>
      </c>
      <c r="X517" s="360" t="s">
        <v>181</v>
      </c>
      <c r="Y517" s="347" t="s">
        <v>205</v>
      </c>
      <c r="Z517" s="350">
        <v>225919</v>
      </c>
      <c r="AA517" s="350">
        <v>4431</v>
      </c>
      <c r="AB517" s="350">
        <v>145034</v>
      </c>
      <c r="AC517" s="350">
        <v>1402</v>
      </c>
      <c r="AD517" s="350">
        <v>6</v>
      </c>
      <c r="AE517" s="350">
        <v>16526</v>
      </c>
      <c r="AF517" s="350">
        <v>365</v>
      </c>
      <c r="AG517" s="350">
        <v>109</v>
      </c>
      <c r="AH517" s="349">
        <v>18</v>
      </c>
      <c r="AI517" s="418">
        <v>0</v>
      </c>
    </row>
    <row r="518">
      <c r="A518" s="334"/>
      <c r="B518" s="335" t="s">
        <v>208</v>
      </c>
      <c r="C518" s="439" t="s">
        <v>212</v>
      </c>
      <c r="D518" s="440">
        <v>1720.024</v>
      </c>
      <c r="E518" s="359">
        <v>7</v>
      </c>
      <c r="F518" s="342">
        <f t="shared" si="345"/>
      </c>
      <c r="G518" s="359">
        <v>1521.2000000000044</v>
      </c>
      <c r="H518" s="430">
        <f t="shared" si="11"/>
      </c>
      <c r="I518" s="340">
        <f t="shared" si="28"/>
      </c>
      <c r="J518" s="341">
        <f t="shared" si="165"/>
      </c>
      <c r="K518" s="343">
        <f t="shared" si="197"/>
      </c>
      <c r="L518" s="382">
        <f t="shared" si="182"/>
      </c>
      <c r="M518" s="383">
        <f t="shared" si="262"/>
      </c>
      <c r="N518" s="384">
        <f t="shared" si="232"/>
      </c>
      <c r="O518" s="384">
        <f t="shared" si="247"/>
      </c>
      <c r="P518" s="384">
        <f t="shared" si="279"/>
      </c>
      <c r="Q518" s="384">
        <f t="shared" si="96"/>
      </c>
      <c r="R518" s="383">
        <f t="shared" si="294"/>
      </c>
      <c r="S518" s="381">
        <f t="shared" si="111"/>
      </c>
      <c r="T518" s="384">
        <f t="shared" si="132"/>
      </c>
      <c r="U518" s="384">
        <f t="shared" si="45"/>
      </c>
      <c r="V518" s="384">
        <f t="shared" si="62"/>
      </c>
      <c r="W518" s="384">
        <f t="shared" si="79"/>
      </c>
      <c r="X518" s="360" t="s">
        <v>181</v>
      </c>
      <c r="Y518" s="347" t="s">
        <v>205</v>
      </c>
      <c r="Z518" s="350">
        <v>129090</v>
      </c>
      <c r="AA518" s="350">
        <v>4137</v>
      </c>
      <c r="AB518" s="350">
        <v>79125</v>
      </c>
      <c r="AC518" s="350">
        <v>871</v>
      </c>
      <c r="AD518" s="350">
        <v>5</v>
      </c>
      <c r="AE518" s="350">
        <v>12914</v>
      </c>
      <c r="AF518" s="350">
        <v>313</v>
      </c>
      <c r="AG518" s="350">
        <v>103</v>
      </c>
      <c r="AH518" s="349">
        <v>14</v>
      </c>
      <c r="AI518" s="418">
        <v>0</v>
      </c>
    </row>
    <row r="519">
      <c r="A519" s="334"/>
      <c r="B519" s="387" t="s">
        <v>187</v>
      </c>
      <c r="C519" s="387"/>
      <c r="D519" s="362">
        <f>SUM(D514:D518)</f>
      </c>
      <c r="E519" s="362">
        <f>SUM(E514:E518)</f>
      </c>
      <c r="F519" s="366">
        <f t="shared" si="345"/>
      </c>
      <c r="G519" s="431">
        <f>SUM(G514:G518)</f>
      </c>
      <c r="H519" s="432">
        <f t="shared" si="11"/>
      </c>
      <c r="I519" s="433">
        <f t="shared" si="28"/>
      </c>
      <c r="J519" s="364">
        <f t="shared" si="165"/>
      </c>
      <c r="K519" s="366">
        <f t="shared" si="197"/>
      </c>
      <c r="L519" s="367">
        <f t="shared" si="182"/>
      </c>
      <c r="M519" s="364">
        <f t="shared" si="262"/>
      </c>
      <c r="N519" s="368">
        <f t="shared" si="232"/>
      </c>
      <c r="O519" s="368">
        <f t="shared" si="247"/>
      </c>
      <c r="P519" s="368">
        <f t="shared" si="279"/>
      </c>
      <c r="Q519" s="368">
        <f t="shared" si="96"/>
      </c>
      <c r="R519" s="364">
        <f t="shared" si="294"/>
      </c>
      <c r="S519" s="366">
        <f t="shared" si="111"/>
      </c>
      <c r="T519" s="368">
        <f t="shared" si="132"/>
      </c>
      <c r="U519" s="368">
        <f t="shared" si="45"/>
      </c>
      <c r="V519" s="368">
        <f t="shared" si="62"/>
      </c>
      <c r="W519" s="368">
        <f t="shared" si="79"/>
      </c>
      <c r="X519" s="368"/>
      <c r="Y519" s="369"/>
      <c r="Z519" s="362">
        <f>SUM(Z514:Z518)</f>
      </c>
      <c r="AA519" s="362">
        <f>SUM(AA514:AA518)</f>
      </c>
      <c r="AB519" s="362">
        <f>SUM(AB514:AB518)</f>
      </c>
      <c r="AC519" s="362">
        <f>SUM(AC514:AC518)</f>
      </c>
      <c r="AD519" s="362">
        <f>SUM(AD514:AD518)</f>
      </c>
      <c r="AE519" s="362">
        <f>SUM(AE514:AE518)</f>
      </c>
      <c r="AF519" s="362">
        <f>SUM(AF514:AF518)</f>
      </c>
      <c r="AG519" s="362">
        <f>SUM(AG514:AG518)</f>
      </c>
      <c r="AH519" s="362">
        <f>SUM(AH514:AH518)</f>
      </c>
      <c r="AI519" s="362">
        <f>SUM(AI514:AI518)</f>
      </c>
    </row>
    <row r="520">
      <c r="A520" s="334"/>
      <c r="B520" s="388" t="s">
        <v>201</v>
      </c>
      <c r="C520" s="388"/>
      <c r="D520" s="389">
        <f>SUM(D519+D505+D508+D513)</f>
      </c>
      <c r="E520" s="442">
        <f>SUM(E519+E505+E508+E513)</f>
      </c>
      <c r="F520" s="393">
        <f t="shared" si="345"/>
      </c>
      <c r="G520" s="434">
        <f>SUM(G519+G505+G508+G513)</f>
      </c>
      <c r="H520" s="441">
        <f t="shared" si="11"/>
      </c>
      <c r="I520" s="436">
        <f t="shared" si="28"/>
      </c>
      <c r="J520" s="391">
        <f t="shared" si="165"/>
      </c>
      <c r="K520" s="393">
        <f t="shared" si="197"/>
      </c>
      <c r="L520" s="394">
        <f t="shared" si="182"/>
      </c>
      <c r="M520" s="394">
        <f t="shared" si="262"/>
      </c>
      <c r="N520" s="395">
        <f t="shared" si="232"/>
      </c>
      <c r="O520" s="395">
        <f t="shared" si="247"/>
      </c>
      <c r="P520" s="395">
        <f t="shared" si="279"/>
      </c>
      <c r="Q520" s="395">
        <f t="shared" si="96"/>
      </c>
      <c r="R520" s="396">
        <f t="shared" si="294"/>
      </c>
      <c r="S520" s="397">
        <f t="shared" si="111"/>
      </c>
      <c r="T520" s="398">
        <f t="shared" si="132"/>
      </c>
      <c r="U520" s="398">
        <f t="shared" si="45"/>
      </c>
      <c r="V520" s="398">
        <f t="shared" si="62"/>
      </c>
      <c r="W520" s="398">
        <f t="shared" si="79"/>
      </c>
      <c r="X520" s="398"/>
      <c r="Y520" s="399"/>
      <c r="Z520" s="390">
        <f>SUM(Z505+Z519+Z508+Z513)</f>
      </c>
      <c r="AA520" s="390">
        <f>SUM(AA505+AA519+AA508+AA513)</f>
      </c>
      <c r="AB520" s="390">
        <f>SUM(AB505+AB519+AB508+AB513)</f>
      </c>
      <c r="AC520" s="390">
        <f>SUM(AC505+AC519+AC508+AC513)</f>
      </c>
      <c r="AD520" s="390">
        <f>SUM(AD505+AD519+AD508+AD513)</f>
      </c>
      <c r="AE520" s="390">
        <f>SUM(AE505+AE519+AE508+AE513)</f>
      </c>
      <c r="AF520" s="390">
        <f>SUM(AF505+AF519+AF508+AF513)</f>
      </c>
      <c r="AG520" s="390">
        <f>SUM(AG505+AG519+AG508+AG513)</f>
      </c>
      <c r="AH520" s="390">
        <f>SUM(AH505+AH519+AH508+AH513)</f>
      </c>
      <c r="AI520" s="390">
        <f>SUM(AI505+AI519+AI508+AI513)</f>
      </c>
    </row>
    <row r="521">
      <c r="A521" s="319" t="s">
        <v>145</v>
      </c>
      <c r="B521" s="320" t="s">
        <v>146</v>
      </c>
      <c r="C521" s="321" t="s">
        <v>147</v>
      </c>
      <c r="D521" s="322" t="s">
        <v>148</v>
      </c>
      <c r="E521" s="426" t="s">
        <v>213</v>
      </c>
      <c r="F521" s="427" t="s">
        <v>214</v>
      </c>
      <c r="G521" s="324" t="s">
        <v>150</v>
      </c>
      <c r="H521" s="427" t="s">
        <v>215</v>
      </c>
      <c r="I521" s="324" t="s">
        <v>151</v>
      </c>
      <c r="J521" s="325" t="s">
        <v>152</v>
      </c>
      <c r="K521" s="325" t="s">
        <v>154</v>
      </c>
      <c r="L521" s="326" t="s">
        <v>155</v>
      </c>
      <c r="M521" s="326" t="s">
        <v>156</v>
      </c>
      <c r="N521" s="326" t="s">
        <v>157</v>
      </c>
      <c r="O521" s="326" t="s">
        <v>158</v>
      </c>
      <c r="P521" s="326" t="s">
        <v>159</v>
      </c>
      <c r="Q521" s="326" t="s">
        <v>160</v>
      </c>
      <c r="R521" s="326" t="s">
        <v>161</v>
      </c>
      <c r="S521" s="326" t="s">
        <v>162</v>
      </c>
      <c r="T521" s="327" t="s">
        <v>163</v>
      </c>
      <c r="U521" s="327" t="s">
        <v>164</v>
      </c>
      <c r="V521" s="327" t="s">
        <v>165</v>
      </c>
      <c r="W521" s="327" t="s">
        <v>166</v>
      </c>
      <c r="X521" s="328" t="s">
        <v>167</v>
      </c>
      <c r="Y521" s="328" t="s">
        <v>168</v>
      </c>
      <c r="Z521" s="329" t="s">
        <v>169</v>
      </c>
      <c r="AA521" s="329" t="s">
        <v>170</v>
      </c>
      <c r="AB521" s="329" t="s">
        <v>171</v>
      </c>
      <c r="AC521" s="330" t="s">
        <v>172</v>
      </c>
      <c r="AD521" s="330" t="s">
        <v>173</v>
      </c>
      <c r="AE521" s="331" t="s">
        <v>174</v>
      </c>
      <c r="AF521" s="330" t="s">
        <v>175</v>
      </c>
      <c r="AG521" s="330" t="s">
        <v>176</v>
      </c>
      <c r="AH521" s="332" t="s">
        <v>177</v>
      </c>
      <c r="AI521" s="333" t="s">
        <v>178</v>
      </c>
    </row>
    <row r="522">
      <c r="A522" s="334">
        <v>46261</v>
      </c>
      <c r="B522" s="335" t="s">
        <v>188</v>
      </c>
      <c r="C522" s="354" t="s">
        <v>180</v>
      </c>
      <c r="D522" s="337">
        <v>3228.858</v>
      </c>
      <c r="E522" s="417">
        <v>3</v>
      </c>
      <c r="F522" s="342">
        <f t="shared" ref="F522:F542" si="346">D522/E522</f>
      </c>
      <c r="G522" s="339">
        <v>1845.6</v>
      </c>
      <c r="H522" s="428">
        <f t="shared" ref="H522:H542" si="12">AD522</f>
      </c>
      <c r="I522" s="340">
        <f t="shared" ref="I522:I542" si="29">D522/AD522</f>
      </c>
      <c r="J522" s="341">
        <f t="shared" ref="J522:J542" si="166">G522/E522</f>
      </c>
      <c r="K522" s="343">
        <f t="shared" ref="K522:K542" si="198">G522/D522</f>
      </c>
      <c r="L522" s="344">
        <f t="shared" ref="L522:L542" si="183">D522/AB522</f>
      </c>
      <c r="M522" s="341">
        <f t="shared" ref="M522:M542" si="263">D522/AC522</f>
      </c>
      <c r="N522" s="345">
        <f t="shared" ref="N522:N542" si="233">AC522/AB522</f>
      </c>
      <c r="O522" s="345">
        <f t="shared" ref="O522:O542" si="248">AD522/AC522</f>
      </c>
      <c r="P522" s="345">
        <f t="shared" ref="P522:P542" si="280">AA522/Z522</f>
      </c>
      <c r="Q522" s="345">
        <f t="shared" ref="Q522:Q542" si="97">AD522/AA522</f>
      </c>
      <c r="R522" s="341">
        <f t="shared" ref="R522:R542" si="295">D522/Z522*1000</f>
      </c>
      <c r="S522" s="343">
        <f t="shared" ref="S522:S542" si="112">D522/AA522</f>
      </c>
      <c r="T522" s="345">
        <f t="shared" ref="T522:T542" si="133">AE522/AB522</f>
      </c>
      <c r="U522" s="345">
        <f t="shared" ref="U522:U542" si="46">AF522/AB522</f>
      </c>
      <c r="V522" s="345">
        <f t="shared" ref="V522:V542" si="63">AG522/AB522</f>
      </c>
      <c r="W522" s="345">
        <f t="shared" ref="W522:W542" si="80">AH522/AB522</f>
      </c>
      <c r="X522" s="346" t="s">
        <v>181</v>
      </c>
      <c r="Y522" s="347" t="s">
        <v>193</v>
      </c>
      <c r="Z522" s="348">
        <v>160922</v>
      </c>
      <c r="AA522" s="348">
        <v>5412</v>
      </c>
      <c r="AB522" s="348">
        <v>130216</v>
      </c>
      <c r="AC522" s="348">
        <v>1466</v>
      </c>
      <c r="AD522" s="349">
        <v>2</v>
      </c>
      <c r="AE522" s="348">
        <v>31066</v>
      </c>
      <c r="AF522" s="350">
        <v>589</v>
      </c>
      <c r="AG522" s="350">
        <v>186</v>
      </c>
      <c r="AH522" s="350">
        <v>22</v>
      </c>
      <c r="AI522" s="418">
        <v>1</v>
      </c>
    </row>
    <row r="523">
      <c r="A523" s="334"/>
      <c r="B523" s="335" t="s">
        <v>188</v>
      </c>
      <c r="C523" s="336" t="s">
        <v>183</v>
      </c>
      <c r="D523" s="337">
        <v>2765.808</v>
      </c>
      <c r="E523" s="417">
        <v>8</v>
      </c>
      <c r="F523" s="342">
        <f t="shared" si="346"/>
      </c>
      <c r="G523" s="339">
        <v>3424.2000000000003</v>
      </c>
      <c r="H523" s="428">
        <f t="shared" si="12"/>
      </c>
      <c r="I523" s="340">
        <f t="shared" si="29"/>
      </c>
      <c r="J523" s="341">
        <f t="shared" si="166"/>
      </c>
      <c r="K523" s="343">
        <f t="shared" si="198"/>
      </c>
      <c r="L523" s="344">
        <f t="shared" si="183"/>
      </c>
      <c r="M523" s="341">
        <f t="shared" si="263"/>
      </c>
      <c r="N523" s="345">
        <f t="shared" si="233"/>
      </c>
      <c r="O523" s="345">
        <f t="shared" si="248"/>
      </c>
      <c r="P523" s="345">
        <f t="shared" si="280"/>
      </c>
      <c r="Q523" s="345">
        <f t="shared" si="97"/>
      </c>
      <c r="R523" s="341">
        <f t="shared" si="295"/>
      </c>
      <c r="S523" s="343">
        <f t="shared" si="112"/>
      </c>
      <c r="T523" s="345">
        <f t="shared" si="133"/>
      </c>
      <c r="U523" s="345">
        <f t="shared" si="46"/>
      </c>
      <c r="V523" s="345">
        <f t="shared" si="63"/>
      </c>
      <c r="W523" s="345">
        <f t="shared" si="80"/>
      </c>
      <c r="X523" s="360" t="s">
        <v>181</v>
      </c>
      <c r="Y523" s="347" t="s">
        <v>193</v>
      </c>
      <c r="Z523" s="350">
        <v>133255</v>
      </c>
      <c r="AA523" s="348">
        <v>6256</v>
      </c>
      <c r="AB523" s="348">
        <v>101693</v>
      </c>
      <c r="AC523" s="348">
        <v>1373</v>
      </c>
      <c r="AD523" s="350">
        <v>8</v>
      </c>
      <c r="AE523" s="348">
        <v>23154</v>
      </c>
      <c r="AF523" s="350">
        <v>445</v>
      </c>
      <c r="AG523" s="350">
        <v>131</v>
      </c>
      <c r="AH523" s="349">
        <v>10</v>
      </c>
      <c r="AI523" s="418">
        <v>1</v>
      </c>
    </row>
    <row r="524">
      <c r="A524" s="334"/>
      <c r="B524" s="335" t="s">
        <v>188</v>
      </c>
      <c r="C524" s="351" t="s">
        <v>184</v>
      </c>
      <c r="D524" s="377">
        <v>1829.6929999999998</v>
      </c>
      <c r="E524" s="359">
        <v>4</v>
      </c>
      <c r="F524" s="342">
        <f t="shared" si="346"/>
      </c>
      <c r="G524" s="359">
        <v>880</v>
      </c>
      <c r="H524" s="428">
        <f t="shared" si="12"/>
      </c>
      <c r="I524" s="340">
        <f t="shared" si="29"/>
      </c>
      <c r="J524" s="341">
        <f t="shared" si="166"/>
      </c>
      <c r="K524" s="343">
        <f t="shared" si="198"/>
      </c>
      <c r="L524" s="344">
        <f t="shared" si="183"/>
      </c>
      <c r="M524" s="341">
        <f t="shared" si="263"/>
      </c>
      <c r="N524" s="345">
        <f t="shared" si="233"/>
      </c>
      <c r="O524" s="345">
        <f t="shared" si="248"/>
      </c>
      <c r="P524" s="345">
        <f t="shared" si="280"/>
      </c>
      <c r="Q524" s="345">
        <f t="shared" si="97"/>
      </c>
      <c r="R524" s="341">
        <f t="shared" si="295"/>
      </c>
      <c r="S524" s="343">
        <f t="shared" si="112"/>
      </c>
      <c r="T524" s="345">
        <f t="shared" si="133"/>
      </c>
      <c r="U524" s="345">
        <f t="shared" si="46"/>
      </c>
      <c r="V524" s="345">
        <f t="shared" si="63"/>
      </c>
      <c r="W524" s="345">
        <f t="shared" si="80"/>
      </c>
      <c r="X524" s="360" t="s">
        <v>181</v>
      </c>
      <c r="Y524" s="347" t="s">
        <v>193</v>
      </c>
      <c r="Z524" s="350">
        <v>91027</v>
      </c>
      <c r="AA524" s="350">
        <v>5605</v>
      </c>
      <c r="AB524" s="350">
        <v>73579</v>
      </c>
      <c r="AC524" s="350">
        <v>945</v>
      </c>
      <c r="AD524" s="350">
        <v>3</v>
      </c>
      <c r="AE524" s="350">
        <v>14625</v>
      </c>
      <c r="AF524" s="350">
        <v>337</v>
      </c>
      <c r="AG524" s="350">
        <v>90</v>
      </c>
      <c r="AH524" s="350">
        <v>13</v>
      </c>
      <c r="AI524" s="418">
        <v>0</v>
      </c>
    </row>
    <row r="525">
      <c r="A525" s="334"/>
      <c r="B525" s="335" t="s">
        <v>188</v>
      </c>
      <c r="C525" s="416" t="s">
        <v>185</v>
      </c>
      <c r="D525" s="377">
        <v>1544.69</v>
      </c>
      <c r="E525" s="359">
        <v>6</v>
      </c>
      <c r="F525" s="342">
        <f t="shared" si="346"/>
      </c>
      <c r="G525" s="359">
        <v>1926.3000000000002</v>
      </c>
      <c r="H525" s="428">
        <f t="shared" si="12"/>
      </c>
      <c r="I525" s="340">
        <f t="shared" si="29"/>
      </c>
      <c r="J525" s="341">
        <f t="shared" si="166"/>
      </c>
      <c r="K525" s="343">
        <f t="shared" si="198"/>
      </c>
      <c r="L525" s="344">
        <f t="shared" si="183"/>
      </c>
      <c r="M525" s="341">
        <f t="shared" si="263"/>
      </c>
      <c r="N525" s="345">
        <f t="shared" si="233"/>
      </c>
      <c r="O525" s="345">
        <f t="shared" si="248"/>
      </c>
      <c r="P525" s="345">
        <f t="shared" si="280"/>
      </c>
      <c r="Q525" s="345">
        <f t="shared" si="97"/>
      </c>
      <c r="R525" s="341">
        <f t="shared" si="295"/>
      </c>
      <c r="S525" s="343">
        <f t="shared" si="112"/>
      </c>
      <c r="T525" s="345">
        <f t="shared" si="133"/>
      </c>
      <c r="U525" s="345">
        <f t="shared" si="46"/>
      </c>
      <c r="V525" s="345">
        <f t="shared" si="63"/>
      </c>
      <c r="W525" s="345">
        <f t="shared" si="80"/>
      </c>
      <c r="X525" s="360" t="s">
        <v>181</v>
      </c>
      <c r="Y525" s="347" t="s">
        <v>193</v>
      </c>
      <c r="Z525" s="350">
        <v>91521</v>
      </c>
      <c r="AA525" s="350">
        <v>10755</v>
      </c>
      <c r="AB525" s="350">
        <v>71204</v>
      </c>
      <c r="AC525" s="350">
        <v>823</v>
      </c>
      <c r="AD525" s="350">
        <v>6</v>
      </c>
      <c r="AE525" s="350">
        <v>11758</v>
      </c>
      <c r="AF525" s="350">
        <v>296</v>
      </c>
      <c r="AG525" s="350">
        <v>71</v>
      </c>
      <c r="AH525" s="349">
        <v>9</v>
      </c>
      <c r="AI525" s="418">
        <v>1</v>
      </c>
    </row>
    <row r="526">
      <c r="A526" s="334"/>
      <c r="B526" s="387" t="s">
        <v>187</v>
      </c>
      <c r="C526" s="387"/>
      <c r="D526" s="362">
        <f>SUM(D522:D525)</f>
      </c>
      <c r="E526" s="362">
        <f>SUM(E522:E525)</f>
      </c>
      <c r="F526" s="366">
        <f t="shared" si="346"/>
      </c>
      <c r="G526" s="431">
        <f>SUM(G522:G525)</f>
      </c>
      <c r="H526" s="432">
        <f t="shared" si="12"/>
      </c>
      <c r="I526" s="433">
        <f t="shared" si="29"/>
      </c>
      <c r="J526" s="364">
        <f t="shared" si="166"/>
      </c>
      <c r="K526" s="366">
        <f t="shared" si="198"/>
      </c>
      <c r="L526" s="367">
        <f t="shared" si="183"/>
      </c>
      <c r="M526" s="364">
        <f t="shared" si="263"/>
      </c>
      <c r="N526" s="368">
        <f t="shared" si="233"/>
      </c>
      <c r="O526" s="368">
        <f t="shared" si="248"/>
      </c>
      <c r="P526" s="368">
        <f t="shared" si="280"/>
      </c>
      <c r="Q526" s="368">
        <f t="shared" si="97"/>
      </c>
      <c r="R526" s="364">
        <f t="shared" si="295"/>
      </c>
      <c r="S526" s="366">
        <f t="shared" si="112"/>
      </c>
      <c r="T526" s="368">
        <f t="shared" si="133"/>
      </c>
      <c r="U526" s="368">
        <f t="shared" si="46"/>
      </c>
      <c r="V526" s="368">
        <f t="shared" si="63"/>
      </c>
      <c r="W526" s="368">
        <f t="shared" si="80"/>
      </c>
      <c r="X526" s="368"/>
      <c r="Y526" s="369"/>
      <c r="Z526" s="362">
        <f>SUM(Z522:Z525)</f>
      </c>
      <c r="AA526" s="362">
        <f>SUM(AA522:AA525)</f>
      </c>
      <c r="AB526" s="362">
        <f>SUM(AB522:AB525)</f>
      </c>
      <c r="AC526" s="362">
        <f>SUM(AC522:AC525)</f>
      </c>
      <c r="AD526" s="362">
        <f>SUM(AD522:AD525)</f>
      </c>
      <c r="AE526" s="362">
        <f>SUM(AE522:AE525)</f>
      </c>
      <c r="AF526" s="362">
        <f>SUM(AF522:AF525)</f>
      </c>
      <c r="AG526" s="362">
        <f>SUM(AG522:AG525)</f>
      </c>
      <c r="AH526" s="362">
        <f>SUM(AH522:AH525)</f>
      </c>
      <c r="AI526" s="362">
        <f>SUM(AI522:AI525)</f>
      </c>
    </row>
    <row r="527">
      <c r="A527" s="334"/>
      <c r="B527" s="335" t="s">
        <v>195</v>
      </c>
      <c r="C527" s="416" t="s">
        <v>186</v>
      </c>
      <c r="D527" s="371">
        <v>1649.932</v>
      </c>
      <c r="E527" s="419">
        <v>3</v>
      </c>
      <c r="F527" s="342">
        <f t="shared" si="346"/>
      </c>
      <c r="G527" s="359">
        <v>578.2999999999993</v>
      </c>
      <c r="H527" s="428">
        <f t="shared" si="12"/>
      </c>
      <c r="I527" s="340">
        <f t="shared" si="29"/>
      </c>
      <c r="J527" s="341">
        <f t="shared" si="166"/>
      </c>
      <c r="K527" s="343">
        <f t="shared" si="198"/>
      </c>
      <c r="L527" s="344">
        <f t="shared" si="183"/>
      </c>
      <c r="M527" s="341">
        <f t="shared" si="263"/>
      </c>
      <c r="N527" s="345">
        <f t="shared" si="233"/>
      </c>
      <c r="O527" s="345">
        <f t="shared" si="248"/>
      </c>
      <c r="P527" s="345">
        <f t="shared" si="280"/>
      </c>
      <c r="Q527" s="345">
        <f t="shared" si="97"/>
      </c>
      <c r="R527" s="341">
        <f t="shared" si="295"/>
      </c>
      <c r="S527" s="343">
        <f t="shared" si="112"/>
      </c>
      <c r="T527" s="345">
        <f t="shared" si="133"/>
      </c>
      <c r="U527" s="345">
        <f t="shared" si="46"/>
      </c>
      <c r="V527" s="345">
        <f t="shared" si="63"/>
      </c>
      <c r="W527" s="345">
        <f t="shared" si="80"/>
      </c>
      <c r="X527" s="360" t="s">
        <v>181</v>
      </c>
      <c r="Y527" s="347" t="s">
        <v>193</v>
      </c>
      <c r="Z527" s="350">
        <v>96979</v>
      </c>
      <c r="AA527" s="350">
        <v>30278</v>
      </c>
      <c r="AB527" s="350">
        <v>72037</v>
      </c>
      <c r="AC527" s="350">
        <v>751</v>
      </c>
      <c r="AD527" s="350">
        <v>3</v>
      </c>
      <c r="AE527" s="350">
        <v>9223</v>
      </c>
      <c r="AF527" s="350">
        <v>327</v>
      </c>
      <c r="AG527" s="350">
        <v>72</v>
      </c>
      <c r="AH527" s="350">
        <v>15</v>
      </c>
      <c r="AI527" s="418">
        <v>1</v>
      </c>
    </row>
    <row r="528">
      <c r="A528" s="334"/>
      <c r="B528" s="335" t="s">
        <v>195</v>
      </c>
      <c r="C528" s="370" t="s">
        <v>189</v>
      </c>
      <c r="D528" s="371">
        <v>1132.558</v>
      </c>
      <c r="E528" s="419">
        <v>8</v>
      </c>
      <c r="F528" s="342">
        <f t="shared" si="346"/>
      </c>
      <c r="G528" s="359">
        <v>3935.5</v>
      </c>
      <c r="H528" s="428">
        <f t="shared" si="12"/>
      </c>
      <c r="I528" s="340">
        <f t="shared" si="29"/>
      </c>
      <c r="J528" s="341">
        <f t="shared" si="166"/>
      </c>
      <c r="K528" s="343">
        <f t="shared" si="198"/>
      </c>
      <c r="L528" s="344">
        <f t="shared" si="183"/>
      </c>
      <c r="M528" s="341">
        <f t="shared" si="263"/>
      </c>
      <c r="N528" s="345">
        <f t="shared" si="233"/>
      </c>
      <c r="O528" s="345">
        <f t="shared" si="248"/>
      </c>
      <c r="P528" s="345">
        <f t="shared" si="280"/>
      </c>
      <c r="Q528" s="345">
        <f t="shared" si="97"/>
      </c>
      <c r="R528" s="341">
        <f t="shared" si="295"/>
      </c>
      <c r="S528" s="343">
        <f t="shared" si="112"/>
      </c>
      <c r="T528" s="345">
        <f t="shared" si="133"/>
      </c>
      <c r="U528" s="345">
        <f t="shared" si="46"/>
      </c>
      <c r="V528" s="345">
        <f t="shared" si="63"/>
      </c>
      <c r="W528" s="345">
        <f t="shared" si="80"/>
      </c>
      <c r="X528" s="360" t="s">
        <v>181</v>
      </c>
      <c r="Y528" s="347" t="s">
        <v>193</v>
      </c>
      <c r="Z528" s="350">
        <v>64487</v>
      </c>
      <c r="AA528" s="350">
        <v>17580</v>
      </c>
      <c r="AB528" s="350">
        <v>45693</v>
      </c>
      <c r="AC528" s="350">
        <v>438</v>
      </c>
      <c r="AD528" s="350">
        <v>4</v>
      </c>
      <c r="AE528" s="350">
        <v>4853</v>
      </c>
      <c r="AF528" s="350">
        <v>164</v>
      </c>
      <c r="AG528" s="350">
        <v>30</v>
      </c>
      <c r="AH528" s="350">
        <v>7</v>
      </c>
      <c r="AI528" s="418">
        <v>4</v>
      </c>
    </row>
    <row customHeight="true" ht="16.071428571428573" r="529">
      <c r="A529" s="334"/>
      <c r="B529" s="335" t="s">
        <v>195</v>
      </c>
      <c r="C529" s="372" t="s">
        <v>190</v>
      </c>
      <c r="D529" s="377">
        <v>3541.803</v>
      </c>
      <c r="E529" s="359">
        <v>7</v>
      </c>
      <c r="F529" s="342">
        <f t="shared" si="346"/>
      </c>
      <c r="G529" s="359">
        <v>2185.2000000000007</v>
      </c>
      <c r="H529" s="428">
        <f t="shared" si="12"/>
      </c>
      <c r="I529" s="340">
        <f t="shared" si="29"/>
      </c>
      <c r="J529" s="341">
        <f t="shared" si="166"/>
      </c>
      <c r="K529" s="343">
        <f t="shared" si="198"/>
      </c>
      <c r="L529" s="344">
        <f t="shared" si="183"/>
      </c>
      <c r="M529" s="341">
        <f t="shared" si="263"/>
      </c>
      <c r="N529" s="345">
        <f t="shared" si="233"/>
      </c>
      <c r="O529" s="345">
        <f t="shared" si="248"/>
      </c>
      <c r="P529" s="345">
        <f t="shared" si="280"/>
      </c>
      <c r="Q529" s="345">
        <f t="shared" si="97"/>
      </c>
      <c r="R529" s="341">
        <f t="shared" si="295"/>
      </c>
      <c r="S529" s="343">
        <f t="shared" si="112"/>
      </c>
      <c r="T529" s="345">
        <f t="shared" si="133"/>
      </c>
      <c r="U529" s="345">
        <f t="shared" si="46"/>
      </c>
      <c r="V529" s="345">
        <f t="shared" si="63"/>
      </c>
      <c r="W529" s="345">
        <f t="shared" si="80"/>
      </c>
      <c r="X529" s="360" t="s">
        <v>181</v>
      </c>
      <c r="Y529" s="347" t="s">
        <v>193</v>
      </c>
      <c r="Z529" s="350">
        <v>261577</v>
      </c>
      <c r="AA529" s="350">
        <v>63829</v>
      </c>
      <c r="AB529" s="350">
        <v>205847</v>
      </c>
      <c r="AC529" s="350">
        <v>1627</v>
      </c>
      <c r="AD529" s="350">
        <v>5</v>
      </c>
      <c r="AE529" s="350">
        <v>18762</v>
      </c>
      <c r="AF529" s="350">
        <v>476</v>
      </c>
      <c r="AG529" s="350">
        <v>164</v>
      </c>
      <c r="AH529" s="350">
        <v>33</v>
      </c>
      <c r="AI529" s="418">
        <v>1</v>
      </c>
    </row>
    <row customHeight="true" ht="16.071428571428573" r="530">
      <c r="A530" s="334"/>
      <c r="B530" s="335" t="s">
        <v>195</v>
      </c>
      <c r="C530" s="373" t="s">
        <v>191</v>
      </c>
      <c r="D530" s="377">
        <v>2261.904</v>
      </c>
      <c r="E530" s="359">
        <v>6</v>
      </c>
      <c r="F530" s="342">
        <f t="shared" si="346"/>
      </c>
      <c r="G530" s="359">
        <v>1839.9999999999982</v>
      </c>
      <c r="H530" s="428">
        <f t="shared" si="12"/>
      </c>
      <c r="I530" s="340">
        <f t="shared" si="29"/>
      </c>
      <c r="J530" s="341">
        <f t="shared" si="166"/>
      </c>
      <c r="K530" s="343">
        <f t="shared" si="198"/>
      </c>
      <c r="L530" s="344">
        <f t="shared" si="183"/>
      </c>
      <c r="M530" s="341">
        <f t="shared" si="263"/>
      </c>
      <c r="N530" s="345">
        <f t="shared" si="233"/>
      </c>
      <c r="O530" s="345">
        <f t="shared" si="248"/>
      </c>
      <c r="P530" s="345">
        <f t="shared" si="280"/>
      </c>
      <c r="Q530" s="345">
        <f t="shared" si="97"/>
      </c>
      <c r="R530" s="341">
        <f t="shared" si="295"/>
      </c>
      <c r="S530" s="343">
        <f t="shared" si="112"/>
      </c>
      <c r="T530" s="345">
        <f t="shared" si="133"/>
      </c>
      <c r="U530" s="345">
        <f t="shared" si="46"/>
      </c>
      <c r="V530" s="345">
        <f t="shared" si="63"/>
      </c>
      <c r="W530" s="345">
        <f t="shared" si="80"/>
      </c>
      <c r="X530" s="360" t="s">
        <v>181</v>
      </c>
      <c r="Y530" s="347" t="s">
        <v>193</v>
      </c>
      <c r="Z530" s="350">
        <v>161237</v>
      </c>
      <c r="AA530" s="350">
        <v>44412</v>
      </c>
      <c r="AB530" s="350">
        <v>139230</v>
      </c>
      <c r="AC530" s="350">
        <v>1133</v>
      </c>
      <c r="AD530" s="350">
        <v>7</v>
      </c>
      <c r="AE530" s="350">
        <v>13225</v>
      </c>
      <c r="AF530" s="350">
        <v>411</v>
      </c>
      <c r="AG530" s="350">
        <v>104</v>
      </c>
      <c r="AH530" s="349">
        <v>19</v>
      </c>
      <c r="AI530" s="418">
        <v>0</v>
      </c>
    </row>
    <row r="531">
      <c r="A531" s="334"/>
      <c r="B531" s="387" t="s">
        <v>187</v>
      </c>
      <c r="C531" s="387"/>
      <c r="D531" s="362">
        <f>SUM(D527:D530)</f>
      </c>
      <c r="E531" s="362">
        <f>SUM(E527:E530)</f>
      </c>
      <c r="F531" s="366">
        <f t="shared" si="346"/>
      </c>
      <c r="G531" s="431">
        <f>SUM(G527:G530)</f>
      </c>
      <c r="H531" s="432">
        <f t="shared" si="12"/>
      </c>
      <c r="I531" s="433">
        <f t="shared" si="29"/>
      </c>
      <c r="J531" s="364">
        <f t="shared" si="166"/>
      </c>
      <c r="K531" s="366">
        <f t="shared" si="198"/>
      </c>
      <c r="L531" s="367">
        <f t="shared" si="183"/>
      </c>
      <c r="M531" s="364">
        <f t="shared" si="263"/>
      </c>
      <c r="N531" s="368">
        <f t="shared" si="233"/>
      </c>
      <c r="O531" s="368">
        <f t="shared" si="248"/>
      </c>
      <c r="P531" s="368">
        <f t="shared" si="280"/>
      </c>
      <c r="Q531" s="368">
        <f t="shared" si="97"/>
      </c>
      <c r="R531" s="364">
        <f t="shared" si="295"/>
      </c>
      <c r="S531" s="366">
        <f t="shared" si="112"/>
      </c>
      <c r="T531" s="368">
        <f t="shared" si="133"/>
      </c>
      <c r="U531" s="368">
        <f t="shared" si="46"/>
      </c>
      <c r="V531" s="368">
        <f t="shared" si="63"/>
      </c>
      <c r="W531" s="368">
        <f t="shared" si="80"/>
      </c>
      <c r="X531" s="368"/>
      <c r="Y531" s="369"/>
      <c r="Z531" s="362">
        <f>SUM(Z527:Z530)</f>
      </c>
      <c r="AA531" s="362">
        <f>SUM(AA527:AA530)</f>
      </c>
      <c r="AB531" s="362">
        <f>SUM(AB527:AB530)</f>
      </c>
      <c r="AC531" s="362">
        <f>SUM(AC527:AC530)</f>
      </c>
      <c r="AD531" s="362">
        <f>SUM(AD527:AD530)</f>
      </c>
      <c r="AE531" s="362">
        <f>SUM(AE527:AE530)</f>
      </c>
      <c r="AF531" s="362">
        <f>SUM(AF527:AF530)</f>
      </c>
      <c r="AG531" s="362">
        <f>SUM(AG527:AG530)</f>
      </c>
      <c r="AH531" s="362">
        <f>SUM(AH527:AH530)</f>
      </c>
      <c r="AI531" s="362">
        <f>SUM(AI527:AI530)</f>
      </c>
    </row>
    <row r="532">
      <c r="A532" s="334"/>
      <c r="B532" s="415" t="s">
        <v>216</v>
      </c>
      <c r="C532" s="374" t="s">
        <v>192</v>
      </c>
      <c r="D532" s="377">
        <v>1950.995</v>
      </c>
      <c r="E532" s="359">
        <v>6</v>
      </c>
      <c r="F532" s="342">
        <f t="shared" si="346"/>
      </c>
      <c r="G532" s="359">
        <v>1990.4000000000015</v>
      </c>
      <c r="H532" s="428">
        <f t="shared" si="12"/>
      </c>
      <c r="I532" s="340">
        <f t="shared" si="29"/>
      </c>
      <c r="J532" s="341">
        <f t="shared" si="166"/>
      </c>
      <c r="K532" s="343">
        <f t="shared" si="198"/>
      </c>
      <c r="L532" s="344">
        <f t="shared" si="183"/>
      </c>
      <c r="M532" s="341">
        <f t="shared" si="263"/>
      </c>
      <c r="N532" s="345">
        <f t="shared" si="233"/>
      </c>
      <c r="O532" s="345">
        <f t="shared" si="248"/>
      </c>
      <c r="P532" s="345">
        <f t="shared" si="280"/>
      </c>
      <c r="Q532" s="345">
        <f t="shared" si="97"/>
      </c>
      <c r="R532" s="341">
        <f t="shared" si="295"/>
      </c>
      <c r="S532" s="343">
        <f t="shared" si="112"/>
      </c>
      <c r="T532" s="345">
        <f t="shared" si="133"/>
      </c>
      <c r="U532" s="345">
        <f t="shared" si="46"/>
      </c>
      <c r="V532" s="345">
        <f t="shared" si="63"/>
      </c>
      <c r="W532" s="345">
        <f t="shared" si="80"/>
      </c>
      <c r="X532" s="360" t="s">
        <v>181</v>
      </c>
      <c r="Y532" s="347" t="s">
        <v>205</v>
      </c>
      <c r="Z532" s="350">
        <v>128916</v>
      </c>
      <c r="AA532" s="350">
        <v>41003</v>
      </c>
      <c r="AB532" s="350">
        <v>111226</v>
      </c>
      <c r="AC532" s="350">
        <v>1007</v>
      </c>
      <c r="AD532" s="349">
        <v>5</v>
      </c>
      <c r="AE532" s="350">
        <v>11584</v>
      </c>
      <c r="AF532" s="350">
        <v>372</v>
      </c>
      <c r="AG532" s="350">
        <v>86</v>
      </c>
      <c r="AH532" s="350">
        <v>18</v>
      </c>
      <c r="AI532" s="418">
        <v>1</v>
      </c>
    </row>
    <row r="533">
      <c r="A533" s="334"/>
      <c r="B533" s="415" t="s">
        <v>216</v>
      </c>
      <c r="C533" s="375" t="s">
        <v>194</v>
      </c>
      <c r="D533" s="377">
        <v>1641.627</v>
      </c>
      <c r="E533" s="359">
        <v>6</v>
      </c>
      <c r="F533" s="342">
        <f t="shared" si="346"/>
      </c>
      <c r="G533" s="359">
        <v>2557.199999999997</v>
      </c>
      <c r="H533" s="428">
        <f t="shared" si="12"/>
      </c>
      <c r="I533" s="340">
        <f t="shared" si="29"/>
      </c>
      <c r="J533" s="341">
        <f t="shared" si="166"/>
      </c>
      <c r="K533" s="343">
        <f t="shared" si="198"/>
      </c>
      <c r="L533" s="344">
        <f t="shared" si="183"/>
      </c>
      <c r="M533" s="341">
        <f t="shared" si="263"/>
      </c>
      <c r="N533" s="345">
        <f t="shared" si="233"/>
      </c>
      <c r="O533" s="345">
        <f t="shared" si="248"/>
      </c>
      <c r="P533" s="345">
        <f t="shared" si="280"/>
      </c>
      <c r="Q533" s="345">
        <f t="shared" si="97"/>
      </c>
      <c r="R533" s="341">
        <f t="shared" si="295"/>
      </c>
      <c r="S533" s="343">
        <f t="shared" si="112"/>
      </c>
      <c r="T533" s="345">
        <f t="shared" si="133"/>
      </c>
      <c r="U533" s="345">
        <f t="shared" si="46"/>
      </c>
      <c r="V533" s="345">
        <f t="shared" si="63"/>
      </c>
      <c r="W533" s="345">
        <f t="shared" si="80"/>
      </c>
      <c r="X533" s="360" t="s">
        <v>181</v>
      </c>
      <c r="Y533" s="347" t="s">
        <v>205</v>
      </c>
      <c r="Z533" s="350">
        <v>92838</v>
      </c>
      <c r="AA533" s="350">
        <v>31366</v>
      </c>
      <c r="AB533" s="350">
        <v>79321</v>
      </c>
      <c r="AC533" s="350">
        <v>797</v>
      </c>
      <c r="AD533" s="350">
        <v>5</v>
      </c>
      <c r="AE533" s="350">
        <v>8778</v>
      </c>
      <c r="AF533" s="350">
        <v>324</v>
      </c>
      <c r="AG533" s="350">
        <v>83</v>
      </c>
      <c r="AH533" s="350">
        <v>5</v>
      </c>
      <c r="AI533" s="418">
        <v>1</v>
      </c>
    </row>
    <row r="534">
      <c r="A534" s="334"/>
      <c r="B534" s="415" t="s">
        <v>216</v>
      </c>
      <c r="C534" s="373" t="s">
        <v>196</v>
      </c>
      <c r="D534" s="377">
        <v>1341.5330000000001</v>
      </c>
      <c r="E534" s="359">
        <v>2</v>
      </c>
      <c r="F534" s="342">
        <f t="shared" si="346"/>
      </c>
      <c r="G534" s="359">
        <v>1056</v>
      </c>
      <c r="H534" s="428">
        <f t="shared" si="12"/>
      </c>
      <c r="I534" s="340">
        <f t="shared" si="29"/>
      </c>
      <c r="J534" s="341">
        <f t="shared" si="166"/>
      </c>
      <c r="K534" s="343">
        <f t="shared" si="198"/>
      </c>
      <c r="L534" s="344">
        <f t="shared" si="183"/>
      </c>
      <c r="M534" s="341">
        <f t="shared" si="263"/>
      </c>
      <c r="N534" s="345">
        <f t="shared" si="233"/>
      </c>
      <c r="O534" s="345">
        <f t="shared" si="248"/>
      </c>
      <c r="P534" s="345">
        <f t="shared" si="280"/>
      </c>
      <c r="Q534" s="345">
        <f t="shared" si="97"/>
      </c>
      <c r="R534" s="341">
        <f t="shared" si="295"/>
      </c>
      <c r="S534" s="343">
        <f t="shared" si="112"/>
      </c>
      <c r="T534" s="345">
        <f t="shared" si="133"/>
      </c>
      <c r="U534" s="345">
        <f t="shared" si="46"/>
      </c>
      <c r="V534" s="345">
        <f t="shared" si="63"/>
      </c>
      <c r="W534" s="345">
        <f t="shared" si="80"/>
      </c>
      <c r="X534" s="360" t="s">
        <v>181</v>
      </c>
      <c r="Y534" s="347" t="s">
        <v>205</v>
      </c>
      <c r="Z534" s="350">
        <v>73223</v>
      </c>
      <c r="AA534" s="350">
        <v>22956</v>
      </c>
      <c r="AB534" s="350">
        <v>59868</v>
      </c>
      <c r="AC534" s="350">
        <v>579</v>
      </c>
      <c r="AD534" s="350">
        <v>1</v>
      </c>
      <c r="AE534" s="350">
        <v>6755</v>
      </c>
      <c r="AF534" s="350">
        <v>205</v>
      </c>
      <c r="AG534" s="350">
        <v>40</v>
      </c>
      <c r="AH534" s="349">
        <v>6</v>
      </c>
      <c r="AI534" s="418">
        <v>0</v>
      </c>
    </row>
    <row r="535">
      <c r="A535" s="334"/>
      <c r="B535" s="387" t="s">
        <v>187</v>
      </c>
      <c r="C535" s="387"/>
      <c r="D535" s="362">
        <f>SUM(D532:D534)</f>
      </c>
      <c r="E535" s="420">
        <f>SUM(E532:E534)</f>
      </c>
      <c r="F535" s="365">
        <f t="shared" si="346"/>
      </c>
      <c r="G535" s="362">
        <f>SUM(G532:G534)</f>
      </c>
      <c r="H535" s="429">
        <f t="shared" si="12"/>
      </c>
      <c r="I535" s="362">
        <f t="shared" si="29"/>
      </c>
      <c r="J535" s="364">
        <f t="shared" si="166"/>
      </c>
      <c r="K535" s="366">
        <f t="shared" si="198"/>
      </c>
      <c r="L535" s="367">
        <f t="shared" si="183"/>
      </c>
      <c r="M535" s="364">
        <f t="shared" si="263"/>
      </c>
      <c r="N535" s="368">
        <f t="shared" si="233"/>
      </c>
      <c r="O535" s="368">
        <f t="shared" si="248"/>
      </c>
      <c r="P535" s="368">
        <f t="shared" si="280"/>
      </c>
      <c r="Q535" s="368">
        <f t="shared" si="97"/>
      </c>
      <c r="R535" s="364">
        <f t="shared" si="295"/>
      </c>
      <c r="S535" s="366">
        <f t="shared" si="112"/>
      </c>
      <c r="T535" s="368">
        <f t="shared" si="133"/>
      </c>
      <c r="U535" s="368">
        <f t="shared" si="46"/>
      </c>
      <c r="V535" s="368">
        <f t="shared" si="63"/>
      </c>
      <c r="W535" s="368">
        <f t="shared" si="80"/>
      </c>
      <c r="X535" s="368"/>
      <c r="Y535" s="369"/>
      <c r="Z535" s="362">
        <f>SUM(Z532:Z534)</f>
      </c>
      <c r="AA535" s="362">
        <f>SUM(AA532:AA534)</f>
      </c>
      <c r="AB535" s="362">
        <f>SUM(AB532:AB534)</f>
      </c>
      <c r="AC535" s="362">
        <f>SUM(AC532:AC534)</f>
      </c>
      <c r="AD535" s="362">
        <f>SUM(AD532:AD534)</f>
      </c>
      <c r="AE535" s="362">
        <f>SUM(AE532:AE534)</f>
      </c>
      <c r="AF535" s="362">
        <f>SUM(AF532:AF534)</f>
      </c>
      <c r="AG535" s="362">
        <f>SUM(AG532:AG534)</f>
      </c>
      <c r="AH535" s="362">
        <f>SUM(AH532:AH534)</f>
      </c>
      <c r="AI535" s="420">
        <f>SUM(AI532:AI534)</f>
      </c>
    </row>
    <row r="536">
      <c r="A536" s="334"/>
      <c r="B536" s="335" t="s">
        <v>208</v>
      </c>
      <c r="C536" s="373" t="s">
        <v>197</v>
      </c>
      <c r="D536" s="377">
        <v>1383.018</v>
      </c>
      <c r="E536" s="359">
        <v>12</v>
      </c>
      <c r="F536" s="342">
        <f t="shared" si="346"/>
      </c>
      <c r="G536" s="359">
        <v>7937.200000000001</v>
      </c>
      <c r="H536" s="428">
        <f t="shared" si="12"/>
      </c>
      <c r="I536" s="340">
        <f t="shared" si="29"/>
      </c>
      <c r="J536" s="341">
        <f t="shared" si="166"/>
      </c>
      <c r="K536" s="343">
        <f t="shared" si="198"/>
      </c>
      <c r="L536" s="344">
        <f t="shared" si="183"/>
      </c>
      <c r="M536" s="341">
        <f t="shared" si="263"/>
      </c>
      <c r="N536" s="345">
        <f t="shared" si="233"/>
      </c>
      <c r="O536" s="345">
        <f t="shared" si="248"/>
      </c>
      <c r="P536" s="345">
        <f t="shared" si="280"/>
      </c>
      <c r="Q536" s="345">
        <f t="shared" si="97"/>
      </c>
      <c r="R536" s="341">
        <f t="shared" si="295"/>
      </c>
      <c r="S536" s="343">
        <f t="shared" si="112"/>
      </c>
      <c r="T536" s="345">
        <f t="shared" si="133"/>
      </c>
      <c r="U536" s="345">
        <f t="shared" si="46"/>
      </c>
      <c r="V536" s="345">
        <f t="shared" si="63"/>
      </c>
      <c r="W536" s="345">
        <f t="shared" si="80"/>
      </c>
      <c r="X536" s="360" t="s">
        <v>181</v>
      </c>
      <c r="Y536" s="347" t="s">
        <v>205</v>
      </c>
      <c r="Z536" s="350">
        <v>75572</v>
      </c>
      <c r="AA536" s="350">
        <v>23480</v>
      </c>
      <c r="AB536" s="350">
        <v>67151</v>
      </c>
      <c r="AC536" s="350">
        <v>663</v>
      </c>
      <c r="AD536" s="350">
        <v>10</v>
      </c>
      <c r="AE536" s="350">
        <v>6846</v>
      </c>
      <c r="AF536" s="350">
        <v>210</v>
      </c>
      <c r="AG536" s="350">
        <v>52</v>
      </c>
      <c r="AH536" s="349">
        <v>8</v>
      </c>
      <c r="AI536" s="418">
        <v>2</v>
      </c>
    </row>
    <row r="537">
      <c r="A537" s="334"/>
      <c r="B537" s="335" t="s">
        <v>208</v>
      </c>
      <c r="C537" s="374" t="s">
        <v>198</v>
      </c>
      <c r="D537" s="379">
        <v>1627.463</v>
      </c>
      <c r="E537" s="417">
        <v>9</v>
      </c>
      <c r="F537" s="342">
        <f t="shared" si="346"/>
      </c>
      <c r="G537" s="339">
        <v>3141.600000000002</v>
      </c>
      <c r="H537" s="428">
        <f t="shared" si="12"/>
      </c>
      <c r="I537" s="340">
        <f t="shared" si="29"/>
      </c>
      <c r="J537" s="341">
        <f t="shared" si="166"/>
      </c>
      <c r="K537" s="343">
        <f t="shared" si="198"/>
      </c>
      <c r="L537" s="382">
        <f t="shared" si="183"/>
      </c>
      <c r="M537" s="383">
        <f t="shared" si="263"/>
      </c>
      <c r="N537" s="384">
        <f t="shared" si="233"/>
      </c>
      <c r="O537" s="384">
        <f t="shared" si="248"/>
      </c>
      <c r="P537" s="384">
        <f t="shared" si="280"/>
      </c>
      <c r="Q537" s="384">
        <f t="shared" si="97"/>
      </c>
      <c r="R537" s="383">
        <f t="shared" si="295"/>
      </c>
      <c r="S537" s="381">
        <f t="shared" si="112"/>
      </c>
      <c r="T537" s="384">
        <f t="shared" si="133"/>
      </c>
      <c r="U537" s="384">
        <f t="shared" si="46"/>
      </c>
      <c r="V537" s="384">
        <f t="shared" si="63"/>
      </c>
      <c r="W537" s="384">
        <f t="shared" si="80"/>
      </c>
      <c r="X537" s="360" t="s">
        <v>181</v>
      </c>
      <c r="Y537" s="347" t="s">
        <v>205</v>
      </c>
      <c r="Z537" s="350">
        <v>97855</v>
      </c>
      <c r="AA537" s="350">
        <v>27063</v>
      </c>
      <c r="AB537" s="350">
        <v>85181</v>
      </c>
      <c r="AC537" s="385">
        <v>649</v>
      </c>
      <c r="AD537" s="385">
        <v>6</v>
      </c>
      <c r="AE537" s="385">
        <v>8092</v>
      </c>
      <c r="AF537" s="385">
        <v>264</v>
      </c>
      <c r="AG537" s="385">
        <v>52</v>
      </c>
      <c r="AH537" s="385">
        <v>6</v>
      </c>
      <c r="AI537" s="418">
        <v>2</v>
      </c>
    </row>
    <row r="538">
      <c r="A538" s="334"/>
      <c r="B538" s="335" t="s">
        <v>208</v>
      </c>
      <c r="C538" s="373" t="s">
        <v>199</v>
      </c>
      <c r="D538" s="379">
        <v>2916.55</v>
      </c>
      <c r="E538" s="417">
        <v>11</v>
      </c>
      <c r="F538" s="342">
        <f t="shared" si="346"/>
      </c>
      <c r="G538" s="339">
        <v>2936.2000000000044</v>
      </c>
      <c r="H538" s="428">
        <f t="shared" si="12"/>
      </c>
      <c r="I538" s="340">
        <f t="shared" si="29"/>
      </c>
      <c r="J538" s="341">
        <f t="shared" si="166"/>
      </c>
      <c r="K538" s="343">
        <f t="shared" si="198"/>
      </c>
      <c r="L538" s="382">
        <f t="shared" si="183"/>
      </c>
      <c r="M538" s="383">
        <f t="shared" si="263"/>
      </c>
      <c r="N538" s="384">
        <f t="shared" si="233"/>
      </c>
      <c r="O538" s="384">
        <f t="shared" si="248"/>
      </c>
      <c r="P538" s="384">
        <f t="shared" si="280"/>
      </c>
      <c r="Q538" s="384">
        <f t="shared" si="97"/>
      </c>
      <c r="R538" s="383">
        <f t="shared" si="295"/>
      </c>
      <c r="S538" s="381">
        <f t="shared" si="112"/>
      </c>
      <c r="T538" s="384">
        <f t="shared" si="133"/>
      </c>
      <c r="U538" s="384">
        <f t="shared" si="46"/>
      </c>
      <c r="V538" s="384">
        <f t="shared" si="63"/>
      </c>
      <c r="W538" s="384">
        <f t="shared" si="80"/>
      </c>
      <c r="X538" s="360" t="s">
        <v>181</v>
      </c>
      <c r="Y538" s="347" t="s">
        <v>205</v>
      </c>
      <c r="Z538" s="350">
        <v>215747</v>
      </c>
      <c r="AA538" s="350">
        <v>45097</v>
      </c>
      <c r="AB538" s="350">
        <v>214451</v>
      </c>
      <c r="AC538" s="385">
        <v>1196</v>
      </c>
      <c r="AD538" s="385">
        <v>10</v>
      </c>
      <c r="AE538" s="385">
        <v>14519</v>
      </c>
      <c r="AF538" s="385">
        <v>259</v>
      </c>
      <c r="AG538" s="385">
        <v>104</v>
      </c>
      <c r="AH538" s="385">
        <v>11</v>
      </c>
      <c r="AI538" s="418">
        <v>0</v>
      </c>
    </row>
    <row r="539">
      <c r="A539" s="334"/>
      <c r="B539" s="335" t="s">
        <v>208</v>
      </c>
      <c r="C539" s="386" t="s">
        <v>200</v>
      </c>
      <c r="D539" s="377">
        <v>4363.482</v>
      </c>
      <c r="E539" s="359">
        <v>21</v>
      </c>
      <c r="F539" s="342">
        <f t="shared" si="346"/>
      </c>
      <c r="G539" s="359">
        <v>8154.399999999994</v>
      </c>
      <c r="H539" s="428">
        <f t="shared" si="12"/>
      </c>
      <c r="I539" s="340">
        <f t="shared" si="29"/>
      </c>
      <c r="J539" s="341">
        <f t="shared" si="166"/>
      </c>
      <c r="K539" s="343">
        <f t="shared" si="198"/>
      </c>
      <c r="L539" s="382">
        <f t="shared" si="183"/>
      </c>
      <c r="M539" s="383">
        <f t="shared" si="263"/>
      </c>
      <c r="N539" s="384">
        <f t="shared" si="233"/>
      </c>
      <c r="O539" s="384">
        <f t="shared" si="248"/>
      </c>
      <c r="P539" s="384">
        <f t="shared" si="280"/>
      </c>
      <c r="Q539" s="384">
        <f t="shared" si="97"/>
      </c>
      <c r="R539" s="383">
        <f t="shared" si="295"/>
      </c>
      <c r="S539" s="381">
        <f t="shared" si="112"/>
      </c>
      <c r="T539" s="384">
        <f t="shared" si="133"/>
      </c>
      <c r="U539" s="384">
        <f t="shared" si="46"/>
      </c>
      <c r="V539" s="384">
        <f t="shared" si="63"/>
      </c>
      <c r="W539" s="384">
        <f t="shared" si="80"/>
      </c>
      <c r="X539" s="360" t="s">
        <v>181</v>
      </c>
      <c r="Y539" s="347" t="s">
        <v>205</v>
      </c>
      <c r="Z539" s="350">
        <v>299264</v>
      </c>
      <c r="AA539" s="350">
        <v>57939</v>
      </c>
      <c r="AB539" s="350">
        <v>279164</v>
      </c>
      <c r="AC539" s="350">
        <v>1680</v>
      </c>
      <c r="AD539" s="350">
        <v>18</v>
      </c>
      <c r="AE539" s="350">
        <v>19281</v>
      </c>
      <c r="AF539" s="350">
        <v>476</v>
      </c>
      <c r="AG539" s="350">
        <v>160</v>
      </c>
      <c r="AH539" s="349">
        <v>26</v>
      </c>
      <c r="AI539" s="418">
        <v>4</v>
      </c>
    </row>
    <row r="540">
      <c r="A540" s="334"/>
      <c r="B540" s="335" t="s">
        <v>208</v>
      </c>
      <c r="C540" s="439" t="s">
        <v>212</v>
      </c>
      <c r="D540" s="440">
        <v>2768.7490000000003</v>
      </c>
      <c r="E540" s="359">
        <v>6</v>
      </c>
      <c r="F540" s="342">
        <f t="shared" si="346"/>
      </c>
      <c r="G540" s="359">
        <v>1894.2999999999956</v>
      </c>
      <c r="H540" s="430">
        <f t="shared" si="12"/>
      </c>
      <c r="I540" s="340">
        <f t="shared" si="29"/>
      </c>
      <c r="J540" s="341">
        <f t="shared" si="166"/>
      </c>
      <c r="K540" s="343">
        <f t="shared" si="198"/>
      </c>
      <c r="L540" s="382">
        <f t="shared" si="183"/>
      </c>
      <c r="M540" s="383">
        <f t="shared" si="263"/>
      </c>
      <c r="N540" s="384">
        <f t="shared" si="233"/>
      </c>
      <c r="O540" s="384">
        <f t="shared" si="248"/>
      </c>
      <c r="P540" s="384">
        <f t="shared" si="280"/>
      </c>
      <c r="Q540" s="384">
        <f t="shared" si="97"/>
      </c>
      <c r="R540" s="383">
        <f t="shared" si="295"/>
      </c>
      <c r="S540" s="381">
        <f t="shared" si="112"/>
      </c>
      <c r="T540" s="384">
        <f t="shared" si="133"/>
      </c>
      <c r="U540" s="384">
        <f t="shared" si="46"/>
      </c>
      <c r="V540" s="384">
        <f t="shared" si="63"/>
      </c>
      <c r="W540" s="384">
        <f t="shared" si="80"/>
      </c>
      <c r="X540" s="360" t="s">
        <v>181</v>
      </c>
      <c r="Y540" s="347" t="s">
        <v>205</v>
      </c>
      <c r="Z540" s="350">
        <v>187247</v>
      </c>
      <c r="AA540" s="350">
        <v>30736</v>
      </c>
      <c r="AB540" s="350">
        <v>169165</v>
      </c>
      <c r="AC540" s="350">
        <v>944</v>
      </c>
      <c r="AD540" s="350">
        <v>4</v>
      </c>
      <c r="AE540" s="350">
        <v>10579</v>
      </c>
      <c r="AF540" s="350">
        <v>210</v>
      </c>
      <c r="AG540" s="350">
        <v>95</v>
      </c>
      <c r="AH540" s="349">
        <v>14</v>
      </c>
      <c r="AI540" s="418">
        <v>0</v>
      </c>
    </row>
    <row r="541">
      <c r="A541" s="334"/>
      <c r="B541" s="387" t="s">
        <v>187</v>
      </c>
      <c r="C541" s="387"/>
      <c r="D541" s="362">
        <f>SUM(D536:D540)</f>
      </c>
      <c r="E541" s="362">
        <f>SUM(E536:E540)</f>
      </c>
      <c r="F541" s="366">
        <f t="shared" si="346"/>
      </c>
      <c r="G541" s="431">
        <f>SUM(G536:G540)</f>
      </c>
      <c r="H541" s="432">
        <f t="shared" si="12"/>
      </c>
      <c r="I541" s="433">
        <f t="shared" si="29"/>
      </c>
      <c r="J541" s="364">
        <f t="shared" si="166"/>
      </c>
      <c r="K541" s="366">
        <f t="shared" si="198"/>
      </c>
      <c r="L541" s="367">
        <f t="shared" si="183"/>
      </c>
      <c r="M541" s="364">
        <f t="shared" si="263"/>
      </c>
      <c r="N541" s="368">
        <f t="shared" si="233"/>
      </c>
      <c r="O541" s="368">
        <f t="shared" si="248"/>
      </c>
      <c r="P541" s="368">
        <f t="shared" si="280"/>
      </c>
      <c r="Q541" s="368">
        <f t="shared" si="97"/>
      </c>
      <c r="R541" s="364">
        <f t="shared" si="295"/>
      </c>
      <c r="S541" s="366">
        <f t="shared" si="112"/>
      </c>
      <c r="T541" s="368">
        <f t="shared" si="133"/>
      </c>
      <c r="U541" s="368">
        <f t="shared" si="46"/>
      </c>
      <c r="V541" s="368">
        <f t="shared" si="63"/>
      </c>
      <c r="W541" s="368">
        <f t="shared" si="80"/>
      </c>
      <c r="X541" s="368"/>
      <c r="Y541" s="369"/>
      <c r="Z541" s="362">
        <f>SUM(Z536:Z540)</f>
      </c>
      <c r="AA541" s="362">
        <f>SUM(AA536:AA540)</f>
      </c>
      <c r="AB541" s="362">
        <f>SUM(AB536:AB540)</f>
      </c>
      <c r="AC541" s="362">
        <f>SUM(AC536:AC540)</f>
      </c>
      <c r="AD541" s="362">
        <f>SUM(AD536:AD540)</f>
      </c>
      <c r="AE541" s="362">
        <f>SUM(AE536:AE540)</f>
      </c>
      <c r="AF541" s="362">
        <f>SUM(AF536:AF540)</f>
      </c>
      <c r="AG541" s="362">
        <f>SUM(AG536:AG540)</f>
      </c>
      <c r="AH541" s="362">
        <f>SUM(AH536:AH540)</f>
      </c>
      <c r="AI541" s="362">
        <f>SUM(AI536:AI540)</f>
      </c>
    </row>
    <row r="542">
      <c r="A542" s="334"/>
      <c r="B542" s="388" t="s">
        <v>201</v>
      </c>
      <c r="C542" s="388"/>
      <c r="D542" s="389">
        <f>SUM(D541+D526+D531+D535)</f>
      </c>
      <c r="E542" s="442">
        <f>SUM(E541+E526+E531+E535)</f>
      </c>
      <c r="F542" s="393">
        <f t="shared" si="346"/>
      </c>
      <c r="G542" s="434">
        <f>SUM(G541+G526+G531+G535)</f>
      </c>
      <c r="H542" s="441">
        <f t="shared" si="12"/>
      </c>
      <c r="I542" s="436">
        <f t="shared" si="29"/>
      </c>
      <c r="J542" s="391">
        <f t="shared" si="166"/>
      </c>
      <c r="K542" s="393">
        <f t="shared" si="198"/>
      </c>
      <c r="L542" s="394">
        <f t="shared" si="183"/>
      </c>
      <c r="M542" s="394">
        <f t="shared" si="263"/>
      </c>
      <c r="N542" s="395">
        <f t="shared" si="233"/>
      </c>
      <c r="O542" s="395">
        <f t="shared" si="248"/>
      </c>
      <c r="P542" s="395">
        <f t="shared" si="280"/>
      </c>
      <c r="Q542" s="395">
        <f t="shared" si="97"/>
      </c>
      <c r="R542" s="396">
        <f t="shared" si="295"/>
      </c>
      <c r="S542" s="397">
        <f t="shared" si="112"/>
      </c>
      <c r="T542" s="398">
        <f t="shared" si="133"/>
      </c>
      <c r="U542" s="398">
        <f t="shared" si="46"/>
      </c>
      <c r="V542" s="398">
        <f t="shared" si="63"/>
      </c>
      <c r="W542" s="398">
        <f t="shared" si="80"/>
      </c>
      <c r="X542" s="398"/>
      <c r="Y542" s="399"/>
      <c r="Z542" s="390">
        <f>SUM(Z526+Z541+Z531+Z535)</f>
      </c>
      <c r="AA542" s="390">
        <f>SUM(AA526+AA541+AA531+AA535)</f>
      </c>
      <c r="AB542" s="390">
        <f>SUM(AB526+AB541+AB531+AB535)</f>
      </c>
      <c r="AC542" s="390">
        <f>SUM(AC526+AC541+AC531+AC535)</f>
      </c>
      <c r="AD542" s="390">
        <f>SUM(AD526+AD541+AD531+AD535)</f>
      </c>
      <c r="AE542" s="390">
        <f>SUM(AE526+AE541+AE531+AE535)</f>
      </c>
      <c r="AF542" s="390">
        <f>SUM(AF526+AF541+AF531+AF535)</f>
      </c>
      <c r="AG542" s="390">
        <f>SUM(AG526+AG541+AG531+AG535)</f>
      </c>
      <c r="AH542" s="390">
        <f>SUM(AH526+AH541+AH531+AH535)</f>
      </c>
      <c r="AI542" s="390">
        <f>SUM(AI526+AI541+AI531+AI535)</f>
      </c>
    </row>
    <row r="543">
      <c r="A543" s="319" t="s">
        <v>145</v>
      </c>
      <c r="B543" s="320" t="s">
        <v>146</v>
      </c>
      <c r="C543" s="321" t="s">
        <v>147</v>
      </c>
      <c r="D543" s="322" t="s">
        <v>148</v>
      </c>
      <c r="E543" s="426" t="s">
        <v>213</v>
      </c>
      <c r="F543" s="427" t="s">
        <v>214</v>
      </c>
      <c r="G543" s="324" t="s">
        <v>150</v>
      </c>
      <c r="H543" s="427" t="s">
        <v>215</v>
      </c>
      <c r="I543" s="324" t="s">
        <v>151</v>
      </c>
      <c r="J543" s="325" t="s">
        <v>152</v>
      </c>
      <c r="K543" s="325" t="s">
        <v>154</v>
      </c>
      <c r="L543" s="326" t="s">
        <v>155</v>
      </c>
      <c r="M543" s="326" t="s">
        <v>156</v>
      </c>
      <c r="N543" s="326" t="s">
        <v>157</v>
      </c>
      <c r="O543" s="326" t="s">
        <v>158</v>
      </c>
      <c r="P543" s="326" t="s">
        <v>159</v>
      </c>
      <c r="Q543" s="326" t="s">
        <v>160</v>
      </c>
      <c r="R543" s="326" t="s">
        <v>161</v>
      </c>
      <c r="S543" s="326" t="s">
        <v>162</v>
      </c>
      <c r="T543" s="327" t="s">
        <v>163</v>
      </c>
      <c r="U543" s="327" t="s">
        <v>164</v>
      </c>
      <c r="V543" s="327" t="s">
        <v>165</v>
      </c>
      <c r="W543" s="327" t="s">
        <v>166</v>
      </c>
      <c r="X543" s="328" t="s">
        <v>167</v>
      </c>
      <c r="Y543" s="328" t="s">
        <v>168</v>
      </c>
      <c r="Z543" s="329" t="s">
        <v>169</v>
      </c>
      <c r="AA543" s="329" t="s">
        <v>170</v>
      </c>
      <c r="AB543" s="329" t="s">
        <v>171</v>
      </c>
      <c r="AC543" s="330" t="s">
        <v>172</v>
      </c>
      <c r="AD543" s="330" t="s">
        <v>173</v>
      </c>
      <c r="AE543" s="331" t="s">
        <v>174</v>
      </c>
      <c r="AF543" s="330" t="s">
        <v>175</v>
      </c>
      <c r="AG543" s="330" t="s">
        <v>176</v>
      </c>
      <c r="AH543" s="332" t="s">
        <v>177</v>
      </c>
      <c r="AI543" s="333" t="s">
        <v>178</v>
      </c>
    </row>
    <row r="544">
      <c r="A544" s="334">
        <v>46262</v>
      </c>
      <c r="B544" s="335" t="s">
        <v>188</v>
      </c>
      <c r="C544" s="354" t="s">
        <v>180</v>
      </c>
      <c r="D544" s="337">
        <v>1630.091</v>
      </c>
      <c r="E544" s="417">
        <v>5</v>
      </c>
      <c r="F544" s="342">
        <f t="shared" ref="F544:F564" si="347">D544/E544</f>
      </c>
      <c r="G544" s="339">
        <v>1676</v>
      </c>
      <c r="H544" s="428">
        <f t="shared" ref="H544:H564" si="13">AD544</f>
      </c>
      <c r="I544" s="340">
        <f t="shared" ref="I544:I564" si="30">D544/AD544</f>
      </c>
      <c r="J544" s="341">
        <f t="shared" ref="J544:J564" si="167">G544/E544</f>
      </c>
      <c r="K544" s="343">
        <f t="shared" ref="K544:K564" si="199">G544/D544</f>
      </c>
      <c r="L544" s="344">
        <f t="shared" ref="L544:L564" si="184">D544/AB544</f>
      </c>
      <c r="M544" s="341">
        <f t="shared" ref="M544:M564" si="264">D544/AC544</f>
      </c>
      <c r="N544" s="345">
        <f t="shared" ref="N544:N564" si="234">AC544/AB544</f>
      </c>
      <c r="O544" s="345">
        <f t="shared" ref="O544:O564" si="249">AD544/AC544</f>
      </c>
      <c r="P544" s="345">
        <f t="shared" ref="P544:P564" si="281">AA544/Z544</f>
      </c>
      <c r="Q544" s="345">
        <f t="shared" ref="Q544:Q564" si="98">AD544/AA544</f>
      </c>
      <c r="R544" s="341">
        <f t="shared" ref="R544:R564" si="296">D544/Z544*1000</f>
      </c>
      <c r="S544" s="343">
        <f t="shared" ref="S544:S564" si="113">D544/AA544</f>
      </c>
      <c r="T544" s="345">
        <f t="shared" ref="T544:T564" si="134">AE544/AB544</f>
      </c>
      <c r="U544" s="345">
        <f t="shared" ref="U544:U564" si="47">AF544/AB544</f>
      </c>
      <c r="V544" s="345">
        <f t="shared" ref="V544:V564" si="64">AG544/AB544</f>
      </c>
      <c r="W544" s="345">
        <f t="shared" ref="W544:W564" si="81">AH544/AB544</f>
      </c>
      <c r="X544" s="346" t="s">
        <v>181</v>
      </c>
      <c r="Y544" s="347" t="s">
        <v>193</v>
      </c>
      <c r="Z544" s="348">
        <v>73543</v>
      </c>
      <c r="AA544" s="348">
        <v>46478</v>
      </c>
      <c r="AB544" s="348">
        <v>66420</v>
      </c>
      <c r="AC544" s="348">
        <v>980</v>
      </c>
      <c r="AD544" s="349">
        <v>5</v>
      </c>
      <c r="AE544" s="348">
        <v>17073</v>
      </c>
      <c r="AF544" s="350">
        <v>424</v>
      </c>
      <c r="AG544" s="350">
        <v>77</v>
      </c>
      <c r="AH544" s="350">
        <v>11</v>
      </c>
      <c r="AI544" s="418">
        <v>0</v>
      </c>
    </row>
    <row r="545">
      <c r="A545" s="334"/>
      <c r="B545" s="335" t="s">
        <v>188</v>
      </c>
      <c r="C545" s="336" t="s">
        <v>183</v>
      </c>
      <c r="D545" s="337">
        <v>2265.507</v>
      </c>
      <c r="E545" s="417">
        <v>3</v>
      </c>
      <c r="F545" s="342">
        <f t="shared" si="347"/>
      </c>
      <c r="G545" s="339">
        <v>652</v>
      </c>
      <c r="H545" s="428">
        <f t="shared" si="13"/>
      </c>
      <c r="I545" s="340">
        <f t="shared" si="30"/>
      </c>
      <c r="J545" s="341">
        <f t="shared" si="167"/>
      </c>
      <c r="K545" s="343">
        <f t="shared" si="199"/>
      </c>
      <c r="L545" s="344">
        <f t="shared" si="184"/>
      </c>
      <c r="M545" s="341">
        <f t="shared" si="264"/>
      </c>
      <c r="N545" s="345">
        <f t="shared" si="234"/>
      </c>
      <c r="O545" s="345">
        <f t="shared" si="249"/>
      </c>
      <c r="P545" s="345">
        <f t="shared" si="281"/>
      </c>
      <c r="Q545" s="345">
        <f t="shared" si="98"/>
      </c>
      <c r="R545" s="341">
        <f t="shared" si="296"/>
      </c>
      <c r="S545" s="343">
        <f t="shared" si="113"/>
      </c>
      <c r="T545" s="345">
        <f t="shared" si="134"/>
      </c>
      <c r="U545" s="345">
        <f t="shared" si="47"/>
      </c>
      <c r="V545" s="345">
        <f t="shared" si="64"/>
      </c>
      <c r="W545" s="345">
        <f t="shared" si="81"/>
      </c>
      <c r="X545" s="360" t="s">
        <v>181</v>
      </c>
      <c r="Y545" s="347" t="s">
        <v>193</v>
      </c>
      <c r="Z545" s="350">
        <v>108007</v>
      </c>
      <c r="AA545" s="348">
        <v>40623</v>
      </c>
      <c r="AB545" s="348">
        <v>71874</v>
      </c>
      <c r="AC545" s="348">
        <v>1148</v>
      </c>
      <c r="AD545" s="350">
        <v>3</v>
      </c>
      <c r="AE545" s="348">
        <v>14926</v>
      </c>
      <c r="AF545" s="350">
        <v>336</v>
      </c>
      <c r="AG545" s="350">
        <v>64</v>
      </c>
      <c r="AH545" s="349">
        <v>10</v>
      </c>
      <c r="AI545" s="418">
        <v>0</v>
      </c>
    </row>
    <row r="546">
      <c r="A546" s="334"/>
      <c r="B546" s="335" t="s">
        <v>188</v>
      </c>
      <c r="C546" s="351" t="s">
        <v>184</v>
      </c>
      <c r="D546" s="377">
        <v>2070.992</v>
      </c>
      <c r="E546" s="359">
        <v>2</v>
      </c>
      <c r="F546" s="342">
        <f t="shared" si="347"/>
      </c>
      <c r="G546" s="359">
        <v>1056</v>
      </c>
      <c r="H546" s="428">
        <f t="shared" si="13"/>
      </c>
      <c r="I546" s="340">
        <f t="shared" si="30"/>
      </c>
      <c r="J546" s="341">
        <f t="shared" si="167"/>
      </c>
      <c r="K546" s="343">
        <f t="shared" si="199"/>
      </c>
      <c r="L546" s="344">
        <f t="shared" si="184"/>
      </c>
      <c r="M546" s="341">
        <f t="shared" si="264"/>
      </c>
      <c r="N546" s="345">
        <f t="shared" si="234"/>
      </c>
      <c r="O546" s="345">
        <f t="shared" si="249"/>
      </c>
      <c r="P546" s="345">
        <f t="shared" si="281"/>
      </c>
      <c r="Q546" s="345">
        <f t="shared" si="98"/>
      </c>
      <c r="R546" s="341">
        <f t="shared" si="296"/>
      </c>
      <c r="S546" s="343">
        <f t="shared" si="113"/>
      </c>
      <c r="T546" s="345">
        <f t="shared" si="134"/>
      </c>
      <c r="U546" s="345">
        <f t="shared" si="47"/>
      </c>
      <c r="V546" s="345">
        <f t="shared" si="64"/>
      </c>
      <c r="W546" s="345">
        <f t="shared" si="81"/>
      </c>
      <c r="X546" s="360" t="s">
        <v>181</v>
      </c>
      <c r="Y546" s="347" t="s">
        <v>193</v>
      </c>
      <c r="Z546" s="350">
        <v>114373</v>
      </c>
      <c r="AA546" s="350">
        <v>29825</v>
      </c>
      <c r="AB546" s="350">
        <v>69592</v>
      </c>
      <c r="AC546" s="350">
        <v>977</v>
      </c>
      <c r="AD546" s="350">
        <v>2</v>
      </c>
      <c r="AE546" s="350">
        <v>10996</v>
      </c>
      <c r="AF546" s="350">
        <v>287</v>
      </c>
      <c r="AG546" s="350">
        <v>49</v>
      </c>
      <c r="AH546" s="350">
        <v>11</v>
      </c>
      <c r="AI546" s="418">
        <v>0</v>
      </c>
    </row>
    <row r="547">
      <c r="A547" s="334"/>
      <c r="B547" s="335" t="s">
        <v>188</v>
      </c>
      <c r="C547" s="416" t="s">
        <v>185</v>
      </c>
      <c r="D547" s="377">
        <v>2149.9159999999997</v>
      </c>
      <c r="E547" s="359">
        <v>6</v>
      </c>
      <c r="F547" s="342">
        <f t="shared" si="347"/>
      </c>
      <c r="G547" s="359">
        <v>1865.6000000000004</v>
      </c>
      <c r="H547" s="428">
        <f t="shared" si="13"/>
      </c>
      <c r="I547" s="340">
        <f t="shared" si="30"/>
      </c>
      <c r="J547" s="341">
        <f t="shared" si="167"/>
      </c>
      <c r="K547" s="343">
        <f t="shared" si="199"/>
      </c>
      <c r="L547" s="382">
        <f t="shared" si="184"/>
      </c>
      <c r="M547" s="383">
        <f t="shared" si="264"/>
      </c>
      <c r="N547" s="384">
        <f t="shared" si="234"/>
      </c>
      <c r="O547" s="384">
        <f t="shared" si="249"/>
      </c>
      <c r="P547" s="384">
        <f t="shared" si="281"/>
      </c>
      <c r="Q547" s="384">
        <f t="shared" si="98"/>
      </c>
      <c r="R547" s="383">
        <f t="shared" si="296"/>
      </c>
      <c r="S547" s="381">
        <f t="shared" si="113"/>
      </c>
      <c r="T547" s="384">
        <f t="shared" si="134"/>
      </c>
      <c r="U547" s="384">
        <f t="shared" si="47"/>
      </c>
      <c r="V547" s="384">
        <f t="shared" si="64"/>
      </c>
      <c r="W547" s="384">
        <f t="shared" si="81"/>
      </c>
      <c r="X547" s="360" t="s">
        <v>181</v>
      </c>
      <c r="Y547" s="347" t="s">
        <v>193</v>
      </c>
      <c r="Z547" s="350">
        <v>122813</v>
      </c>
      <c r="AA547" s="350">
        <v>31209</v>
      </c>
      <c r="AB547" s="350">
        <v>85249</v>
      </c>
      <c r="AC547" s="350">
        <v>902</v>
      </c>
      <c r="AD547" s="350">
        <v>4</v>
      </c>
      <c r="AE547" s="350">
        <v>11412</v>
      </c>
      <c r="AF547" s="350">
        <v>302</v>
      </c>
      <c r="AG547" s="350">
        <v>65</v>
      </c>
      <c r="AH547" s="349">
        <v>14</v>
      </c>
      <c r="AI547" s="418">
        <v>1</v>
      </c>
    </row>
    <row customHeight="true" ht="16.071428571428573" r="548">
      <c r="A548" s="334"/>
      <c r="B548" s="335" t="s">
        <v>188</v>
      </c>
      <c r="C548" s="416" t="s">
        <v>186</v>
      </c>
      <c r="D548" s="440">
        <v>2347.9390000000003</v>
      </c>
      <c r="E548" s="359">
        <v>11</v>
      </c>
      <c r="F548" s="342">
        <f t="shared" si="347"/>
      </c>
      <c r="G548" s="359">
        <v>2269.2999999999993</v>
      </c>
      <c r="H548" s="430">
        <f t="shared" si="13"/>
      </c>
      <c r="I548" s="340">
        <f t="shared" si="30"/>
      </c>
      <c r="J548" s="341">
        <f t="shared" si="167"/>
      </c>
      <c r="K548" s="343">
        <f t="shared" si="199"/>
      </c>
      <c r="L548" s="382">
        <f t="shared" si="184"/>
      </c>
      <c r="M548" s="383">
        <f t="shared" si="264"/>
      </c>
      <c r="N548" s="384">
        <f t="shared" si="234"/>
      </c>
      <c r="O548" s="384">
        <f t="shared" si="249"/>
      </c>
      <c r="P548" s="384">
        <f t="shared" si="281"/>
      </c>
      <c r="Q548" s="384">
        <f t="shared" si="98"/>
      </c>
      <c r="R548" s="383">
        <f t="shared" si="296"/>
      </c>
      <c r="S548" s="381">
        <f t="shared" si="113"/>
      </c>
      <c r="T548" s="384">
        <f t="shared" si="134"/>
      </c>
      <c r="U548" s="384">
        <f t="shared" si="47"/>
      </c>
      <c r="V548" s="384">
        <f t="shared" si="64"/>
      </c>
      <c r="W548" s="384">
        <f t="shared" si="81"/>
      </c>
      <c r="X548" s="360" t="s">
        <v>181</v>
      </c>
      <c r="Y548" s="347" t="s">
        <v>193</v>
      </c>
      <c r="Z548" s="350">
        <v>126693</v>
      </c>
      <c r="AA548" s="350">
        <v>29969</v>
      </c>
      <c r="AB548" s="350">
        <v>89309</v>
      </c>
      <c r="AC548" s="350">
        <v>990</v>
      </c>
      <c r="AD548" s="350">
        <v>9</v>
      </c>
      <c r="AE548" s="350">
        <v>10553</v>
      </c>
      <c r="AF548" s="350">
        <v>402</v>
      </c>
      <c r="AG548" s="350">
        <v>65</v>
      </c>
      <c r="AH548" s="349">
        <v>13</v>
      </c>
      <c r="AI548" s="418">
        <v>1</v>
      </c>
    </row>
    <row r="549">
      <c r="A549" s="334"/>
      <c r="B549" s="387" t="s">
        <v>187</v>
      </c>
      <c r="C549" s="387"/>
      <c r="D549" s="362">
        <f>SUM(D544:D548)</f>
      </c>
      <c r="E549" s="437">
        <f>SUM(E544:E548)</f>
      </c>
      <c r="F549" s="366">
        <f t="shared" si="347"/>
      </c>
      <c r="G549" s="431">
        <f>SUM(G544:G548)</f>
      </c>
      <c r="H549" s="432">
        <f t="shared" si="13"/>
      </c>
      <c r="I549" s="433">
        <f t="shared" si="30"/>
      </c>
      <c r="J549" s="364">
        <f t="shared" si="167"/>
      </c>
      <c r="K549" s="366">
        <f t="shared" si="199"/>
      </c>
      <c r="L549" s="367">
        <f t="shared" si="184"/>
      </c>
      <c r="M549" s="364">
        <f t="shared" si="264"/>
      </c>
      <c r="N549" s="368">
        <f t="shared" si="234"/>
      </c>
      <c r="O549" s="368">
        <f t="shared" si="249"/>
      </c>
      <c r="P549" s="368">
        <f t="shared" si="281"/>
      </c>
      <c r="Q549" s="368">
        <f t="shared" si="98"/>
      </c>
      <c r="R549" s="364">
        <f t="shared" si="296"/>
      </c>
      <c r="S549" s="366">
        <f t="shared" si="113"/>
      </c>
      <c r="T549" s="368">
        <f t="shared" si="134"/>
      </c>
      <c r="U549" s="368">
        <f t="shared" si="47"/>
      </c>
      <c r="V549" s="368">
        <f t="shared" si="64"/>
      </c>
      <c r="W549" s="368">
        <f t="shared" si="81"/>
      </c>
      <c r="X549" s="368"/>
      <c r="Y549" s="369"/>
      <c r="Z549" s="362">
        <f>SUM(Z544:Z548)</f>
      </c>
      <c r="AA549" s="362">
        <f>SUM(AA544:AA548)</f>
      </c>
      <c r="AB549" s="362">
        <f>SUM(AB544:AB548)</f>
      </c>
      <c r="AC549" s="362">
        <f>SUM(AC544:AC548)</f>
      </c>
      <c r="AD549" s="362">
        <f>SUM(AD544:AD548)</f>
      </c>
      <c r="AE549" s="362">
        <f>SUM(AE544:AE548)</f>
      </c>
      <c r="AF549" s="362">
        <f>SUM(AF544:AF548)</f>
      </c>
      <c r="AG549" s="362">
        <f>SUM(AG544:AG548)</f>
      </c>
      <c r="AH549" s="362">
        <f>SUM(AH544:AH548)</f>
      </c>
      <c r="AI549" s="362">
        <f>SUM(AI544:AI548)</f>
      </c>
    </row>
    <row r="550">
      <c r="A550" s="334"/>
      <c r="B550" s="415" t="s">
        <v>216</v>
      </c>
      <c r="C550" s="370" t="s">
        <v>189</v>
      </c>
      <c r="D550" s="371">
        <v>2172.388</v>
      </c>
      <c r="E550" s="419">
        <v>4</v>
      </c>
      <c r="F550" s="342">
        <f t="shared" si="347"/>
      </c>
      <c r="G550" s="359">
        <v>880</v>
      </c>
      <c r="H550" s="428">
        <f t="shared" si="13"/>
      </c>
      <c r="I550" s="340">
        <f t="shared" si="30"/>
      </c>
      <c r="J550" s="341">
        <f t="shared" si="167"/>
      </c>
      <c r="K550" s="343">
        <f t="shared" si="199"/>
      </c>
      <c r="L550" s="344">
        <f t="shared" si="184"/>
      </c>
      <c r="M550" s="341">
        <f t="shared" si="264"/>
      </c>
      <c r="N550" s="345">
        <f t="shared" si="234"/>
      </c>
      <c r="O550" s="345">
        <f t="shared" si="249"/>
      </c>
      <c r="P550" s="345">
        <f t="shared" si="281"/>
      </c>
      <c r="Q550" s="345">
        <f t="shared" si="98"/>
      </c>
      <c r="R550" s="341">
        <f t="shared" si="296"/>
      </c>
      <c r="S550" s="343">
        <f t="shared" si="113"/>
      </c>
      <c r="T550" s="345">
        <f t="shared" si="134"/>
      </c>
      <c r="U550" s="345">
        <f t="shared" si="47"/>
      </c>
      <c r="V550" s="345">
        <f t="shared" si="64"/>
      </c>
      <c r="W550" s="345">
        <f t="shared" si="81"/>
      </c>
      <c r="X550" s="360" t="s">
        <v>181</v>
      </c>
      <c r="Y550" s="347" t="s">
        <v>193</v>
      </c>
      <c r="Z550" s="350">
        <v>111529</v>
      </c>
      <c r="AA550" s="350">
        <v>31459</v>
      </c>
      <c r="AB550" s="350">
        <v>86986</v>
      </c>
      <c r="AC550" s="350">
        <v>1032</v>
      </c>
      <c r="AD550" s="350">
        <v>5</v>
      </c>
      <c r="AE550" s="350">
        <v>10199</v>
      </c>
      <c r="AF550" s="350">
        <v>306</v>
      </c>
      <c r="AG550" s="350">
        <v>65</v>
      </c>
      <c r="AH550" s="350">
        <v>18</v>
      </c>
      <c r="AI550" s="418">
        <v>0</v>
      </c>
    </row>
    <row r="551">
      <c r="A551" s="334"/>
      <c r="B551" s="415" t="s">
        <v>216</v>
      </c>
      <c r="C551" s="372" t="s">
        <v>190</v>
      </c>
      <c r="D551" s="377">
        <v>2069.762</v>
      </c>
      <c r="E551" s="359">
        <v>8</v>
      </c>
      <c r="F551" s="342">
        <f t="shared" si="347"/>
      </c>
      <c r="G551" s="359">
        <v>2761.800000000001</v>
      </c>
      <c r="H551" s="428">
        <f t="shared" si="13"/>
      </c>
      <c r="I551" s="340">
        <f t="shared" si="30"/>
      </c>
      <c r="J551" s="341">
        <f t="shared" si="167"/>
      </c>
      <c r="K551" s="343">
        <f t="shared" si="199"/>
      </c>
      <c r="L551" s="344">
        <f t="shared" si="184"/>
      </c>
      <c r="M551" s="341">
        <f t="shared" si="264"/>
      </c>
      <c r="N551" s="345">
        <f t="shared" si="234"/>
      </c>
      <c r="O551" s="345">
        <f t="shared" si="249"/>
      </c>
      <c r="P551" s="345">
        <f t="shared" si="281"/>
      </c>
      <c r="Q551" s="345">
        <f t="shared" si="98"/>
      </c>
      <c r="R551" s="341">
        <f t="shared" si="296"/>
      </c>
      <c r="S551" s="343">
        <f t="shared" si="113"/>
      </c>
      <c r="T551" s="345">
        <f t="shared" si="134"/>
      </c>
      <c r="U551" s="345">
        <f t="shared" si="47"/>
      </c>
      <c r="V551" s="345">
        <f t="shared" si="64"/>
      </c>
      <c r="W551" s="345">
        <f t="shared" si="81"/>
      </c>
      <c r="X551" s="360" t="s">
        <v>181</v>
      </c>
      <c r="Y551" s="347" t="s">
        <v>193</v>
      </c>
      <c r="Z551" s="350">
        <v>104479</v>
      </c>
      <c r="AA551" s="350">
        <v>30375</v>
      </c>
      <c r="AB551" s="350">
        <v>88541</v>
      </c>
      <c r="AC551" s="350">
        <v>960</v>
      </c>
      <c r="AD551" s="350">
        <v>6</v>
      </c>
      <c r="AE551" s="350">
        <v>9793</v>
      </c>
      <c r="AF551" s="350">
        <v>422</v>
      </c>
      <c r="AG551" s="350">
        <v>85</v>
      </c>
      <c r="AH551" s="350">
        <v>14</v>
      </c>
      <c r="AI551" s="418">
        <v>3</v>
      </c>
    </row>
    <row r="552">
      <c r="A552" s="334"/>
      <c r="B552" s="387" t="s">
        <v>187</v>
      </c>
      <c r="C552" s="387"/>
      <c r="D552" s="362">
        <f>SUM(D550:D551)</f>
      </c>
      <c r="E552" s="437">
        <f>SUM(E550:E551)</f>
      </c>
      <c r="F552" s="366">
        <f t="shared" si="347"/>
      </c>
      <c r="G552" s="431">
        <f>SUM(G550:G551)</f>
      </c>
      <c r="H552" s="432">
        <f t="shared" si="13"/>
      </c>
      <c r="I552" s="433">
        <f t="shared" si="30"/>
      </c>
      <c r="J552" s="364">
        <f t="shared" si="167"/>
      </c>
      <c r="K552" s="366">
        <f t="shared" si="199"/>
      </c>
      <c r="L552" s="367">
        <f t="shared" si="184"/>
      </c>
      <c r="M552" s="364">
        <f t="shared" si="264"/>
      </c>
      <c r="N552" s="368">
        <f t="shared" si="234"/>
      </c>
      <c r="O552" s="368">
        <f t="shared" si="249"/>
      </c>
      <c r="P552" s="368">
        <f t="shared" si="281"/>
      </c>
      <c r="Q552" s="368">
        <f t="shared" si="98"/>
      </c>
      <c r="R552" s="364">
        <f t="shared" si="296"/>
      </c>
      <c r="S552" s="366">
        <f t="shared" si="113"/>
      </c>
      <c r="T552" s="368">
        <f t="shared" si="134"/>
      </c>
      <c r="U552" s="368">
        <f t="shared" si="47"/>
      </c>
      <c r="V552" s="368">
        <f t="shared" si="64"/>
      </c>
      <c r="W552" s="368">
        <f t="shared" si="81"/>
      </c>
      <c r="X552" s="368"/>
      <c r="Y552" s="369"/>
      <c r="Z552" s="362">
        <f>SUM(Z550:Z551)</f>
      </c>
      <c r="AA552" s="362">
        <f>SUM(AA550:AA551)</f>
      </c>
      <c r="AB552" s="362">
        <f>SUM(AB550:AB551)</f>
      </c>
      <c r="AC552" s="362">
        <f>SUM(AC550:AC551)</f>
      </c>
      <c r="AD552" s="362">
        <f>SUM(AD550:AD551)</f>
      </c>
      <c r="AE552" s="362">
        <f>SUM(AE550:AE551)</f>
      </c>
      <c r="AF552" s="362">
        <f>SUM(AF550:AF551)</f>
      </c>
      <c r="AG552" s="362">
        <f>SUM(AG550:AG551)</f>
      </c>
      <c r="AH552" s="362">
        <f>SUM(AH550:AH551)</f>
      </c>
      <c r="AI552" s="362">
        <f>SUM(AI550:AI551)</f>
      </c>
    </row>
    <row r="553">
      <c r="A553" s="334"/>
      <c r="B553" s="335" t="s">
        <v>208</v>
      </c>
      <c r="C553" s="373" t="s">
        <v>191</v>
      </c>
      <c r="D553" s="377">
        <v>2484.855</v>
      </c>
      <c r="E553" s="359">
        <v>4</v>
      </c>
      <c r="F553" s="342">
        <f t="shared" si="347"/>
      </c>
      <c r="G553" s="359">
        <v>1480</v>
      </c>
      <c r="H553" s="428">
        <f t="shared" si="13"/>
      </c>
      <c r="I553" s="340">
        <f t="shared" si="30"/>
      </c>
      <c r="J553" s="341">
        <f t="shared" si="167"/>
      </c>
      <c r="K553" s="343">
        <f t="shared" si="199"/>
      </c>
      <c r="L553" s="344">
        <f t="shared" si="184"/>
      </c>
      <c r="M553" s="341">
        <f t="shared" si="264"/>
      </c>
      <c r="N553" s="345">
        <f t="shared" si="234"/>
      </c>
      <c r="O553" s="345">
        <f t="shared" si="249"/>
      </c>
      <c r="P553" s="345">
        <f t="shared" si="281"/>
      </c>
      <c r="Q553" s="345">
        <f t="shared" si="98"/>
      </c>
      <c r="R553" s="341">
        <f t="shared" si="296"/>
      </c>
      <c r="S553" s="343">
        <f t="shared" si="113"/>
      </c>
      <c r="T553" s="345">
        <f t="shared" si="134"/>
      </c>
      <c r="U553" s="345">
        <f t="shared" si="47"/>
      </c>
      <c r="V553" s="345">
        <f t="shared" si="64"/>
      </c>
      <c r="W553" s="345">
        <f t="shared" si="81"/>
      </c>
      <c r="X553" s="360" t="s">
        <v>181</v>
      </c>
      <c r="Y553" s="347" t="s">
        <v>193</v>
      </c>
      <c r="Z553" s="350">
        <v>149620</v>
      </c>
      <c r="AA553" s="350">
        <v>37949</v>
      </c>
      <c r="AB553" s="350">
        <v>118465</v>
      </c>
      <c r="AC553" s="350">
        <v>1297</v>
      </c>
      <c r="AD553" s="349">
        <v>4</v>
      </c>
      <c r="AE553" s="350">
        <v>11924</v>
      </c>
      <c r="AF553" s="350">
        <v>437</v>
      </c>
      <c r="AG553" s="350">
        <v>96</v>
      </c>
      <c r="AH553" s="350">
        <v>10</v>
      </c>
      <c r="AI553" s="418">
        <v>0</v>
      </c>
    </row>
    <row r="554">
      <c r="A554" s="334"/>
      <c r="B554" s="335" t="s">
        <v>208</v>
      </c>
      <c r="C554" s="374" t="s">
        <v>192</v>
      </c>
      <c r="D554" s="377">
        <v>3640.033</v>
      </c>
      <c r="E554" s="359">
        <v>6</v>
      </c>
      <c r="F554" s="342">
        <f t="shared" si="347"/>
      </c>
      <c r="G554" s="359">
        <v>1893.2000000000007</v>
      </c>
      <c r="H554" s="428">
        <f t="shared" si="13"/>
      </c>
      <c r="I554" s="340">
        <f t="shared" si="30"/>
      </c>
      <c r="J554" s="341">
        <f t="shared" si="167"/>
      </c>
      <c r="K554" s="343">
        <f t="shared" si="199"/>
      </c>
      <c r="L554" s="344">
        <f t="shared" si="184"/>
      </c>
      <c r="M554" s="341">
        <f t="shared" si="264"/>
      </c>
      <c r="N554" s="345">
        <f t="shared" si="234"/>
      </c>
      <c r="O554" s="345">
        <f t="shared" si="249"/>
      </c>
      <c r="P554" s="345">
        <f t="shared" si="281"/>
      </c>
      <c r="Q554" s="345">
        <f t="shared" si="98"/>
      </c>
      <c r="R554" s="341">
        <f t="shared" si="296"/>
      </c>
      <c r="S554" s="343">
        <f t="shared" si="113"/>
      </c>
      <c r="T554" s="345">
        <f t="shared" si="134"/>
      </c>
      <c r="U554" s="345">
        <f t="shared" si="47"/>
      </c>
      <c r="V554" s="345">
        <f t="shared" si="64"/>
      </c>
      <c r="W554" s="345">
        <f t="shared" si="81"/>
      </c>
      <c r="X554" s="360" t="s">
        <v>181</v>
      </c>
      <c r="Y554" s="347" t="s">
        <v>205</v>
      </c>
      <c r="Z554" s="350">
        <v>210220</v>
      </c>
      <c r="AA554" s="350">
        <v>49934</v>
      </c>
      <c r="AB554" s="350">
        <v>167939</v>
      </c>
      <c r="AC554" s="350">
        <v>1761</v>
      </c>
      <c r="AD554" s="350">
        <v>7</v>
      </c>
      <c r="AE554" s="350">
        <v>15612</v>
      </c>
      <c r="AF554" s="350">
        <v>646</v>
      </c>
      <c r="AG554" s="350">
        <v>173</v>
      </c>
      <c r="AH554" s="350">
        <v>15</v>
      </c>
      <c r="AI554" s="418">
        <v>0</v>
      </c>
    </row>
    <row r="555">
      <c r="A555" s="334"/>
      <c r="B555" s="335" t="s">
        <v>208</v>
      </c>
      <c r="C555" s="375" t="s">
        <v>194</v>
      </c>
      <c r="D555" s="377">
        <v>3048.487</v>
      </c>
      <c r="E555" s="359">
        <v>11</v>
      </c>
      <c r="F555" s="342">
        <f t="shared" si="347"/>
      </c>
      <c r="G555" s="359">
        <v>4691.700000000001</v>
      </c>
      <c r="H555" s="428">
        <f t="shared" si="13"/>
      </c>
      <c r="I555" s="340">
        <f t="shared" si="30"/>
      </c>
      <c r="J555" s="341">
        <f t="shared" si="167"/>
      </c>
      <c r="K555" s="343">
        <f t="shared" si="199"/>
      </c>
      <c r="L555" s="344">
        <f t="shared" si="184"/>
      </c>
      <c r="M555" s="341">
        <f t="shared" si="264"/>
      </c>
      <c r="N555" s="345">
        <f t="shared" si="234"/>
      </c>
      <c r="O555" s="345">
        <f t="shared" si="249"/>
      </c>
      <c r="P555" s="345">
        <f t="shared" si="281"/>
      </c>
      <c r="Q555" s="345">
        <f t="shared" si="98"/>
      </c>
      <c r="R555" s="341">
        <f t="shared" si="296"/>
      </c>
      <c r="S555" s="343">
        <f t="shared" si="113"/>
      </c>
      <c r="T555" s="345">
        <f t="shared" si="134"/>
      </c>
      <c r="U555" s="345">
        <f t="shared" si="47"/>
      </c>
      <c r="V555" s="345">
        <f t="shared" si="64"/>
      </c>
      <c r="W555" s="345">
        <f t="shared" si="81"/>
      </c>
      <c r="X555" s="360" t="s">
        <v>181</v>
      </c>
      <c r="Y555" s="347" t="s">
        <v>205</v>
      </c>
      <c r="Z555" s="350">
        <v>189762</v>
      </c>
      <c r="AA555" s="350">
        <v>49657</v>
      </c>
      <c r="AB555" s="350">
        <v>166810</v>
      </c>
      <c r="AC555" s="350">
        <v>1267</v>
      </c>
      <c r="AD555" s="350">
        <v>9</v>
      </c>
      <c r="AE555" s="350">
        <v>16551</v>
      </c>
      <c r="AF555" s="350">
        <v>387</v>
      </c>
      <c r="AG555" s="350">
        <v>130</v>
      </c>
      <c r="AH555" s="349">
        <v>11</v>
      </c>
      <c r="AI555" s="418">
        <v>2</v>
      </c>
    </row>
    <row customHeight="true" ht="16.071428571428573" r="556">
      <c r="A556" s="334"/>
      <c r="B556" s="335" t="s">
        <v>208</v>
      </c>
      <c r="C556" s="373" t="s">
        <v>196</v>
      </c>
      <c r="D556" s="377">
        <v>2952.5820000000003</v>
      </c>
      <c r="E556" s="359">
        <v>4</v>
      </c>
      <c r="F556" s="342">
        <f t="shared" si="347"/>
      </c>
      <c r="G556" s="359">
        <v>816</v>
      </c>
      <c r="H556" s="428">
        <f t="shared" si="13"/>
      </c>
      <c r="I556" s="340">
        <f t="shared" si="30"/>
      </c>
      <c r="J556" s="341">
        <f t="shared" si="167"/>
      </c>
      <c r="K556" s="343">
        <f t="shared" si="199"/>
      </c>
      <c r="L556" s="382">
        <f t="shared" si="184"/>
      </c>
      <c r="M556" s="383">
        <f t="shared" si="264"/>
      </c>
      <c r="N556" s="384">
        <f t="shared" si="234"/>
      </c>
      <c r="O556" s="384">
        <f t="shared" si="249"/>
      </c>
      <c r="P556" s="384">
        <f t="shared" si="281"/>
      </c>
      <c r="Q556" s="384">
        <f t="shared" si="98"/>
      </c>
      <c r="R556" s="383">
        <f t="shared" si="296"/>
      </c>
      <c r="S556" s="381">
        <f t="shared" si="113"/>
      </c>
      <c r="T556" s="384">
        <f t="shared" si="134"/>
      </c>
      <c r="U556" s="384">
        <f t="shared" si="47"/>
      </c>
      <c r="V556" s="384">
        <f t="shared" si="64"/>
      </c>
      <c r="W556" s="384">
        <f t="shared" si="81"/>
      </c>
      <c r="X556" s="360" t="s">
        <v>181</v>
      </c>
      <c r="Y556" s="347" t="s">
        <v>205</v>
      </c>
      <c r="Z556" s="350">
        <v>186861</v>
      </c>
      <c r="AA556" s="350">
        <v>43091</v>
      </c>
      <c r="AB556" s="350">
        <v>144202</v>
      </c>
      <c r="AC556" s="350">
        <v>1091</v>
      </c>
      <c r="AD556" s="350">
        <v>4</v>
      </c>
      <c r="AE556" s="350">
        <v>15032</v>
      </c>
      <c r="AF556" s="350">
        <v>380</v>
      </c>
      <c r="AG556" s="350">
        <v>119</v>
      </c>
      <c r="AH556" s="349">
        <v>19</v>
      </c>
      <c r="AI556" s="418">
        <v>0</v>
      </c>
    </row>
    <row customHeight="true" ht="16.071428571428573" r="557">
      <c r="A557" s="334"/>
      <c r="B557" s="335" t="s">
        <v>208</v>
      </c>
      <c r="C557" s="373" t="s">
        <v>197</v>
      </c>
      <c r="D557" s="440">
        <v>1528.7089999999998</v>
      </c>
      <c r="E557" s="359">
        <v>4</v>
      </c>
      <c r="F557" s="342">
        <f t="shared" si="347"/>
      </c>
      <c r="G557" s="359">
        <v>1501.2000000000007</v>
      </c>
      <c r="H557" s="430">
        <f t="shared" si="13"/>
      </c>
      <c r="I557" s="340">
        <f t="shared" si="30"/>
      </c>
      <c r="J557" s="341">
        <f t="shared" si="167"/>
      </c>
      <c r="K557" s="343">
        <f t="shared" si="199"/>
      </c>
      <c r="L557" s="382">
        <f t="shared" si="184"/>
      </c>
      <c r="M557" s="383">
        <f t="shared" si="264"/>
      </c>
      <c r="N557" s="384">
        <f t="shared" si="234"/>
      </c>
      <c r="O557" s="384">
        <f t="shared" si="249"/>
      </c>
      <c r="P557" s="384">
        <f t="shared" si="281"/>
      </c>
      <c r="Q557" s="384">
        <f t="shared" si="98"/>
      </c>
      <c r="R557" s="383">
        <f t="shared" si="296"/>
      </c>
      <c r="S557" s="381">
        <f t="shared" si="113"/>
      </c>
      <c r="T557" s="384">
        <f t="shared" si="134"/>
      </c>
      <c r="U557" s="384">
        <f t="shared" si="47"/>
      </c>
      <c r="V557" s="384">
        <f t="shared" si="64"/>
      </c>
      <c r="W557" s="384">
        <f t="shared" si="81"/>
      </c>
      <c r="X557" s="360" t="s">
        <v>181</v>
      </c>
      <c r="Y557" s="347" t="s">
        <v>205</v>
      </c>
      <c r="Z557" s="350">
        <v>79139</v>
      </c>
      <c r="AA557" s="350">
        <v>23738</v>
      </c>
      <c r="AB557" s="350">
        <v>55048</v>
      </c>
      <c r="AC557" s="350">
        <v>515</v>
      </c>
      <c r="AD557" s="350">
        <v>4</v>
      </c>
      <c r="AE557" s="350">
        <v>6776</v>
      </c>
      <c r="AF557" s="350">
        <v>181</v>
      </c>
      <c r="AG557" s="350">
        <v>41</v>
      </c>
      <c r="AH557" s="349">
        <v>8</v>
      </c>
      <c r="AI557" s="418">
        <v>0</v>
      </c>
    </row>
    <row r="558">
      <c r="A558" s="334"/>
      <c r="B558" s="387" t="s">
        <v>187</v>
      </c>
      <c r="C558" s="387"/>
      <c r="D558" s="362">
        <f>SUM(D553:D557)</f>
      </c>
      <c r="E558" s="437">
        <f>SUM(E553:E557)</f>
      </c>
      <c r="F558" s="366">
        <f t="shared" si="347"/>
      </c>
      <c r="G558" s="431">
        <f>SUM(G553:G557)</f>
      </c>
      <c r="H558" s="432">
        <f t="shared" si="13"/>
      </c>
      <c r="I558" s="433">
        <f t="shared" si="30"/>
      </c>
      <c r="J558" s="364">
        <f t="shared" si="167"/>
      </c>
      <c r="K558" s="366">
        <f t="shared" si="199"/>
      </c>
      <c r="L558" s="367">
        <f t="shared" si="184"/>
      </c>
      <c r="M558" s="364">
        <f t="shared" si="264"/>
      </c>
      <c r="N558" s="368">
        <f t="shared" si="234"/>
      </c>
      <c r="O558" s="368">
        <f t="shared" si="249"/>
      </c>
      <c r="P558" s="368">
        <f t="shared" si="281"/>
      </c>
      <c r="Q558" s="368">
        <f t="shared" si="98"/>
      </c>
      <c r="R558" s="364">
        <f t="shared" si="296"/>
      </c>
      <c r="S558" s="366">
        <f t="shared" si="113"/>
      </c>
      <c r="T558" s="368">
        <f t="shared" si="134"/>
      </c>
      <c r="U558" s="368">
        <f t="shared" si="47"/>
      </c>
      <c r="V558" s="368">
        <f t="shared" si="64"/>
      </c>
      <c r="W558" s="368">
        <f t="shared" si="81"/>
      </c>
      <c r="X558" s="368"/>
      <c r="Y558" s="369"/>
      <c r="Z558" s="362">
        <f>SUM(Z553:Z557)</f>
      </c>
      <c r="AA558" s="362">
        <f>SUM(AA553:AA557)</f>
      </c>
      <c r="AB558" s="362">
        <f>SUM(AB553:AB557)</f>
      </c>
      <c r="AC558" s="362">
        <f>SUM(AC553:AC557)</f>
      </c>
      <c r="AD558" s="362">
        <f>SUM(AD553:AD557)</f>
      </c>
      <c r="AE558" s="362">
        <f>SUM(AE553:AE557)</f>
      </c>
      <c r="AF558" s="362">
        <f>SUM(AF553:AF557)</f>
      </c>
      <c r="AG558" s="362">
        <f>SUM(AG553:AG557)</f>
      </c>
      <c r="AH558" s="362">
        <f>SUM(AH553:AH557)</f>
      </c>
      <c r="AI558" s="362">
        <f>SUM(AI553:AI557)</f>
      </c>
    </row>
    <row r="559">
      <c r="A559" s="334"/>
      <c r="B559" s="335" t="s">
        <v>203</v>
      </c>
      <c r="C559" s="374" t="s">
        <v>198</v>
      </c>
      <c r="D559" s="379">
        <v>1487.229</v>
      </c>
      <c r="E559" s="417">
        <v>2</v>
      </c>
      <c r="F559" s="342">
        <f t="shared" si="347"/>
      </c>
      <c r="G559" s="339">
        <v>1056</v>
      </c>
      <c r="H559" s="428">
        <f t="shared" si="13"/>
      </c>
      <c r="I559" s="340">
        <f t="shared" si="30"/>
      </c>
      <c r="J559" s="341">
        <f t="shared" si="167"/>
      </c>
      <c r="K559" s="343">
        <f t="shared" si="199"/>
      </c>
      <c r="L559" s="382">
        <f t="shared" si="184"/>
      </c>
      <c r="M559" s="383">
        <f t="shared" si="264"/>
      </c>
      <c r="N559" s="384">
        <f t="shared" si="234"/>
      </c>
      <c r="O559" s="384">
        <f t="shared" si="249"/>
      </c>
      <c r="P559" s="384">
        <f t="shared" si="281"/>
      </c>
      <c r="Q559" s="384">
        <f t="shared" si="98"/>
      </c>
      <c r="R559" s="383">
        <f t="shared" si="296"/>
      </c>
      <c r="S559" s="381">
        <f t="shared" si="113"/>
      </c>
      <c r="T559" s="384">
        <f t="shared" si="134"/>
      </c>
      <c r="U559" s="384">
        <f t="shared" si="47"/>
      </c>
      <c r="V559" s="384">
        <f t="shared" si="64"/>
      </c>
      <c r="W559" s="384">
        <f t="shared" si="81"/>
      </c>
      <c r="X559" s="360" t="s">
        <v>181</v>
      </c>
      <c r="Y559" s="347" t="s">
        <v>205</v>
      </c>
      <c r="Z559" s="350">
        <v>89490</v>
      </c>
      <c r="AA559" s="350">
        <v>26381</v>
      </c>
      <c r="AB559" s="350">
        <v>58587</v>
      </c>
      <c r="AC559" s="385">
        <v>590</v>
      </c>
      <c r="AD559" s="385">
        <v>2</v>
      </c>
      <c r="AE559" s="385">
        <v>7348</v>
      </c>
      <c r="AF559" s="385">
        <v>232</v>
      </c>
      <c r="AG559" s="385">
        <v>47</v>
      </c>
      <c r="AH559" s="385">
        <v>7</v>
      </c>
      <c r="AI559" s="418">
        <v>0</v>
      </c>
    </row>
    <row r="560">
      <c r="A560" s="334"/>
      <c r="B560" s="335" t="s">
        <v>203</v>
      </c>
      <c r="C560" s="373" t="s">
        <v>199</v>
      </c>
      <c r="D560" s="379">
        <v>1405.409</v>
      </c>
      <c r="E560" s="417">
        <v>7</v>
      </c>
      <c r="F560" s="342">
        <f t="shared" si="347"/>
      </c>
      <c r="G560" s="339">
        <v>2375.199999999997</v>
      </c>
      <c r="H560" s="428">
        <f t="shared" si="13"/>
      </c>
      <c r="I560" s="340">
        <f t="shared" si="30"/>
      </c>
      <c r="J560" s="341">
        <f t="shared" si="167"/>
      </c>
      <c r="K560" s="343">
        <f t="shared" si="199"/>
      </c>
      <c r="L560" s="382">
        <f t="shared" si="184"/>
      </c>
      <c r="M560" s="383">
        <f t="shared" si="264"/>
      </c>
      <c r="N560" s="384">
        <f t="shared" si="234"/>
      </c>
      <c r="O560" s="384">
        <f t="shared" si="249"/>
      </c>
      <c r="P560" s="384">
        <f t="shared" si="281"/>
      </c>
      <c r="Q560" s="384">
        <f t="shared" si="98"/>
      </c>
      <c r="R560" s="383">
        <f t="shared" si="296"/>
      </c>
      <c r="S560" s="381">
        <f t="shared" si="113"/>
      </c>
      <c r="T560" s="384">
        <f t="shared" si="134"/>
      </c>
      <c r="U560" s="384">
        <f t="shared" si="47"/>
      </c>
      <c r="V560" s="384">
        <f t="shared" si="64"/>
      </c>
      <c r="W560" s="384">
        <f t="shared" si="81"/>
      </c>
      <c r="X560" s="360" t="s">
        <v>181</v>
      </c>
      <c r="Y560" s="347" t="s">
        <v>205</v>
      </c>
      <c r="Z560" s="350">
        <v>94736</v>
      </c>
      <c r="AA560" s="350">
        <v>27128</v>
      </c>
      <c r="AB560" s="350">
        <v>61471</v>
      </c>
      <c r="AC560" s="385">
        <v>731</v>
      </c>
      <c r="AD560" s="385">
        <v>6</v>
      </c>
      <c r="AE560" s="385">
        <v>7842</v>
      </c>
      <c r="AF560" s="385">
        <v>297</v>
      </c>
      <c r="AG560" s="385">
        <v>41</v>
      </c>
      <c r="AH560" s="385">
        <v>10</v>
      </c>
      <c r="AI560" s="418">
        <v>2</v>
      </c>
    </row>
    <row r="561">
      <c r="A561" s="334"/>
      <c r="B561" s="335" t="s">
        <v>203</v>
      </c>
      <c r="C561" s="386" t="s">
        <v>200</v>
      </c>
      <c r="D561" s="377">
        <v>1157.759</v>
      </c>
      <c r="E561" s="359">
        <v>4</v>
      </c>
      <c r="F561" s="342">
        <f t="shared" si="347"/>
      </c>
      <c r="G561" s="359">
        <v>1448</v>
      </c>
      <c r="H561" s="428">
        <f t="shared" si="13"/>
      </c>
      <c r="I561" s="340">
        <f t="shared" si="30"/>
      </c>
      <c r="J561" s="341">
        <f t="shared" si="167"/>
      </c>
      <c r="K561" s="343">
        <f t="shared" si="199"/>
      </c>
      <c r="L561" s="382">
        <f t="shared" si="184"/>
      </c>
      <c r="M561" s="383">
        <f t="shared" si="264"/>
      </c>
      <c r="N561" s="384">
        <f t="shared" si="234"/>
      </c>
      <c r="O561" s="384">
        <f t="shared" si="249"/>
      </c>
      <c r="P561" s="384">
        <f t="shared" si="281"/>
      </c>
      <c r="Q561" s="384">
        <f t="shared" si="98"/>
      </c>
      <c r="R561" s="383">
        <f t="shared" si="296"/>
      </c>
      <c r="S561" s="381">
        <f t="shared" si="113"/>
      </c>
      <c r="T561" s="384">
        <f t="shared" si="134"/>
      </c>
      <c r="U561" s="384">
        <f t="shared" si="47"/>
      </c>
      <c r="V561" s="384">
        <f t="shared" si="64"/>
      </c>
      <c r="W561" s="384">
        <f t="shared" si="81"/>
      </c>
      <c r="X561" s="360" t="s">
        <v>181</v>
      </c>
      <c r="Y561" s="347" t="s">
        <v>205</v>
      </c>
      <c r="Z561" s="350">
        <v>71569</v>
      </c>
      <c r="AA561" s="350">
        <v>20098</v>
      </c>
      <c r="AB561" s="350">
        <v>43785</v>
      </c>
      <c r="AC561" s="350">
        <v>648</v>
      </c>
      <c r="AD561" s="350">
        <v>4</v>
      </c>
      <c r="AE561" s="350">
        <v>5857</v>
      </c>
      <c r="AF561" s="350">
        <v>220</v>
      </c>
      <c r="AG561" s="350">
        <v>37</v>
      </c>
      <c r="AH561" s="349">
        <v>9</v>
      </c>
      <c r="AI561" s="418">
        <v>1</v>
      </c>
    </row>
    <row r="562">
      <c r="A562" s="334"/>
      <c r="B562" s="335" t="s">
        <v>203</v>
      </c>
      <c r="C562" s="439" t="s">
        <v>212</v>
      </c>
      <c r="D562" s="440">
        <v>710.8910000000001</v>
      </c>
      <c r="E562" s="359">
        <v>2</v>
      </c>
      <c r="F562" s="342">
        <f t="shared" si="347"/>
      </c>
      <c r="G562" s="359">
        <v>414.3000000000029</v>
      </c>
      <c r="H562" s="430">
        <f t="shared" si="13"/>
      </c>
      <c r="I562" s="340">
        <f t="shared" si="30"/>
      </c>
      <c r="J562" s="341">
        <f t="shared" si="167"/>
      </c>
      <c r="K562" s="343">
        <f t="shared" si="199"/>
      </c>
      <c r="L562" s="382">
        <f t="shared" si="184"/>
      </c>
      <c r="M562" s="383">
        <f t="shared" si="264"/>
      </c>
      <c r="N562" s="384">
        <f t="shared" si="234"/>
      </c>
      <c r="O562" s="384">
        <f t="shared" si="249"/>
      </c>
      <c r="P562" s="384">
        <f t="shared" si="281"/>
      </c>
      <c r="Q562" s="384">
        <f t="shared" si="98"/>
      </c>
      <c r="R562" s="383">
        <f t="shared" si="296"/>
      </c>
      <c r="S562" s="381">
        <f t="shared" si="113"/>
      </c>
      <c r="T562" s="384">
        <f t="shared" si="134"/>
      </c>
      <c r="U562" s="384">
        <f t="shared" si="47"/>
      </c>
      <c r="V562" s="384">
        <f t="shared" si="64"/>
      </c>
      <c r="W562" s="384">
        <f t="shared" si="81"/>
      </c>
      <c r="X562" s="360" t="s">
        <v>181</v>
      </c>
      <c r="Y562" s="347" t="s">
        <v>205</v>
      </c>
      <c r="Z562" s="350">
        <v>49092</v>
      </c>
      <c r="AA562" s="350">
        <v>13980</v>
      </c>
      <c r="AB562" s="350">
        <v>29852</v>
      </c>
      <c r="AC562" s="350">
        <v>412</v>
      </c>
      <c r="AD562" s="350">
        <v>2</v>
      </c>
      <c r="AE562" s="350">
        <v>3938</v>
      </c>
      <c r="AF562" s="350">
        <v>189</v>
      </c>
      <c r="AG562" s="350">
        <v>26</v>
      </c>
      <c r="AH562" s="349">
        <v>5</v>
      </c>
      <c r="AI562" s="418">
        <v>0</v>
      </c>
    </row>
    <row r="563">
      <c r="A563" s="334"/>
      <c r="B563" s="387" t="s">
        <v>187</v>
      </c>
      <c r="C563" s="387"/>
      <c r="D563" s="362">
        <f>SUM(D559:D562)</f>
      </c>
      <c r="E563" s="437">
        <f>SUM(E559:E562)</f>
      </c>
      <c r="F563" s="366">
        <f t="shared" si="347"/>
      </c>
      <c r="G563" s="431">
        <f>SUM(G559:G562)</f>
      </c>
      <c r="H563" s="432">
        <f t="shared" si="13"/>
      </c>
      <c r="I563" s="433">
        <f t="shared" si="30"/>
      </c>
      <c r="J563" s="364">
        <f t="shared" si="167"/>
      </c>
      <c r="K563" s="366">
        <f t="shared" si="199"/>
      </c>
      <c r="L563" s="367">
        <f t="shared" si="184"/>
      </c>
      <c r="M563" s="364">
        <f t="shared" si="264"/>
      </c>
      <c r="N563" s="368">
        <f t="shared" si="234"/>
      </c>
      <c r="O563" s="368">
        <f t="shared" si="249"/>
      </c>
      <c r="P563" s="368">
        <f t="shared" si="281"/>
      </c>
      <c r="Q563" s="368">
        <f t="shared" si="98"/>
      </c>
      <c r="R563" s="364">
        <f t="shared" si="296"/>
      </c>
      <c r="S563" s="366">
        <f t="shared" si="113"/>
      </c>
      <c r="T563" s="368">
        <f t="shared" si="134"/>
      </c>
      <c r="U563" s="368">
        <f t="shared" si="47"/>
      </c>
      <c r="V563" s="368">
        <f t="shared" si="64"/>
      </c>
      <c r="W563" s="368">
        <f t="shared" si="81"/>
      </c>
      <c r="X563" s="368"/>
      <c r="Y563" s="369"/>
      <c r="Z563" s="362">
        <f>SUM(Z559:Z562)</f>
      </c>
      <c r="AA563" s="362">
        <f>SUM(AA559:AA562)</f>
      </c>
      <c r="AB563" s="362">
        <f>SUM(AB559:AB562)</f>
      </c>
      <c r="AC563" s="362">
        <f>SUM(AC559:AC562)</f>
      </c>
      <c r="AD563" s="362">
        <f>SUM(AD559:AD562)</f>
      </c>
      <c r="AE563" s="362">
        <f>SUM(AE559:AE562)</f>
      </c>
      <c r="AF563" s="362">
        <f>SUM(AF559:AF562)</f>
      </c>
      <c r="AG563" s="362">
        <f>SUM(AG559:AG562)</f>
      </c>
      <c r="AH563" s="362">
        <f>SUM(AH559:AH562)</f>
      </c>
      <c r="AI563" s="362">
        <f>SUM(AI559:AI562)</f>
      </c>
    </row>
    <row r="564">
      <c r="A564" s="334"/>
      <c r="B564" s="388" t="s">
        <v>201</v>
      </c>
      <c r="C564" s="388"/>
      <c r="D564" s="389">
        <f>SUM(D563+D549+D552+D558)</f>
      </c>
      <c r="E564" s="442">
        <f>SUM(E563+E549+E552+E558)</f>
      </c>
      <c r="F564" s="393">
        <f t="shared" si="347"/>
      </c>
      <c r="G564" s="434">
        <f>SUM(G563+G549+G552+G558)</f>
      </c>
      <c r="H564" s="441">
        <f t="shared" si="13"/>
      </c>
      <c r="I564" s="436">
        <f t="shared" si="30"/>
      </c>
      <c r="J564" s="391">
        <f t="shared" si="167"/>
      </c>
      <c r="K564" s="393">
        <f t="shared" si="199"/>
      </c>
      <c r="L564" s="394">
        <f t="shared" si="184"/>
      </c>
      <c r="M564" s="394">
        <f t="shared" si="264"/>
      </c>
      <c r="N564" s="395">
        <f t="shared" si="234"/>
      </c>
      <c r="O564" s="395">
        <f t="shared" si="249"/>
      </c>
      <c r="P564" s="395">
        <f t="shared" si="281"/>
      </c>
      <c r="Q564" s="395">
        <f t="shared" si="98"/>
      </c>
      <c r="R564" s="396">
        <f t="shared" si="296"/>
      </c>
      <c r="S564" s="397">
        <f t="shared" si="113"/>
      </c>
      <c r="T564" s="398">
        <f t="shared" si="134"/>
      </c>
      <c r="U564" s="398">
        <f t="shared" si="47"/>
      </c>
      <c r="V564" s="398">
        <f t="shared" si="64"/>
      </c>
      <c r="W564" s="398">
        <f t="shared" si="81"/>
      </c>
      <c r="X564" s="398"/>
      <c r="Y564" s="399"/>
      <c r="Z564" s="390">
        <f>SUM(Z549+Z563+Z552+Z558)</f>
      </c>
      <c r="AA564" s="390">
        <f>SUM(AA549+AA563+AA552+AA558)</f>
      </c>
      <c r="AB564" s="390">
        <f>SUM(AB549+AB563+AB552+AB558)</f>
      </c>
      <c r="AC564" s="390">
        <f>SUM(AC549+AC563+AC552+AC558)</f>
      </c>
      <c r="AD564" s="390">
        <f>SUM(AD549+AD563+AD552+AD558)</f>
      </c>
      <c r="AE564" s="390">
        <f>SUM(AE549+AE563+AE552+AE558)</f>
      </c>
      <c r="AF564" s="390">
        <f>SUM(AF549+AF563+AF552+AF558)</f>
      </c>
      <c r="AG564" s="390">
        <f>SUM(AG549+AG563+AG552+AG558)</f>
      </c>
      <c r="AH564" s="390">
        <f>SUM(AH549+AH563+AH552+AH558)</f>
      </c>
      <c r="AI564" s="390">
        <f>SUM(AI549+AI563+AI552+AI558)</f>
      </c>
    </row>
    <row r="565">
      <c r="A565" s="319" t="s">
        <v>145</v>
      </c>
      <c r="B565" s="320" t="s">
        <v>146</v>
      </c>
      <c r="C565" s="321" t="s">
        <v>147</v>
      </c>
      <c r="D565" s="322" t="s">
        <v>148</v>
      </c>
      <c r="E565" s="426" t="s">
        <v>213</v>
      </c>
      <c r="F565" s="427" t="s">
        <v>214</v>
      </c>
      <c r="G565" s="324" t="s">
        <v>150</v>
      </c>
      <c r="H565" s="427" t="s">
        <v>215</v>
      </c>
      <c r="I565" s="324" t="s">
        <v>151</v>
      </c>
      <c r="J565" s="325" t="s">
        <v>152</v>
      </c>
      <c r="K565" s="325" t="s">
        <v>154</v>
      </c>
      <c r="L565" s="326" t="s">
        <v>155</v>
      </c>
      <c r="M565" s="326" t="s">
        <v>156</v>
      </c>
      <c r="N565" s="326" t="s">
        <v>157</v>
      </c>
      <c r="O565" s="326" t="s">
        <v>158</v>
      </c>
      <c r="P565" s="326" t="s">
        <v>159</v>
      </c>
      <c r="Q565" s="326" t="s">
        <v>160</v>
      </c>
      <c r="R565" s="326" t="s">
        <v>161</v>
      </c>
      <c r="S565" s="326" t="s">
        <v>162</v>
      </c>
      <c r="T565" s="327" t="s">
        <v>163</v>
      </c>
      <c r="U565" s="327" t="s">
        <v>164</v>
      </c>
      <c r="V565" s="327" t="s">
        <v>165</v>
      </c>
      <c r="W565" s="327" t="s">
        <v>166</v>
      </c>
      <c r="X565" s="328" t="s">
        <v>167</v>
      </c>
      <c r="Y565" s="328" t="s">
        <v>168</v>
      </c>
      <c r="Z565" s="329" t="s">
        <v>169</v>
      </c>
      <c r="AA565" s="329" t="s">
        <v>170</v>
      </c>
      <c r="AB565" s="329" t="s">
        <v>171</v>
      </c>
      <c r="AC565" s="330" t="s">
        <v>172</v>
      </c>
      <c r="AD565" s="330" t="s">
        <v>173</v>
      </c>
      <c r="AE565" s="331" t="s">
        <v>174</v>
      </c>
      <c r="AF565" s="330" t="s">
        <v>175</v>
      </c>
      <c r="AG565" s="330" t="s">
        <v>176</v>
      </c>
      <c r="AH565" s="332" t="s">
        <v>177</v>
      </c>
      <c r="AI565" s="333" t="s">
        <v>178</v>
      </c>
    </row>
    <row r="566">
      <c r="A566" s="334">
        <v>46263</v>
      </c>
      <c r="B566" s="335" t="s">
        <v>188</v>
      </c>
      <c r="C566" s="354" t="s">
        <v>180</v>
      </c>
      <c r="D566" s="337">
        <v>1367.862</v>
      </c>
      <c r="E566" s="417">
        <v>4</v>
      </c>
      <c r="F566" s="342">
        <f t="shared" ref="F566:F586" si="348">D566/E566</f>
      </c>
      <c r="G566" s="339">
        <v>2048</v>
      </c>
      <c r="H566" s="428">
        <f t="shared" ref="H566:H586" si="14">AD566</f>
      </c>
      <c r="I566" s="340">
        <f t="shared" ref="I566:I586" si="31">D566/AD566</f>
      </c>
      <c r="J566" s="341">
        <f t="shared" ref="J566:J586" si="168">G566/E566</f>
      </c>
      <c r="K566" s="343">
        <f t="shared" ref="K566:K586" si="200">G566/D566</f>
      </c>
      <c r="L566" s="344">
        <f t="shared" ref="L566:L586" si="185">D566/AB566</f>
      </c>
      <c r="M566" s="341">
        <f t="shared" ref="M566:M586" si="265">D566/AC566</f>
      </c>
      <c r="N566" s="345">
        <f t="shared" ref="N566:N586" si="235">AC566/AB566</f>
      </c>
      <c r="O566" s="345">
        <f t="shared" ref="O566:O586" si="250">AD566/AC566</f>
      </c>
      <c r="P566" s="345">
        <f t="shared" ref="P566:P586" si="282">AA566/Z566</f>
      </c>
      <c r="Q566" s="345">
        <f t="shared" ref="Q566:Q586" si="99">AD566/AA566</f>
      </c>
      <c r="R566" s="341">
        <f t="shared" ref="R566:R586" si="297">D566/Z566*1000</f>
      </c>
      <c r="S566" s="343">
        <f t="shared" ref="S566:S586" si="114">D566/AA566</f>
      </c>
      <c r="T566" s="345">
        <f t="shared" ref="T566:T586" si="135">AE566/AB566</f>
      </c>
      <c r="U566" s="345">
        <f t="shared" ref="U566:U586" si="48">AF566/AB566</f>
      </c>
      <c r="V566" s="345">
        <f t="shared" ref="V566:V586" si="65">AG566/AB566</f>
      </c>
      <c r="W566" s="345">
        <f t="shared" ref="W566:W586" si="82">AH566/AB566</f>
      </c>
      <c r="X566" s="346" t="s">
        <v>181</v>
      </c>
      <c r="Y566" s="347" t="s">
        <v>193</v>
      </c>
      <c r="Z566" s="348">
        <v>60212</v>
      </c>
      <c r="AA566" s="348">
        <v>41424</v>
      </c>
      <c r="AB566" s="348">
        <v>56967</v>
      </c>
      <c r="AC566" s="348">
        <v>886</v>
      </c>
      <c r="AD566" s="349">
        <v>5</v>
      </c>
      <c r="AE566" s="348">
        <v>14921</v>
      </c>
      <c r="AF566" s="350">
        <v>405</v>
      </c>
      <c r="AG566" s="350">
        <v>70</v>
      </c>
      <c r="AH566" s="350">
        <v>9</v>
      </c>
      <c r="AI566" s="418">
        <v>0</v>
      </c>
    </row>
    <row r="567">
      <c r="A567" s="334"/>
      <c r="B567" s="335" t="s">
        <v>188</v>
      </c>
      <c r="C567" s="336" t="s">
        <v>183</v>
      </c>
      <c r="D567" s="337">
        <v>1060.7</v>
      </c>
      <c r="E567" s="417">
        <v>4</v>
      </c>
      <c r="F567" s="342">
        <f t="shared" si="348"/>
      </c>
      <c r="G567" s="339">
        <v>2031.9</v>
      </c>
      <c r="H567" s="428">
        <f t="shared" si="14"/>
      </c>
      <c r="I567" s="340">
        <f t="shared" si="31"/>
      </c>
      <c r="J567" s="341">
        <f t="shared" si="168"/>
      </c>
      <c r="K567" s="343">
        <f t="shared" si="200"/>
      </c>
      <c r="L567" s="344">
        <f t="shared" si="185"/>
      </c>
      <c r="M567" s="341">
        <f t="shared" si="265"/>
      </c>
      <c r="N567" s="345">
        <f t="shared" si="235"/>
      </c>
      <c r="O567" s="345">
        <f t="shared" si="250"/>
      </c>
      <c r="P567" s="345">
        <f t="shared" si="282"/>
      </c>
      <c r="Q567" s="345">
        <f t="shared" si="99"/>
      </c>
      <c r="R567" s="341">
        <f t="shared" si="297"/>
      </c>
      <c r="S567" s="343">
        <f t="shared" si="114"/>
      </c>
      <c r="T567" s="345">
        <f t="shared" si="135"/>
      </c>
      <c r="U567" s="345">
        <f t="shared" si="48"/>
      </c>
      <c r="V567" s="345">
        <f t="shared" si="65"/>
      </c>
      <c r="W567" s="345">
        <f t="shared" si="82"/>
      </c>
      <c r="X567" s="360" t="s">
        <v>181</v>
      </c>
      <c r="Y567" s="347" t="s">
        <v>193</v>
      </c>
      <c r="Z567" s="350">
        <v>47929</v>
      </c>
      <c r="AA567" s="348">
        <v>29382</v>
      </c>
      <c r="AB567" s="348">
        <v>40848</v>
      </c>
      <c r="AC567" s="348">
        <v>751</v>
      </c>
      <c r="AD567" s="350">
        <v>2</v>
      </c>
      <c r="AE567" s="348">
        <v>10220</v>
      </c>
      <c r="AF567" s="350">
        <v>314</v>
      </c>
      <c r="AG567" s="350">
        <v>29</v>
      </c>
      <c r="AH567" s="349">
        <v>6</v>
      </c>
      <c r="AI567" s="418">
        <v>2</v>
      </c>
    </row>
    <row r="568">
      <c r="A568" s="334"/>
      <c r="B568" s="335" t="s">
        <v>188</v>
      </c>
      <c r="C568" s="351" t="s">
        <v>184</v>
      </c>
      <c r="D568" s="377">
        <v>1040.2469999999998</v>
      </c>
      <c r="E568" s="359">
        <v>3</v>
      </c>
      <c r="F568" s="342">
        <f t="shared" si="348"/>
      </c>
      <c r="G568" s="359">
        <v>1283.9999999999995</v>
      </c>
      <c r="H568" s="428">
        <f t="shared" si="14"/>
      </c>
      <c r="I568" s="340">
        <f t="shared" si="31"/>
      </c>
      <c r="J568" s="341">
        <f t="shared" si="168"/>
      </c>
      <c r="K568" s="343">
        <f t="shared" si="200"/>
      </c>
      <c r="L568" s="344">
        <f t="shared" si="185"/>
      </c>
      <c r="M568" s="341">
        <f t="shared" si="265"/>
      </c>
      <c r="N568" s="345">
        <f t="shared" si="235"/>
      </c>
      <c r="O568" s="345">
        <f t="shared" si="250"/>
      </c>
      <c r="P568" s="345">
        <f t="shared" si="282"/>
      </c>
      <c r="Q568" s="345">
        <f t="shared" si="99"/>
      </c>
      <c r="R568" s="341">
        <f t="shared" si="297"/>
      </c>
      <c r="S568" s="343">
        <f t="shared" si="114"/>
      </c>
      <c r="T568" s="345">
        <f t="shared" si="135"/>
      </c>
      <c r="U568" s="345">
        <f t="shared" si="48"/>
      </c>
      <c r="V568" s="345">
        <f t="shared" si="65"/>
      </c>
      <c r="W568" s="345">
        <f t="shared" si="82"/>
      </c>
      <c r="X568" s="360" t="s">
        <v>181</v>
      </c>
      <c r="Y568" s="347" t="s">
        <v>193</v>
      </c>
      <c r="Z568" s="350">
        <v>48165</v>
      </c>
      <c r="AA568" s="350">
        <v>25838</v>
      </c>
      <c r="AB568" s="350">
        <v>37740</v>
      </c>
      <c r="AC568" s="350">
        <v>650</v>
      </c>
      <c r="AD568" s="350">
        <v>1</v>
      </c>
      <c r="AE568" s="350">
        <v>8930</v>
      </c>
      <c r="AF568" s="350">
        <v>281</v>
      </c>
      <c r="AG568" s="350">
        <v>33</v>
      </c>
      <c r="AH568" s="350">
        <v>9</v>
      </c>
      <c r="AI568" s="418">
        <v>0</v>
      </c>
    </row>
    <row r="569">
      <c r="A569" s="334"/>
      <c r="B569" s="335" t="s">
        <v>188</v>
      </c>
      <c r="C569" s="416" t="s">
        <v>185</v>
      </c>
      <c r="D569" s="377">
        <v>1025.734</v>
      </c>
      <c r="E569" s="359">
        <v>4</v>
      </c>
      <c r="F569" s="342">
        <f t="shared" si="348"/>
      </c>
      <c r="G569" s="359">
        <v>858.4000000000005</v>
      </c>
      <c r="H569" s="428">
        <f t="shared" si="14"/>
      </c>
      <c r="I569" s="340">
        <f t="shared" si="31"/>
      </c>
      <c r="J569" s="341">
        <f t="shared" si="168"/>
      </c>
      <c r="K569" s="343">
        <f t="shared" si="200"/>
      </c>
      <c r="L569" s="382">
        <f t="shared" si="185"/>
      </c>
      <c r="M569" s="383">
        <f t="shared" si="265"/>
      </c>
      <c r="N569" s="384">
        <f t="shared" si="235"/>
      </c>
      <c r="O569" s="384">
        <f t="shared" si="250"/>
      </c>
      <c r="P569" s="384">
        <f t="shared" si="282"/>
      </c>
      <c r="Q569" s="384">
        <f t="shared" si="99"/>
      </c>
      <c r="R569" s="383">
        <f t="shared" si="297"/>
      </c>
      <c r="S569" s="381">
        <f t="shared" si="114"/>
      </c>
      <c r="T569" s="384">
        <f t="shared" si="135"/>
      </c>
      <c r="U569" s="384">
        <f t="shared" si="48"/>
      </c>
      <c r="V569" s="384">
        <f t="shared" si="65"/>
      </c>
      <c r="W569" s="384">
        <f t="shared" si="82"/>
      </c>
      <c r="X569" s="360" t="s">
        <v>181</v>
      </c>
      <c r="Y569" s="347" t="s">
        <v>193</v>
      </c>
      <c r="Z569" s="350">
        <v>57983</v>
      </c>
      <c r="AA569" s="350">
        <v>27741</v>
      </c>
      <c r="AB569" s="350">
        <v>43747</v>
      </c>
      <c r="AC569" s="350">
        <v>602</v>
      </c>
      <c r="AD569" s="350">
        <v>5</v>
      </c>
      <c r="AE569" s="350">
        <v>9390</v>
      </c>
      <c r="AF569" s="350">
        <v>235</v>
      </c>
      <c r="AG569" s="350">
        <v>28</v>
      </c>
      <c r="AH569" s="349">
        <v>7</v>
      </c>
      <c r="AI569" s="418">
        <v>2</v>
      </c>
    </row>
    <row r="570">
      <c r="A570" s="334"/>
      <c r="B570" s="335" t="s">
        <v>188</v>
      </c>
      <c r="C570" s="416" t="s">
        <v>186</v>
      </c>
      <c r="D570" s="440">
        <v>1977.112</v>
      </c>
      <c r="E570" s="359">
        <v>4</v>
      </c>
      <c r="F570" s="342">
        <f t="shared" si="348"/>
      </c>
      <c r="G570" s="359">
        <v>1480</v>
      </c>
      <c r="H570" s="430">
        <f t="shared" si="14"/>
      </c>
      <c r="I570" s="340">
        <f t="shared" si="31"/>
      </c>
      <c r="J570" s="341">
        <f t="shared" si="168"/>
      </c>
      <c r="K570" s="343">
        <f t="shared" si="200"/>
      </c>
      <c r="L570" s="382">
        <f t="shared" si="185"/>
      </c>
      <c r="M570" s="383">
        <f t="shared" si="265"/>
      </c>
      <c r="N570" s="384">
        <f t="shared" si="235"/>
      </c>
      <c r="O570" s="384">
        <f t="shared" si="250"/>
      </c>
      <c r="P570" s="384">
        <f t="shared" si="282"/>
      </c>
      <c r="Q570" s="384">
        <f t="shared" si="99"/>
      </c>
      <c r="R570" s="383">
        <f t="shared" si="297"/>
      </c>
      <c r="S570" s="381">
        <f t="shared" si="114"/>
      </c>
      <c r="T570" s="384">
        <f t="shared" si="135"/>
      </c>
      <c r="U570" s="384">
        <f t="shared" si="48"/>
      </c>
      <c r="V570" s="384">
        <f t="shared" si="65"/>
      </c>
      <c r="W570" s="384">
        <f t="shared" si="82"/>
      </c>
      <c r="X570" s="360" t="s">
        <v>181</v>
      </c>
      <c r="Y570" s="347" t="s">
        <v>193</v>
      </c>
      <c r="Z570" s="350">
        <v>122750</v>
      </c>
      <c r="AA570" s="350">
        <v>32796</v>
      </c>
      <c r="AB570" s="350">
        <v>90910</v>
      </c>
      <c r="AC570" s="350">
        <v>952</v>
      </c>
      <c r="AD570" s="350">
        <v>4</v>
      </c>
      <c r="AE570" s="350">
        <v>11640</v>
      </c>
      <c r="AF570" s="350">
        <v>354</v>
      </c>
      <c r="AG570" s="350">
        <v>72</v>
      </c>
      <c r="AH570" s="349">
        <v>13</v>
      </c>
      <c r="AI570" s="418">
        <v>0</v>
      </c>
    </row>
    <row r="571">
      <c r="A571" s="334"/>
      <c r="B571" s="387" t="s">
        <v>187</v>
      </c>
      <c r="C571" s="387"/>
      <c r="D571" s="362">
        <f>SUM(D566:D570)</f>
      </c>
      <c r="E571" s="437">
        <f>SUM(E566:E570)</f>
      </c>
      <c r="F571" s="366">
        <f t="shared" si="348"/>
      </c>
      <c r="G571" s="431">
        <f>SUM(G566:G570)</f>
      </c>
      <c r="H571" s="432">
        <f t="shared" si="14"/>
      </c>
      <c r="I571" s="433">
        <f t="shared" si="31"/>
      </c>
      <c r="J571" s="364">
        <f t="shared" si="168"/>
      </c>
      <c r="K571" s="366">
        <f t="shared" si="200"/>
      </c>
      <c r="L571" s="367">
        <f t="shared" si="185"/>
      </c>
      <c r="M571" s="364">
        <f t="shared" si="265"/>
      </c>
      <c r="N571" s="368">
        <f t="shared" si="235"/>
      </c>
      <c r="O571" s="368">
        <f t="shared" si="250"/>
      </c>
      <c r="P571" s="368">
        <f t="shared" si="282"/>
      </c>
      <c r="Q571" s="368">
        <f t="shared" si="99"/>
      </c>
      <c r="R571" s="364">
        <f t="shared" si="297"/>
      </c>
      <c r="S571" s="366">
        <f t="shared" si="114"/>
      </c>
      <c r="T571" s="368">
        <f t="shared" si="135"/>
      </c>
      <c r="U571" s="368">
        <f t="shared" si="48"/>
      </c>
      <c r="V571" s="368">
        <f t="shared" si="65"/>
      </c>
      <c r="W571" s="368">
        <f t="shared" si="82"/>
      </c>
      <c r="X571" s="368"/>
      <c r="Y571" s="369"/>
      <c r="Z571" s="362">
        <f>SUM(Z566:Z570)</f>
      </c>
      <c r="AA571" s="362">
        <f>SUM(AA566:AA570)</f>
      </c>
      <c r="AB571" s="362">
        <f>SUM(AB566:AB570)</f>
      </c>
      <c r="AC571" s="362">
        <f>SUM(AC566:AC570)</f>
      </c>
      <c r="AD571" s="362">
        <f>SUM(AD566:AD570)</f>
      </c>
      <c r="AE571" s="362">
        <f>SUM(AE566:AE570)</f>
      </c>
      <c r="AF571" s="362">
        <f>SUM(AF566:AF570)</f>
      </c>
      <c r="AG571" s="362">
        <f>SUM(AG566:AG570)</f>
      </c>
      <c r="AH571" s="362">
        <f>SUM(AH566:AH570)</f>
      </c>
      <c r="AI571" s="362">
        <f>SUM(AI566:AI570)</f>
      </c>
    </row>
    <row r="572">
      <c r="A572" s="334"/>
      <c r="B572" s="415" t="s">
        <v>216</v>
      </c>
      <c r="C572" s="370" t="s">
        <v>189</v>
      </c>
      <c r="D572" s="371">
        <v>2440.196</v>
      </c>
      <c r="E572" s="419">
        <v>6</v>
      </c>
      <c r="F572" s="342">
        <f t="shared" si="348"/>
      </c>
      <c r="G572" s="359">
        <v>3065.5999999999995</v>
      </c>
      <c r="H572" s="428">
        <f t="shared" si="14"/>
      </c>
      <c r="I572" s="340">
        <f t="shared" si="31"/>
      </c>
      <c r="J572" s="341">
        <f t="shared" si="168"/>
      </c>
      <c r="K572" s="343">
        <f t="shared" si="200"/>
      </c>
      <c r="L572" s="344">
        <f t="shared" si="185"/>
      </c>
      <c r="M572" s="341">
        <f t="shared" si="265"/>
      </c>
      <c r="N572" s="345">
        <f t="shared" si="235"/>
      </c>
      <c r="O572" s="345">
        <f t="shared" si="250"/>
      </c>
      <c r="P572" s="345">
        <f t="shared" si="282"/>
      </c>
      <c r="Q572" s="345">
        <f t="shared" si="99"/>
      </c>
      <c r="R572" s="341">
        <f t="shared" si="297"/>
      </c>
      <c r="S572" s="343">
        <f t="shared" si="114"/>
      </c>
      <c r="T572" s="345">
        <f t="shared" si="135"/>
      </c>
      <c r="U572" s="345">
        <f t="shared" si="48"/>
      </c>
      <c r="V572" s="345">
        <f t="shared" si="65"/>
      </c>
      <c r="W572" s="345">
        <f t="shared" si="82"/>
      </c>
      <c r="X572" s="360" t="s">
        <v>181</v>
      </c>
      <c r="Y572" s="347" t="s">
        <v>193</v>
      </c>
      <c r="Z572" s="350">
        <v>180476</v>
      </c>
      <c r="AA572" s="350">
        <v>30378</v>
      </c>
      <c r="AB572" s="350">
        <v>124414</v>
      </c>
      <c r="AC572" s="350">
        <v>1342</v>
      </c>
      <c r="AD572" s="350">
        <v>6</v>
      </c>
      <c r="AE572" s="350">
        <v>11376</v>
      </c>
      <c r="AF572" s="350">
        <v>383</v>
      </c>
      <c r="AG572" s="350">
        <v>65</v>
      </c>
      <c r="AH572" s="350">
        <v>18</v>
      </c>
      <c r="AI572" s="418">
        <v>1</v>
      </c>
    </row>
    <row r="573">
      <c r="A573" s="334"/>
      <c r="B573" s="415" t="s">
        <v>216</v>
      </c>
      <c r="C573" s="372" t="s">
        <v>190</v>
      </c>
      <c r="D573" s="377">
        <v>2043.845</v>
      </c>
      <c r="E573" s="359">
        <v>3</v>
      </c>
      <c r="F573" s="342">
        <f t="shared" si="348"/>
      </c>
      <c r="G573" s="359">
        <v>684</v>
      </c>
      <c r="H573" s="428">
        <f t="shared" si="14"/>
      </c>
      <c r="I573" s="340">
        <f t="shared" si="31"/>
      </c>
      <c r="J573" s="341">
        <f t="shared" si="168"/>
      </c>
      <c r="K573" s="343">
        <f t="shared" si="200"/>
      </c>
      <c r="L573" s="344">
        <f t="shared" si="185"/>
      </c>
      <c r="M573" s="341">
        <f t="shared" si="265"/>
      </c>
      <c r="N573" s="345">
        <f t="shared" si="235"/>
      </c>
      <c r="O573" s="345">
        <f t="shared" si="250"/>
      </c>
      <c r="P573" s="345">
        <f t="shared" si="282"/>
      </c>
      <c r="Q573" s="345">
        <f t="shared" si="99"/>
      </c>
      <c r="R573" s="341">
        <f t="shared" si="297"/>
      </c>
      <c r="S573" s="343">
        <f t="shared" si="114"/>
      </c>
      <c r="T573" s="345">
        <f t="shared" si="135"/>
      </c>
      <c r="U573" s="345">
        <f t="shared" si="48"/>
      </c>
      <c r="V573" s="345">
        <f t="shared" si="65"/>
      </c>
      <c r="W573" s="345">
        <f t="shared" si="82"/>
      </c>
      <c r="X573" s="360" t="s">
        <v>181</v>
      </c>
      <c r="Y573" s="347" t="s">
        <v>193</v>
      </c>
      <c r="Z573" s="350">
        <v>145698</v>
      </c>
      <c r="AA573" s="350">
        <v>21759</v>
      </c>
      <c r="AB573" s="350">
        <v>95806</v>
      </c>
      <c r="AC573" s="350">
        <v>1060</v>
      </c>
      <c r="AD573" s="350">
        <v>2</v>
      </c>
      <c r="AE573" s="350">
        <v>8183</v>
      </c>
      <c r="AF573" s="350">
        <v>329</v>
      </c>
      <c r="AG573" s="350">
        <v>53</v>
      </c>
      <c r="AH573" s="350">
        <v>11</v>
      </c>
      <c r="AI573" s="418">
        <v>0</v>
      </c>
    </row>
    <row r="574">
      <c r="A574" s="334"/>
      <c r="B574" s="387" t="s">
        <v>187</v>
      </c>
      <c r="C574" s="387"/>
      <c r="D574" s="362">
        <f>SUM(D572:D573)</f>
      </c>
      <c r="E574" s="437">
        <f>SUM(E572:E573)</f>
      </c>
      <c r="F574" s="366">
        <f t="shared" si="348"/>
      </c>
      <c r="G574" s="431">
        <f>SUM(G572:G573)</f>
      </c>
      <c r="H574" s="432">
        <f t="shared" si="14"/>
      </c>
      <c r="I574" s="433">
        <f t="shared" si="31"/>
      </c>
      <c r="J574" s="364">
        <f t="shared" si="168"/>
      </c>
      <c r="K574" s="366">
        <f t="shared" si="200"/>
      </c>
      <c r="L574" s="367">
        <f t="shared" si="185"/>
      </c>
      <c r="M574" s="364">
        <f t="shared" si="265"/>
      </c>
      <c r="N574" s="368">
        <f t="shared" si="235"/>
      </c>
      <c r="O574" s="368">
        <f t="shared" si="250"/>
      </c>
      <c r="P574" s="368">
        <f t="shared" si="282"/>
      </c>
      <c r="Q574" s="368">
        <f t="shared" si="99"/>
      </c>
      <c r="R574" s="364">
        <f t="shared" si="297"/>
      </c>
      <c r="S574" s="366">
        <f t="shared" si="114"/>
      </c>
      <c r="T574" s="368">
        <f t="shared" si="135"/>
      </c>
      <c r="U574" s="368">
        <f t="shared" si="48"/>
      </c>
      <c r="V574" s="368">
        <f t="shared" si="65"/>
      </c>
      <c r="W574" s="368">
        <f t="shared" si="82"/>
      </c>
      <c r="X574" s="368"/>
      <c r="Y574" s="369"/>
      <c r="Z574" s="362">
        <f>SUM(Z572:Z573)</f>
      </c>
      <c r="AA574" s="362">
        <f>SUM(AA572:AA573)</f>
      </c>
      <c r="AB574" s="362">
        <f>SUM(AB572:AB573)</f>
      </c>
      <c r="AC574" s="362">
        <f>SUM(AC572:AC573)</f>
      </c>
      <c r="AD574" s="362">
        <f>SUM(AD572:AD573)</f>
      </c>
      <c r="AE574" s="362">
        <f>SUM(AE572:AE573)</f>
      </c>
      <c r="AF574" s="362">
        <f>SUM(AF572:AF573)</f>
      </c>
      <c r="AG574" s="362">
        <f>SUM(AG572:AG573)</f>
      </c>
      <c r="AH574" s="362">
        <f>SUM(AH572:AH573)</f>
      </c>
      <c r="AI574" s="362">
        <f>SUM(AI572:AI573)</f>
      </c>
    </row>
    <row r="575">
      <c r="A575" s="334"/>
      <c r="B575" s="335" t="s">
        <v>208</v>
      </c>
      <c r="C575" s="373" t="s">
        <v>191</v>
      </c>
      <c r="D575" s="377">
        <v>1474.192</v>
      </c>
      <c r="E575" s="359">
        <v>10</v>
      </c>
      <c r="F575" s="342">
        <f t="shared" si="348"/>
      </c>
      <c r="G575" s="359">
        <v>5005.6</v>
      </c>
      <c r="H575" s="428">
        <f t="shared" si="14"/>
      </c>
      <c r="I575" s="340">
        <f t="shared" si="31"/>
      </c>
      <c r="J575" s="341">
        <f t="shared" si="168"/>
      </c>
      <c r="K575" s="343">
        <f t="shared" si="200"/>
      </c>
      <c r="L575" s="344">
        <f t="shared" si="185"/>
      </c>
      <c r="M575" s="341">
        <f t="shared" si="265"/>
      </c>
      <c r="N575" s="345">
        <f t="shared" si="235"/>
      </c>
      <c r="O575" s="345">
        <f t="shared" si="250"/>
      </c>
      <c r="P575" s="345">
        <f t="shared" si="282"/>
      </c>
      <c r="Q575" s="345">
        <f t="shared" si="99"/>
      </c>
      <c r="R575" s="341">
        <f t="shared" si="297"/>
      </c>
      <c r="S575" s="343">
        <f t="shared" si="114"/>
      </c>
      <c r="T575" s="345">
        <f t="shared" si="135"/>
      </c>
      <c r="U575" s="345">
        <f t="shared" si="48"/>
      </c>
      <c r="V575" s="345">
        <f t="shared" si="65"/>
      </c>
      <c r="W575" s="345">
        <f t="shared" si="82"/>
      </c>
      <c r="X575" s="360" t="s">
        <v>181</v>
      </c>
      <c r="Y575" s="347" t="s">
        <v>193</v>
      </c>
      <c r="Z575" s="350">
        <v>105250</v>
      </c>
      <c r="AA575" s="350">
        <v>22680</v>
      </c>
      <c r="AB575" s="350">
        <v>73324</v>
      </c>
      <c r="AC575" s="350">
        <v>883</v>
      </c>
      <c r="AD575" s="349">
        <v>8</v>
      </c>
      <c r="AE575" s="350">
        <v>7357</v>
      </c>
      <c r="AF575" s="350">
        <v>279</v>
      </c>
      <c r="AG575" s="350">
        <v>48</v>
      </c>
      <c r="AH575" s="350">
        <v>15</v>
      </c>
      <c r="AI575" s="418">
        <v>1</v>
      </c>
    </row>
    <row r="576">
      <c r="A576" s="334"/>
      <c r="B576" s="335" t="s">
        <v>208</v>
      </c>
      <c r="C576" s="374" t="s">
        <v>192</v>
      </c>
      <c r="D576" s="377">
        <v>1437.622</v>
      </c>
      <c r="E576" s="359">
        <v>7</v>
      </c>
      <c r="F576" s="342">
        <f t="shared" si="348"/>
      </c>
      <c r="G576" s="359">
        <v>1521.2000000000007</v>
      </c>
      <c r="H576" s="428">
        <f t="shared" si="14"/>
      </c>
      <c r="I576" s="340">
        <f t="shared" si="31"/>
      </c>
      <c r="J576" s="341">
        <f t="shared" si="168"/>
      </c>
      <c r="K576" s="343">
        <f t="shared" si="200"/>
      </c>
      <c r="L576" s="344">
        <f t="shared" si="185"/>
      </c>
      <c r="M576" s="341">
        <f t="shared" si="265"/>
      </c>
      <c r="N576" s="345">
        <f t="shared" si="235"/>
      </c>
      <c r="O576" s="345">
        <f t="shared" si="250"/>
      </c>
      <c r="P576" s="345">
        <f t="shared" si="282"/>
      </c>
      <c r="Q576" s="345">
        <f t="shared" si="99"/>
      </c>
      <c r="R576" s="341">
        <f t="shared" si="297"/>
      </c>
      <c r="S576" s="343">
        <f t="shared" si="114"/>
      </c>
      <c r="T576" s="345">
        <f t="shared" si="135"/>
      </c>
      <c r="U576" s="345">
        <f t="shared" si="48"/>
      </c>
      <c r="V576" s="345">
        <f t="shared" si="65"/>
      </c>
      <c r="W576" s="345">
        <f t="shared" si="82"/>
      </c>
      <c r="X576" s="360" t="s">
        <v>181</v>
      </c>
      <c r="Y576" s="347" t="s">
        <v>205</v>
      </c>
      <c r="Z576" s="350">
        <v>97308</v>
      </c>
      <c r="AA576" s="350">
        <v>26056</v>
      </c>
      <c r="AB576" s="350">
        <v>78545</v>
      </c>
      <c r="AC576" s="350">
        <v>792</v>
      </c>
      <c r="AD576" s="350">
        <v>6</v>
      </c>
      <c r="AE576" s="350">
        <v>8127</v>
      </c>
      <c r="AF576" s="350">
        <v>286</v>
      </c>
      <c r="AG576" s="350">
        <v>79</v>
      </c>
      <c r="AH576" s="350">
        <v>12</v>
      </c>
      <c r="AI576" s="418">
        <v>1</v>
      </c>
    </row>
    <row r="577">
      <c r="A577" s="334"/>
      <c r="B577" s="335" t="s">
        <v>208</v>
      </c>
      <c r="C577" s="375" t="s">
        <v>194</v>
      </c>
      <c r="D577" s="377">
        <v>1827.4540000000002</v>
      </c>
      <c r="E577" s="359">
        <v>7</v>
      </c>
      <c r="F577" s="342">
        <f t="shared" si="348"/>
      </c>
      <c r="G577" s="359">
        <v>1553.2000000000007</v>
      </c>
      <c r="H577" s="428">
        <f t="shared" si="14"/>
      </c>
      <c r="I577" s="340">
        <f t="shared" si="31"/>
      </c>
      <c r="J577" s="341">
        <f t="shared" si="168"/>
      </c>
      <c r="K577" s="343">
        <f t="shared" si="200"/>
      </c>
      <c r="L577" s="344">
        <f t="shared" si="185"/>
      </c>
      <c r="M577" s="341">
        <f t="shared" si="265"/>
      </c>
      <c r="N577" s="345">
        <f t="shared" si="235"/>
      </c>
      <c r="O577" s="345">
        <f t="shared" si="250"/>
      </c>
      <c r="P577" s="345">
        <f t="shared" si="282"/>
      </c>
      <c r="Q577" s="345">
        <f t="shared" si="99"/>
      </c>
      <c r="R577" s="341">
        <f t="shared" si="297"/>
      </c>
      <c r="S577" s="343">
        <f t="shared" si="114"/>
      </c>
      <c r="T577" s="345">
        <f t="shared" si="135"/>
      </c>
      <c r="U577" s="345">
        <f t="shared" si="48"/>
      </c>
      <c r="V577" s="345">
        <f t="shared" si="65"/>
      </c>
      <c r="W577" s="345">
        <f t="shared" si="82"/>
      </c>
      <c r="X577" s="360" t="s">
        <v>181</v>
      </c>
      <c r="Y577" s="347" t="s">
        <v>205</v>
      </c>
      <c r="Z577" s="350">
        <v>125756</v>
      </c>
      <c r="AA577" s="350">
        <v>33714</v>
      </c>
      <c r="AB577" s="350">
        <v>104872</v>
      </c>
      <c r="AC577" s="350">
        <v>911</v>
      </c>
      <c r="AD577" s="350">
        <v>7</v>
      </c>
      <c r="AE577" s="350">
        <v>12021</v>
      </c>
      <c r="AF577" s="350">
        <v>343</v>
      </c>
      <c r="AG577" s="350">
        <v>77</v>
      </c>
      <c r="AH577" s="349">
        <v>9</v>
      </c>
      <c r="AI577" s="418">
        <v>1</v>
      </c>
    </row>
    <row r="578">
      <c r="A578" s="334"/>
      <c r="B578" s="335" t="s">
        <v>208</v>
      </c>
      <c r="C578" s="373" t="s">
        <v>196</v>
      </c>
      <c r="D578" s="377">
        <v>2227.7200000000003</v>
      </c>
      <c r="E578" s="359">
        <v>6</v>
      </c>
      <c r="F578" s="342">
        <f t="shared" si="348"/>
      </c>
      <c r="G578" s="359">
        <v>2568</v>
      </c>
      <c r="H578" s="428">
        <f t="shared" si="14"/>
      </c>
      <c r="I578" s="340">
        <f t="shared" si="31"/>
      </c>
      <c r="J578" s="341">
        <f t="shared" si="168"/>
      </c>
      <c r="K578" s="343">
        <f t="shared" si="200"/>
      </c>
      <c r="L578" s="382">
        <f t="shared" si="185"/>
      </c>
      <c r="M578" s="383">
        <f t="shared" si="265"/>
      </c>
      <c r="N578" s="384">
        <f t="shared" si="235"/>
      </c>
      <c r="O578" s="384">
        <f t="shared" si="250"/>
      </c>
      <c r="P578" s="384">
        <f t="shared" si="282"/>
      </c>
      <c r="Q578" s="384">
        <f t="shared" si="99"/>
      </c>
      <c r="R578" s="383">
        <f t="shared" si="297"/>
      </c>
      <c r="S578" s="381">
        <f t="shared" si="114"/>
      </c>
      <c r="T578" s="384">
        <f t="shared" si="135"/>
      </c>
      <c r="U578" s="384">
        <f t="shared" si="48"/>
      </c>
      <c r="V578" s="384">
        <f t="shared" si="65"/>
      </c>
      <c r="W578" s="384">
        <f t="shared" si="82"/>
      </c>
      <c r="X578" s="360" t="s">
        <v>181</v>
      </c>
      <c r="Y578" s="347" t="s">
        <v>205</v>
      </c>
      <c r="Z578" s="350">
        <v>155489</v>
      </c>
      <c r="AA578" s="350">
        <v>34761</v>
      </c>
      <c r="AB578" s="350">
        <v>132822</v>
      </c>
      <c r="AC578" s="350">
        <v>999</v>
      </c>
      <c r="AD578" s="350">
        <v>6</v>
      </c>
      <c r="AE578" s="350">
        <v>12830</v>
      </c>
      <c r="AF578" s="350">
        <v>403</v>
      </c>
      <c r="AG578" s="350">
        <v>61</v>
      </c>
      <c r="AH578" s="349">
        <v>6</v>
      </c>
      <c r="AI578" s="418">
        <v>0</v>
      </c>
    </row>
    <row r="579">
      <c r="A579" s="334"/>
      <c r="B579" s="335" t="s">
        <v>208</v>
      </c>
      <c r="C579" s="373" t="s">
        <v>197</v>
      </c>
      <c r="D579" s="440">
        <v>2919.11</v>
      </c>
      <c r="E579" s="359">
        <v>10</v>
      </c>
      <c r="F579" s="342">
        <f t="shared" si="348"/>
      </c>
      <c r="G579" s="359">
        <v>3341.2000000000007</v>
      </c>
      <c r="H579" s="430">
        <f t="shared" si="14"/>
      </c>
      <c r="I579" s="340">
        <f t="shared" si="31"/>
      </c>
      <c r="J579" s="341">
        <f t="shared" si="168"/>
      </c>
      <c r="K579" s="343">
        <f t="shared" si="200"/>
      </c>
      <c r="L579" s="382">
        <f t="shared" si="185"/>
      </c>
      <c r="M579" s="383">
        <f t="shared" si="265"/>
      </c>
      <c r="N579" s="384">
        <f t="shared" si="235"/>
      </c>
      <c r="O579" s="384">
        <f t="shared" si="250"/>
      </c>
      <c r="P579" s="384">
        <f t="shared" si="282"/>
      </c>
      <c r="Q579" s="384">
        <f t="shared" si="99"/>
      </c>
      <c r="R579" s="383">
        <f t="shared" si="297"/>
      </c>
      <c r="S579" s="381">
        <f t="shared" si="114"/>
      </c>
      <c r="T579" s="384">
        <f t="shared" si="135"/>
      </c>
      <c r="U579" s="384">
        <f t="shared" si="48"/>
      </c>
      <c r="V579" s="384">
        <f t="shared" si="65"/>
      </c>
      <c r="W579" s="384">
        <f t="shared" si="82"/>
      </c>
      <c r="X579" s="360" t="s">
        <v>181</v>
      </c>
      <c r="Y579" s="347" t="s">
        <v>205</v>
      </c>
      <c r="Z579" s="350">
        <v>208247</v>
      </c>
      <c r="AA579" s="350">
        <v>37518</v>
      </c>
      <c r="AB579" s="350">
        <v>209777</v>
      </c>
      <c r="AC579" s="350">
        <v>1123</v>
      </c>
      <c r="AD579" s="350">
        <v>7</v>
      </c>
      <c r="AE579" s="350">
        <v>15946</v>
      </c>
      <c r="AF579" s="350">
        <v>359</v>
      </c>
      <c r="AG579" s="350">
        <v>72</v>
      </c>
      <c r="AH579" s="349">
        <v>8</v>
      </c>
      <c r="AI579" s="418">
        <v>1</v>
      </c>
    </row>
    <row r="580">
      <c r="A580" s="334"/>
      <c r="B580" s="387" t="s">
        <v>187</v>
      </c>
      <c r="C580" s="387"/>
      <c r="D580" s="362">
        <f>SUM(D575:D579)</f>
      </c>
      <c r="E580" s="437">
        <f>SUM(E575:E579)</f>
      </c>
      <c r="F580" s="366">
        <f t="shared" si="348"/>
      </c>
      <c r="G580" s="431">
        <f>SUM(G575:G579)</f>
      </c>
      <c r="H580" s="432">
        <f t="shared" si="14"/>
      </c>
      <c r="I580" s="433">
        <f t="shared" si="31"/>
      </c>
      <c r="J580" s="364">
        <f t="shared" si="168"/>
      </c>
      <c r="K580" s="366">
        <f t="shared" si="200"/>
      </c>
      <c r="L580" s="367">
        <f t="shared" si="185"/>
      </c>
      <c r="M580" s="364">
        <f t="shared" si="265"/>
      </c>
      <c r="N580" s="368">
        <f t="shared" si="235"/>
      </c>
      <c r="O580" s="368">
        <f t="shared" si="250"/>
      </c>
      <c r="P580" s="368">
        <f t="shared" si="282"/>
      </c>
      <c r="Q580" s="368">
        <f t="shared" si="99"/>
      </c>
      <c r="R580" s="364">
        <f t="shared" si="297"/>
      </c>
      <c r="S580" s="366">
        <f t="shared" si="114"/>
      </c>
      <c r="T580" s="368">
        <f t="shared" si="135"/>
      </c>
      <c r="U580" s="368">
        <f t="shared" si="48"/>
      </c>
      <c r="V580" s="368">
        <f t="shared" si="65"/>
      </c>
      <c r="W580" s="368">
        <f t="shared" si="82"/>
      </c>
      <c r="X580" s="368"/>
      <c r="Y580" s="369"/>
      <c r="Z580" s="362">
        <f>SUM(Z575:Z579)</f>
      </c>
      <c r="AA580" s="362">
        <f>SUM(AA575:AA579)</f>
      </c>
      <c r="AB580" s="362">
        <f>SUM(AB575:AB579)</f>
      </c>
      <c r="AC580" s="362">
        <f>SUM(AC575:AC579)</f>
      </c>
      <c r="AD580" s="362">
        <f>SUM(AD575:AD579)</f>
      </c>
      <c r="AE580" s="362">
        <f>SUM(AE575:AE579)</f>
      </c>
      <c r="AF580" s="362">
        <f>SUM(AF575:AF579)</f>
      </c>
      <c r="AG580" s="362">
        <f>SUM(AG575:AG579)</f>
      </c>
      <c r="AH580" s="362">
        <f>SUM(AH575:AH579)</f>
      </c>
      <c r="AI580" s="362">
        <f>SUM(AI575:AI579)</f>
      </c>
    </row>
    <row r="581">
      <c r="A581" s="334"/>
      <c r="B581" s="335" t="s">
        <v>179</v>
      </c>
      <c r="C581" s="374" t="s">
        <v>198</v>
      </c>
      <c r="D581" s="379">
        <v>3673.626</v>
      </c>
      <c r="E581" s="417">
        <v>4</v>
      </c>
      <c r="F581" s="342">
        <f t="shared" si="348"/>
      </c>
      <c r="G581" s="339">
        <v>870.2999999999993</v>
      </c>
      <c r="H581" s="428">
        <f t="shared" si="14"/>
      </c>
      <c r="I581" s="340">
        <f t="shared" si="31"/>
      </c>
      <c r="J581" s="341">
        <f t="shared" si="168"/>
      </c>
      <c r="K581" s="343">
        <f t="shared" si="200"/>
      </c>
      <c r="L581" s="382">
        <f t="shared" si="185"/>
      </c>
      <c r="M581" s="383">
        <f t="shared" si="265"/>
      </c>
      <c r="N581" s="384">
        <f t="shared" si="235"/>
      </c>
      <c r="O581" s="384">
        <f t="shared" si="250"/>
      </c>
      <c r="P581" s="384">
        <f t="shared" si="282"/>
      </c>
      <c r="Q581" s="384">
        <f t="shared" si="99"/>
      </c>
      <c r="R581" s="383">
        <f t="shared" si="297"/>
      </c>
      <c r="S581" s="381">
        <f t="shared" si="114"/>
      </c>
      <c r="T581" s="384">
        <f t="shared" si="135"/>
      </c>
      <c r="U581" s="384">
        <f t="shared" si="48"/>
      </c>
      <c r="V581" s="384">
        <f t="shared" si="65"/>
      </c>
      <c r="W581" s="384">
        <f t="shared" si="82"/>
      </c>
      <c r="X581" s="360" t="s">
        <v>181</v>
      </c>
      <c r="Y581" s="347" t="s">
        <v>205</v>
      </c>
      <c r="Z581" s="350">
        <v>276777</v>
      </c>
      <c r="AA581" s="350">
        <v>40007</v>
      </c>
      <c r="AB581" s="350">
        <v>304433</v>
      </c>
      <c r="AC581" s="385">
        <v>1494</v>
      </c>
      <c r="AD581" s="385">
        <v>6</v>
      </c>
      <c r="AE581" s="385">
        <v>18741</v>
      </c>
      <c r="AF581" s="385">
        <v>397</v>
      </c>
      <c r="AG581" s="385">
        <v>94</v>
      </c>
      <c r="AH581" s="385">
        <v>18</v>
      </c>
      <c r="AI581" s="418">
        <v>0</v>
      </c>
    </row>
    <row r="582">
      <c r="A582" s="334"/>
      <c r="B582" s="335" t="s">
        <v>179</v>
      </c>
      <c r="C582" s="373" t="s">
        <v>199</v>
      </c>
      <c r="D582" s="379">
        <v>3674.2230000000004</v>
      </c>
      <c r="E582" s="417">
        <v>10</v>
      </c>
      <c r="F582" s="342">
        <f t="shared" si="348"/>
      </c>
      <c r="G582" s="339">
        <v>3405.2000000000007</v>
      </c>
      <c r="H582" s="428">
        <f t="shared" si="14"/>
      </c>
      <c r="I582" s="340">
        <f t="shared" si="31"/>
      </c>
      <c r="J582" s="341">
        <f t="shared" si="168"/>
      </c>
      <c r="K582" s="343">
        <f t="shared" si="200"/>
      </c>
      <c r="L582" s="382">
        <f t="shared" si="185"/>
      </c>
      <c r="M582" s="383">
        <f t="shared" si="265"/>
      </c>
      <c r="N582" s="384">
        <f t="shared" si="235"/>
      </c>
      <c r="O582" s="384">
        <f t="shared" si="250"/>
      </c>
      <c r="P582" s="384">
        <f t="shared" si="282"/>
      </c>
      <c r="Q582" s="384">
        <f t="shared" si="99"/>
      </c>
      <c r="R582" s="383">
        <f t="shared" si="297"/>
      </c>
      <c r="S582" s="381">
        <f t="shared" si="114"/>
      </c>
      <c r="T582" s="384">
        <f t="shared" si="135"/>
      </c>
      <c r="U582" s="384">
        <f t="shared" si="48"/>
      </c>
      <c r="V582" s="384">
        <f t="shared" si="65"/>
      </c>
      <c r="W582" s="384">
        <f t="shared" si="82"/>
      </c>
      <c r="X582" s="360" t="s">
        <v>181</v>
      </c>
      <c r="Y582" s="347" t="s">
        <v>205</v>
      </c>
      <c r="Z582" s="350">
        <v>358276</v>
      </c>
      <c r="AA582" s="350">
        <v>39690</v>
      </c>
      <c r="AB582" s="350">
        <v>292099</v>
      </c>
      <c r="AC582" s="385">
        <v>1801</v>
      </c>
      <c r="AD582" s="385">
        <v>9</v>
      </c>
      <c r="AE582" s="385">
        <v>16985</v>
      </c>
      <c r="AF582" s="385">
        <v>460</v>
      </c>
      <c r="AG582" s="385">
        <v>92</v>
      </c>
      <c r="AH582" s="385">
        <v>22</v>
      </c>
      <c r="AI582" s="418">
        <v>1</v>
      </c>
    </row>
    <row r="583">
      <c r="A583" s="334"/>
      <c r="B583" s="335" t="s">
        <v>179</v>
      </c>
      <c r="C583" s="386" t="s">
        <v>200</v>
      </c>
      <c r="D583" s="377">
        <v>3164.451</v>
      </c>
      <c r="E583" s="359">
        <v>13</v>
      </c>
      <c r="F583" s="342">
        <f t="shared" si="348"/>
      </c>
      <c r="G583" s="359">
        <v>4959.9000000000015</v>
      </c>
      <c r="H583" s="428">
        <f t="shared" si="14"/>
      </c>
      <c r="I583" s="340">
        <f t="shared" si="31"/>
      </c>
      <c r="J583" s="341">
        <f t="shared" si="168"/>
      </c>
      <c r="K583" s="343">
        <f t="shared" si="200"/>
      </c>
      <c r="L583" s="382">
        <f t="shared" si="185"/>
      </c>
      <c r="M583" s="383">
        <f t="shared" si="265"/>
      </c>
      <c r="N583" s="384">
        <f t="shared" si="235"/>
      </c>
      <c r="O583" s="384">
        <f t="shared" si="250"/>
      </c>
      <c r="P583" s="384">
        <f t="shared" si="282"/>
      </c>
      <c r="Q583" s="384">
        <f t="shared" si="99"/>
      </c>
      <c r="R583" s="383">
        <f t="shared" si="297"/>
      </c>
      <c r="S583" s="381">
        <f t="shared" si="114"/>
      </c>
      <c r="T583" s="384">
        <f t="shared" si="135"/>
      </c>
      <c r="U583" s="384">
        <f t="shared" si="48"/>
      </c>
      <c r="V583" s="384">
        <f t="shared" si="65"/>
      </c>
      <c r="W583" s="384">
        <f t="shared" si="82"/>
      </c>
      <c r="X583" s="360" t="s">
        <v>181</v>
      </c>
      <c r="Y583" s="347" t="s">
        <v>205</v>
      </c>
      <c r="Z583" s="350">
        <v>326896</v>
      </c>
      <c r="AA583" s="350">
        <v>32262</v>
      </c>
      <c r="AB583" s="350">
        <v>230157</v>
      </c>
      <c r="AC583" s="350">
        <v>1736</v>
      </c>
      <c r="AD583" s="350">
        <v>12</v>
      </c>
      <c r="AE583" s="350">
        <v>13727</v>
      </c>
      <c r="AF583" s="350">
        <v>394</v>
      </c>
      <c r="AG583" s="350">
        <v>81</v>
      </c>
      <c r="AH583" s="349">
        <v>19</v>
      </c>
      <c r="AI583" s="418">
        <v>0</v>
      </c>
    </row>
    <row r="584">
      <c r="A584" s="334"/>
      <c r="B584" s="335" t="s">
        <v>179</v>
      </c>
      <c r="C584" s="439" t="s">
        <v>212</v>
      </c>
      <c r="D584" s="440">
        <v>2431.607</v>
      </c>
      <c r="E584" s="359">
        <v>3</v>
      </c>
      <c r="F584" s="342">
        <f t="shared" si="348"/>
      </c>
      <c r="G584" s="359">
        <v>1252</v>
      </c>
      <c r="H584" s="430">
        <f t="shared" si="14"/>
      </c>
      <c r="I584" s="340">
        <f t="shared" si="31"/>
      </c>
      <c r="J584" s="341">
        <f t="shared" si="168"/>
      </c>
      <c r="K584" s="343">
        <f t="shared" si="200"/>
      </c>
      <c r="L584" s="382">
        <f t="shared" si="185"/>
      </c>
      <c r="M584" s="383">
        <f t="shared" si="265"/>
      </c>
      <c r="N584" s="384">
        <f t="shared" si="235"/>
      </c>
      <c r="O584" s="384">
        <f t="shared" si="250"/>
      </c>
      <c r="P584" s="384">
        <f t="shared" si="282"/>
      </c>
      <c r="Q584" s="384">
        <f t="shared" si="99"/>
      </c>
      <c r="R584" s="383">
        <f t="shared" si="297"/>
      </c>
      <c r="S584" s="381">
        <f t="shared" si="114"/>
      </c>
      <c r="T584" s="384">
        <f t="shared" si="135"/>
      </c>
      <c r="U584" s="384">
        <f t="shared" si="48"/>
      </c>
      <c r="V584" s="384">
        <f t="shared" si="65"/>
      </c>
      <c r="W584" s="384">
        <f t="shared" si="82"/>
      </c>
      <c r="X584" s="360" t="s">
        <v>181</v>
      </c>
      <c r="Y584" s="347" t="s">
        <v>205</v>
      </c>
      <c r="Z584" s="350">
        <v>231623</v>
      </c>
      <c r="AA584" s="350">
        <v>19646</v>
      </c>
      <c r="AB584" s="350">
        <v>143060</v>
      </c>
      <c r="AC584" s="350">
        <v>1391</v>
      </c>
      <c r="AD584" s="350">
        <v>2</v>
      </c>
      <c r="AE584" s="350">
        <v>8572</v>
      </c>
      <c r="AF584" s="350">
        <v>231</v>
      </c>
      <c r="AG584" s="350">
        <v>82</v>
      </c>
      <c r="AH584" s="349">
        <v>18</v>
      </c>
      <c r="AI584" s="418">
        <v>0</v>
      </c>
    </row>
    <row r="585">
      <c r="A585" s="334"/>
      <c r="B585" s="387" t="s">
        <v>187</v>
      </c>
      <c r="C585" s="387"/>
      <c r="D585" s="362">
        <f>SUM(D581:D584)</f>
      </c>
      <c r="E585" s="437">
        <f>SUM(E581:E584)</f>
      </c>
      <c r="F585" s="366">
        <f t="shared" si="348"/>
      </c>
      <c r="G585" s="431">
        <f>SUM(G581:G584)</f>
      </c>
      <c r="H585" s="432">
        <f t="shared" si="14"/>
      </c>
      <c r="I585" s="433">
        <f t="shared" si="31"/>
      </c>
      <c r="J585" s="364">
        <f t="shared" si="168"/>
      </c>
      <c r="K585" s="366">
        <f t="shared" si="200"/>
      </c>
      <c r="L585" s="367">
        <f t="shared" si="185"/>
      </c>
      <c r="M585" s="364">
        <f t="shared" si="265"/>
      </c>
      <c r="N585" s="368">
        <f t="shared" si="235"/>
      </c>
      <c r="O585" s="368">
        <f t="shared" si="250"/>
      </c>
      <c r="P585" s="368">
        <f t="shared" si="282"/>
      </c>
      <c r="Q585" s="368">
        <f t="shared" si="99"/>
      </c>
      <c r="R585" s="364">
        <f t="shared" si="297"/>
      </c>
      <c r="S585" s="366">
        <f t="shared" si="114"/>
      </c>
      <c r="T585" s="368">
        <f t="shared" si="135"/>
      </c>
      <c r="U585" s="368">
        <f t="shared" si="48"/>
      </c>
      <c r="V585" s="368">
        <f t="shared" si="65"/>
      </c>
      <c r="W585" s="368">
        <f t="shared" si="82"/>
      </c>
      <c r="X585" s="368"/>
      <c r="Y585" s="369"/>
      <c r="Z585" s="362">
        <f>SUM(Z581:Z584)</f>
      </c>
      <c r="AA585" s="362">
        <f>SUM(AA581:AA584)</f>
      </c>
      <c r="AB585" s="362">
        <f>SUM(AB581:AB584)</f>
      </c>
      <c r="AC585" s="362">
        <f>SUM(AC581:AC584)</f>
      </c>
      <c r="AD585" s="362">
        <f>SUM(AD581:AD584)</f>
      </c>
      <c r="AE585" s="362">
        <f>SUM(AE581:AE584)</f>
      </c>
      <c r="AF585" s="362">
        <f>SUM(AF581:AF584)</f>
      </c>
      <c r="AG585" s="362">
        <f>SUM(AG581:AG584)</f>
      </c>
      <c r="AH585" s="362">
        <f>SUM(AH581:AH584)</f>
      </c>
      <c r="AI585" s="362">
        <f>SUM(AI581:AI584)</f>
      </c>
    </row>
    <row r="586">
      <c r="A586" s="334"/>
      <c r="B586" s="388" t="s">
        <v>201</v>
      </c>
      <c r="C586" s="388"/>
      <c r="D586" s="389">
        <f>SUM(D585+D571+D574+D580)</f>
      </c>
      <c r="E586" s="442">
        <f>SUM(E585+E571+E574+E580)</f>
      </c>
      <c r="F586" s="393">
        <f t="shared" si="348"/>
      </c>
      <c r="G586" s="434">
        <f>SUM(G585+G571+G574+G580)</f>
      </c>
      <c r="H586" s="441">
        <f t="shared" si="14"/>
      </c>
      <c r="I586" s="436">
        <f t="shared" si="31"/>
      </c>
      <c r="J586" s="391">
        <f t="shared" si="168"/>
      </c>
      <c r="K586" s="393">
        <f t="shared" si="200"/>
      </c>
      <c r="L586" s="394">
        <f t="shared" si="185"/>
      </c>
      <c r="M586" s="394">
        <f t="shared" si="265"/>
      </c>
      <c r="N586" s="395">
        <f t="shared" si="235"/>
      </c>
      <c r="O586" s="395">
        <f t="shared" si="250"/>
      </c>
      <c r="P586" s="395">
        <f t="shared" si="282"/>
      </c>
      <c r="Q586" s="395">
        <f t="shared" si="99"/>
      </c>
      <c r="R586" s="396">
        <f t="shared" si="297"/>
      </c>
      <c r="S586" s="397">
        <f t="shared" si="114"/>
      </c>
      <c r="T586" s="398">
        <f t="shared" si="135"/>
      </c>
      <c r="U586" s="398">
        <f t="shared" si="48"/>
      </c>
      <c r="V586" s="398">
        <f t="shared" si="65"/>
      </c>
      <c r="W586" s="398">
        <f t="shared" si="82"/>
      </c>
      <c r="X586" s="398"/>
      <c r="Y586" s="399"/>
      <c r="Z586" s="390">
        <f>SUM(Z571+Z585+Z574+Z580)</f>
      </c>
      <c r="AA586" s="390">
        <f>SUM(AA571+AA585+AA574+AA580)</f>
      </c>
      <c r="AB586" s="390">
        <f>SUM(AB571+AB585+AB574+AB580)</f>
      </c>
      <c r="AC586" s="390">
        <f>SUM(AC571+AC585+AC574+AC580)</f>
      </c>
      <c r="AD586" s="390">
        <f>SUM(AD571+AD585+AD574+AD580)</f>
      </c>
      <c r="AE586" s="390">
        <f>SUM(AE571+AE585+AE574+AE580)</f>
      </c>
      <c r="AF586" s="390">
        <f>SUM(AF571+AF585+AF574+AF580)</f>
      </c>
      <c r="AG586" s="390">
        <f>SUM(AG571+AG585+AG574+AG580)</f>
      </c>
      <c r="AH586" s="390">
        <f>SUM(AH571+AH585+AH574+AH580)</f>
      </c>
      <c r="AI586" s="390">
        <f>SUM(AI571+AI585+AI574+AI580)</f>
      </c>
    </row>
    <row r="587">
      <c r="A587" s="319" t="s">
        <v>145</v>
      </c>
      <c r="B587" s="320" t="s">
        <v>146</v>
      </c>
      <c r="C587" s="321" t="s">
        <v>147</v>
      </c>
      <c r="D587" s="322" t="s">
        <v>148</v>
      </c>
      <c r="E587" s="426" t="s">
        <v>213</v>
      </c>
      <c r="F587" s="427" t="s">
        <v>214</v>
      </c>
      <c r="G587" s="324" t="s">
        <v>150</v>
      </c>
      <c r="H587" s="427" t="s">
        <v>215</v>
      </c>
      <c r="I587" s="324" t="s">
        <v>151</v>
      </c>
      <c r="J587" s="325" t="s">
        <v>152</v>
      </c>
      <c r="K587" s="325" t="s">
        <v>154</v>
      </c>
      <c r="L587" s="326" t="s">
        <v>155</v>
      </c>
      <c r="M587" s="326" t="s">
        <v>156</v>
      </c>
      <c r="N587" s="326" t="s">
        <v>157</v>
      </c>
      <c r="O587" s="326" t="s">
        <v>158</v>
      </c>
      <c r="P587" s="326" t="s">
        <v>159</v>
      </c>
      <c r="Q587" s="326" t="s">
        <v>160</v>
      </c>
      <c r="R587" s="326" t="s">
        <v>161</v>
      </c>
      <c r="S587" s="326" t="s">
        <v>162</v>
      </c>
      <c r="T587" s="327" t="s">
        <v>163</v>
      </c>
      <c r="U587" s="327" t="s">
        <v>164</v>
      </c>
      <c r="V587" s="327" t="s">
        <v>165</v>
      </c>
      <c r="W587" s="327" t="s">
        <v>166</v>
      </c>
      <c r="X587" s="328" t="s">
        <v>167</v>
      </c>
      <c r="Y587" s="328" t="s">
        <v>168</v>
      </c>
      <c r="Z587" s="329" t="s">
        <v>169</v>
      </c>
      <c r="AA587" s="329" t="s">
        <v>170</v>
      </c>
      <c r="AB587" s="329" t="s">
        <v>171</v>
      </c>
      <c r="AC587" s="330" t="s">
        <v>172</v>
      </c>
      <c r="AD587" s="330" t="s">
        <v>173</v>
      </c>
      <c r="AE587" s="331" t="s">
        <v>174</v>
      </c>
      <c r="AF587" s="330" t="s">
        <v>175</v>
      </c>
      <c r="AG587" s="330" t="s">
        <v>176</v>
      </c>
      <c r="AH587" s="332" t="s">
        <v>177</v>
      </c>
      <c r="AI587" s="333" t="s">
        <v>178</v>
      </c>
    </row>
    <row r="588">
      <c r="A588" s="334">
        <v>46264</v>
      </c>
      <c r="B588" s="335" t="s">
        <v>188</v>
      </c>
      <c r="C588" s="354" t="s">
        <v>180</v>
      </c>
      <c r="D588" s="337">
        <v>1820.781</v>
      </c>
      <c r="E588" s="417">
        <v>7</v>
      </c>
      <c r="F588" s="342">
        <f t="shared" ref="F588:F608" si="349">D588/E588</f>
      </c>
      <c r="G588" s="339">
        <v>2125.6</v>
      </c>
      <c r="H588" s="428">
        <f t="shared" ref="H588:H608" si="15">AD588</f>
      </c>
      <c r="I588" s="340">
        <f t="shared" ref="I588:I608" si="32">D588/AD588</f>
      </c>
      <c r="J588" s="341">
        <f t="shared" ref="J588:J608" si="169">G588/E588</f>
      </c>
      <c r="K588" s="343">
        <f t="shared" ref="K588:K608" si="201">G588/D588</f>
      </c>
      <c r="L588" s="344">
        <f t="shared" ref="L588:L608" si="186">D588/AB588</f>
      </c>
      <c r="M588" s="341">
        <f t="shared" ref="M588:M608" si="266">D588/AC588</f>
      </c>
      <c r="N588" s="345">
        <f t="shared" ref="N588:N608" si="236">AC588/AB588</f>
      </c>
      <c r="O588" s="345">
        <f t="shared" ref="O588:O608" si="251">AD588/AC588</f>
      </c>
      <c r="P588" s="345">
        <f t="shared" ref="P588:P608" si="283">AA588/Z588</f>
      </c>
      <c r="Q588" s="345">
        <f t="shared" ref="Q588:Q608" si="100">AD588/AA588</f>
      </c>
      <c r="R588" s="341">
        <f t="shared" ref="R588:R608" si="298">D588/Z588*1000</f>
      </c>
      <c r="S588" s="343">
        <f t="shared" ref="S588:S608" si="115">D588/AA588</f>
      </c>
      <c r="T588" s="345">
        <f t="shared" ref="T588:T608" si="136">AE588/AB588</f>
      </c>
      <c r="U588" s="345">
        <f t="shared" ref="U588:U608" si="49">AF588/AB588</f>
      </c>
      <c r="V588" s="345">
        <f t="shared" ref="V588:V608" si="66">AG588/AB588</f>
      </c>
      <c r="W588" s="345">
        <f t="shared" ref="W588:W608" si="83">AH588/AB588</f>
      </c>
      <c r="X588" s="346" t="s">
        <v>181</v>
      </c>
      <c r="Y588" s="347" t="s">
        <v>193</v>
      </c>
      <c r="Z588" s="348">
        <v>90210</v>
      </c>
      <c r="AA588" s="348">
        <v>37221</v>
      </c>
      <c r="AB588" s="348">
        <v>75845</v>
      </c>
      <c r="AC588" s="348">
        <v>1168</v>
      </c>
      <c r="AD588" s="349">
        <v>7</v>
      </c>
      <c r="AE588" s="348">
        <v>14432</v>
      </c>
      <c r="AF588" s="350">
        <v>374</v>
      </c>
      <c r="AG588" s="350">
        <v>72</v>
      </c>
      <c r="AH588" s="350">
        <v>5</v>
      </c>
      <c r="AI588" s="418">
        <v>1</v>
      </c>
    </row>
    <row r="589">
      <c r="A589" s="334"/>
      <c r="B589" s="335" t="s">
        <v>188</v>
      </c>
      <c r="C589" s="336" t="s">
        <v>183</v>
      </c>
      <c r="D589" s="337">
        <v>4072.536</v>
      </c>
      <c r="E589" s="417">
        <v>10</v>
      </c>
      <c r="F589" s="342">
        <f t="shared" si="349"/>
      </c>
      <c r="G589" s="339">
        <v>2639.9</v>
      </c>
      <c r="H589" s="428">
        <f t="shared" si="15"/>
      </c>
      <c r="I589" s="340">
        <f t="shared" si="32"/>
      </c>
      <c r="J589" s="341">
        <f t="shared" si="169"/>
      </c>
      <c r="K589" s="343">
        <f t="shared" si="201"/>
      </c>
      <c r="L589" s="344">
        <f t="shared" si="186"/>
      </c>
      <c r="M589" s="341">
        <f t="shared" si="266"/>
      </c>
      <c r="N589" s="345">
        <f t="shared" si="236"/>
      </c>
      <c r="O589" s="345">
        <f t="shared" si="251"/>
      </c>
      <c r="P589" s="345">
        <f t="shared" si="283"/>
      </c>
      <c r="Q589" s="345">
        <f t="shared" si="100"/>
      </c>
      <c r="R589" s="341">
        <f t="shared" si="298"/>
      </c>
      <c r="S589" s="343">
        <f t="shared" si="115"/>
      </c>
      <c r="T589" s="345">
        <f t="shared" si="136"/>
      </c>
      <c r="U589" s="345">
        <f t="shared" si="49"/>
      </c>
      <c r="V589" s="345">
        <f t="shared" si="66"/>
      </c>
      <c r="W589" s="345">
        <f t="shared" si="83"/>
      </c>
      <c r="X589" s="360" t="s">
        <v>181</v>
      </c>
      <c r="Y589" s="347" t="s">
        <v>193</v>
      </c>
      <c r="Z589" s="350">
        <v>160816</v>
      </c>
      <c r="AA589" s="348">
        <v>58814</v>
      </c>
      <c r="AB589" s="348">
        <v>138736</v>
      </c>
      <c r="AC589" s="348">
        <v>1944</v>
      </c>
      <c r="AD589" s="350">
        <v>9</v>
      </c>
      <c r="AE589" s="348">
        <v>22023</v>
      </c>
      <c r="AF589" s="350">
        <v>602</v>
      </c>
      <c r="AG589" s="350">
        <v>107</v>
      </c>
      <c r="AH589" s="349">
        <v>15</v>
      </c>
      <c r="AI589" s="418">
        <v>2</v>
      </c>
    </row>
    <row r="590">
      <c r="A590" s="334"/>
      <c r="B590" s="335" t="s">
        <v>188</v>
      </c>
      <c r="C590" s="351" t="s">
        <v>184</v>
      </c>
      <c r="D590" s="377">
        <v>2377.5640000000003</v>
      </c>
      <c r="E590" s="359">
        <v>9</v>
      </c>
      <c r="F590" s="342">
        <f t="shared" si="349"/>
      </c>
      <c r="G590" s="359">
        <v>3117.6000000000004</v>
      </c>
      <c r="H590" s="428">
        <f t="shared" si="15"/>
      </c>
      <c r="I590" s="340">
        <f t="shared" si="32"/>
      </c>
      <c r="J590" s="341">
        <f t="shared" si="169"/>
      </c>
      <c r="K590" s="343">
        <f t="shared" si="201"/>
      </c>
      <c r="L590" s="344">
        <f t="shared" si="186"/>
      </c>
      <c r="M590" s="341">
        <f t="shared" si="266"/>
      </c>
      <c r="N590" s="345">
        <f t="shared" si="236"/>
      </c>
      <c r="O590" s="345">
        <f t="shared" si="251"/>
      </c>
      <c r="P590" s="345">
        <f t="shared" si="283"/>
      </c>
      <c r="Q590" s="345">
        <f t="shared" si="100"/>
      </c>
      <c r="R590" s="341">
        <f t="shared" si="298"/>
      </c>
      <c r="S590" s="343">
        <f t="shared" si="115"/>
      </c>
      <c r="T590" s="345">
        <f t="shared" si="136"/>
      </c>
      <c r="U590" s="345">
        <f t="shared" si="49"/>
      </c>
      <c r="V590" s="345">
        <f t="shared" si="66"/>
      </c>
      <c r="W590" s="345">
        <f t="shared" si="83"/>
      </c>
      <c r="X590" s="360" t="s">
        <v>181</v>
      </c>
      <c r="Y590" s="347" t="s">
        <v>193</v>
      </c>
      <c r="Z590" s="350">
        <v>128891</v>
      </c>
      <c r="AA590" s="350">
        <v>36327</v>
      </c>
      <c r="AB590" s="350">
        <v>129077</v>
      </c>
      <c r="AC590" s="350">
        <v>1263</v>
      </c>
      <c r="AD590" s="350">
        <v>10</v>
      </c>
      <c r="AE590" s="350">
        <v>14390</v>
      </c>
      <c r="AF590" s="350">
        <v>424</v>
      </c>
      <c r="AG590" s="350">
        <v>73</v>
      </c>
      <c r="AH590" s="350">
        <v>9</v>
      </c>
      <c r="AI590" s="418">
        <v>1</v>
      </c>
    </row>
    <row r="591">
      <c r="A591" s="334"/>
      <c r="B591" s="335" t="s">
        <v>188</v>
      </c>
      <c r="C591" s="416" t="s">
        <v>185</v>
      </c>
      <c r="D591" s="377">
        <v>1632.445</v>
      </c>
      <c r="E591" s="359">
        <v>16</v>
      </c>
      <c r="F591" s="342">
        <f t="shared" si="349"/>
      </c>
      <c r="G591" s="359">
        <v>6200.9</v>
      </c>
      <c r="H591" s="428">
        <f t="shared" si="15"/>
      </c>
      <c r="I591" s="340">
        <f t="shared" si="32"/>
      </c>
      <c r="J591" s="341">
        <f t="shared" si="169"/>
      </c>
      <c r="K591" s="343">
        <f t="shared" si="201"/>
      </c>
      <c r="L591" s="382">
        <f t="shared" si="186"/>
      </c>
      <c r="M591" s="383">
        <f t="shared" si="266"/>
      </c>
      <c r="N591" s="384">
        <f t="shared" si="236"/>
      </c>
      <c r="O591" s="384">
        <f t="shared" si="251"/>
      </c>
      <c r="P591" s="384">
        <f t="shared" si="283"/>
      </c>
      <c r="Q591" s="384">
        <f t="shared" si="100"/>
      </c>
      <c r="R591" s="383">
        <f t="shared" si="298"/>
      </c>
      <c r="S591" s="381">
        <f t="shared" si="115"/>
      </c>
      <c r="T591" s="384">
        <f t="shared" si="136"/>
      </c>
      <c r="U591" s="384">
        <f t="shared" si="49"/>
      </c>
      <c r="V591" s="384">
        <f t="shared" si="66"/>
      </c>
      <c r="W591" s="384">
        <f t="shared" si="83"/>
      </c>
      <c r="X591" s="360" t="s">
        <v>181</v>
      </c>
      <c r="Y591" s="347" t="s">
        <v>193</v>
      </c>
      <c r="Z591" s="350">
        <v>104023</v>
      </c>
      <c r="AA591" s="350">
        <v>25649</v>
      </c>
      <c r="AB591" s="350">
        <v>102892</v>
      </c>
      <c r="AC591" s="350">
        <v>977</v>
      </c>
      <c r="AD591" s="350">
        <v>8</v>
      </c>
      <c r="AE591" s="350">
        <v>10974</v>
      </c>
      <c r="AF591" s="350">
        <v>335</v>
      </c>
      <c r="AG591" s="350">
        <v>55</v>
      </c>
      <c r="AH591" s="349">
        <v>7</v>
      </c>
      <c r="AI591" s="418">
        <v>7</v>
      </c>
    </row>
    <row r="592">
      <c r="A592" s="334"/>
      <c r="B592" s="387" t="s">
        <v>187</v>
      </c>
      <c r="C592" s="387"/>
      <c r="D592" s="362">
        <f>SUM(D588:D591)</f>
      </c>
      <c r="E592" s="437">
        <f>SUM(E588:E591)</f>
      </c>
      <c r="F592" s="366">
        <f t="shared" si="349"/>
      </c>
      <c r="G592" s="431">
        <f>SUM(G588:G591)</f>
      </c>
      <c r="H592" s="432">
        <f t="shared" si="15"/>
      </c>
      <c r="I592" s="433">
        <f t="shared" si="32"/>
      </c>
      <c r="J592" s="364">
        <f t="shared" si="169"/>
      </c>
      <c r="K592" s="366">
        <f t="shared" si="201"/>
      </c>
      <c r="L592" s="367">
        <f t="shared" si="186"/>
      </c>
      <c r="M592" s="364">
        <f t="shared" si="266"/>
      </c>
      <c r="N592" s="368">
        <f t="shared" si="236"/>
      </c>
      <c r="O592" s="368">
        <f t="shared" si="251"/>
      </c>
      <c r="P592" s="368">
        <f t="shared" si="283"/>
      </c>
      <c r="Q592" s="368">
        <f t="shared" si="100"/>
      </c>
      <c r="R592" s="364">
        <f t="shared" si="298"/>
      </c>
      <c r="S592" s="366">
        <f t="shared" si="115"/>
      </c>
      <c r="T592" s="368">
        <f t="shared" si="136"/>
      </c>
      <c r="U592" s="368">
        <f t="shared" si="49"/>
      </c>
      <c r="V592" s="368">
        <f t="shared" si="66"/>
      </c>
      <c r="W592" s="368">
        <f t="shared" si="83"/>
      </c>
      <c r="X592" s="368"/>
      <c r="Y592" s="369"/>
      <c r="Z592" s="362">
        <f>SUM(Z588:Z591)</f>
      </c>
      <c r="AA592" s="362">
        <f>SUM(AA588:AA591)</f>
      </c>
      <c r="AB592" s="362">
        <f>SUM(AB588:AB591)</f>
      </c>
      <c r="AC592" s="362">
        <f>SUM(AC588:AC591)</f>
      </c>
      <c r="AD592" s="362">
        <f>SUM(AD588:AD591)</f>
      </c>
      <c r="AE592" s="362">
        <f>SUM(AE588:AE591)</f>
      </c>
      <c r="AF592" s="362">
        <f>SUM(AF588:AF591)</f>
      </c>
      <c r="AG592" s="362">
        <f>SUM(AG588:AG591)</f>
      </c>
      <c r="AH592" s="362">
        <f>SUM(AH588:AH591)</f>
      </c>
      <c r="AI592" s="362">
        <f>SUM(AI588:AI591)</f>
      </c>
    </row>
    <row r="593">
      <c r="A593" s="334"/>
      <c r="B593" s="415" t="s">
        <v>195</v>
      </c>
      <c r="C593" s="416" t="s">
        <v>186</v>
      </c>
      <c r="D593" s="371">
        <v>1682.775</v>
      </c>
      <c r="E593" s="419">
        <v>4</v>
      </c>
      <c r="F593" s="342">
        <f t="shared" si="349"/>
      </c>
      <c r="G593" s="359">
        <v>2673.5999999999985</v>
      </c>
      <c r="H593" s="428">
        <f t="shared" si="15"/>
      </c>
      <c r="I593" s="340">
        <f t="shared" si="32"/>
      </c>
      <c r="J593" s="341">
        <f t="shared" si="169"/>
      </c>
      <c r="K593" s="343">
        <f t="shared" si="201"/>
      </c>
      <c r="L593" s="344">
        <f t="shared" si="186"/>
      </c>
      <c r="M593" s="341">
        <f t="shared" si="266"/>
      </c>
      <c r="N593" s="345">
        <f t="shared" si="236"/>
      </c>
      <c r="O593" s="345">
        <f t="shared" si="251"/>
      </c>
      <c r="P593" s="345">
        <f t="shared" si="283"/>
      </c>
      <c r="Q593" s="345">
        <f t="shared" si="100"/>
      </c>
      <c r="R593" s="341">
        <f t="shared" si="298"/>
      </c>
      <c r="S593" s="343">
        <f t="shared" si="115"/>
      </c>
      <c r="T593" s="345">
        <f t="shared" si="136"/>
      </c>
      <c r="U593" s="345">
        <f t="shared" si="49"/>
      </c>
      <c r="V593" s="345">
        <f t="shared" si="66"/>
      </c>
      <c r="W593" s="345">
        <f t="shared" si="83"/>
      </c>
      <c r="X593" s="360" t="s">
        <v>181</v>
      </c>
      <c r="Y593" s="347" t="s">
        <v>193</v>
      </c>
      <c r="Z593" s="350">
        <v>116665</v>
      </c>
      <c r="AA593" s="350">
        <v>25989</v>
      </c>
      <c r="AB593" s="350">
        <v>106334</v>
      </c>
      <c r="AC593" s="350">
        <v>983</v>
      </c>
      <c r="AD593" s="350">
        <v>3</v>
      </c>
      <c r="AE593" s="350">
        <v>9944</v>
      </c>
      <c r="AF593" s="350">
        <v>315</v>
      </c>
      <c r="AG593" s="350">
        <v>38</v>
      </c>
      <c r="AH593" s="350">
        <v>10</v>
      </c>
      <c r="AI593" s="418">
        <v>1</v>
      </c>
    </row>
    <row r="594">
      <c r="A594" s="334"/>
      <c r="B594" s="415" t="s">
        <v>195</v>
      </c>
      <c r="C594" s="370" t="s">
        <v>189</v>
      </c>
      <c r="D594" s="377">
        <v>1710.355</v>
      </c>
      <c r="E594" s="359">
        <v>6</v>
      </c>
      <c r="F594" s="342">
        <f t="shared" si="349"/>
      </c>
      <c r="G594" s="359">
        <v>1261.2000000000007</v>
      </c>
      <c r="H594" s="428">
        <f t="shared" si="15"/>
      </c>
      <c r="I594" s="340">
        <f t="shared" si="32"/>
      </c>
      <c r="J594" s="341">
        <f t="shared" si="169"/>
      </c>
      <c r="K594" s="343">
        <f t="shared" si="201"/>
      </c>
      <c r="L594" s="344">
        <f t="shared" si="186"/>
      </c>
      <c r="M594" s="341">
        <f t="shared" si="266"/>
      </c>
      <c r="N594" s="345">
        <f t="shared" si="236"/>
      </c>
      <c r="O594" s="345">
        <f t="shared" si="251"/>
      </c>
      <c r="P594" s="345">
        <f t="shared" si="283"/>
      </c>
      <c r="Q594" s="345">
        <f t="shared" si="100"/>
      </c>
      <c r="R594" s="341">
        <f t="shared" si="298"/>
      </c>
      <c r="S594" s="343">
        <f t="shared" si="115"/>
      </c>
      <c r="T594" s="345">
        <f t="shared" si="136"/>
      </c>
      <c r="U594" s="345">
        <f t="shared" si="49"/>
      </c>
      <c r="V594" s="345">
        <f t="shared" si="66"/>
      </c>
      <c r="W594" s="345">
        <f t="shared" si="83"/>
      </c>
      <c r="X594" s="360" t="s">
        <v>181</v>
      </c>
      <c r="Y594" s="347" t="s">
        <v>193</v>
      </c>
      <c r="Z594" s="350">
        <v>128620</v>
      </c>
      <c r="AA594" s="350">
        <v>28783</v>
      </c>
      <c r="AB594" s="350">
        <v>105599</v>
      </c>
      <c r="AC594" s="350">
        <v>1039</v>
      </c>
      <c r="AD594" s="350">
        <v>5</v>
      </c>
      <c r="AE594" s="350">
        <v>10239</v>
      </c>
      <c r="AF594" s="350">
        <v>347</v>
      </c>
      <c r="AG594" s="350">
        <v>59</v>
      </c>
      <c r="AH594" s="350">
        <v>13</v>
      </c>
      <c r="AI594" s="418">
        <v>1</v>
      </c>
    </row>
    <row customHeight="true" ht="16.071428571428573" r="595">
      <c r="A595" s="334"/>
      <c r="B595" s="415" t="s">
        <v>195</v>
      </c>
      <c r="C595" s="372" t="s">
        <v>190</v>
      </c>
      <c r="D595" s="377">
        <v>1668.132</v>
      </c>
      <c r="E595" s="359">
        <v>4</v>
      </c>
      <c r="F595" s="342">
        <f t="shared" si="349"/>
      </c>
      <c r="G595" s="359">
        <v>901.2000000000007</v>
      </c>
      <c r="H595" s="428">
        <f t="shared" si="15"/>
      </c>
      <c r="I595" s="340">
        <f t="shared" si="32"/>
      </c>
      <c r="J595" s="341">
        <f t="shared" si="169"/>
      </c>
      <c r="K595" s="343">
        <f t="shared" si="201"/>
      </c>
      <c r="L595" s="382">
        <f t="shared" si="186"/>
      </c>
      <c r="M595" s="383">
        <f t="shared" si="266"/>
      </c>
      <c r="N595" s="384">
        <f t="shared" si="236"/>
      </c>
      <c r="O595" s="384">
        <f t="shared" si="251"/>
      </c>
      <c r="P595" s="384">
        <f t="shared" si="283"/>
      </c>
      <c r="Q595" s="384">
        <f t="shared" si="100"/>
      </c>
      <c r="R595" s="383">
        <f t="shared" si="298"/>
      </c>
      <c r="S595" s="381">
        <f t="shared" si="115"/>
      </c>
      <c r="T595" s="384">
        <f t="shared" si="136"/>
      </c>
      <c r="U595" s="384">
        <f t="shared" si="49"/>
      </c>
      <c r="V595" s="384">
        <f t="shared" si="66"/>
      </c>
      <c r="W595" s="384">
        <f t="shared" si="83"/>
      </c>
      <c r="X595" s="360" t="s">
        <v>181</v>
      </c>
      <c r="Y595" s="347" t="s">
        <v>193</v>
      </c>
      <c r="Z595" s="350">
        <v>119697</v>
      </c>
      <c r="AA595" s="350">
        <v>25379</v>
      </c>
      <c r="AB595" s="350">
        <v>93037</v>
      </c>
      <c r="AC595" s="350">
        <v>1035</v>
      </c>
      <c r="AD595" s="350">
        <v>4</v>
      </c>
      <c r="AE595" s="350">
        <v>8382</v>
      </c>
      <c r="AF595" s="350">
        <v>330</v>
      </c>
      <c r="AG595" s="350">
        <v>68</v>
      </c>
      <c r="AH595" s="349">
        <v>10</v>
      </c>
      <c r="AI595" s="418">
        <v>1</v>
      </c>
    </row>
    <row customHeight="true" ht="16.071428571428573" r="596">
      <c r="A596" s="334"/>
      <c r="B596" s="415" t="s">
        <v>195</v>
      </c>
      <c r="C596" s="373" t="s">
        <v>191</v>
      </c>
      <c r="D596" s="440">
        <v>1677.575</v>
      </c>
      <c r="E596" s="359">
        <v>3</v>
      </c>
      <c r="F596" s="342">
        <f t="shared" si="349"/>
      </c>
      <c r="G596" s="359">
        <v>684</v>
      </c>
      <c r="H596" s="430">
        <f t="shared" si="15"/>
      </c>
      <c r="I596" s="340">
        <f t="shared" si="32"/>
      </c>
      <c r="J596" s="341">
        <f t="shared" si="169"/>
      </c>
      <c r="K596" s="343">
        <f t="shared" si="201"/>
      </c>
      <c r="L596" s="382">
        <f t="shared" si="186"/>
      </c>
      <c r="M596" s="383">
        <f t="shared" si="266"/>
      </c>
      <c r="N596" s="384">
        <f t="shared" si="236"/>
      </c>
      <c r="O596" s="384">
        <f t="shared" si="251"/>
      </c>
      <c r="P596" s="384">
        <f t="shared" si="283"/>
      </c>
      <c r="Q596" s="384">
        <f t="shared" si="100"/>
      </c>
      <c r="R596" s="383">
        <f t="shared" si="298"/>
      </c>
      <c r="S596" s="381">
        <f t="shared" si="115"/>
      </c>
      <c r="T596" s="384">
        <f t="shared" si="136"/>
      </c>
      <c r="U596" s="384">
        <f t="shared" si="49"/>
      </c>
      <c r="V596" s="384">
        <f t="shared" si="66"/>
      </c>
      <c r="W596" s="384">
        <f t="shared" si="83"/>
      </c>
      <c r="X596" s="360" t="s">
        <v>181</v>
      </c>
      <c r="Y596" s="347" t="s">
        <v>193</v>
      </c>
      <c r="Z596" s="350">
        <v>115990</v>
      </c>
      <c r="AA596" s="350">
        <v>28728</v>
      </c>
      <c r="AB596" s="350">
        <v>91049</v>
      </c>
      <c r="AC596" s="350">
        <v>1017</v>
      </c>
      <c r="AD596" s="350">
        <v>3</v>
      </c>
      <c r="AE596" s="350">
        <v>9332</v>
      </c>
      <c r="AF596" s="350">
        <v>327</v>
      </c>
      <c r="AG596" s="350">
        <v>60</v>
      </c>
      <c r="AH596" s="349">
        <v>7</v>
      </c>
      <c r="AI596" s="418">
        <v>0</v>
      </c>
    </row>
    <row r="597">
      <c r="A597" s="334"/>
      <c r="B597" s="387" t="s">
        <v>187</v>
      </c>
      <c r="C597" s="387"/>
      <c r="D597" s="362">
        <f>SUM(D593:D596)</f>
      </c>
      <c r="E597" s="437">
        <f>SUM(E593:E596)</f>
      </c>
      <c r="F597" s="366">
        <f t="shared" si="349"/>
      </c>
      <c r="G597" s="431">
        <f>SUM(G593:G596)</f>
      </c>
      <c r="H597" s="432">
        <f t="shared" si="15"/>
      </c>
      <c r="I597" s="433">
        <f t="shared" si="32"/>
      </c>
      <c r="J597" s="364">
        <f t="shared" si="169"/>
      </c>
      <c r="K597" s="366">
        <f t="shared" si="201"/>
      </c>
      <c r="L597" s="367">
        <f t="shared" si="186"/>
      </c>
      <c r="M597" s="364">
        <f t="shared" si="266"/>
      </c>
      <c r="N597" s="368">
        <f t="shared" si="236"/>
      </c>
      <c r="O597" s="368">
        <f t="shared" si="251"/>
      </c>
      <c r="P597" s="368">
        <f t="shared" si="283"/>
      </c>
      <c r="Q597" s="368">
        <f t="shared" si="100"/>
      </c>
      <c r="R597" s="364">
        <f t="shared" si="298"/>
      </c>
      <c r="S597" s="366">
        <f t="shared" si="115"/>
      </c>
      <c r="T597" s="368">
        <f t="shared" si="136"/>
      </c>
      <c r="U597" s="368">
        <f t="shared" si="49"/>
      </c>
      <c r="V597" s="368">
        <f t="shared" si="66"/>
      </c>
      <c r="W597" s="368">
        <f t="shared" si="83"/>
      </c>
      <c r="X597" s="368"/>
      <c r="Y597" s="369"/>
      <c r="Z597" s="362">
        <f>SUM(Z593:Z596)</f>
      </c>
      <c r="AA597" s="362">
        <f>SUM(AA593:AA596)</f>
      </c>
      <c r="AB597" s="362">
        <f>SUM(AB593:AB596)</f>
      </c>
      <c r="AC597" s="362">
        <f>SUM(AC593:AC596)</f>
      </c>
      <c r="AD597" s="362">
        <f>SUM(AD593:AD596)</f>
      </c>
      <c r="AE597" s="362">
        <f>SUM(AE593:AE596)</f>
      </c>
      <c r="AF597" s="362">
        <f>SUM(AF593:AF596)</f>
      </c>
      <c r="AG597" s="362">
        <f>SUM(AG593:AG596)</f>
      </c>
      <c r="AH597" s="362">
        <f>SUM(AH593:AH596)</f>
      </c>
      <c r="AI597" s="362">
        <f>SUM(AI593:AI596)</f>
      </c>
    </row>
    <row r="598">
      <c r="A598" s="334"/>
      <c r="B598" s="335" t="s">
        <v>179</v>
      </c>
      <c r="C598" s="374" t="s">
        <v>192</v>
      </c>
      <c r="D598" s="377">
        <v>1734.589</v>
      </c>
      <c r="E598" s="359">
        <v>3</v>
      </c>
      <c r="F598" s="342">
        <f t="shared" si="349"/>
      </c>
      <c r="G598" s="359">
        <v>2445.5999999999985</v>
      </c>
      <c r="H598" s="428">
        <f t="shared" si="15"/>
      </c>
      <c r="I598" s="340">
        <f t="shared" si="32"/>
      </c>
      <c r="J598" s="341">
        <f t="shared" si="169"/>
      </c>
      <c r="K598" s="343">
        <f t="shared" si="201"/>
      </c>
      <c r="L598" s="344">
        <f t="shared" si="186"/>
      </c>
      <c r="M598" s="341">
        <f t="shared" si="266"/>
      </c>
      <c r="N598" s="345">
        <f t="shared" si="236"/>
      </c>
      <c r="O598" s="345">
        <f t="shared" si="251"/>
      </c>
      <c r="P598" s="345">
        <f t="shared" si="283"/>
      </c>
      <c r="Q598" s="345">
        <f t="shared" si="100"/>
      </c>
      <c r="R598" s="341">
        <f t="shared" si="298"/>
      </c>
      <c r="S598" s="343">
        <f t="shared" si="115"/>
      </c>
      <c r="T598" s="345">
        <f t="shared" si="136"/>
      </c>
      <c r="U598" s="345">
        <f t="shared" si="49"/>
      </c>
      <c r="V598" s="345">
        <f t="shared" si="66"/>
      </c>
      <c r="W598" s="345">
        <f t="shared" si="83"/>
      </c>
      <c r="X598" s="360" t="s">
        <v>181</v>
      </c>
      <c r="Y598" s="347" t="s">
        <v>205</v>
      </c>
      <c r="Z598" s="350">
        <v>128882</v>
      </c>
      <c r="AA598" s="350">
        <v>30987</v>
      </c>
      <c r="AB598" s="350">
        <v>97309</v>
      </c>
      <c r="AC598" s="350">
        <v>913</v>
      </c>
      <c r="AD598" s="350">
        <v>3</v>
      </c>
      <c r="AE598" s="350">
        <v>9793</v>
      </c>
      <c r="AF598" s="350">
        <v>385</v>
      </c>
      <c r="AG598" s="350">
        <v>67</v>
      </c>
      <c r="AH598" s="350">
        <v>11</v>
      </c>
      <c r="AI598" s="418">
        <v>0</v>
      </c>
    </row>
    <row r="599">
      <c r="A599" s="334"/>
      <c r="B599" s="335" t="s">
        <v>179</v>
      </c>
      <c r="C599" s="375" t="s">
        <v>194</v>
      </c>
      <c r="D599" s="377">
        <v>1780.8110000000001</v>
      </c>
      <c r="E599" s="359">
        <v>4</v>
      </c>
      <c r="F599" s="342">
        <f t="shared" si="349"/>
      </c>
      <c r="G599" s="359">
        <v>1462.800000000003</v>
      </c>
      <c r="H599" s="428">
        <f t="shared" si="15"/>
      </c>
      <c r="I599" s="340">
        <f t="shared" si="32"/>
      </c>
      <c r="J599" s="341">
        <f t="shared" si="169"/>
      </c>
      <c r="K599" s="343">
        <f t="shared" si="201"/>
      </c>
      <c r="L599" s="344">
        <f t="shared" si="186"/>
      </c>
      <c r="M599" s="341">
        <f t="shared" si="266"/>
      </c>
      <c r="N599" s="345">
        <f t="shared" si="236"/>
      </c>
      <c r="O599" s="345">
        <f t="shared" si="251"/>
      </c>
      <c r="P599" s="345">
        <f t="shared" si="283"/>
      </c>
      <c r="Q599" s="345">
        <f t="shared" si="100"/>
      </c>
      <c r="R599" s="341">
        <f t="shared" si="298"/>
      </c>
      <c r="S599" s="343">
        <f t="shared" si="115"/>
      </c>
      <c r="T599" s="345">
        <f t="shared" si="136"/>
      </c>
      <c r="U599" s="345">
        <f t="shared" si="49"/>
      </c>
      <c r="V599" s="345">
        <f t="shared" si="66"/>
      </c>
      <c r="W599" s="345">
        <f t="shared" si="83"/>
      </c>
      <c r="X599" s="360" t="s">
        <v>181</v>
      </c>
      <c r="Y599" s="347" t="s">
        <v>205</v>
      </c>
      <c r="Z599" s="350">
        <v>121199</v>
      </c>
      <c r="AA599" s="350">
        <v>33615</v>
      </c>
      <c r="AB599" s="350">
        <v>119558</v>
      </c>
      <c r="AC599" s="350">
        <v>998</v>
      </c>
      <c r="AD599" s="350">
        <v>2</v>
      </c>
      <c r="AE599" s="350">
        <v>12126</v>
      </c>
      <c r="AF599" s="350">
        <v>293</v>
      </c>
      <c r="AG599" s="350">
        <v>83</v>
      </c>
      <c r="AH599" s="349">
        <v>16</v>
      </c>
      <c r="AI599" s="418">
        <v>1</v>
      </c>
    </row>
    <row r="600">
      <c r="A600" s="334"/>
      <c r="B600" s="335" t="s">
        <v>179</v>
      </c>
      <c r="C600" s="373" t="s">
        <v>196</v>
      </c>
      <c r="D600" s="377">
        <v>1705.031</v>
      </c>
      <c r="E600" s="359">
        <v>3</v>
      </c>
      <c r="F600" s="342">
        <f t="shared" si="349"/>
      </c>
      <c r="G600" s="359">
        <v>610.2999999999993</v>
      </c>
      <c r="H600" s="428">
        <f t="shared" si="15"/>
      </c>
      <c r="I600" s="340">
        <f t="shared" si="32"/>
      </c>
      <c r="J600" s="341">
        <f t="shared" si="169"/>
      </c>
      <c r="K600" s="343">
        <f t="shared" si="201"/>
      </c>
      <c r="L600" s="382">
        <f t="shared" si="186"/>
      </c>
      <c r="M600" s="383">
        <f t="shared" si="266"/>
      </c>
      <c r="N600" s="384">
        <f t="shared" si="236"/>
      </c>
      <c r="O600" s="384">
        <f t="shared" si="251"/>
      </c>
      <c r="P600" s="384">
        <f t="shared" si="283"/>
      </c>
      <c r="Q600" s="384">
        <f t="shared" si="100"/>
      </c>
      <c r="R600" s="383">
        <f t="shared" si="298"/>
      </c>
      <c r="S600" s="381">
        <f t="shared" si="115"/>
      </c>
      <c r="T600" s="384">
        <f t="shared" si="136"/>
      </c>
      <c r="U600" s="384">
        <f t="shared" si="49"/>
      </c>
      <c r="V600" s="384">
        <f t="shared" si="66"/>
      </c>
      <c r="W600" s="384">
        <f t="shared" si="83"/>
      </c>
      <c r="X600" s="360" t="s">
        <v>181</v>
      </c>
      <c r="Y600" s="347" t="s">
        <v>205</v>
      </c>
      <c r="Z600" s="350">
        <v>121143</v>
      </c>
      <c r="AA600" s="350">
        <v>31501</v>
      </c>
      <c r="AB600" s="350">
        <v>105032</v>
      </c>
      <c r="AC600" s="350">
        <v>824</v>
      </c>
      <c r="AD600" s="350">
        <v>2</v>
      </c>
      <c r="AE600" s="350">
        <v>11797</v>
      </c>
      <c r="AF600" s="350">
        <v>271</v>
      </c>
      <c r="AG600" s="350">
        <v>75</v>
      </c>
      <c r="AH600" s="349">
        <v>14</v>
      </c>
      <c r="AI600" s="418">
        <v>1</v>
      </c>
    </row>
    <row r="601">
      <c r="A601" s="334"/>
      <c r="B601" s="335" t="s">
        <v>179</v>
      </c>
      <c r="C601" s="373" t="s">
        <v>197</v>
      </c>
      <c r="D601" s="440">
        <v>1832.792</v>
      </c>
      <c r="E601" s="359">
        <v>5</v>
      </c>
      <c r="F601" s="342">
        <f t="shared" si="349"/>
      </c>
      <c r="G601" s="359">
        <v>1644.7000000000007</v>
      </c>
      <c r="H601" s="430">
        <f t="shared" si="15"/>
      </c>
      <c r="I601" s="340">
        <f t="shared" si="32"/>
      </c>
      <c r="J601" s="341">
        <f t="shared" si="169"/>
      </c>
      <c r="K601" s="343">
        <f t="shared" si="201"/>
      </c>
      <c r="L601" s="382">
        <f t="shared" si="186"/>
      </c>
      <c r="M601" s="383">
        <f t="shared" si="266"/>
      </c>
      <c r="N601" s="384">
        <f t="shared" si="236"/>
      </c>
      <c r="O601" s="384">
        <f t="shared" si="251"/>
      </c>
      <c r="P601" s="384">
        <f t="shared" si="283"/>
      </c>
      <c r="Q601" s="384">
        <f t="shared" si="100"/>
      </c>
      <c r="R601" s="383">
        <f t="shared" si="298"/>
      </c>
      <c r="S601" s="381">
        <f t="shared" si="115"/>
      </c>
      <c r="T601" s="384">
        <f t="shared" si="136"/>
      </c>
      <c r="U601" s="384">
        <f t="shared" si="49"/>
      </c>
      <c r="V601" s="384">
        <f t="shared" si="66"/>
      </c>
      <c r="W601" s="384">
        <f t="shared" si="83"/>
      </c>
      <c r="X601" s="360" t="s">
        <v>181</v>
      </c>
      <c r="Y601" s="347" t="s">
        <v>205</v>
      </c>
      <c r="Z601" s="350">
        <v>138543</v>
      </c>
      <c r="AA601" s="350">
        <v>32685</v>
      </c>
      <c r="AB601" s="350">
        <v>112854</v>
      </c>
      <c r="AC601" s="350">
        <v>920</v>
      </c>
      <c r="AD601" s="350">
        <v>4</v>
      </c>
      <c r="AE601" s="350">
        <v>11302</v>
      </c>
      <c r="AF601" s="350">
        <v>404</v>
      </c>
      <c r="AG601" s="350">
        <v>64</v>
      </c>
      <c r="AH601" s="349">
        <v>13</v>
      </c>
      <c r="AI601" s="418">
        <v>0</v>
      </c>
    </row>
    <row r="602">
      <c r="A602" s="334"/>
      <c r="B602" s="387" t="s">
        <v>187</v>
      </c>
      <c r="C602" s="387"/>
      <c r="D602" s="362">
        <f>SUM(D598:D601)</f>
      </c>
      <c r="E602" s="437">
        <f>SUM(E598:E601)</f>
      </c>
      <c r="F602" s="366">
        <f t="shared" si="349"/>
      </c>
      <c r="G602" s="431">
        <f>SUM(G598:G601)</f>
      </c>
      <c r="H602" s="432">
        <f t="shared" si="15"/>
      </c>
      <c r="I602" s="433">
        <f t="shared" si="32"/>
      </c>
      <c r="J602" s="364">
        <f t="shared" si="169"/>
      </c>
      <c r="K602" s="366">
        <f t="shared" si="201"/>
      </c>
      <c r="L602" s="367">
        <f t="shared" si="186"/>
      </c>
      <c r="M602" s="364">
        <f t="shared" si="266"/>
      </c>
      <c r="N602" s="368">
        <f t="shared" si="236"/>
      </c>
      <c r="O602" s="368">
        <f t="shared" si="251"/>
      </c>
      <c r="P602" s="368">
        <f t="shared" si="283"/>
      </c>
      <c r="Q602" s="368">
        <f t="shared" si="100"/>
      </c>
      <c r="R602" s="364">
        <f t="shared" si="298"/>
      </c>
      <c r="S602" s="366">
        <f t="shared" si="115"/>
      </c>
      <c r="T602" s="368">
        <f t="shared" si="136"/>
      </c>
      <c r="U602" s="368">
        <f t="shared" si="49"/>
      </c>
      <c r="V602" s="368">
        <f t="shared" si="66"/>
      </c>
      <c r="W602" s="368">
        <f t="shared" si="83"/>
      </c>
      <c r="X602" s="368"/>
      <c r="Y602" s="369"/>
      <c r="Z602" s="362">
        <f>SUM(Z598:Z601)</f>
      </c>
      <c r="AA602" s="362">
        <f>SUM(AA598:AA601)</f>
      </c>
      <c r="AB602" s="362">
        <f>SUM(AB598:AB601)</f>
      </c>
      <c r="AC602" s="362">
        <f>SUM(AC598:AC601)</f>
      </c>
      <c r="AD602" s="362">
        <f>SUM(AD598:AD601)</f>
      </c>
      <c r="AE602" s="362">
        <f>SUM(AE598:AE601)</f>
      </c>
      <c r="AF602" s="362">
        <f>SUM(AF598:AF601)</f>
      </c>
      <c r="AG602" s="362">
        <f>SUM(AG598:AG601)</f>
      </c>
      <c r="AH602" s="362">
        <f>SUM(AH598:AH601)</f>
      </c>
      <c r="AI602" s="362">
        <f>SUM(AI598:AI601)</f>
      </c>
    </row>
    <row r="603">
      <c r="A603" s="334"/>
      <c r="B603" s="335" t="s">
        <v>203</v>
      </c>
      <c r="C603" s="374" t="s">
        <v>198</v>
      </c>
      <c r="D603" s="379">
        <v>2006.132</v>
      </c>
      <c r="E603" s="417">
        <v>0</v>
      </c>
      <c r="F603" s="342">
        <f t="shared" si="349"/>
      </c>
      <c r="G603" s="339">
        <v>0</v>
      </c>
      <c r="H603" s="428">
        <f t="shared" si="15"/>
      </c>
      <c r="I603" s="340">
        <f t="shared" si="32"/>
      </c>
      <c r="J603" s="341">
        <f t="shared" si="169"/>
      </c>
      <c r="K603" s="343">
        <f t="shared" si="201"/>
      </c>
      <c r="L603" s="382">
        <f t="shared" si="186"/>
      </c>
      <c r="M603" s="383">
        <f t="shared" si="266"/>
      </c>
      <c r="N603" s="384">
        <f t="shared" si="236"/>
      </c>
      <c r="O603" s="384">
        <f t="shared" si="251"/>
      </c>
      <c r="P603" s="384">
        <f t="shared" si="283"/>
      </c>
      <c r="Q603" s="384">
        <f t="shared" si="100"/>
      </c>
      <c r="R603" s="383">
        <f t="shared" si="298"/>
      </c>
      <c r="S603" s="381">
        <f t="shared" si="115"/>
      </c>
      <c r="T603" s="384">
        <f t="shared" si="136"/>
      </c>
      <c r="U603" s="384">
        <f t="shared" si="49"/>
      </c>
      <c r="V603" s="384">
        <f t="shared" si="66"/>
      </c>
      <c r="W603" s="384">
        <f t="shared" si="83"/>
      </c>
      <c r="X603" s="360" t="s">
        <v>181</v>
      </c>
      <c r="Y603" s="347" t="s">
        <v>205</v>
      </c>
      <c r="Z603" s="350">
        <v>176837</v>
      </c>
      <c r="AA603" s="350">
        <v>39809</v>
      </c>
      <c r="AB603" s="350">
        <v>132957</v>
      </c>
      <c r="AC603" s="385">
        <v>1197</v>
      </c>
      <c r="AD603" s="385">
        <v>0</v>
      </c>
      <c r="AE603" s="385">
        <v>12730</v>
      </c>
      <c r="AF603" s="385">
        <v>497</v>
      </c>
      <c r="AG603" s="385">
        <v>77</v>
      </c>
      <c r="AH603" s="385">
        <v>17</v>
      </c>
      <c r="AI603" s="418">
        <v>0</v>
      </c>
    </row>
    <row r="604">
      <c r="A604" s="334"/>
      <c r="B604" s="335" t="s">
        <v>203</v>
      </c>
      <c r="C604" s="373" t="s">
        <v>199</v>
      </c>
      <c r="D604" s="379">
        <v>2133.5609999999997</v>
      </c>
      <c r="E604" s="417">
        <v>6</v>
      </c>
      <c r="F604" s="342">
        <f t="shared" si="349"/>
      </c>
      <c r="G604" s="339">
        <v>1968</v>
      </c>
      <c r="H604" s="428">
        <f t="shared" si="15"/>
      </c>
      <c r="I604" s="340">
        <f t="shared" si="32"/>
      </c>
      <c r="J604" s="341">
        <f t="shared" si="169"/>
      </c>
      <c r="K604" s="343">
        <f t="shared" si="201"/>
      </c>
      <c r="L604" s="382">
        <f t="shared" si="186"/>
      </c>
      <c r="M604" s="383">
        <f t="shared" si="266"/>
      </c>
      <c r="N604" s="384">
        <f t="shared" si="236"/>
      </c>
      <c r="O604" s="384">
        <f t="shared" si="251"/>
      </c>
      <c r="P604" s="384">
        <f t="shared" si="283"/>
      </c>
      <c r="Q604" s="384">
        <f t="shared" si="100"/>
      </c>
      <c r="R604" s="383">
        <f t="shared" si="298"/>
      </c>
      <c r="S604" s="381">
        <f t="shared" si="115"/>
      </c>
      <c r="T604" s="384">
        <f t="shared" si="136"/>
      </c>
      <c r="U604" s="384">
        <f t="shared" si="49"/>
      </c>
      <c r="V604" s="384">
        <f t="shared" si="66"/>
      </c>
      <c r="W604" s="384">
        <f t="shared" si="83"/>
      </c>
      <c r="X604" s="360" t="s">
        <v>181</v>
      </c>
      <c r="Y604" s="347" t="s">
        <v>205</v>
      </c>
      <c r="Z604" s="350">
        <v>213642</v>
      </c>
      <c r="AA604" s="350">
        <v>39999</v>
      </c>
      <c r="AB604" s="350">
        <v>119646</v>
      </c>
      <c r="AC604" s="385">
        <v>1294</v>
      </c>
      <c r="AD604" s="385">
        <v>4</v>
      </c>
      <c r="AE604" s="385">
        <v>12662</v>
      </c>
      <c r="AF604" s="385">
        <v>425</v>
      </c>
      <c r="AG604" s="385">
        <v>95</v>
      </c>
      <c r="AH604" s="385">
        <v>14</v>
      </c>
      <c r="AI604" s="418">
        <v>0</v>
      </c>
    </row>
    <row r="605">
      <c r="A605" s="334"/>
      <c r="B605" s="335" t="s">
        <v>203</v>
      </c>
      <c r="C605" s="386" t="s">
        <v>200</v>
      </c>
      <c r="D605" s="377">
        <v>1650.846</v>
      </c>
      <c r="E605" s="359">
        <v>2</v>
      </c>
      <c r="F605" s="342">
        <f t="shared" si="349"/>
      </c>
      <c r="G605" s="359">
        <v>1056</v>
      </c>
      <c r="H605" s="428">
        <f t="shared" si="15"/>
      </c>
      <c r="I605" s="340">
        <f t="shared" si="32"/>
      </c>
      <c r="J605" s="341">
        <f t="shared" si="169"/>
      </c>
      <c r="K605" s="343">
        <f t="shared" si="201"/>
      </c>
      <c r="L605" s="382">
        <f t="shared" si="186"/>
      </c>
      <c r="M605" s="383">
        <f t="shared" si="266"/>
      </c>
      <c r="N605" s="384">
        <f t="shared" si="236"/>
      </c>
      <c r="O605" s="384">
        <f t="shared" si="251"/>
      </c>
      <c r="P605" s="384">
        <f t="shared" si="283"/>
      </c>
      <c r="Q605" s="384">
        <f t="shared" si="100"/>
      </c>
      <c r="R605" s="383">
        <f t="shared" si="298"/>
      </c>
      <c r="S605" s="381">
        <f t="shared" si="115"/>
      </c>
      <c r="T605" s="384">
        <f t="shared" si="136"/>
      </c>
      <c r="U605" s="384">
        <f t="shared" si="49"/>
      </c>
      <c r="V605" s="384">
        <f t="shared" si="66"/>
      </c>
      <c r="W605" s="384">
        <f t="shared" si="83"/>
      </c>
      <c r="X605" s="360" t="s">
        <v>181</v>
      </c>
      <c r="Y605" s="347" t="s">
        <v>205</v>
      </c>
      <c r="Z605" s="350">
        <v>180983</v>
      </c>
      <c r="AA605" s="350">
        <v>29154</v>
      </c>
      <c r="AB605" s="350">
        <v>95374</v>
      </c>
      <c r="AC605" s="350">
        <v>1220</v>
      </c>
      <c r="AD605" s="350">
        <v>4</v>
      </c>
      <c r="AE605" s="350">
        <v>9321</v>
      </c>
      <c r="AF605" s="350">
        <v>450</v>
      </c>
      <c r="AG605" s="350">
        <v>80</v>
      </c>
      <c r="AH605" s="349">
        <v>16</v>
      </c>
      <c r="AI605" s="418">
        <v>0</v>
      </c>
    </row>
    <row r="606">
      <c r="A606" s="334"/>
      <c r="B606" s="335" t="s">
        <v>203</v>
      </c>
      <c r="C606" s="439" t="s">
        <v>212</v>
      </c>
      <c r="D606" s="440">
        <v>1134.8139999999999</v>
      </c>
      <c r="E606" s="359">
        <v>3</v>
      </c>
      <c r="F606" s="342">
        <f t="shared" si="349"/>
      </c>
      <c r="G606" s="359">
        <v>652</v>
      </c>
      <c r="H606" s="430">
        <f t="shared" si="15"/>
      </c>
      <c r="I606" s="340">
        <f t="shared" si="32"/>
      </c>
      <c r="J606" s="341">
        <f t="shared" si="169"/>
      </c>
      <c r="K606" s="343">
        <f t="shared" si="201"/>
      </c>
      <c r="L606" s="382">
        <f t="shared" si="186"/>
      </c>
      <c r="M606" s="383">
        <f t="shared" si="266"/>
      </c>
      <c r="N606" s="384">
        <f t="shared" si="236"/>
      </c>
      <c r="O606" s="384">
        <f t="shared" si="251"/>
      </c>
      <c r="P606" s="384">
        <f t="shared" si="283"/>
      </c>
      <c r="Q606" s="384">
        <f t="shared" si="100"/>
      </c>
      <c r="R606" s="383">
        <f t="shared" si="298"/>
      </c>
      <c r="S606" s="381">
        <f t="shared" si="115"/>
      </c>
      <c r="T606" s="384">
        <f t="shared" si="136"/>
      </c>
      <c r="U606" s="384">
        <f t="shared" si="49"/>
      </c>
      <c r="V606" s="384">
        <f t="shared" si="66"/>
      </c>
      <c r="W606" s="384">
        <f t="shared" si="83"/>
      </c>
      <c r="X606" s="360" t="s">
        <v>181</v>
      </c>
      <c r="Y606" s="347" t="s">
        <v>205</v>
      </c>
      <c r="Z606" s="350">
        <v>126912</v>
      </c>
      <c r="AA606" s="350">
        <v>15813</v>
      </c>
      <c r="AB606" s="350">
        <v>59358</v>
      </c>
      <c r="AC606" s="350">
        <v>804</v>
      </c>
      <c r="AD606" s="350">
        <v>3</v>
      </c>
      <c r="AE606" s="350">
        <v>5178</v>
      </c>
      <c r="AF606" s="350">
        <v>309</v>
      </c>
      <c r="AG606" s="350">
        <v>41</v>
      </c>
      <c r="AH606" s="349">
        <v>7</v>
      </c>
      <c r="AI606" s="418">
        <v>0</v>
      </c>
    </row>
    <row r="607">
      <c r="A607" s="334"/>
      <c r="B607" s="387" t="s">
        <v>187</v>
      </c>
      <c r="C607" s="387"/>
      <c r="D607" s="362">
        <f>SUM(D603:D606)</f>
      </c>
      <c r="E607" s="437">
        <f>SUM(E603:E606)</f>
      </c>
      <c r="F607" s="366">
        <f t="shared" si="349"/>
      </c>
      <c r="G607" s="431">
        <f>SUM(G603:G606)</f>
      </c>
      <c r="H607" s="432">
        <f t="shared" si="15"/>
      </c>
      <c r="I607" s="433">
        <f t="shared" si="32"/>
      </c>
      <c r="J607" s="364">
        <f t="shared" si="169"/>
      </c>
      <c r="K607" s="366">
        <f t="shared" si="201"/>
      </c>
      <c r="L607" s="367">
        <f t="shared" si="186"/>
      </c>
      <c r="M607" s="364">
        <f t="shared" si="266"/>
      </c>
      <c r="N607" s="368">
        <f t="shared" si="236"/>
      </c>
      <c r="O607" s="368">
        <f t="shared" si="251"/>
      </c>
      <c r="P607" s="368">
        <f t="shared" si="283"/>
      </c>
      <c r="Q607" s="368">
        <f t="shared" si="100"/>
      </c>
      <c r="R607" s="364">
        <f t="shared" si="298"/>
      </c>
      <c r="S607" s="366">
        <f t="shared" si="115"/>
      </c>
      <c r="T607" s="368">
        <f t="shared" si="136"/>
      </c>
      <c r="U607" s="368">
        <f t="shared" si="49"/>
      </c>
      <c r="V607" s="368">
        <f t="shared" si="66"/>
      </c>
      <c r="W607" s="368">
        <f t="shared" si="83"/>
      </c>
      <c r="X607" s="368"/>
      <c r="Y607" s="369"/>
      <c r="Z607" s="362">
        <f>SUM(Z603:Z606)</f>
      </c>
      <c r="AA607" s="362">
        <f>SUM(AA603:AA606)</f>
      </c>
      <c r="AB607" s="362">
        <f>SUM(AB603:AB606)</f>
      </c>
      <c r="AC607" s="362">
        <f>SUM(AC603:AC606)</f>
      </c>
      <c r="AD607" s="362">
        <f>SUM(AD603:AD606)</f>
      </c>
      <c r="AE607" s="362">
        <f>SUM(AE603:AE606)</f>
      </c>
      <c r="AF607" s="362">
        <f>SUM(AF603:AF606)</f>
      </c>
      <c r="AG607" s="362">
        <f>SUM(AG603:AG606)</f>
      </c>
      <c r="AH607" s="362">
        <f>SUM(AH603:AH606)</f>
      </c>
      <c r="AI607" s="362">
        <f>SUM(AI603:AI606)</f>
      </c>
    </row>
    <row r="608">
      <c r="A608" s="334"/>
      <c r="B608" s="388" t="s">
        <v>201</v>
      </c>
      <c r="C608" s="388"/>
      <c r="D608" s="389">
        <f>SUM(D607+D592+D597+D602)</f>
      </c>
      <c r="E608" s="442">
        <f>SUM(E607+E592+E597+E602)</f>
      </c>
      <c r="F608" s="393">
        <f t="shared" si="349"/>
      </c>
      <c r="G608" s="434">
        <f>SUM(G607+G592+G597+G602)</f>
      </c>
      <c r="H608" s="441">
        <f t="shared" si="15"/>
      </c>
      <c r="I608" s="436">
        <f t="shared" si="32"/>
      </c>
      <c r="J608" s="391">
        <f t="shared" si="169"/>
      </c>
      <c r="K608" s="393">
        <f t="shared" si="201"/>
      </c>
      <c r="L608" s="394">
        <f t="shared" si="186"/>
      </c>
      <c r="M608" s="394">
        <f t="shared" si="266"/>
      </c>
      <c r="N608" s="395">
        <f t="shared" si="236"/>
      </c>
      <c r="O608" s="395">
        <f t="shared" si="251"/>
      </c>
      <c r="P608" s="395">
        <f t="shared" si="283"/>
      </c>
      <c r="Q608" s="395">
        <f t="shared" si="100"/>
      </c>
      <c r="R608" s="396">
        <f t="shared" si="298"/>
      </c>
      <c r="S608" s="397">
        <f t="shared" si="115"/>
      </c>
      <c r="T608" s="398">
        <f t="shared" si="136"/>
      </c>
      <c r="U608" s="398">
        <f t="shared" si="49"/>
      </c>
      <c r="V608" s="398">
        <f t="shared" si="66"/>
      </c>
      <c r="W608" s="398">
        <f t="shared" si="83"/>
      </c>
      <c r="X608" s="398"/>
      <c r="Y608" s="399"/>
      <c r="Z608" s="390">
        <f>SUM(Z592+Z607+Z597+Z602)</f>
      </c>
      <c r="AA608" s="390">
        <f>SUM(AA592+AA607+AA597+AA602)</f>
      </c>
      <c r="AB608" s="390">
        <f>SUM(AB592+AB607+AB597+AB602)</f>
      </c>
      <c r="AC608" s="390">
        <f>SUM(AC592+AC607+AC597+AC602)</f>
      </c>
      <c r="AD608" s="390">
        <f>SUM(AD592+AD607+AD597+AD602)</f>
      </c>
      <c r="AE608" s="390">
        <f>SUM(AE592+AE607+AE597+AE602)</f>
      </c>
      <c r="AF608" s="390">
        <f>SUM(AF592+AF607+AF597+AF602)</f>
      </c>
      <c r="AG608" s="390">
        <f>SUM(AG592+AG607+AG597+AG602)</f>
      </c>
      <c r="AH608" s="390">
        <f>SUM(AH592+AH607+AH597+AH602)</f>
      </c>
      <c r="AI608" s="390">
        <f>SUM(AI592+AI607+AI597+AI602)</f>
      </c>
    </row>
    <row r="609">
      <c r="A609" s="319" t="s">
        <v>145</v>
      </c>
      <c r="B609" s="320" t="s">
        <v>146</v>
      </c>
      <c r="C609" s="321" t="s">
        <v>147</v>
      </c>
      <c r="D609" s="322" t="s">
        <v>148</v>
      </c>
      <c r="E609" s="426" t="s">
        <v>213</v>
      </c>
      <c r="F609" s="427" t="s">
        <v>214</v>
      </c>
      <c r="G609" s="324" t="s">
        <v>150</v>
      </c>
      <c r="H609" s="427" t="s">
        <v>215</v>
      </c>
      <c r="I609" s="324" t="s">
        <v>151</v>
      </c>
      <c r="J609" s="325" t="s">
        <v>152</v>
      </c>
      <c r="K609" s="325" t="s">
        <v>154</v>
      </c>
      <c r="L609" s="326" t="s">
        <v>155</v>
      </c>
      <c r="M609" s="326" t="s">
        <v>156</v>
      </c>
      <c r="N609" s="326" t="s">
        <v>157</v>
      </c>
      <c r="O609" s="326" t="s">
        <v>158</v>
      </c>
      <c r="P609" s="326" t="s">
        <v>159</v>
      </c>
      <c r="Q609" s="326" t="s">
        <v>160</v>
      </c>
      <c r="R609" s="326" t="s">
        <v>161</v>
      </c>
      <c r="S609" s="326" t="s">
        <v>162</v>
      </c>
      <c r="T609" s="327" t="s">
        <v>163</v>
      </c>
      <c r="U609" s="327" t="s">
        <v>164</v>
      </c>
      <c r="V609" s="327" t="s">
        <v>165</v>
      </c>
      <c r="W609" s="327" t="s">
        <v>166</v>
      </c>
      <c r="X609" s="328" t="s">
        <v>167</v>
      </c>
      <c r="Y609" s="328" t="s">
        <v>168</v>
      </c>
      <c r="Z609" s="329" t="s">
        <v>169</v>
      </c>
      <c r="AA609" s="329" t="s">
        <v>170</v>
      </c>
      <c r="AB609" s="329" t="s">
        <v>171</v>
      </c>
      <c r="AC609" s="330" t="s">
        <v>172</v>
      </c>
      <c r="AD609" s="330" t="s">
        <v>173</v>
      </c>
      <c r="AE609" s="331" t="s">
        <v>174</v>
      </c>
      <c r="AF609" s="330" t="s">
        <v>175</v>
      </c>
      <c r="AG609" s="330" t="s">
        <v>176</v>
      </c>
      <c r="AH609" s="332" t="s">
        <v>177</v>
      </c>
      <c r="AI609" s="333" t="s">
        <v>178</v>
      </c>
    </row>
    <row r="610">
      <c r="A610" s="334">
        <v>46265</v>
      </c>
      <c r="B610" s="335" t="s">
        <v>208</v>
      </c>
      <c r="C610" s="354" t="s">
        <v>180</v>
      </c>
      <c r="D610" s="337">
        <v>945.865</v>
      </c>
      <c r="E610" s="417">
        <v>1</v>
      </c>
      <c r="F610" s="342">
        <f t="shared" ref="F610:F630" si="350">D610/E610</f>
      </c>
      <c r="G610" s="339">
        <v>828</v>
      </c>
      <c r="H610" s="428">
        <f t="shared" ref="H610:H630" si="16">AD610</f>
      </c>
      <c r="I610" s="340">
        <f t="shared" ref="I610:I630" si="33">D610/AD610</f>
      </c>
      <c r="J610" s="341">
        <f t="shared" ref="J610:J630" si="170">G610/E610</f>
      </c>
      <c r="K610" s="343">
        <f t="shared" ref="K610:K630" si="202">G610/D610</f>
      </c>
      <c r="L610" s="344">
        <f t="shared" ref="L610:L630" si="187">D610/AB610</f>
      </c>
      <c r="M610" s="341">
        <f t="shared" ref="M610:M630" si="267">D610/AC610</f>
      </c>
      <c r="N610" s="345">
        <f t="shared" ref="N610:N630" si="237">AC610/AB610</f>
      </c>
      <c r="O610" s="345">
        <f t="shared" ref="O610:O630" si="252">AD610/AC610</f>
      </c>
      <c r="P610" s="345">
        <f t="shared" ref="P610:P630" si="284">AA610/Z610</f>
      </c>
      <c r="Q610" s="345">
        <f t="shared" ref="Q610:Q630" si="101">AD610/AA610</f>
      </c>
      <c r="R610" s="341">
        <f t="shared" ref="R610:R630" si="299">D610/Z610*1000</f>
      </c>
      <c r="S610" s="343">
        <f t="shared" ref="S610:S630" si="116">D610/AA610</f>
      </c>
      <c r="T610" s="345">
        <f t="shared" ref="T610:T630" si="137">AE610/AB610</f>
      </c>
      <c r="U610" s="345">
        <f t="shared" ref="U610:U630" si="50">AF610/AB610</f>
      </c>
      <c r="V610" s="345">
        <f t="shared" ref="V610:V630" si="67">AG610/AB610</f>
      </c>
      <c r="W610" s="345">
        <f t="shared" ref="W610:W630" si="84">AH610/AB610</f>
      </c>
      <c r="X610" s="346" t="s">
        <v>181</v>
      </c>
      <c r="Y610" s="347" t="s">
        <v>193</v>
      </c>
      <c r="Z610" s="348">
        <v>54939</v>
      </c>
      <c r="AA610" s="348">
        <v>22609</v>
      </c>
      <c r="AB610" s="348">
        <v>38734</v>
      </c>
      <c r="AC610" s="348">
        <v>815</v>
      </c>
      <c r="AD610" s="349">
        <v>1</v>
      </c>
      <c r="AE610" s="348">
        <v>8534</v>
      </c>
      <c r="AF610" s="350">
        <v>240</v>
      </c>
      <c r="AG610" s="350">
        <v>34</v>
      </c>
      <c r="AH610" s="350">
        <v>11</v>
      </c>
      <c r="AI610" s="418">
        <v>0</v>
      </c>
    </row>
    <row r="611">
      <c r="A611" s="334"/>
      <c r="B611" s="335" t="s">
        <v>208</v>
      </c>
      <c r="C611" s="336" t="s">
        <v>183</v>
      </c>
      <c r="D611" s="337">
        <v>1040.6680000000001</v>
      </c>
      <c r="E611" s="417">
        <v>9</v>
      </c>
      <c r="F611" s="342">
        <f t="shared" si="350"/>
      </c>
      <c r="G611" s="339">
        <v>4205.2</v>
      </c>
      <c r="H611" s="428">
        <f t="shared" si="16"/>
      </c>
      <c r="I611" s="340">
        <f t="shared" si="33"/>
      </c>
      <c r="J611" s="341">
        <f t="shared" si="170"/>
      </c>
      <c r="K611" s="343">
        <f t="shared" si="202"/>
      </c>
      <c r="L611" s="344">
        <f t="shared" si="187"/>
      </c>
      <c r="M611" s="341">
        <f t="shared" si="267"/>
      </c>
      <c r="N611" s="345">
        <f t="shared" si="237"/>
      </c>
      <c r="O611" s="345">
        <f t="shared" si="252"/>
      </c>
      <c r="P611" s="345">
        <f t="shared" si="284"/>
      </c>
      <c r="Q611" s="345">
        <f t="shared" si="101"/>
      </c>
      <c r="R611" s="341">
        <f t="shared" si="299"/>
      </c>
      <c r="S611" s="343">
        <f t="shared" si="116"/>
      </c>
      <c r="T611" s="345">
        <f t="shared" si="137"/>
      </c>
      <c r="U611" s="345">
        <f t="shared" si="50"/>
      </c>
      <c r="V611" s="345">
        <f t="shared" si="67"/>
      </c>
      <c r="W611" s="345">
        <f t="shared" si="84"/>
      </c>
      <c r="X611" s="360" t="s">
        <v>181</v>
      </c>
      <c r="Y611" s="347" t="s">
        <v>193</v>
      </c>
      <c r="Z611" s="350">
        <v>77564</v>
      </c>
      <c r="AA611" s="348">
        <v>21635</v>
      </c>
      <c r="AB611" s="348">
        <v>48751</v>
      </c>
      <c r="AC611" s="348">
        <v>765</v>
      </c>
      <c r="AD611" s="350">
        <v>5</v>
      </c>
      <c r="AE611" s="348">
        <v>8091</v>
      </c>
      <c r="AF611" s="350">
        <v>279</v>
      </c>
      <c r="AG611" s="350">
        <v>34</v>
      </c>
      <c r="AH611" s="349">
        <v>10</v>
      </c>
      <c r="AI611" s="418">
        <v>3</v>
      </c>
    </row>
    <row r="612">
      <c r="A612" s="334"/>
      <c r="B612" s="335" t="s">
        <v>208</v>
      </c>
      <c r="C612" s="351" t="s">
        <v>184</v>
      </c>
      <c r="D612" s="377">
        <v>1426.2659999999998</v>
      </c>
      <c r="E612" s="359">
        <v>5</v>
      </c>
      <c r="F612" s="342">
        <f t="shared" si="350"/>
      </c>
      <c r="G612" s="359">
        <v>1708</v>
      </c>
      <c r="H612" s="428">
        <f t="shared" si="16"/>
      </c>
      <c r="I612" s="340">
        <f t="shared" si="33"/>
      </c>
      <c r="J612" s="341">
        <f t="shared" si="170"/>
      </c>
      <c r="K612" s="343">
        <f t="shared" si="202"/>
      </c>
      <c r="L612" s="344">
        <f t="shared" si="187"/>
      </c>
      <c r="M612" s="341">
        <f t="shared" si="267"/>
      </c>
      <c r="N612" s="345">
        <f t="shared" si="237"/>
      </c>
      <c r="O612" s="345">
        <f t="shared" si="252"/>
      </c>
      <c r="P612" s="345">
        <f t="shared" si="284"/>
      </c>
      <c r="Q612" s="345">
        <f t="shared" si="101"/>
      </c>
      <c r="R612" s="341">
        <f t="shared" si="299"/>
      </c>
      <c r="S612" s="343">
        <f t="shared" si="116"/>
      </c>
      <c r="T612" s="345">
        <f t="shared" si="137"/>
      </c>
      <c r="U612" s="345">
        <f t="shared" si="50"/>
      </c>
      <c r="V612" s="345">
        <f t="shared" si="67"/>
      </c>
      <c r="W612" s="345">
        <f t="shared" si="84"/>
      </c>
      <c r="X612" s="360" t="s">
        <v>181</v>
      </c>
      <c r="Y612" s="347" t="s">
        <v>193</v>
      </c>
      <c r="Z612" s="350">
        <v>91177</v>
      </c>
      <c r="AA612" s="350">
        <v>26663</v>
      </c>
      <c r="AB612" s="350">
        <v>66103</v>
      </c>
      <c r="AC612" s="350">
        <v>922</v>
      </c>
      <c r="AD612" s="350">
        <v>5</v>
      </c>
      <c r="AE612" s="350">
        <v>9690</v>
      </c>
      <c r="AF612" s="350">
        <v>341</v>
      </c>
      <c r="AG612" s="350">
        <v>50</v>
      </c>
      <c r="AH612" s="350">
        <v>9</v>
      </c>
      <c r="AI612" s="418">
        <v>0</v>
      </c>
    </row>
    <row r="613">
      <c r="A613" s="334"/>
      <c r="B613" s="335" t="s">
        <v>208</v>
      </c>
      <c r="C613" s="416" t="s">
        <v>185</v>
      </c>
      <c r="D613" s="377">
        <v>2395.531</v>
      </c>
      <c r="E613" s="359">
        <v>8</v>
      </c>
      <c r="F613" s="342">
        <f t="shared" si="350"/>
      </c>
      <c r="G613" s="359">
        <v>2381.2</v>
      </c>
      <c r="H613" s="428">
        <f t="shared" si="16"/>
      </c>
      <c r="I613" s="340">
        <f t="shared" si="33"/>
      </c>
      <c r="J613" s="341">
        <f t="shared" si="170"/>
      </c>
      <c r="K613" s="343">
        <f t="shared" si="202"/>
      </c>
      <c r="L613" s="382">
        <f t="shared" si="187"/>
      </c>
      <c r="M613" s="383">
        <f t="shared" si="267"/>
      </c>
      <c r="N613" s="384">
        <f t="shared" si="237"/>
      </c>
      <c r="O613" s="384">
        <f t="shared" si="252"/>
      </c>
      <c r="P613" s="384">
        <f t="shared" si="284"/>
      </c>
      <c r="Q613" s="384">
        <f t="shared" si="101"/>
      </c>
      <c r="R613" s="383">
        <f t="shared" si="299"/>
      </c>
      <c r="S613" s="381">
        <f t="shared" si="116"/>
      </c>
      <c r="T613" s="384">
        <f t="shared" si="137"/>
      </c>
      <c r="U613" s="384">
        <f t="shared" si="50"/>
      </c>
      <c r="V613" s="384">
        <f t="shared" si="67"/>
      </c>
      <c r="W613" s="384">
        <f t="shared" si="84"/>
      </c>
      <c r="X613" s="360" t="s">
        <v>181</v>
      </c>
      <c r="Y613" s="347" t="s">
        <v>193</v>
      </c>
      <c r="Z613" s="350">
        <v>123629</v>
      </c>
      <c r="AA613" s="350">
        <v>38834</v>
      </c>
      <c r="AB613" s="350">
        <v>103669</v>
      </c>
      <c r="AC613" s="350">
        <v>1223</v>
      </c>
      <c r="AD613" s="350">
        <v>7</v>
      </c>
      <c r="AE613" s="350">
        <v>14572</v>
      </c>
      <c r="AF613" s="350">
        <v>403</v>
      </c>
      <c r="AG613" s="350">
        <v>73</v>
      </c>
      <c r="AH613" s="349">
        <v>28</v>
      </c>
      <c r="AI613" s="418">
        <v>1</v>
      </c>
    </row>
    <row r="614">
      <c r="A614" s="334"/>
      <c r="B614" s="387" t="s">
        <v>187</v>
      </c>
      <c r="C614" s="387"/>
      <c r="D614" s="362">
        <f>SUM(D610:D613)</f>
      </c>
      <c r="E614" s="437">
        <f>SUM(E610:E613)</f>
      </c>
      <c r="F614" s="366">
        <f t="shared" si="350"/>
      </c>
      <c r="G614" s="431">
        <f>SUM(G610:G613)</f>
      </c>
      <c r="H614" s="432">
        <f t="shared" si="16"/>
      </c>
      <c r="I614" s="433">
        <f t="shared" si="33"/>
      </c>
      <c r="J614" s="364">
        <f t="shared" si="170"/>
      </c>
      <c r="K614" s="366">
        <f t="shared" si="202"/>
      </c>
      <c r="L614" s="367">
        <f t="shared" si="187"/>
      </c>
      <c r="M614" s="364">
        <f t="shared" si="267"/>
      </c>
      <c r="N614" s="368">
        <f t="shared" si="237"/>
      </c>
      <c r="O614" s="368">
        <f t="shared" si="252"/>
      </c>
      <c r="P614" s="368">
        <f t="shared" si="284"/>
      </c>
      <c r="Q614" s="368">
        <f t="shared" si="101"/>
      </c>
      <c r="R614" s="364">
        <f t="shared" si="299"/>
      </c>
      <c r="S614" s="366">
        <f t="shared" si="116"/>
      </c>
      <c r="T614" s="368">
        <f t="shared" si="137"/>
      </c>
      <c r="U614" s="368">
        <f t="shared" si="50"/>
      </c>
      <c r="V614" s="368">
        <f t="shared" si="67"/>
      </c>
      <c r="W614" s="368">
        <f t="shared" si="84"/>
      </c>
      <c r="X614" s="368"/>
      <c r="Y614" s="369"/>
      <c r="Z614" s="362">
        <f>SUM(Z610:Z613)</f>
      </c>
      <c r="AA614" s="362">
        <f>SUM(AA610:AA613)</f>
      </c>
      <c r="AB614" s="362">
        <f>SUM(AB610:AB613)</f>
      </c>
      <c r="AC614" s="362">
        <f>SUM(AC610:AC613)</f>
      </c>
      <c r="AD614" s="362">
        <f>SUM(AD610:AD613)</f>
      </c>
      <c r="AE614" s="362">
        <f>SUM(AE610:AE613)</f>
      </c>
      <c r="AF614" s="362">
        <f>SUM(AF610:AF613)</f>
      </c>
      <c r="AG614" s="362">
        <f>SUM(AG610:AG613)</f>
      </c>
      <c r="AH614" s="362">
        <f>SUM(AH610:AH613)</f>
      </c>
      <c r="AI614" s="362">
        <f>SUM(AI610:AI613)</f>
      </c>
    </row>
    <row r="615">
      <c r="A615" s="334"/>
      <c r="B615" s="415" t="s">
        <v>179</v>
      </c>
      <c r="C615" s="416" t="s">
        <v>186</v>
      </c>
      <c r="D615" s="371">
        <v>2136.959</v>
      </c>
      <c r="E615" s="419">
        <v>7</v>
      </c>
      <c r="F615" s="342">
        <f t="shared" si="350"/>
      </c>
      <c r="G615" s="359">
        <v>3932</v>
      </c>
      <c r="H615" s="428">
        <f t="shared" si="16"/>
      </c>
      <c r="I615" s="340">
        <f t="shared" si="33"/>
      </c>
      <c r="J615" s="341">
        <f t="shared" si="170"/>
      </c>
      <c r="K615" s="343">
        <f t="shared" si="202"/>
      </c>
      <c r="L615" s="344">
        <f t="shared" si="187"/>
      </c>
      <c r="M615" s="341">
        <f t="shared" si="267"/>
      </c>
      <c r="N615" s="345">
        <f t="shared" si="237"/>
      </c>
      <c r="O615" s="345">
        <f t="shared" si="252"/>
      </c>
      <c r="P615" s="345">
        <f t="shared" si="284"/>
      </c>
      <c r="Q615" s="345">
        <f t="shared" si="101"/>
      </c>
      <c r="R615" s="341">
        <f t="shared" si="299"/>
      </c>
      <c r="S615" s="343">
        <f t="shared" si="116"/>
      </c>
      <c r="T615" s="345">
        <f t="shared" si="137"/>
      </c>
      <c r="U615" s="345">
        <f t="shared" si="50"/>
      </c>
      <c r="V615" s="345">
        <f t="shared" si="67"/>
      </c>
      <c r="W615" s="345">
        <f t="shared" si="84"/>
      </c>
      <c r="X615" s="360" t="s">
        <v>181</v>
      </c>
      <c r="Y615" s="347" t="s">
        <v>193</v>
      </c>
      <c r="Z615" s="350">
        <v>193356</v>
      </c>
      <c r="AA615" s="350">
        <v>26857</v>
      </c>
      <c r="AB615" s="350">
        <v>123704</v>
      </c>
      <c r="AC615" s="350">
        <v>1082</v>
      </c>
      <c r="AD615" s="350">
        <v>7</v>
      </c>
      <c r="AE615" s="350">
        <v>10790</v>
      </c>
      <c r="AF615" s="350">
        <v>357</v>
      </c>
      <c r="AG615" s="350">
        <v>50</v>
      </c>
      <c r="AH615" s="350">
        <v>7</v>
      </c>
      <c r="AI615" s="418">
        <v>0</v>
      </c>
    </row>
    <row r="616">
      <c r="A616" s="334"/>
      <c r="B616" s="415" t="s">
        <v>179</v>
      </c>
      <c r="C616" s="370" t="s">
        <v>189</v>
      </c>
      <c r="D616" s="377">
        <v>2455.58</v>
      </c>
      <c r="E616" s="359">
        <v>9</v>
      </c>
      <c r="F616" s="342">
        <f t="shared" si="350"/>
      </c>
      <c r="G616" s="359">
        <v>3012.1000000000004</v>
      </c>
      <c r="H616" s="428">
        <f t="shared" si="16"/>
      </c>
      <c r="I616" s="340">
        <f t="shared" si="33"/>
      </c>
      <c r="J616" s="341">
        <f t="shared" si="170"/>
      </c>
      <c r="K616" s="343">
        <f t="shared" si="202"/>
      </c>
      <c r="L616" s="344">
        <f t="shared" si="187"/>
      </c>
      <c r="M616" s="341">
        <f t="shared" si="267"/>
      </c>
      <c r="N616" s="345">
        <f t="shared" si="237"/>
      </c>
      <c r="O616" s="345">
        <f t="shared" si="252"/>
      </c>
      <c r="P616" s="345">
        <f t="shared" si="284"/>
      </c>
      <c r="Q616" s="345">
        <f t="shared" si="101"/>
      </c>
      <c r="R616" s="341">
        <f t="shared" si="299"/>
      </c>
      <c r="S616" s="343">
        <f t="shared" si="116"/>
      </c>
      <c r="T616" s="345">
        <f t="shared" si="137"/>
      </c>
      <c r="U616" s="345">
        <f t="shared" si="50"/>
      </c>
      <c r="V616" s="345">
        <f t="shared" si="67"/>
      </c>
      <c r="W616" s="345">
        <f t="shared" si="84"/>
      </c>
      <c r="X616" s="360" t="s">
        <v>181</v>
      </c>
      <c r="Y616" s="347" t="s">
        <v>193</v>
      </c>
      <c r="Z616" s="350">
        <v>183074</v>
      </c>
      <c r="AA616" s="350">
        <v>30988</v>
      </c>
      <c r="AB616" s="350">
        <v>157282</v>
      </c>
      <c r="AC616" s="350">
        <v>1228</v>
      </c>
      <c r="AD616" s="350">
        <v>4</v>
      </c>
      <c r="AE616" s="350">
        <v>12729</v>
      </c>
      <c r="AF616" s="350">
        <v>370</v>
      </c>
      <c r="AG616" s="350">
        <v>78</v>
      </c>
      <c r="AH616" s="350">
        <v>20</v>
      </c>
      <c r="AI616" s="418">
        <v>4</v>
      </c>
    </row>
    <row r="617">
      <c r="A617" s="334"/>
      <c r="B617" s="415" t="s">
        <v>179</v>
      </c>
      <c r="C617" s="372" t="s">
        <v>190</v>
      </c>
      <c r="D617" s="377">
        <v>1969.1689999999999</v>
      </c>
      <c r="E617" s="359">
        <v>3</v>
      </c>
      <c r="F617" s="342">
        <f t="shared" si="350"/>
      </c>
      <c r="G617" s="359">
        <v>1273.2000000000007</v>
      </c>
      <c r="H617" s="428">
        <f t="shared" si="16"/>
      </c>
      <c r="I617" s="340">
        <f t="shared" si="33"/>
      </c>
      <c r="J617" s="341">
        <f t="shared" si="170"/>
      </c>
      <c r="K617" s="343">
        <f t="shared" si="202"/>
      </c>
      <c r="L617" s="382">
        <f t="shared" si="187"/>
      </c>
      <c r="M617" s="383">
        <f t="shared" si="267"/>
      </c>
      <c r="N617" s="384">
        <f t="shared" si="237"/>
      </c>
      <c r="O617" s="384">
        <f t="shared" si="252"/>
      </c>
      <c r="P617" s="384">
        <f t="shared" si="284"/>
      </c>
      <c r="Q617" s="384">
        <f t="shared" si="101"/>
      </c>
      <c r="R617" s="383">
        <f t="shared" si="299"/>
      </c>
      <c r="S617" s="381">
        <f t="shared" si="116"/>
      </c>
      <c r="T617" s="384">
        <f t="shared" si="137"/>
      </c>
      <c r="U617" s="384">
        <f t="shared" si="50"/>
      </c>
      <c r="V617" s="384">
        <f t="shared" si="67"/>
      </c>
      <c r="W617" s="384">
        <f t="shared" si="84"/>
      </c>
      <c r="X617" s="360" t="s">
        <v>181</v>
      </c>
      <c r="Y617" s="347" t="s">
        <v>193</v>
      </c>
      <c r="Z617" s="350">
        <v>155131</v>
      </c>
      <c r="AA617" s="350">
        <v>24039</v>
      </c>
      <c r="AB617" s="350">
        <v>122431</v>
      </c>
      <c r="AC617" s="350">
        <v>969</v>
      </c>
      <c r="AD617" s="350">
        <v>3</v>
      </c>
      <c r="AE617" s="350">
        <v>9116</v>
      </c>
      <c r="AF617" s="350">
        <v>288</v>
      </c>
      <c r="AG617" s="350">
        <v>61</v>
      </c>
      <c r="AH617" s="349">
        <v>13</v>
      </c>
      <c r="AI617" s="418">
        <v>1</v>
      </c>
    </row>
    <row r="618">
      <c r="A618" s="334"/>
      <c r="B618" s="415" t="s">
        <v>179</v>
      </c>
      <c r="C618" s="373" t="s">
        <v>191</v>
      </c>
      <c r="D618" s="440">
        <v>1839.97</v>
      </c>
      <c r="E618" s="359">
        <v>10</v>
      </c>
      <c r="F618" s="342">
        <f t="shared" si="350"/>
      </c>
      <c r="G618" s="359">
        <v>6419.200000000001</v>
      </c>
      <c r="H618" s="430">
        <f t="shared" si="16"/>
      </c>
      <c r="I618" s="340">
        <f t="shared" si="33"/>
      </c>
      <c r="J618" s="341">
        <f t="shared" si="170"/>
      </c>
      <c r="K618" s="343">
        <f t="shared" si="202"/>
      </c>
      <c r="L618" s="382">
        <f t="shared" si="187"/>
      </c>
      <c r="M618" s="383">
        <f t="shared" si="267"/>
      </c>
      <c r="N618" s="384">
        <f t="shared" si="237"/>
      </c>
      <c r="O618" s="384">
        <f t="shared" si="252"/>
      </c>
      <c r="P618" s="384">
        <f t="shared" si="284"/>
      </c>
      <c r="Q618" s="384">
        <f t="shared" si="101"/>
      </c>
      <c r="R618" s="383">
        <f t="shared" si="299"/>
      </c>
      <c r="S618" s="381">
        <f t="shared" si="116"/>
      </c>
      <c r="T618" s="384">
        <f t="shared" si="137"/>
      </c>
      <c r="U618" s="384">
        <f t="shared" si="50"/>
      </c>
      <c r="V618" s="384">
        <f t="shared" si="67"/>
      </c>
      <c r="W618" s="384">
        <f t="shared" si="84"/>
      </c>
      <c r="X618" s="360" t="s">
        <v>181</v>
      </c>
      <c r="Y618" s="347" t="s">
        <v>193</v>
      </c>
      <c r="Z618" s="350">
        <v>182937</v>
      </c>
      <c r="AA618" s="350">
        <v>25545</v>
      </c>
      <c r="AB618" s="350">
        <v>115920</v>
      </c>
      <c r="AC618" s="350">
        <v>1107</v>
      </c>
      <c r="AD618" s="350">
        <v>5</v>
      </c>
      <c r="AE618" s="350">
        <v>9241</v>
      </c>
      <c r="AF618" s="350">
        <v>383</v>
      </c>
      <c r="AG618" s="350">
        <v>70</v>
      </c>
      <c r="AH618" s="349">
        <v>11</v>
      </c>
      <c r="AI618" s="418">
        <v>3</v>
      </c>
    </row>
    <row r="619">
      <c r="A619" s="334"/>
      <c r="B619" s="387" t="s">
        <v>187</v>
      </c>
      <c r="C619" s="387"/>
      <c r="D619" s="362">
        <f>SUM(D615:D618)</f>
      </c>
      <c r="E619" s="437">
        <f>SUM(E615:E618)</f>
      </c>
      <c r="F619" s="366">
        <f t="shared" si="350"/>
      </c>
      <c r="G619" s="431">
        <f>SUM(G615:G618)</f>
      </c>
      <c r="H619" s="432">
        <f t="shared" si="16"/>
      </c>
      <c r="I619" s="433">
        <f t="shared" si="33"/>
      </c>
      <c r="J619" s="364">
        <f t="shared" si="170"/>
      </c>
      <c r="K619" s="366">
        <f t="shared" si="202"/>
      </c>
      <c r="L619" s="367">
        <f t="shared" si="187"/>
      </c>
      <c r="M619" s="364">
        <f t="shared" si="267"/>
      </c>
      <c r="N619" s="368">
        <f t="shared" si="237"/>
      </c>
      <c r="O619" s="368">
        <f t="shared" si="252"/>
      </c>
      <c r="P619" s="368">
        <f t="shared" si="284"/>
      </c>
      <c r="Q619" s="368">
        <f t="shared" si="101"/>
      </c>
      <c r="R619" s="364">
        <f t="shared" si="299"/>
      </c>
      <c r="S619" s="366">
        <f t="shared" si="116"/>
      </c>
      <c r="T619" s="368">
        <f t="shared" si="137"/>
      </c>
      <c r="U619" s="368">
        <f t="shared" si="50"/>
      </c>
      <c r="V619" s="368">
        <f t="shared" si="67"/>
      </c>
      <c r="W619" s="368">
        <f t="shared" si="84"/>
      </c>
      <c r="X619" s="368"/>
      <c r="Y619" s="369"/>
      <c r="Z619" s="362">
        <f>SUM(Z615:Z618)</f>
      </c>
      <c r="AA619" s="362">
        <f>SUM(AA615:AA618)</f>
      </c>
      <c r="AB619" s="362">
        <f>SUM(AB615:AB618)</f>
      </c>
      <c r="AC619" s="362">
        <f>SUM(AC615:AC618)</f>
      </c>
      <c r="AD619" s="362">
        <f>SUM(AD615:AD618)</f>
      </c>
      <c r="AE619" s="362">
        <f>SUM(AE615:AE618)</f>
      </c>
      <c r="AF619" s="362">
        <f>SUM(AF615:AF618)</f>
      </c>
      <c r="AG619" s="362">
        <f>SUM(AG615:AG618)</f>
      </c>
      <c r="AH619" s="362">
        <f>SUM(AH615:AH618)</f>
      </c>
      <c r="AI619" s="362">
        <f>SUM(AI615:AI618)</f>
      </c>
    </row>
    <row r="620">
      <c r="A620" s="334"/>
      <c r="B620" s="335" t="s">
        <v>188</v>
      </c>
      <c r="C620" s="374" t="s">
        <v>192</v>
      </c>
      <c r="D620" s="377">
        <v>2081.518</v>
      </c>
      <c r="E620" s="359">
        <v>4</v>
      </c>
      <c r="F620" s="342">
        <f t="shared" si="350"/>
      </c>
      <c r="G620" s="359">
        <v>816</v>
      </c>
      <c r="H620" s="428">
        <f t="shared" si="16"/>
      </c>
      <c r="I620" s="340">
        <f t="shared" si="33"/>
      </c>
      <c r="J620" s="341">
        <f t="shared" si="170"/>
      </c>
      <c r="K620" s="343">
        <f t="shared" si="202"/>
      </c>
      <c r="L620" s="344">
        <f t="shared" si="187"/>
      </c>
      <c r="M620" s="341">
        <f t="shared" si="267"/>
      </c>
      <c r="N620" s="345">
        <f t="shared" si="237"/>
      </c>
      <c r="O620" s="345">
        <f t="shared" si="252"/>
      </c>
      <c r="P620" s="345">
        <f t="shared" si="284"/>
      </c>
      <c r="Q620" s="345">
        <f t="shared" si="101"/>
      </c>
      <c r="R620" s="341">
        <f t="shared" si="299"/>
      </c>
      <c r="S620" s="343">
        <f t="shared" si="116"/>
      </c>
      <c r="T620" s="345">
        <f t="shared" si="137"/>
      </c>
      <c r="U620" s="345">
        <f t="shared" si="50"/>
      </c>
      <c r="V620" s="345">
        <f t="shared" si="67"/>
      </c>
      <c r="W620" s="345">
        <f t="shared" si="84"/>
      </c>
      <c r="X620" s="360" t="s">
        <v>181</v>
      </c>
      <c r="Y620" s="347" t="s">
        <v>205</v>
      </c>
      <c r="Z620" s="350">
        <v>203275</v>
      </c>
      <c r="AA620" s="350">
        <v>28218</v>
      </c>
      <c r="AB620" s="350">
        <v>134298</v>
      </c>
      <c r="AC620" s="350">
        <v>1097</v>
      </c>
      <c r="AD620" s="350">
        <v>5</v>
      </c>
      <c r="AE620" s="350">
        <v>10000</v>
      </c>
      <c r="AF620" s="350">
        <v>397</v>
      </c>
      <c r="AG620" s="350">
        <v>58</v>
      </c>
      <c r="AH620" s="350">
        <v>17</v>
      </c>
      <c r="AI620" s="418">
        <v>0</v>
      </c>
    </row>
    <row r="621">
      <c r="A621" s="334"/>
      <c r="B621" s="335" t="s">
        <v>188</v>
      </c>
      <c r="C621" s="375" t="s">
        <v>194</v>
      </c>
      <c r="D621" s="377">
        <v>1812.9430000000002</v>
      </c>
      <c r="E621" s="359">
        <v>7</v>
      </c>
      <c r="F621" s="342">
        <f t="shared" si="350"/>
      </c>
      <c r="G621" s="359">
        <v>2774.4000000000015</v>
      </c>
      <c r="H621" s="428">
        <f t="shared" si="16"/>
      </c>
      <c r="I621" s="340">
        <f t="shared" si="33"/>
      </c>
      <c r="J621" s="341">
        <f t="shared" si="170"/>
      </c>
      <c r="K621" s="343">
        <f t="shared" si="202"/>
      </c>
      <c r="L621" s="344">
        <f t="shared" si="187"/>
      </c>
      <c r="M621" s="341">
        <f t="shared" si="267"/>
      </c>
      <c r="N621" s="345">
        <f t="shared" si="237"/>
      </c>
      <c r="O621" s="345">
        <f t="shared" si="252"/>
      </c>
      <c r="P621" s="345">
        <f t="shared" si="284"/>
      </c>
      <c r="Q621" s="345">
        <f t="shared" si="101"/>
      </c>
      <c r="R621" s="341">
        <f t="shared" si="299"/>
      </c>
      <c r="S621" s="343">
        <f t="shared" si="116"/>
      </c>
      <c r="T621" s="345">
        <f t="shared" si="137"/>
      </c>
      <c r="U621" s="345">
        <f t="shared" si="50"/>
      </c>
      <c r="V621" s="345">
        <f t="shared" si="67"/>
      </c>
      <c r="W621" s="345">
        <f t="shared" si="84"/>
      </c>
      <c r="X621" s="360" t="s">
        <v>181</v>
      </c>
      <c r="Y621" s="347" t="s">
        <v>205</v>
      </c>
      <c r="Z621" s="350">
        <v>169364</v>
      </c>
      <c r="AA621" s="350">
        <v>31046</v>
      </c>
      <c r="AB621" s="350">
        <v>145988</v>
      </c>
      <c r="AC621" s="350">
        <v>952</v>
      </c>
      <c r="AD621" s="350">
        <v>5</v>
      </c>
      <c r="AE621" s="350">
        <v>11998</v>
      </c>
      <c r="AF621" s="350">
        <v>375</v>
      </c>
      <c r="AG621" s="350">
        <v>78</v>
      </c>
      <c r="AH621" s="349">
        <v>7</v>
      </c>
      <c r="AI621" s="418">
        <v>2</v>
      </c>
    </row>
    <row r="622">
      <c r="A622" s="334"/>
      <c r="B622" s="335" t="s">
        <v>188</v>
      </c>
      <c r="C622" s="373" t="s">
        <v>196</v>
      </c>
      <c r="D622" s="377">
        <v>1597.3159999999998</v>
      </c>
      <c r="E622" s="359">
        <v>3</v>
      </c>
      <c r="F622" s="342">
        <f t="shared" si="350"/>
      </c>
      <c r="G622" s="359">
        <v>1884</v>
      </c>
      <c r="H622" s="428">
        <f t="shared" si="16"/>
      </c>
      <c r="I622" s="340">
        <f t="shared" si="33"/>
      </c>
      <c r="J622" s="341">
        <f t="shared" si="170"/>
      </c>
      <c r="K622" s="343">
        <f t="shared" si="202"/>
      </c>
      <c r="L622" s="382">
        <f t="shared" si="187"/>
      </c>
      <c r="M622" s="383">
        <f t="shared" si="267"/>
      </c>
      <c r="N622" s="384">
        <f t="shared" si="237"/>
      </c>
      <c r="O622" s="384">
        <f t="shared" si="252"/>
      </c>
      <c r="P622" s="384">
        <f t="shared" si="284"/>
      </c>
      <c r="Q622" s="384">
        <f t="shared" si="101"/>
      </c>
      <c r="R622" s="383">
        <f t="shared" si="299"/>
      </c>
      <c r="S622" s="381">
        <f t="shared" si="116"/>
      </c>
      <c r="T622" s="384">
        <f t="shared" si="137"/>
      </c>
      <c r="U622" s="384">
        <f t="shared" si="50"/>
      </c>
      <c r="V622" s="384">
        <f t="shared" si="67"/>
      </c>
      <c r="W622" s="384">
        <f t="shared" si="84"/>
      </c>
      <c r="X622" s="360" t="s">
        <v>181</v>
      </c>
      <c r="Y622" s="347" t="s">
        <v>205</v>
      </c>
      <c r="Z622" s="350">
        <v>140860</v>
      </c>
      <c r="AA622" s="350">
        <v>26730</v>
      </c>
      <c r="AB622" s="350">
        <v>123750</v>
      </c>
      <c r="AC622" s="350">
        <v>758</v>
      </c>
      <c r="AD622" s="350">
        <v>3</v>
      </c>
      <c r="AE622" s="350">
        <v>10798</v>
      </c>
      <c r="AF622" s="350">
        <v>339</v>
      </c>
      <c r="AG622" s="350">
        <v>52</v>
      </c>
      <c r="AH622" s="349">
        <v>13</v>
      </c>
      <c r="AI622" s="418">
        <v>0</v>
      </c>
    </row>
    <row r="623">
      <c r="A623" s="334"/>
      <c r="B623" s="335" t="s">
        <v>188</v>
      </c>
      <c r="C623" s="373" t="s">
        <v>197</v>
      </c>
      <c r="D623" s="440">
        <v>1653.361</v>
      </c>
      <c r="E623" s="359">
        <v>11</v>
      </c>
      <c r="F623" s="342">
        <f t="shared" si="350"/>
      </c>
      <c r="G623" s="359">
        <v>3086.4000000000015</v>
      </c>
      <c r="H623" s="430">
        <f t="shared" si="16"/>
      </c>
      <c r="I623" s="340">
        <f t="shared" si="33"/>
      </c>
      <c r="J623" s="341">
        <f t="shared" si="170"/>
      </c>
      <c r="K623" s="343">
        <f t="shared" si="202"/>
      </c>
      <c r="L623" s="382">
        <f t="shared" si="187"/>
      </c>
      <c r="M623" s="383">
        <f t="shared" si="267"/>
      </c>
      <c r="N623" s="384">
        <f t="shared" si="237"/>
      </c>
      <c r="O623" s="384">
        <f t="shared" si="252"/>
      </c>
      <c r="P623" s="384">
        <f t="shared" si="284"/>
      </c>
      <c r="Q623" s="384">
        <f t="shared" si="101"/>
      </c>
      <c r="R623" s="383">
        <f t="shared" si="299"/>
      </c>
      <c r="S623" s="381">
        <f t="shared" si="116"/>
      </c>
      <c r="T623" s="384">
        <f t="shared" si="137"/>
      </c>
      <c r="U623" s="384">
        <f t="shared" si="50"/>
      </c>
      <c r="V623" s="384">
        <f t="shared" si="67"/>
      </c>
      <c r="W623" s="384">
        <f t="shared" si="84"/>
      </c>
      <c r="X623" s="360" t="s">
        <v>181</v>
      </c>
      <c r="Y623" s="347" t="s">
        <v>205</v>
      </c>
      <c r="Z623" s="350">
        <v>160719</v>
      </c>
      <c r="AA623" s="350">
        <v>27625</v>
      </c>
      <c r="AB623" s="350">
        <v>121994</v>
      </c>
      <c r="AC623" s="350">
        <v>1002</v>
      </c>
      <c r="AD623" s="350">
        <v>10</v>
      </c>
      <c r="AE623" s="350">
        <v>10088</v>
      </c>
      <c r="AF623" s="350">
        <v>346</v>
      </c>
      <c r="AG623" s="350">
        <v>60</v>
      </c>
      <c r="AH623" s="349">
        <v>2</v>
      </c>
      <c r="AI623" s="418">
        <v>3</v>
      </c>
    </row>
    <row r="624">
      <c r="A624" s="334"/>
      <c r="B624" s="387" t="s">
        <v>187</v>
      </c>
      <c r="C624" s="387"/>
      <c r="D624" s="362">
        <f>SUM(D620:D623)</f>
      </c>
      <c r="E624" s="437">
        <f>SUM(E620:E623)</f>
      </c>
      <c r="F624" s="366">
        <f t="shared" si="350"/>
      </c>
      <c r="G624" s="431">
        <f>SUM(G620:G623)</f>
      </c>
      <c r="H624" s="432">
        <f t="shared" si="16"/>
      </c>
      <c r="I624" s="433">
        <f t="shared" si="33"/>
      </c>
      <c r="J624" s="364">
        <f t="shared" si="170"/>
      </c>
      <c r="K624" s="366">
        <f t="shared" si="202"/>
      </c>
      <c r="L624" s="367">
        <f t="shared" si="187"/>
      </c>
      <c r="M624" s="364">
        <f t="shared" si="267"/>
      </c>
      <c r="N624" s="368">
        <f t="shared" si="237"/>
      </c>
      <c r="O624" s="368">
        <f t="shared" si="252"/>
      </c>
      <c r="P624" s="368">
        <f t="shared" si="284"/>
      </c>
      <c r="Q624" s="368">
        <f t="shared" si="101"/>
      </c>
      <c r="R624" s="364">
        <f t="shared" si="299"/>
      </c>
      <c r="S624" s="366">
        <f t="shared" si="116"/>
      </c>
      <c r="T624" s="368">
        <f t="shared" si="137"/>
      </c>
      <c r="U624" s="368">
        <f t="shared" si="50"/>
      </c>
      <c r="V624" s="368">
        <f t="shared" si="67"/>
      </c>
      <c r="W624" s="368">
        <f t="shared" si="84"/>
      </c>
      <c r="X624" s="368"/>
      <c r="Y624" s="369"/>
      <c r="Z624" s="362">
        <f>SUM(Z620:Z623)</f>
      </c>
      <c r="AA624" s="362">
        <f>SUM(AA620:AA623)</f>
      </c>
      <c r="AB624" s="362">
        <f>SUM(AB620:AB623)</f>
      </c>
      <c r="AC624" s="362">
        <f>SUM(AC620:AC623)</f>
      </c>
      <c r="AD624" s="362">
        <f>SUM(AD620:AD623)</f>
      </c>
      <c r="AE624" s="362">
        <f>SUM(AE620:AE623)</f>
      </c>
      <c r="AF624" s="362">
        <f>SUM(AF620:AF623)</f>
      </c>
      <c r="AG624" s="362">
        <f>SUM(AG620:AG623)</f>
      </c>
      <c r="AH624" s="362">
        <f>SUM(AH620:AH623)</f>
      </c>
      <c r="AI624" s="362">
        <f>SUM(AI620:AI623)</f>
      </c>
    </row>
    <row r="625">
      <c r="A625" s="334"/>
      <c r="B625" s="335" t="s">
        <v>203</v>
      </c>
      <c r="C625" s="374" t="s">
        <v>198</v>
      </c>
      <c r="D625" s="379">
        <v>1818.046</v>
      </c>
      <c r="E625" s="417">
        <v>5</v>
      </c>
      <c r="F625" s="342">
        <f t="shared" si="350"/>
      </c>
      <c r="G625" s="339">
        <v>1676</v>
      </c>
      <c r="H625" s="428">
        <f t="shared" si="16"/>
      </c>
      <c r="I625" s="340">
        <f t="shared" si="33"/>
      </c>
      <c r="J625" s="341">
        <f t="shared" si="170"/>
      </c>
      <c r="K625" s="343">
        <f t="shared" si="202"/>
      </c>
      <c r="L625" s="382">
        <f t="shared" si="187"/>
      </c>
      <c r="M625" s="383">
        <f t="shared" si="267"/>
      </c>
      <c r="N625" s="384">
        <f t="shared" si="237"/>
      </c>
      <c r="O625" s="384">
        <f t="shared" si="252"/>
      </c>
      <c r="P625" s="384">
        <f t="shared" si="284"/>
      </c>
      <c r="Q625" s="384">
        <f t="shared" si="101"/>
      </c>
      <c r="R625" s="383">
        <f t="shared" si="299"/>
      </c>
      <c r="S625" s="381">
        <f t="shared" si="116"/>
      </c>
      <c r="T625" s="384">
        <f t="shared" si="137"/>
      </c>
      <c r="U625" s="384">
        <f t="shared" si="50"/>
      </c>
      <c r="V625" s="384">
        <f t="shared" si="67"/>
      </c>
      <c r="W625" s="384">
        <f t="shared" si="84"/>
      </c>
      <c r="X625" s="360" t="s">
        <v>181</v>
      </c>
      <c r="Y625" s="347" t="s">
        <v>205</v>
      </c>
      <c r="Z625" s="350">
        <v>172202</v>
      </c>
      <c r="AA625" s="350">
        <v>34392</v>
      </c>
      <c r="AB625" s="350">
        <v>130521</v>
      </c>
      <c r="AC625" s="385">
        <v>984</v>
      </c>
      <c r="AD625" s="385">
        <v>4</v>
      </c>
      <c r="AE625" s="385">
        <v>10864</v>
      </c>
      <c r="AF625" s="385">
        <v>383</v>
      </c>
      <c r="AG625" s="385">
        <v>59</v>
      </c>
      <c r="AH625" s="385">
        <v>11</v>
      </c>
      <c r="AI625" s="418">
        <v>0</v>
      </c>
    </row>
    <row r="626">
      <c r="A626" s="334"/>
      <c r="B626" s="335" t="s">
        <v>203</v>
      </c>
      <c r="C626" s="373" t="s">
        <v>199</v>
      </c>
      <c r="D626" s="379">
        <v>2323.75</v>
      </c>
      <c r="E626" s="417">
        <v>5</v>
      </c>
      <c r="F626" s="342">
        <f t="shared" si="350"/>
      </c>
      <c r="G626" s="339">
        <v>988</v>
      </c>
      <c r="H626" s="428">
        <f t="shared" si="16"/>
      </c>
      <c r="I626" s="340">
        <f t="shared" si="33"/>
      </c>
      <c r="J626" s="341">
        <f t="shared" si="170"/>
      </c>
      <c r="K626" s="343">
        <f t="shared" si="202"/>
      </c>
      <c r="L626" s="382">
        <f t="shared" si="187"/>
      </c>
      <c r="M626" s="383">
        <f t="shared" si="267"/>
      </c>
      <c r="N626" s="384">
        <f t="shared" si="237"/>
      </c>
      <c r="O626" s="384">
        <f t="shared" si="252"/>
      </c>
      <c r="P626" s="384">
        <f t="shared" si="284"/>
      </c>
      <c r="Q626" s="384">
        <f t="shared" si="101"/>
      </c>
      <c r="R626" s="383">
        <f t="shared" si="299"/>
      </c>
      <c r="S626" s="381">
        <f t="shared" si="116"/>
      </c>
      <c r="T626" s="384">
        <f t="shared" si="137"/>
      </c>
      <c r="U626" s="384">
        <f t="shared" si="50"/>
      </c>
      <c r="V626" s="384">
        <f t="shared" si="67"/>
      </c>
      <c r="W626" s="384">
        <f t="shared" si="84"/>
      </c>
      <c r="X626" s="360" t="s">
        <v>181</v>
      </c>
      <c r="Y626" s="347" t="s">
        <v>205</v>
      </c>
      <c r="Z626" s="350">
        <v>245086</v>
      </c>
      <c r="AA626" s="350">
        <v>45173</v>
      </c>
      <c r="AB626" s="350">
        <v>184368</v>
      </c>
      <c r="AC626" s="385">
        <v>1325</v>
      </c>
      <c r="AD626" s="385">
        <v>6</v>
      </c>
      <c r="AE626" s="385">
        <v>14870</v>
      </c>
      <c r="AF626" s="385">
        <v>460</v>
      </c>
      <c r="AG626" s="385">
        <v>73</v>
      </c>
      <c r="AH626" s="385">
        <v>11</v>
      </c>
      <c r="AI626" s="418">
        <v>0</v>
      </c>
    </row>
    <row r="627">
      <c r="A627" s="334"/>
      <c r="B627" s="335" t="s">
        <v>203</v>
      </c>
      <c r="C627" s="386" t="s">
        <v>200</v>
      </c>
      <c r="D627" s="377">
        <v>2431.425</v>
      </c>
      <c r="E627" s="359">
        <v>3</v>
      </c>
      <c r="F627" s="342">
        <f t="shared" si="350"/>
      </c>
      <c r="G627" s="359">
        <v>1284</v>
      </c>
      <c r="H627" s="428">
        <f t="shared" si="16"/>
      </c>
      <c r="I627" s="340">
        <f t="shared" si="33"/>
      </c>
      <c r="J627" s="341">
        <f t="shared" si="170"/>
      </c>
      <c r="K627" s="343">
        <f t="shared" si="202"/>
      </c>
      <c r="L627" s="382">
        <f t="shared" si="187"/>
      </c>
      <c r="M627" s="383">
        <f t="shared" si="267"/>
      </c>
      <c r="N627" s="384">
        <f t="shared" si="237"/>
      </c>
      <c r="O627" s="384">
        <f t="shared" si="252"/>
      </c>
      <c r="P627" s="384">
        <f t="shared" si="284"/>
      </c>
      <c r="Q627" s="384">
        <f t="shared" si="101"/>
      </c>
      <c r="R627" s="383">
        <f t="shared" si="299"/>
      </c>
      <c r="S627" s="381">
        <f t="shared" si="116"/>
      </c>
      <c r="T627" s="384">
        <f t="shared" si="137"/>
      </c>
      <c r="U627" s="384">
        <f t="shared" si="50"/>
      </c>
      <c r="V627" s="384">
        <f t="shared" si="67"/>
      </c>
      <c r="W627" s="384">
        <f t="shared" si="84"/>
      </c>
      <c r="X627" s="360" t="s">
        <v>181</v>
      </c>
      <c r="Y627" s="347" t="s">
        <v>205</v>
      </c>
      <c r="Z627" s="350">
        <v>273851</v>
      </c>
      <c r="AA627" s="350">
        <v>30766</v>
      </c>
      <c r="AB627" s="350">
        <v>202786</v>
      </c>
      <c r="AC627" s="350">
        <v>1420</v>
      </c>
      <c r="AD627" s="350">
        <v>3</v>
      </c>
      <c r="AE627" s="350">
        <v>11703</v>
      </c>
      <c r="AF627" s="350">
        <v>522</v>
      </c>
      <c r="AG627" s="350">
        <v>75</v>
      </c>
      <c r="AH627" s="349">
        <v>20</v>
      </c>
      <c r="AI627" s="418">
        <v>0</v>
      </c>
    </row>
    <row r="628">
      <c r="A628" s="334"/>
      <c r="B628" s="335" t="s">
        <v>203</v>
      </c>
      <c r="C628" s="439" t="s">
        <v>212</v>
      </c>
      <c r="D628" s="440">
        <v>1218.674</v>
      </c>
      <c r="E628" s="446">
        <v>5</v>
      </c>
      <c r="F628" s="342">
        <f t="shared" si="350"/>
      </c>
      <c r="G628" s="359">
        <v>1676</v>
      </c>
      <c r="H628" s="430">
        <f t="shared" si="16"/>
      </c>
      <c r="I628" s="340">
        <f t="shared" si="33"/>
      </c>
      <c r="J628" s="341">
        <f t="shared" si="170"/>
      </c>
      <c r="K628" s="343">
        <f t="shared" si="202"/>
      </c>
      <c r="L628" s="382">
        <f t="shared" si="187"/>
      </c>
      <c r="M628" s="383">
        <f t="shared" si="267"/>
      </c>
      <c r="N628" s="384">
        <f t="shared" si="237"/>
      </c>
      <c r="O628" s="384">
        <f t="shared" si="252"/>
      </c>
      <c r="P628" s="384">
        <f t="shared" si="284"/>
      </c>
      <c r="Q628" s="384">
        <f t="shared" si="101"/>
      </c>
      <c r="R628" s="383">
        <f t="shared" si="299"/>
      </c>
      <c r="S628" s="381">
        <f t="shared" si="116"/>
      </c>
      <c r="T628" s="384">
        <f t="shared" si="137"/>
      </c>
      <c r="U628" s="384">
        <f t="shared" si="50"/>
      </c>
      <c r="V628" s="384">
        <f t="shared" si="67"/>
      </c>
      <c r="W628" s="384">
        <f t="shared" si="84"/>
      </c>
      <c r="X628" s="360" t="s">
        <v>181</v>
      </c>
      <c r="Y628" s="347" t="s">
        <v>205</v>
      </c>
      <c r="Z628" s="350">
        <v>145307</v>
      </c>
      <c r="AA628" s="350">
        <v>13312</v>
      </c>
      <c r="AB628" s="350">
        <v>105249</v>
      </c>
      <c r="AC628" s="350">
        <v>693</v>
      </c>
      <c r="AD628" s="350">
        <v>3</v>
      </c>
      <c r="AE628" s="350">
        <v>5763</v>
      </c>
      <c r="AF628" s="350">
        <v>239</v>
      </c>
      <c r="AG628" s="350">
        <v>37</v>
      </c>
      <c r="AH628" s="349">
        <v>11</v>
      </c>
      <c r="AI628" s="447">
        <v>0</v>
      </c>
    </row>
    <row r="629">
      <c r="A629" s="334"/>
      <c r="B629" s="387" t="s">
        <v>187</v>
      </c>
      <c r="C629" s="387"/>
      <c r="D629" s="362">
        <f>SUM(D625:D628)</f>
      </c>
      <c r="E629" s="437">
        <f>SUM(E625:E628)</f>
      </c>
      <c r="F629" s="366">
        <f t="shared" si="350"/>
      </c>
      <c r="G629" s="431">
        <f>SUM(G625:G628)</f>
      </c>
      <c r="H629" s="432">
        <f t="shared" si="16"/>
      </c>
      <c r="I629" s="433">
        <f t="shared" si="33"/>
      </c>
      <c r="J629" s="364">
        <f t="shared" si="170"/>
      </c>
      <c r="K629" s="366">
        <f t="shared" si="202"/>
      </c>
      <c r="L629" s="367">
        <f t="shared" si="187"/>
      </c>
      <c r="M629" s="364">
        <f t="shared" si="267"/>
      </c>
      <c r="N629" s="368">
        <f t="shared" si="237"/>
      </c>
      <c r="O629" s="368">
        <f t="shared" si="252"/>
      </c>
      <c r="P629" s="368">
        <f t="shared" si="284"/>
      </c>
      <c r="Q629" s="368">
        <f t="shared" si="101"/>
      </c>
      <c r="R629" s="364">
        <f t="shared" si="299"/>
      </c>
      <c r="S629" s="366">
        <f t="shared" si="116"/>
      </c>
      <c r="T629" s="368">
        <f t="shared" si="137"/>
      </c>
      <c r="U629" s="368">
        <f t="shared" si="50"/>
      </c>
      <c r="V629" s="368">
        <f t="shared" si="67"/>
      </c>
      <c r="W629" s="368">
        <f t="shared" si="84"/>
      </c>
      <c r="X629" s="368"/>
      <c r="Y629" s="369"/>
      <c r="Z629" s="362">
        <f>SUM(Z625:Z628)</f>
      </c>
      <c r="AA629" s="362">
        <f>SUM(AA625:AA628)</f>
      </c>
      <c r="AB629" s="362">
        <f>SUM(AB625:AB628)</f>
      </c>
      <c r="AC629" s="362">
        <f>SUM(AC625:AC628)</f>
      </c>
      <c r="AD629" s="362">
        <f>SUM(AD625:AD628)</f>
      </c>
      <c r="AE629" s="362">
        <f>SUM(AE625:AE628)</f>
      </c>
      <c r="AF629" s="362">
        <f>SUM(AF625:AF628)</f>
      </c>
      <c r="AG629" s="362">
        <f>SUM(AG625:AG628)</f>
      </c>
      <c r="AH629" s="362">
        <f>SUM(AH625:AH628)</f>
      </c>
      <c r="AI629" s="362">
        <f>SUM(AI625:AI628)</f>
      </c>
    </row>
    <row r="630">
      <c r="A630" s="334"/>
      <c r="B630" s="388" t="s">
        <v>201</v>
      </c>
      <c r="C630" s="388"/>
      <c r="D630" s="389">
        <f>SUM(D629+D614+D619+D624)</f>
      </c>
      <c r="E630" s="442">
        <f>SUM(E629+E614+E619+E624)</f>
      </c>
      <c r="F630" s="393">
        <f t="shared" si="350"/>
      </c>
      <c r="G630" s="434">
        <f>SUM(G629+G614+G619+G624)</f>
      </c>
      <c r="H630" s="441">
        <f t="shared" si="16"/>
      </c>
      <c r="I630" s="436">
        <f t="shared" si="33"/>
      </c>
      <c r="J630" s="391">
        <f t="shared" si="170"/>
      </c>
      <c r="K630" s="393">
        <f t="shared" si="202"/>
      </c>
      <c r="L630" s="394">
        <f t="shared" si="187"/>
      </c>
      <c r="M630" s="394">
        <f t="shared" si="267"/>
      </c>
      <c r="N630" s="395">
        <f t="shared" si="237"/>
      </c>
      <c r="O630" s="395">
        <f t="shared" si="252"/>
      </c>
      <c r="P630" s="395">
        <f t="shared" si="284"/>
      </c>
      <c r="Q630" s="395">
        <f t="shared" si="101"/>
      </c>
      <c r="R630" s="396">
        <f t="shared" si="299"/>
      </c>
      <c r="S630" s="397">
        <f t="shared" si="116"/>
      </c>
      <c r="T630" s="398">
        <f t="shared" si="137"/>
      </c>
      <c r="U630" s="398">
        <f t="shared" si="50"/>
      </c>
      <c r="V630" s="398">
        <f t="shared" si="67"/>
      </c>
      <c r="W630" s="398">
        <f t="shared" si="84"/>
      </c>
      <c r="X630" s="398"/>
      <c r="Y630" s="399"/>
      <c r="Z630" s="390">
        <f>SUM(Z614+Z629+Z619+Z624)</f>
      </c>
      <c r="AA630" s="390">
        <f>SUM(AA614+AA629+AA619+AA624)</f>
      </c>
      <c r="AB630" s="390">
        <f>SUM(AB614+AB629+AB619+AB624)</f>
      </c>
      <c r="AC630" s="390">
        <f>SUM(AC614+AC629+AC619+AC624)</f>
      </c>
      <c r="AD630" s="390">
        <f>SUM(AD614+AD629+AD619+AD624)</f>
      </c>
      <c r="AE630" s="390">
        <f>SUM(AE614+AE629+AE619+AE624)</f>
      </c>
      <c r="AF630" s="390">
        <f>SUM(AF614+AF629+AF619+AF624)</f>
      </c>
      <c r="AG630" s="390">
        <f>SUM(AG614+AG629+AG619+AG624)</f>
      </c>
      <c r="AH630" s="390">
        <f>SUM(AH614+AH629+AH619+AH624)</f>
      </c>
      <c r="AI630" s="390">
        <f>SUM(AI614+AI629+AI619+AI624)</f>
      </c>
    </row>
    <row r="631">
      <c r="A631" s="448"/>
      <c r="B631" s="449"/>
      <c r="C631" s="449"/>
      <c r="D631" s="450"/>
      <c r="E631" s="451"/>
      <c r="F631" s="452"/>
      <c r="G631" s="450"/>
      <c r="H631" s="453"/>
      <c r="I631" s="454"/>
      <c r="J631" s="455"/>
      <c r="K631" s="452"/>
      <c r="L631" s="456"/>
      <c r="M631" s="456"/>
      <c r="N631" s="457"/>
      <c r="O631" s="457"/>
      <c r="P631" s="457"/>
      <c r="Q631" s="457"/>
      <c r="R631" s="458"/>
      <c r="S631" s="459"/>
      <c r="T631" s="460"/>
      <c r="U631" s="460"/>
      <c r="V631" s="460"/>
      <c r="W631" s="460"/>
      <c r="X631" s="460"/>
      <c r="Y631" s="461"/>
      <c r="Z631" s="462">
        <f>Z632+Z633+Z634+Z635</f>
      </c>
      <c r="AA631" s="462">
        <f>AA632+AA633+AA634+AA635</f>
      </c>
      <c r="AB631" s="462">
        <f>AB632+AB633+AB634+AB635</f>
      </c>
      <c r="AC631" s="462">
        <f>AC632+AC633+AC634+AC635</f>
      </c>
      <c r="AD631" s="462">
        <f>AD632+AD633+AD634+AD635</f>
      </c>
      <c r="AE631" s="462">
        <f>AE632+AE633+AE634+AE635</f>
      </c>
      <c r="AF631" s="462">
        <f>AF632+AF633+AF634+AF635</f>
      </c>
      <c r="AG631" s="462">
        <f>AG632+AG633+AG634+AG635</f>
      </c>
      <c r="AH631" s="462">
        <f>AH632+AH633+AH634+AH635</f>
      </c>
      <c r="AI631" s="454"/>
    </row>
    <row r="632">
      <c r="A632" s="463"/>
      <c r="B632" s="464"/>
      <c r="C632" s="464"/>
      <c r="D632" s="450"/>
      <c r="E632" s="404">
        <f>E633-E630</f>
      </c>
      <c r="F632" s="404"/>
      <c r="G632" s="465">
        <f>G633-G630</f>
      </c>
      <c r="H632" s="465"/>
      <c r="I632" s="466"/>
      <c r="J632" s="465"/>
      <c r="K632" s="467"/>
      <c r="L632" s="465"/>
      <c r="M632" s="465"/>
      <c r="N632" s="465"/>
      <c r="O632" s="465"/>
      <c r="P632" s="457"/>
      <c r="Q632" s="457"/>
      <c r="R632" s="458"/>
      <c r="S632" s="459"/>
      <c r="T632" s="460"/>
      <c r="U632" s="460"/>
      <c r="V632" s="460"/>
      <c r="W632" s="460"/>
      <c r="X632" s="460"/>
      <c r="Y632" s="461"/>
      <c r="Z632" s="468">
        <v>6709</v>
      </c>
      <c r="AA632" s="468">
        <v>77</v>
      </c>
      <c r="AB632" s="468">
        <v>75</v>
      </c>
      <c r="AC632" s="468">
        <v>0</v>
      </c>
      <c r="AD632" s="468">
        <v>0</v>
      </c>
      <c r="AE632" s="468">
        <v>1</v>
      </c>
      <c r="AF632" s="468">
        <v>5</v>
      </c>
      <c r="AG632" s="468">
        <v>1</v>
      </c>
      <c r="AH632" s="469">
        <v>0</v>
      </c>
      <c r="AI632" s="468"/>
    </row>
    <row r="633">
      <c r="A633" s="463"/>
      <c r="B633" s="464"/>
      <c r="C633" s="464"/>
      <c r="D633" s="450"/>
      <c r="E633" s="470">
        <v>95</v>
      </c>
      <c r="F633" s="471"/>
      <c r="G633" s="472">
        <v>37943.700000000004</v>
      </c>
      <c r="H633" s="404"/>
      <c r="I633" s="404"/>
      <c r="J633" s="404"/>
      <c r="K633" s="404"/>
      <c r="L633" s="404"/>
      <c r="M633" s="404"/>
      <c r="N633" s="404"/>
      <c r="O633" s="404"/>
      <c r="P633" s="457"/>
      <c r="Q633" s="457"/>
      <c r="R633" s="458"/>
      <c r="S633" s="459"/>
      <c r="T633" s="460"/>
      <c r="U633" s="460"/>
      <c r="V633" s="460"/>
      <c r="W633" s="460"/>
      <c r="X633" s="460"/>
      <c r="Y633" s="461"/>
      <c r="Z633" s="468">
        <v>1587</v>
      </c>
      <c r="AA633" s="468">
        <v>662</v>
      </c>
      <c r="AB633" s="468">
        <v>1108</v>
      </c>
      <c r="AC633" s="468">
        <v>19</v>
      </c>
      <c r="AD633" s="468">
        <v>0</v>
      </c>
      <c r="AE633" s="468">
        <v>175</v>
      </c>
      <c r="AF633" s="468">
        <v>13</v>
      </c>
      <c r="AG633" s="468">
        <v>2</v>
      </c>
      <c r="AH633" s="469">
        <v>0</v>
      </c>
      <c r="AI633" s="454"/>
    </row>
    <row r="634">
      <c r="A634" s="463"/>
      <c r="B634" s="464"/>
      <c r="C634" s="464"/>
      <c r="D634" s="450"/>
      <c r="E634" s="473"/>
      <c r="F634" s="471"/>
      <c r="G634" s="404"/>
      <c r="H634" s="404"/>
      <c r="I634" s="404"/>
      <c r="J634" s="404"/>
      <c r="K634" s="404"/>
      <c r="L634" s="404"/>
      <c r="M634" s="404"/>
      <c r="N634" s="404"/>
      <c r="O634" s="404"/>
      <c r="P634" s="457"/>
      <c r="Q634" s="457"/>
      <c r="R634" s="458"/>
      <c r="S634" s="459"/>
      <c r="T634" s="460"/>
      <c r="U634" s="460"/>
      <c r="V634" s="460"/>
      <c r="W634" s="460"/>
      <c r="X634" s="460"/>
      <c r="Y634" s="461"/>
      <c r="Z634" s="468">
        <v>66710</v>
      </c>
      <c r="AA634" s="468">
        <v>1133</v>
      </c>
      <c r="AB634" s="468">
        <v>50988</v>
      </c>
      <c r="AC634" s="468">
        <v>190</v>
      </c>
      <c r="AD634" s="468">
        <v>0</v>
      </c>
      <c r="AE634" s="468">
        <v>1663</v>
      </c>
      <c r="AF634" s="468">
        <v>25</v>
      </c>
      <c r="AG634" s="468">
        <v>5</v>
      </c>
      <c r="AH634" s="469">
        <v>3</v>
      </c>
      <c r="AI634" s="454"/>
    </row>
    <row r="635">
      <c r="A635" s="463"/>
      <c r="B635" s="464"/>
      <c r="C635" s="464"/>
      <c r="D635" s="450"/>
      <c r="F635" s="474">
        <v>389.723</v>
      </c>
      <c r="G635" s="475">
        <v>22096</v>
      </c>
      <c r="H635" s="475">
        <v>11526</v>
      </c>
      <c r="I635" s="475">
        <v>17380</v>
      </c>
      <c r="J635" s="476">
        <v>345</v>
      </c>
      <c r="K635" s="476">
        <v>1</v>
      </c>
      <c r="L635" s="475">
        <v>3458</v>
      </c>
      <c r="M635" s="477">
        <v>196</v>
      </c>
      <c r="N635" s="477">
        <v>23</v>
      </c>
      <c r="O635" s="478">
        <v>6</v>
      </c>
      <c r="P635" s="457"/>
      <c r="Q635" s="457"/>
      <c r="R635" s="458"/>
      <c r="S635" s="459"/>
      <c r="T635" s="460"/>
      <c r="U635" s="460"/>
      <c r="V635" s="460"/>
      <c r="W635" s="460"/>
      <c r="X635" s="460"/>
      <c r="Y635" s="461"/>
      <c r="Z635" s="476">
        <v>40984</v>
      </c>
      <c r="AA635" s="476">
        <v>26856</v>
      </c>
      <c r="AB635" s="476">
        <v>38878</v>
      </c>
      <c r="AC635" s="476">
        <v>808</v>
      </c>
      <c r="AD635" s="476">
        <v>3</v>
      </c>
      <c r="AE635" s="476">
        <v>7493</v>
      </c>
      <c r="AF635" s="477">
        <v>284</v>
      </c>
      <c r="AG635" s="477">
        <v>52</v>
      </c>
      <c r="AH635" s="479">
        <v>4</v>
      </c>
      <c r="AI635" s="454"/>
    </row>
    <row r="636">
      <c r="A636" s="463"/>
      <c r="B636" s="464"/>
      <c r="C636" s="464"/>
      <c r="D636" s="450"/>
      <c r="F636" s="474">
        <v>763.855</v>
      </c>
      <c r="G636" s="475">
        <v>114666</v>
      </c>
      <c r="H636" s="475">
        <v>1635</v>
      </c>
      <c r="I636" s="475">
        <v>87643</v>
      </c>
      <c r="J636" s="476">
        <v>345</v>
      </c>
      <c r="K636" s="476">
        <v>2</v>
      </c>
      <c r="L636" s="475">
        <v>2281</v>
      </c>
      <c r="M636" s="477">
        <v>35</v>
      </c>
      <c r="N636" s="477">
        <v>14</v>
      </c>
      <c r="O636" s="478">
        <v>5</v>
      </c>
      <c r="P636" s="457"/>
      <c r="Q636" s="457"/>
      <c r="R636" s="458"/>
      <c r="S636" s="459"/>
      <c r="T636" s="460"/>
      <c r="U636" s="460"/>
      <c r="V636" s="460"/>
      <c r="W636" s="460"/>
      <c r="X636" s="460"/>
      <c r="Y636" s="461"/>
      <c r="Z636" s="454"/>
      <c r="AA636" s="454"/>
      <c r="AB636" s="454"/>
      <c r="AC636" s="454"/>
      <c r="AD636" s="454"/>
      <c r="AE636" s="454"/>
      <c r="AF636" s="454"/>
      <c r="AG636" s="454"/>
      <c r="AH636" s="454"/>
      <c r="AI636" s="454"/>
    </row>
    <row r="637">
      <c r="A637" s="463"/>
      <c r="B637" s="464"/>
      <c r="C637" s="464"/>
      <c r="D637" s="450"/>
      <c r="F637" s="474">
        <v>9.644</v>
      </c>
      <c r="G637" s="476">
        <v>239</v>
      </c>
      <c r="H637" s="476">
        <v>70</v>
      </c>
      <c r="I637" s="476">
        <v>151</v>
      </c>
      <c r="J637" s="476">
        <v>3</v>
      </c>
      <c r="K637" s="476">
        <v>0</v>
      </c>
      <c r="L637" s="476">
        <v>24</v>
      </c>
      <c r="M637" s="477">
        <v>2</v>
      </c>
      <c r="N637" s="477">
        <v>0</v>
      </c>
      <c r="O637" s="478">
        <v>0</v>
      </c>
      <c r="P637" s="457"/>
      <c r="Q637" s="457"/>
      <c r="R637" s="458"/>
      <c r="S637" s="459"/>
      <c r="T637" s="460"/>
      <c r="U637" s="460"/>
      <c r="V637" s="460"/>
      <c r="W637" s="460"/>
      <c r="X637" s="460"/>
      <c r="Y637" s="461"/>
      <c r="Z637" s="454"/>
      <c r="AA637" s="454"/>
      <c r="AB637" s="454"/>
      <c r="AC637" s="454"/>
      <c r="AD637" s="454"/>
      <c r="AE637" s="454"/>
      <c r="AF637" s="454"/>
      <c r="AG637" s="454"/>
      <c r="AH637" s="454"/>
      <c r="AI637" s="454"/>
    </row>
    <row r="638">
      <c r="A638" s="463"/>
      <c r="B638" s="464"/>
      <c r="C638" s="464"/>
      <c r="D638" s="450"/>
      <c r="F638" s="474">
        <v>55.452</v>
      </c>
      <c r="G638" s="475">
        <v>8306</v>
      </c>
      <c r="H638" s="476">
        <v>81</v>
      </c>
      <c r="I638" s="476">
        <v>75</v>
      </c>
      <c r="J638" s="476">
        <v>0</v>
      </c>
      <c r="K638" s="476">
        <v>0</v>
      </c>
      <c r="L638" s="477">
        <v>0</v>
      </c>
      <c r="M638" s="477">
        <v>6</v>
      </c>
      <c r="N638" s="477">
        <v>0</v>
      </c>
      <c r="O638" s="477">
        <v>0</v>
      </c>
      <c r="P638" s="480"/>
      <c r="Q638" s="480"/>
      <c r="R638" s="481"/>
      <c r="S638" s="482"/>
      <c r="T638" s="460"/>
      <c r="U638" s="460"/>
      <c r="V638" s="460"/>
      <c r="W638" s="460"/>
      <c r="X638" s="460"/>
      <c r="Y638" s="461"/>
      <c r="Z638" s="454"/>
      <c r="AA638" s="454"/>
      <c r="AB638" s="454"/>
      <c r="AC638" s="454"/>
      <c r="AD638" s="454"/>
      <c r="AE638" s="454"/>
      <c r="AF638" s="454"/>
      <c r="AG638" s="454"/>
      <c r="AH638" s="454"/>
      <c r="AI638" s="454"/>
    </row>
    <row r="639">
      <c r="A639" s="463"/>
      <c r="B639" s="464"/>
      <c r="C639" s="464"/>
      <c r="D639" s="450"/>
      <c r="F639" s="483">
        <f>F638+F637+F636+F635</f>
      </c>
      <c r="G639" s="483">
        <f>G638+G637+G636+G635</f>
      </c>
      <c r="H639" s="483">
        <f>H638+H637+H636+H635</f>
      </c>
      <c r="I639" s="483">
        <f>I638+I637+I636+I635</f>
      </c>
      <c r="J639" s="483">
        <f>J638+J637+J636+J635</f>
      </c>
      <c r="K639" s="483">
        <f>K638+K637+K636+K635</f>
      </c>
      <c r="L639" s="483">
        <f>L638+L637+L636+L635</f>
      </c>
      <c r="M639" s="483">
        <f>M638+M637+M636+M635</f>
      </c>
      <c r="N639" s="483">
        <f>N638+N637+N636+N635</f>
      </c>
      <c r="O639" s="483">
        <f>O638+O637+O636+O635</f>
      </c>
      <c r="P639" s="457"/>
      <c r="Q639" s="457"/>
      <c r="R639" s="458"/>
      <c r="S639" s="459"/>
      <c r="T639" s="460"/>
      <c r="U639" s="460"/>
      <c r="V639" s="460"/>
      <c r="W639" s="460"/>
      <c r="X639" s="460"/>
      <c r="Y639" s="461"/>
      <c r="Z639" s="454"/>
      <c r="AA639" s="454"/>
      <c r="AB639" s="454"/>
      <c r="AC639" s="454"/>
      <c r="AD639" s="454"/>
      <c r="AE639" s="454"/>
      <c r="AF639" s="454"/>
      <c r="AG639" s="454"/>
      <c r="AH639" s="454"/>
      <c r="AI639" s="454"/>
    </row>
    <row r="640">
      <c r="A640" s="463"/>
      <c r="B640" s="464"/>
      <c r="C640" s="464"/>
      <c r="D640" s="450"/>
      <c r="F640" s="484" t="s">
        <v>217</v>
      </c>
      <c r="P640" s="457"/>
      <c r="Q640" s="457"/>
      <c r="R640" s="458"/>
      <c r="S640" s="459"/>
      <c r="T640" s="460"/>
      <c r="U640" s="460"/>
      <c r="V640" s="460"/>
      <c r="W640" s="460"/>
      <c r="X640" s="460"/>
      <c r="Y640" s="461"/>
      <c r="Z640" s="454"/>
      <c r="AA640" s="454"/>
      <c r="AB640" s="454"/>
      <c r="AC640" s="454"/>
      <c r="AD640" s="454"/>
      <c r="AE640" s="454"/>
      <c r="AF640" s="454"/>
      <c r="AG640" s="454"/>
      <c r="AH640" s="454"/>
      <c r="AI640" s="454"/>
    </row>
  </sheetData>
  <mergeCells>
    <mergeCell ref="B608:C608"/>
    <mergeCell ref="B607:C607"/>
    <mergeCell ref="B602:C602"/>
    <mergeCell ref="B597:C597"/>
    <mergeCell ref="A588:A608"/>
    <mergeCell ref="B592:C592"/>
    <mergeCell ref="B586:C586"/>
    <mergeCell ref="B585:C585"/>
    <mergeCell ref="B580:C580"/>
    <mergeCell ref="B574:C574"/>
    <mergeCell ref="B571:C571"/>
    <mergeCell ref="A566:A586"/>
    <mergeCell ref="A544:A564"/>
    <mergeCell ref="B558:C558"/>
    <mergeCell ref="B563:C563"/>
    <mergeCell ref="B564:C564"/>
    <mergeCell ref="A500:A520"/>
    <mergeCell ref="B519:C519"/>
    <mergeCell ref="B520:C520"/>
    <mergeCell ref="B513:C513"/>
    <mergeCell ref="B508:C508"/>
    <mergeCell ref="B505:C505"/>
    <mergeCell ref="B377:C377"/>
    <mergeCell ref="A368:A388"/>
    <mergeCell ref="B382:C382"/>
    <mergeCell ref="B387:C387"/>
    <mergeCell ref="B388:C388"/>
    <mergeCell ref="B366:C366"/>
    <mergeCell ref="B365:C365"/>
    <mergeCell ref="B359:C359"/>
    <mergeCell ref="B354:C354"/>
    <mergeCell ref="B350:C350"/>
    <mergeCell ref="A346:A366"/>
    <mergeCell ref="B337:C337"/>
    <mergeCell ref="B328:C328"/>
    <mergeCell ref="B344:C344"/>
    <mergeCell ref="B343:C343"/>
    <mergeCell ref="B332:C332"/>
    <mergeCell ref="A323:A344"/>
    <mergeCell ref="A302:A321"/>
    <mergeCell ref="B306:C306"/>
    <mergeCell ref="B309:C309"/>
    <mergeCell ref="B314:C314"/>
    <mergeCell ref="B320:C320"/>
    <mergeCell ref="B321:C321"/>
    <mergeCell ref="A239:A258"/>
    <mergeCell ref="B246:C246"/>
    <mergeCell ref="B251:C251"/>
    <mergeCell ref="B257:C257"/>
    <mergeCell ref="B258:C258"/>
    <mergeCell ref="B243:C243"/>
    <mergeCell ref="B238:C238"/>
    <mergeCell ref="B237:C237"/>
    <mergeCell ref="B231:C231"/>
    <mergeCell ref="B225:C225"/>
    <mergeCell ref="A220:A238"/>
    <mergeCell ref="B219:C219"/>
    <mergeCell ref="B218:C218"/>
    <mergeCell ref="B212:C212"/>
    <mergeCell ref="B206:C206"/>
    <mergeCell ref="A201:A219"/>
    <mergeCell ref="A182:A200"/>
    <mergeCell ref="B193:C193"/>
    <mergeCell ref="B187:C187"/>
    <mergeCell ref="B199:C199"/>
    <mergeCell ref="B200:C200"/>
    <mergeCell ref="A173:A181"/>
    <mergeCell ref="B172:C172"/>
    <mergeCell ref="B171:C171"/>
    <mergeCell ref="B165:C165"/>
    <mergeCell ref="B159:C159"/>
    <mergeCell ref="A154:A172"/>
    <mergeCell ref="B153:C153"/>
    <mergeCell ref="B152:C152"/>
    <mergeCell ref="B146:C146"/>
    <mergeCell ref="B140:C140"/>
    <mergeCell ref="A135:A153"/>
    <mergeCell ref="B134:C134"/>
    <mergeCell ref="B133:C133"/>
    <mergeCell ref="B127:C127"/>
    <mergeCell ref="B121:C121"/>
    <mergeCell ref="A116:A134"/>
    <mergeCell ref="B115:C115"/>
    <mergeCell ref="B114:C114"/>
    <mergeCell ref="B108:C108"/>
    <mergeCell ref="B102:C102"/>
    <mergeCell ref="A97:A115"/>
    <mergeCell ref="B96:C96"/>
    <mergeCell ref="B95:C95"/>
    <mergeCell ref="B89:C89"/>
    <mergeCell ref="B83:C83"/>
    <mergeCell ref="A78:A96"/>
    <mergeCell ref="B77:C77"/>
    <mergeCell ref="B76:C76"/>
    <mergeCell ref="B70:C70"/>
    <mergeCell ref="B64:C64"/>
    <mergeCell ref="A59:A77"/>
    <mergeCell ref="B58:C58"/>
    <mergeCell ref="B57:C57"/>
    <mergeCell ref="B51:C51"/>
    <mergeCell ref="B45:C45"/>
    <mergeCell ref="A40:A58"/>
    <mergeCell ref="B39:C39"/>
    <mergeCell ref="B38:C38"/>
    <mergeCell ref="B32:C32"/>
    <mergeCell ref="B26:C26"/>
    <mergeCell ref="A21:A39"/>
    <mergeCell ref="B20:C20"/>
    <mergeCell ref="B19:C19"/>
    <mergeCell ref="B13:C13"/>
    <mergeCell ref="B7:C7"/>
    <mergeCell ref="A2:A20"/>
    <mergeCell ref="B174:C174"/>
    <mergeCell ref="B180:C180"/>
    <mergeCell ref="B181:C181"/>
    <mergeCell ref="A259:A278"/>
    <mergeCell ref="B263:C263"/>
    <mergeCell ref="B266:C266"/>
    <mergeCell ref="B271:C271"/>
    <mergeCell ref="B277:C277"/>
    <mergeCell ref="B278:C278"/>
    <mergeCell ref="B285:C285"/>
    <mergeCell ref="B300:C300"/>
    <mergeCell ref="B299:C299"/>
    <mergeCell ref="B294:C294"/>
    <mergeCell ref="B291:C291"/>
    <mergeCell ref="A280:A300"/>
    <mergeCell ref="B324:C324"/>
    <mergeCell ref="B372:C372"/>
    <mergeCell ref="B410:C410"/>
    <mergeCell ref="B409:C409"/>
    <mergeCell ref="B404:C404"/>
    <mergeCell ref="B399:C399"/>
    <mergeCell ref="B394:C394"/>
    <mergeCell ref="A390:A410"/>
    <mergeCell ref="A412:A432"/>
    <mergeCell ref="B416:C416"/>
    <mergeCell ref="B421:C421"/>
    <mergeCell ref="B426:C426"/>
    <mergeCell ref="B431:C431"/>
    <mergeCell ref="B432:C432"/>
    <mergeCell ref="A434:A454"/>
    <mergeCell ref="B438:C438"/>
    <mergeCell ref="B443:C443"/>
    <mergeCell ref="B448:C448"/>
    <mergeCell ref="B453:C453"/>
    <mergeCell ref="B454:C454"/>
    <mergeCell ref="A456:A476"/>
    <mergeCell ref="B460:C460"/>
    <mergeCell ref="B465:C465"/>
    <mergeCell ref="B470:C470"/>
    <mergeCell ref="B475:C475"/>
    <mergeCell ref="B476:C476"/>
    <mergeCell ref="A478:A498"/>
    <mergeCell ref="B482:C482"/>
    <mergeCell ref="B487:C487"/>
    <mergeCell ref="B492:C492"/>
    <mergeCell ref="B497:C497"/>
    <mergeCell ref="B498:C498"/>
    <mergeCell ref="B526:C526"/>
    <mergeCell ref="B542:C542"/>
    <mergeCell ref="B541:C541"/>
    <mergeCell ref="B535:C535"/>
    <mergeCell ref="B531:C531"/>
    <mergeCell ref="A522:A542"/>
    <mergeCell ref="B552:C552"/>
    <mergeCell ref="B549:C549"/>
    <mergeCell ref="A610:A630"/>
    <mergeCell ref="B614:C614"/>
    <mergeCell ref="B619:C619"/>
    <mergeCell ref="B624:C624"/>
    <mergeCell ref="B629:C629"/>
    <mergeCell ref="B630:C630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19" min="19" style="0" width="11.211267605633802"/>
  </cols>
  <sheetData>
    <row r="1">
      <c r="A1" s="485" t="s">
        <v>218</v>
      </c>
      <c r="B1" s="485" t="s">
        <v>219</v>
      </c>
      <c r="C1" s="486" t="s">
        <v>220</v>
      </c>
      <c r="D1" s="487" t="s">
        <v>221</v>
      </c>
      <c r="E1" s="488" t="s">
        <v>222</v>
      </c>
      <c r="F1" s="489" t="s">
        <v>223</v>
      </c>
      <c r="G1" s="489" t="s">
        <v>224</v>
      </c>
      <c r="H1" s="490" t="s">
        <v>225</v>
      </c>
      <c r="I1" s="490" t="s">
        <v>226</v>
      </c>
      <c r="J1" s="490" t="s">
        <v>227</v>
      </c>
      <c r="K1" s="491" t="s">
        <v>228</v>
      </c>
      <c r="L1" s="491" t="s">
        <v>229</v>
      </c>
      <c r="M1" s="491" t="s">
        <v>230</v>
      </c>
      <c r="N1" s="491" t="s">
        <v>231</v>
      </c>
      <c r="O1" s="491" t="s">
        <v>232</v>
      </c>
      <c r="P1" s="491" t="s">
        <v>233</v>
      </c>
      <c r="Q1" s="491" t="s">
        <v>234</v>
      </c>
      <c r="R1" s="491" t="s">
        <v>235</v>
      </c>
      <c r="S1" s="491" t="s">
        <v>236</v>
      </c>
      <c r="T1" s="492" t="s">
        <v>237</v>
      </c>
      <c r="U1" s="492" t="s">
        <v>238</v>
      </c>
      <c r="V1" s="492" t="s">
        <v>239</v>
      </c>
      <c r="W1" s="492" t="s">
        <v>240</v>
      </c>
      <c r="X1" s="493" t="s">
        <v>241</v>
      </c>
      <c r="Y1" s="493" t="s">
        <v>242</v>
      </c>
      <c r="Z1" s="494" t="s">
        <v>243</v>
      </c>
      <c r="AA1" s="494" t="s">
        <v>244</v>
      </c>
      <c r="AB1" s="494" t="s">
        <v>245</v>
      </c>
      <c r="AC1" s="495" t="s">
        <v>246</v>
      </c>
      <c r="AD1" s="495" t="s">
        <v>247</v>
      </c>
      <c r="AE1" s="496" t="s">
        <v>248</v>
      </c>
      <c r="AF1" s="495" t="s">
        <v>249</v>
      </c>
      <c r="AG1" s="495" t="s">
        <v>250</v>
      </c>
      <c r="AH1" s="497" t="s">
        <v>251</v>
      </c>
      <c r="AI1" s="495" t="s">
        <v>252</v>
      </c>
    </row>
    <row r="2">
      <c r="A2" s="498">
        <v>46204</v>
      </c>
      <c r="B2" s="499" t="s">
        <v>253</v>
      </c>
      <c r="C2" s="500" t="s">
        <v>254</v>
      </c>
      <c r="D2" s="501">
        <v>1640.346</v>
      </c>
      <c r="E2" s="502">
        <v>0</v>
      </c>
      <c r="F2" s="503">
        <v>0</v>
      </c>
      <c r="G2" s="504">
        <f t="shared" ref="G2:G21" si="439">D2/AD2</f>
      </c>
      <c r="H2" s="505">
        <f t="shared" ref="H2:H21" si="340">F2/E2</f>
      </c>
      <c r="I2" s="506">
        <f t="shared" ref="I2:I21" si="276">D2/E2</f>
      </c>
      <c r="J2" s="507">
        <f t="shared" ref="J2:J21" si="212">F2/D2</f>
      </c>
      <c r="K2" s="508">
        <f t="shared" ref="K2:K9" si="117">D2/AB2</f>
      </c>
      <c r="L2" s="505">
        <f t="shared" ref="L2:L9" si="72">D2/AC2</f>
      </c>
      <c r="M2" s="505">
        <f t="shared" ref="M2:M9" si="0">D2/AD2</f>
      </c>
      <c r="N2" s="509">
        <f t="shared" ref="N2:N9" si="532">AC2/AB2</f>
      </c>
      <c r="O2" s="509">
        <f t="shared" ref="O2:O21" si="565">AD2/AC2</f>
      </c>
      <c r="P2" s="509">
        <f t="shared" ref="P2:P21" si="470">AA2/Z2</f>
      </c>
      <c r="Q2" s="509">
        <f t="shared" ref="Q2:Q9" si="402">AD2/AA2</f>
      </c>
      <c r="R2" s="505">
        <f t="shared" ref="R2:R21" si="307">D2/Z2*1000</f>
      </c>
      <c r="S2" s="507">
        <f t="shared" ref="S2:S21" si="243">D2/AA2</f>
      </c>
      <c r="T2" s="509">
        <f t="shared" ref="T2:T9" si="179">AE2/AB2</f>
      </c>
      <c r="U2" s="509">
        <f t="shared" ref="U2:U9" si="109">AF2/AB2</f>
      </c>
      <c r="V2" s="509">
        <f t="shared" ref="V2:V9" si="35">AG2/AB2</f>
      </c>
      <c r="W2" s="509">
        <f t="shared" ref="W2:W21" si="596">AH2/AB2</f>
      </c>
      <c r="X2" s="510" t="s">
        <v>255</v>
      </c>
      <c r="Y2" s="511" t="s">
        <v>256</v>
      </c>
      <c r="Z2" s="512">
        <v>156578</v>
      </c>
      <c r="AA2" s="512">
        <v>2733</v>
      </c>
      <c r="AB2" s="512">
        <v>154537</v>
      </c>
      <c r="AC2" s="512">
        <v>490</v>
      </c>
      <c r="AD2" s="513">
        <v>0</v>
      </c>
      <c r="AE2" s="512">
        <v>12230</v>
      </c>
      <c r="AF2" s="513">
        <v>197</v>
      </c>
      <c r="AG2" s="513">
        <v>163</v>
      </c>
      <c r="AH2" s="513">
        <v>12</v>
      </c>
      <c r="AI2" s="514">
        <v>0</v>
      </c>
    </row>
    <row r="3">
      <c r="A3" s="498"/>
      <c r="B3" s="499" t="s">
        <v>253</v>
      </c>
      <c r="C3" s="500" t="s">
        <v>257</v>
      </c>
      <c r="D3" s="501">
        <v>2673.242</v>
      </c>
      <c r="E3" s="502">
        <v>6</v>
      </c>
      <c r="F3" s="503">
        <v>1935.6</v>
      </c>
      <c r="G3" s="504">
        <f t="shared" si="439"/>
      </c>
      <c r="H3" s="505">
        <f t="shared" si="340"/>
      </c>
      <c r="I3" s="506">
        <f t="shared" si="276"/>
      </c>
      <c r="J3" s="507">
        <f t="shared" si="212"/>
      </c>
      <c r="K3" s="508">
        <f t="shared" si="117"/>
      </c>
      <c r="L3" s="505">
        <f t="shared" si="72"/>
      </c>
      <c r="M3" s="505">
        <f t="shared" si="0"/>
      </c>
      <c r="N3" s="509">
        <f t="shared" si="532"/>
      </c>
      <c r="O3" s="509">
        <f t="shared" si="565"/>
      </c>
      <c r="P3" s="509">
        <f t="shared" si="470"/>
      </c>
      <c r="Q3" s="509">
        <f t="shared" si="402"/>
      </c>
      <c r="R3" s="505">
        <f t="shared" si="307"/>
      </c>
      <c r="S3" s="507">
        <f t="shared" si="243"/>
      </c>
      <c r="T3" s="509">
        <f t="shared" si="179"/>
      </c>
      <c r="U3" s="509">
        <f t="shared" si="109"/>
      </c>
      <c r="V3" s="509">
        <f t="shared" si="35"/>
      </c>
      <c r="W3" s="509">
        <f t="shared" si="596"/>
      </c>
      <c r="X3" s="510" t="s">
        <v>255</v>
      </c>
      <c r="Y3" s="511" t="s">
        <v>256</v>
      </c>
      <c r="Z3" s="513">
        <v>296905</v>
      </c>
      <c r="AA3" s="512">
        <v>4720</v>
      </c>
      <c r="AB3" s="512">
        <v>294693</v>
      </c>
      <c r="AC3" s="512">
        <v>734</v>
      </c>
      <c r="AD3" s="513">
        <v>4</v>
      </c>
      <c r="AE3" s="512">
        <v>18514</v>
      </c>
      <c r="AF3" s="513">
        <v>328</v>
      </c>
      <c r="AG3" s="513">
        <v>229</v>
      </c>
      <c r="AH3" s="514">
        <v>16</v>
      </c>
      <c r="AI3" s="514">
        <v>2</v>
      </c>
    </row>
    <row r="4">
      <c r="A4" s="498"/>
      <c r="B4" s="499" t="s">
        <v>253</v>
      </c>
      <c r="C4" s="515" t="s">
        <v>258</v>
      </c>
      <c r="D4" s="501">
        <v>1368.333</v>
      </c>
      <c r="E4" s="502">
        <v>0</v>
      </c>
      <c r="F4" s="503">
        <v>0</v>
      </c>
      <c r="G4" s="504">
        <f t="shared" si="439"/>
      </c>
      <c r="H4" s="505">
        <f t="shared" si="340"/>
      </c>
      <c r="I4" s="506">
        <f t="shared" si="276"/>
      </c>
      <c r="J4" s="507">
        <f t="shared" si="212"/>
      </c>
      <c r="K4" s="508">
        <f t="shared" si="117"/>
      </c>
      <c r="L4" s="505">
        <f t="shared" si="72"/>
      </c>
      <c r="M4" s="505">
        <f t="shared" si="0"/>
      </c>
      <c r="N4" s="509">
        <f t="shared" si="532"/>
      </c>
      <c r="O4" s="509">
        <f t="shared" si="565"/>
      </c>
      <c r="P4" s="509">
        <f t="shared" si="470"/>
      </c>
      <c r="Q4" s="509">
        <f t="shared" si="402"/>
      </c>
      <c r="R4" s="505">
        <f t="shared" si="307"/>
      </c>
      <c r="S4" s="507">
        <f t="shared" si="243"/>
      </c>
      <c r="T4" s="509">
        <f t="shared" si="179"/>
      </c>
      <c r="U4" s="509">
        <f t="shared" si="109"/>
      </c>
      <c r="V4" s="509">
        <f t="shared" si="35"/>
      </c>
      <c r="W4" s="509">
        <f t="shared" si="596"/>
      </c>
      <c r="X4" s="510" t="s">
        <v>255</v>
      </c>
      <c r="Y4" s="511" t="s">
        <v>256</v>
      </c>
      <c r="Z4" s="513">
        <v>161495</v>
      </c>
      <c r="AA4" s="512">
        <v>3257</v>
      </c>
      <c r="AB4" s="512">
        <v>158332</v>
      </c>
      <c r="AC4" s="512">
        <v>429</v>
      </c>
      <c r="AD4" s="513">
        <v>0</v>
      </c>
      <c r="AE4" s="512">
        <v>9669</v>
      </c>
      <c r="AF4" s="513">
        <v>177</v>
      </c>
      <c r="AG4" s="513">
        <v>142</v>
      </c>
      <c r="AH4" s="513">
        <v>19</v>
      </c>
      <c r="AI4" s="514">
        <v>0</v>
      </c>
    </row>
    <row r="5">
      <c r="A5" s="498"/>
      <c r="B5" s="499" t="s">
        <v>253</v>
      </c>
      <c r="C5" s="516" t="s">
        <v>259</v>
      </c>
      <c r="D5" s="501">
        <v>1557.068</v>
      </c>
      <c r="E5" s="502">
        <v>3</v>
      </c>
      <c r="F5" s="503">
        <v>1210.2999999999997</v>
      </c>
      <c r="G5" s="504">
        <f t="shared" si="439"/>
      </c>
      <c r="H5" s="505">
        <f t="shared" si="340"/>
      </c>
      <c r="I5" s="506">
        <f t="shared" si="276"/>
      </c>
      <c r="J5" s="507">
        <f t="shared" si="212"/>
      </c>
      <c r="K5" s="508">
        <f t="shared" si="117"/>
      </c>
      <c r="L5" s="505">
        <f t="shared" si="72"/>
      </c>
      <c r="M5" s="505">
        <f t="shared" si="0"/>
      </c>
      <c r="N5" s="509">
        <f t="shared" si="532"/>
      </c>
      <c r="O5" s="509">
        <f t="shared" si="565"/>
      </c>
      <c r="P5" s="509">
        <f t="shared" si="470"/>
      </c>
      <c r="Q5" s="509">
        <f t="shared" si="402"/>
      </c>
      <c r="R5" s="505">
        <f t="shared" si="307"/>
      </c>
      <c r="S5" s="507">
        <f t="shared" si="243"/>
      </c>
      <c r="T5" s="509">
        <f t="shared" si="179"/>
      </c>
      <c r="U5" s="509">
        <f t="shared" si="109"/>
      </c>
      <c r="V5" s="509">
        <f t="shared" si="35"/>
      </c>
      <c r="W5" s="509">
        <f t="shared" si="596"/>
      </c>
      <c r="X5" s="504" t="s">
        <v>255</v>
      </c>
      <c r="Y5" s="511" t="s">
        <v>256</v>
      </c>
      <c r="Z5" s="513">
        <v>187791</v>
      </c>
      <c r="AA5" s="513">
        <v>3303</v>
      </c>
      <c r="AB5" s="513">
        <v>184893</v>
      </c>
      <c r="AC5" s="513">
        <v>468</v>
      </c>
      <c r="AD5" s="513">
        <v>2</v>
      </c>
      <c r="AE5" s="513">
        <v>9920</v>
      </c>
      <c r="AF5" s="513">
        <v>188</v>
      </c>
      <c r="AG5" s="513">
        <v>119</v>
      </c>
      <c r="AH5" s="514">
        <v>9</v>
      </c>
      <c r="AI5" s="514">
        <v>1</v>
      </c>
    </row>
    <row r="6">
      <c r="A6" s="498"/>
      <c r="B6" s="499" t="s">
        <v>253</v>
      </c>
      <c r="C6" s="516" t="s">
        <v>260</v>
      </c>
      <c r="D6" s="517">
        <v>1949.781</v>
      </c>
      <c r="E6" s="518">
        <v>1</v>
      </c>
      <c r="F6" s="519">
        <v>228</v>
      </c>
      <c r="G6" s="504">
        <f t="shared" si="439"/>
      </c>
      <c r="H6" s="505">
        <f t="shared" si="340"/>
      </c>
      <c r="I6" s="506">
        <f t="shared" si="276"/>
      </c>
      <c r="J6" s="507">
        <f t="shared" si="212"/>
      </c>
      <c r="K6" s="508">
        <f t="shared" si="117"/>
      </c>
      <c r="L6" s="505">
        <f t="shared" si="72"/>
      </c>
      <c r="M6" s="505">
        <f t="shared" si="0"/>
      </c>
      <c r="N6" s="509">
        <f t="shared" si="532"/>
      </c>
      <c r="O6" s="509">
        <f t="shared" si="565"/>
      </c>
      <c r="P6" s="509">
        <f t="shared" si="470"/>
      </c>
      <c r="Q6" s="509">
        <f t="shared" si="402"/>
      </c>
      <c r="R6" s="505">
        <f t="shared" si="307"/>
      </c>
      <c r="S6" s="507">
        <f t="shared" si="243"/>
      </c>
      <c r="T6" s="509">
        <f t="shared" si="179"/>
      </c>
      <c r="U6" s="509">
        <f t="shared" si="109"/>
      </c>
      <c r="V6" s="509">
        <f t="shared" si="35"/>
      </c>
      <c r="W6" s="509">
        <f t="shared" si="596"/>
      </c>
      <c r="X6" s="520" t="s">
        <v>255</v>
      </c>
      <c r="Y6" s="511" t="s">
        <v>256</v>
      </c>
      <c r="Z6" s="513">
        <v>292079</v>
      </c>
      <c r="AA6" s="513">
        <v>4287</v>
      </c>
      <c r="AB6" s="513">
        <v>291447</v>
      </c>
      <c r="AC6" s="513">
        <v>547</v>
      </c>
      <c r="AD6" s="513">
        <v>1</v>
      </c>
      <c r="AE6" s="513">
        <v>11459</v>
      </c>
      <c r="AF6" s="513">
        <v>133</v>
      </c>
      <c r="AG6" s="513">
        <v>129</v>
      </c>
      <c r="AH6" s="514">
        <v>9</v>
      </c>
      <c r="AI6" s="514">
        <v>0</v>
      </c>
    </row>
    <row r="7">
      <c r="A7" s="498"/>
      <c r="B7" s="521" t="s">
        <v>261</v>
      </c>
      <c r="C7" s="521"/>
      <c r="D7" s="522">
        <f>SUM(D2:D6)</f>
      </c>
      <c r="E7" s="523">
        <f>SUM(E2:E6)</f>
      </c>
      <c r="F7" s="522">
        <f>SUM(F2:F6)</f>
      </c>
      <c r="G7" s="522">
        <f t="shared" si="439"/>
      </c>
      <c r="H7" s="524">
        <f t="shared" si="340"/>
      </c>
      <c r="I7" s="525">
        <f t="shared" si="276"/>
      </c>
      <c r="J7" s="526">
        <f t="shared" si="212"/>
      </c>
      <c r="K7" s="527">
        <f t="shared" si="117"/>
      </c>
      <c r="L7" s="524">
        <f t="shared" si="72"/>
      </c>
      <c r="M7" s="524">
        <f t="shared" si="0"/>
      </c>
      <c r="N7" s="528">
        <f t="shared" si="532"/>
      </c>
      <c r="O7" s="528">
        <f t="shared" si="565"/>
      </c>
      <c r="P7" s="528">
        <f t="shared" si="470"/>
      </c>
      <c r="Q7" s="528">
        <f t="shared" si="402"/>
      </c>
      <c r="R7" s="524">
        <f t="shared" si="307"/>
      </c>
      <c r="S7" s="526">
        <f t="shared" si="243"/>
      </c>
      <c r="T7" s="528">
        <f t="shared" si="179"/>
      </c>
      <c r="U7" s="528">
        <f t="shared" si="109"/>
      </c>
      <c r="V7" s="528">
        <f t="shared" si="35"/>
      </c>
      <c r="W7" s="528">
        <f t="shared" si="596"/>
      </c>
      <c r="X7" s="528"/>
      <c r="Y7" s="529"/>
      <c r="Z7" s="522">
        <f>SUM(Z2:Z6)</f>
      </c>
      <c r="AA7" s="522">
        <f>SUM(AA2:AA6)</f>
      </c>
      <c r="AB7" s="522">
        <f>SUM(AB2:AB6)</f>
      </c>
      <c r="AC7" s="522">
        <f>SUM(AC2:AC6)</f>
      </c>
      <c r="AD7" s="522">
        <f>SUM(AD2:AD6)</f>
      </c>
      <c r="AE7" s="522">
        <f>SUM(AE2:AE6)</f>
      </c>
      <c r="AF7" s="522">
        <f>SUM(AF2:AF6)</f>
      </c>
      <c r="AG7" s="522">
        <f>SUM(AG2:AG6)</f>
      </c>
      <c r="AH7" s="522">
        <f>SUM(AH2:AH6)</f>
      </c>
      <c r="AI7" s="522">
        <f>SUM(AI2:AI6)</f>
      </c>
    </row>
    <row r="8">
      <c r="A8" s="498"/>
      <c r="B8" s="530" t="s">
        <v>262</v>
      </c>
      <c r="C8" s="531" t="s">
        <v>263</v>
      </c>
      <c r="D8" s="532">
        <v>1031.721</v>
      </c>
      <c r="E8" s="502">
        <v>3</v>
      </c>
      <c r="F8" s="503">
        <v>1241.1999999999998</v>
      </c>
      <c r="G8" s="504">
        <f t="shared" si="439"/>
      </c>
      <c r="H8" s="505">
        <f t="shared" si="340"/>
      </c>
      <c r="I8" s="506">
        <f t="shared" si="276"/>
      </c>
      <c r="J8" s="507">
        <f t="shared" si="212"/>
      </c>
      <c r="K8" s="508">
        <f t="shared" si="117"/>
      </c>
      <c r="L8" s="505">
        <f t="shared" si="72"/>
      </c>
      <c r="M8" s="505">
        <f t="shared" si="0"/>
      </c>
      <c r="N8" s="509">
        <f t="shared" si="532"/>
      </c>
      <c r="O8" s="509">
        <f t="shared" si="565"/>
      </c>
      <c r="P8" s="509">
        <f t="shared" si="470"/>
      </c>
      <c r="Q8" s="509">
        <f t="shared" si="402"/>
      </c>
      <c r="R8" s="505">
        <f t="shared" si="307"/>
      </c>
      <c r="S8" s="507">
        <f t="shared" si="243"/>
      </c>
      <c r="T8" s="509">
        <f t="shared" si="179"/>
      </c>
      <c r="U8" s="509">
        <f t="shared" si="109"/>
      </c>
      <c r="V8" s="509">
        <f t="shared" si="35"/>
      </c>
      <c r="W8" s="509">
        <f t="shared" si="596"/>
      </c>
      <c r="X8" s="520" t="s">
        <v>255</v>
      </c>
      <c r="Y8" s="511" t="s">
        <v>256</v>
      </c>
      <c r="Z8" s="512">
        <v>158807</v>
      </c>
      <c r="AA8" s="512">
        <v>3384</v>
      </c>
      <c r="AB8" s="512">
        <v>150803</v>
      </c>
      <c r="AC8" s="513">
        <v>362</v>
      </c>
      <c r="AD8" s="513">
        <v>2</v>
      </c>
      <c r="AE8" s="512">
        <v>6176</v>
      </c>
      <c r="AF8" s="513">
        <v>139</v>
      </c>
      <c r="AG8" s="513">
        <v>86</v>
      </c>
      <c r="AH8" s="513">
        <v>13</v>
      </c>
      <c r="AI8" s="514">
        <v>1</v>
      </c>
    </row>
    <row r="9">
      <c r="A9" s="498"/>
      <c r="B9" s="530" t="s">
        <v>262</v>
      </c>
      <c r="C9" s="533" t="s">
        <v>264</v>
      </c>
      <c r="D9" s="532">
        <v>1180.252</v>
      </c>
      <c r="E9" s="518">
        <v>0</v>
      </c>
      <c r="F9" s="519">
        <v>0</v>
      </c>
      <c r="G9" s="504">
        <f t="shared" si="439"/>
      </c>
      <c r="H9" s="505">
        <f t="shared" si="340"/>
      </c>
      <c r="I9" s="506">
        <f t="shared" si="276"/>
      </c>
      <c r="J9" s="507">
        <f t="shared" si="212"/>
      </c>
      <c r="K9" s="508">
        <f t="shared" si="117"/>
      </c>
      <c r="L9" s="505">
        <f t="shared" si="72"/>
      </c>
      <c r="M9" s="505">
        <f t="shared" si="0"/>
      </c>
      <c r="N9" s="509">
        <f t="shared" si="532"/>
      </c>
      <c r="O9" s="509">
        <f t="shared" si="565"/>
      </c>
      <c r="P9" s="509">
        <f t="shared" si="470"/>
      </c>
      <c r="Q9" s="509">
        <f t="shared" si="402"/>
      </c>
      <c r="R9" s="505">
        <f t="shared" si="307"/>
      </c>
      <c r="S9" s="507">
        <f t="shared" si="243"/>
      </c>
      <c r="T9" s="509">
        <f t="shared" si="179"/>
      </c>
      <c r="U9" s="509">
        <f t="shared" si="109"/>
      </c>
      <c r="V9" s="509">
        <f t="shared" si="35"/>
      </c>
      <c r="W9" s="509">
        <f t="shared" si="596"/>
      </c>
      <c r="X9" s="520" t="s">
        <v>255</v>
      </c>
      <c r="Y9" s="511" t="s">
        <v>256</v>
      </c>
      <c r="Z9" s="513">
        <v>196475</v>
      </c>
      <c r="AA9" s="513">
        <v>3108</v>
      </c>
      <c r="AB9" s="513">
        <v>160959</v>
      </c>
      <c r="AC9" s="513">
        <v>405</v>
      </c>
      <c r="AD9" s="513">
        <v>0</v>
      </c>
      <c r="AE9" s="513">
        <v>5513</v>
      </c>
      <c r="AF9" s="513">
        <v>111</v>
      </c>
      <c r="AG9" s="513">
        <v>92</v>
      </c>
      <c r="AH9" s="513">
        <v>13</v>
      </c>
      <c r="AI9" s="514">
        <v>0</v>
      </c>
    </row>
    <row r="10">
      <c r="A10" s="498"/>
      <c r="B10" s="530" t="s">
        <v>262</v>
      </c>
      <c r="C10" s="534" t="s">
        <v>265</v>
      </c>
      <c r="D10" s="535">
        <v>1108.099</v>
      </c>
      <c r="E10" s="502">
        <v>4</v>
      </c>
      <c r="F10" s="503">
        <v>1480.000000000001</v>
      </c>
      <c r="G10" s="504">
        <f t="shared" si="439"/>
      </c>
      <c r="H10" s="505">
        <f t="shared" si="340"/>
      </c>
      <c r="I10" s="506">
        <f t="shared" si="276"/>
      </c>
      <c r="J10" s="507">
        <f t="shared" si="212"/>
      </c>
      <c r="K10" s="508">
        <f t="shared" ref="K10:K11" si="406">D10/AC10</f>
      </c>
      <c r="L10" s="505">
        <f t="shared" ref="L10:L11" si="309">D10/AD10</f>
      </c>
      <c r="M10" s="505">
        <f t="shared" ref="M10:M11" si="245">D10/AE10</f>
      </c>
      <c r="N10" s="509">
        <f t="shared" ref="N10:N11" si="210">AD10/AC10</f>
      </c>
      <c r="O10" s="509">
        <f t="shared" si="565"/>
      </c>
      <c r="P10" s="509">
        <f t="shared" si="470"/>
      </c>
      <c r="Q10" s="509">
        <f t="shared" ref="Q10:Q11" si="115">AE10/AA10</f>
      </c>
      <c r="R10" s="505">
        <f t="shared" si="307"/>
      </c>
      <c r="S10" s="507">
        <f t="shared" si="243"/>
      </c>
      <c r="T10" s="509">
        <f t="shared" ref="T10:T11" si="41">AF10/AC10</f>
      </c>
      <c r="U10" s="509">
        <f t="shared" ref="U10:U11" si="600">AG10/AC10</f>
      </c>
      <c r="V10" s="509">
        <f t="shared" ref="V10:V11" si="474">AH10/AC10</f>
      </c>
      <c r="W10" s="509">
        <f t="shared" si="596"/>
      </c>
      <c r="X10" s="520" t="s">
        <v>255</v>
      </c>
      <c r="Y10" s="511" t="s">
        <v>256</v>
      </c>
      <c r="Z10" s="513">
        <v>200029</v>
      </c>
      <c r="AA10" s="513">
        <v>3001</v>
      </c>
      <c r="AB10" s="513">
        <v>152035</v>
      </c>
      <c r="AC10" s="536">
        <v>401</v>
      </c>
      <c r="AD10" s="536">
        <v>4</v>
      </c>
      <c r="AE10" s="536">
        <v>5260</v>
      </c>
      <c r="AF10" s="536">
        <v>117</v>
      </c>
      <c r="AG10" s="536">
        <v>88</v>
      </c>
      <c r="AH10" s="536">
        <v>14</v>
      </c>
      <c r="AI10" s="514">
        <v>0</v>
      </c>
    </row>
    <row r="11">
      <c r="A11" s="498"/>
      <c r="B11" s="530" t="s">
        <v>262</v>
      </c>
      <c r="C11" s="537" t="s">
        <v>266</v>
      </c>
      <c r="D11" s="535">
        <v>1206.671</v>
      </c>
      <c r="E11" s="502">
        <v>5</v>
      </c>
      <c r="F11" s="503">
        <v>1676</v>
      </c>
      <c r="G11" s="504">
        <f t="shared" si="439"/>
      </c>
      <c r="H11" s="505">
        <f t="shared" si="340"/>
      </c>
      <c r="I11" s="506">
        <f t="shared" si="276"/>
      </c>
      <c r="J11" s="507">
        <f t="shared" si="212"/>
      </c>
      <c r="K11" s="508">
        <f t="shared" si="406"/>
      </c>
      <c r="L11" s="505">
        <f t="shared" si="309"/>
      </c>
      <c r="M11" s="505">
        <f t="shared" si="245"/>
      </c>
      <c r="N11" s="509">
        <f t="shared" si="210"/>
      </c>
      <c r="O11" s="509">
        <f t="shared" si="565"/>
      </c>
      <c r="P11" s="509">
        <f t="shared" si="470"/>
      </c>
      <c r="Q11" s="509">
        <f t="shared" si="115"/>
      </c>
      <c r="R11" s="505">
        <f t="shared" si="307"/>
      </c>
      <c r="S11" s="507">
        <f t="shared" si="243"/>
      </c>
      <c r="T11" s="509">
        <f t="shared" si="41"/>
      </c>
      <c r="U11" s="509">
        <f t="shared" si="600"/>
      </c>
      <c r="V11" s="509">
        <f t="shared" si="474"/>
      </c>
      <c r="W11" s="509">
        <f t="shared" si="596"/>
      </c>
      <c r="X11" s="520" t="s">
        <v>255</v>
      </c>
      <c r="Y11" s="511" t="s">
        <v>267</v>
      </c>
      <c r="Z11" s="513">
        <v>208645</v>
      </c>
      <c r="AA11" s="513">
        <v>3118</v>
      </c>
      <c r="AB11" s="513">
        <v>168058</v>
      </c>
      <c r="AC11" s="536">
        <v>302</v>
      </c>
      <c r="AD11" s="536">
        <v>5</v>
      </c>
      <c r="AE11" s="536">
        <v>4990</v>
      </c>
      <c r="AF11" s="536">
        <v>101</v>
      </c>
      <c r="AG11" s="536">
        <v>70</v>
      </c>
      <c r="AH11" s="536">
        <v>4</v>
      </c>
      <c r="AI11" s="514">
        <v>0</v>
      </c>
    </row>
    <row r="12">
      <c r="A12" s="498"/>
      <c r="B12" s="538" t="s">
        <v>261</v>
      </c>
      <c r="C12" s="538"/>
      <c r="D12" s="522">
        <f>SUM(D8:D11)</f>
      </c>
      <c r="E12" s="523">
        <f>SUM(E8:E11)</f>
      </c>
      <c r="F12" s="522">
        <f>SUM(F8:F11)</f>
      </c>
      <c r="G12" s="522">
        <f t="shared" si="439"/>
      </c>
      <c r="H12" s="524">
        <f t="shared" si="340"/>
      </c>
      <c r="I12" s="525">
        <f t="shared" si="276"/>
      </c>
      <c r="J12" s="526">
        <f t="shared" si="212"/>
      </c>
      <c r="K12" s="527">
        <f>D12/AB12</f>
      </c>
      <c r="L12" s="524">
        <f>D12/AC12</f>
      </c>
      <c r="M12" s="524">
        <f>D12/AD12</f>
      </c>
      <c r="N12" s="528">
        <f>AC12/AB12</f>
      </c>
      <c r="O12" s="528">
        <f t="shared" si="565"/>
      </c>
      <c r="P12" s="528">
        <f t="shared" si="470"/>
      </c>
      <c r="Q12" s="528">
        <f>AD12/AA12</f>
      </c>
      <c r="R12" s="524">
        <f t="shared" si="307"/>
      </c>
      <c r="S12" s="526">
        <f t="shared" si="243"/>
      </c>
      <c r="T12" s="528">
        <f>AE12/AB12</f>
      </c>
      <c r="U12" s="528">
        <f>AF12/AB12</f>
      </c>
      <c r="V12" s="528">
        <f>AG12/AB12</f>
      </c>
      <c r="W12" s="528">
        <f t="shared" si="596"/>
      </c>
      <c r="X12" s="528"/>
      <c r="Y12" s="529"/>
      <c r="Z12" s="522">
        <f>SUM(Z8:Z11)</f>
      </c>
      <c r="AA12" s="522">
        <f>SUM(AA8:AA11)</f>
      </c>
      <c r="AB12" s="522">
        <f>SUM(AB8:AB11)</f>
      </c>
      <c r="AC12" s="522">
        <f>SUM(AC8:AC11)</f>
      </c>
      <c r="AD12" s="522">
        <f>SUM(AD8:AD11)</f>
      </c>
      <c r="AE12" s="522">
        <f>SUM(AE8:AE11)</f>
      </c>
      <c r="AF12" s="522">
        <f>SUM(AF8:AF11)</f>
      </c>
      <c r="AG12" s="522">
        <f>SUM(AG8:AG11)</f>
      </c>
      <c r="AH12" s="522">
        <f>SUM(AH8:AH11)</f>
      </c>
      <c r="AI12" s="522">
        <f>SUM(AI8:AI11)</f>
      </c>
    </row>
    <row r="13">
      <c r="A13" s="498"/>
      <c r="B13" s="530" t="s">
        <v>268</v>
      </c>
      <c r="C13" s="537" t="s">
        <v>269</v>
      </c>
      <c r="D13" s="535">
        <v>1847.868</v>
      </c>
      <c r="E13" s="502">
        <v>3</v>
      </c>
      <c r="F13" s="503">
        <v>2282.3999999999996</v>
      </c>
      <c r="G13" s="504">
        <f t="shared" si="439"/>
      </c>
      <c r="H13" s="505">
        <f t="shared" si="340"/>
      </c>
      <c r="I13" s="506">
        <f t="shared" si="276"/>
      </c>
      <c r="J13" s="507">
        <f t="shared" si="212"/>
      </c>
      <c r="K13" s="508">
        <f>D13/AC13</f>
      </c>
      <c r="L13" s="505">
        <f>D13/AD13</f>
      </c>
      <c r="M13" s="505">
        <f>D13/AE13</f>
      </c>
      <c r="N13" s="509">
        <f>AD13/AC13</f>
      </c>
      <c r="O13" s="509">
        <f t="shared" si="565"/>
      </c>
      <c r="P13" s="509">
        <f t="shared" si="470"/>
      </c>
      <c r="Q13" s="509">
        <f>AE13/AA13</f>
      </c>
      <c r="R13" s="505">
        <f t="shared" si="307"/>
      </c>
      <c r="S13" s="507">
        <f t="shared" si="243"/>
      </c>
      <c r="T13" s="509">
        <f>AF13/AC13</f>
      </c>
      <c r="U13" s="509">
        <f>AG13/AC13</f>
      </c>
      <c r="V13" s="509">
        <f>AH13/AC13</f>
      </c>
      <c r="W13" s="509">
        <f t="shared" si="596"/>
      </c>
      <c r="X13" s="520" t="s">
        <v>255</v>
      </c>
      <c r="Y13" s="511" t="s">
        <v>267</v>
      </c>
      <c r="Z13" s="513">
        <v>354084</v>
      </c>
      <c r="AA13" s="513">
        <v>4508</v>
      </c>
      <c r="AB13" s="539">
        <v>271174</v>
      </c>
      <c r="AC13" s="536">
        <v>480</v>
      </c>
      <c r="AD13" s="536">
        <v>2</v>
      </c>
      <c r="AE13" s="536">
        <v>6837</v>
      </c>
      <c r="AF13" s="536">
        <v>115</v>
      </c>
      <c r="AG13" s="536">
        <v>81</v>
      </c>
      <c r="AH13" s="536">
        <v>5</v>
      </c>
      <c r="AI13" s="514">
        <v>1</v>
      </c>
    </row>
    <row r="14">
      <c r="A14" s="498"/>
      <c r="B14" s="530" t="s">
        <v>268</v>
      </c>
      <c r="C14" s="534" t="s">
        <v>270</v>
      </c>
      <c r="D14" s="532">
        <v>2073.584</v>
      </c>
      <c r="E14" s="518">
        <v>2</v>
      </c>
      <c r="F14" s="519">
        <v>456</v>
      </c>
      <c r="G14" s="504">
        <f t="shared" si="439"/>
      </c>
      <c r="H14" s="505">
        <f t="shared" si="340"/>
      </c>
      <c r="I14" s="506">
        <f t="shared" si="276"/>
      </c>
      <c r="J14" s="507">
        <f t="shared" si="212"/>
      </c>
      <c r="K14" s="508">
        <f t="shared" ref="K14:K21" si="118">D14/AB14</f>
      </c>
      <c r="L14" s="505">
        <f t="shared" ref="L14:L21" si="73">D14/AC14</f>
      </c>
      <c r="M14" s="505">
        <f t="shared" ref="M14:M21" si="1">D14/AD14</f>
      </c>
      <c r="N14" s="509">
        <f t="shared" ref="N14:N21" si="533">AC14/AB14</f>
      </c>
      <c r="O14" s="509">
        <f t="shared" si="565"/>
      </c>
      <c r="P14" s="509">
        <f t="shared" si="470"/>
      </c>
      <c r="Q14" s="509">
        <f t="shared" ref="Q14:Q21" si="403">AD14/AA14</f>
      </c>
      <c r="R14" s="505">
        <f t="shared" si="307"/>
      </c>
      <c r="S14" s="507">
        <f t="shared" si="243"/>
      </c>
      <c r="T14" s="509">
        <f t="shared" ref="T14:T21" si="180">AE14/AB14</f>
      </c>
      <c r="U14" s="509">
        <f t="shared" ref="U14:U21" si="110">AF14/AB14</f>
      </c>
      <c r="V14" s="509">
        <f t="shared" ref="V14:V21" si="36">AG14/AB14</f>
      </c>
      <c r="W14" s="509">
        <f t="shared" si="596"/>
      </c>
      <c r="X14" s="520" t="s">
        <v>255</v>
      </c>
      <c r="Y14" s="511" t="s">
        <v>267</v>
      </c>
      <c r="Z14" s="513">
        <v>418370</v>
      </c>
      <c r="AA14" s="513">
        <v>5314</v>
      </c>
      <c r="AB14" s="513">
        <v>194657</v>
      </c>
      <c r="AC14" s="513">
        <v>710</v>
      </c>
      <c r="AD14" s="513">
        <v>2</v>
      </c>
      <c r="AE14" s="513">
        <v>5140</v>
      </c>
      <c r="AF14" s="513">
        <v>109</v>
      </c>
      <c r="AG14" s="513">
        <v>86</v>
      </c>
      <c r="AH14" s="513">
        <v>6</v>
      </c>
      <c r="AI14" s="514">
        <v>0</v>
      </c>
    </row>
    <row r="15">
      <c r="A15" s="498"/>
      <c r="B15" s="538" t="s">
        <v>261</v>
      </c>
      <c r="C15" s="538"/>
      <c r="D15" s="522">
        <f>SUM(D13:D14)</f>
      </c>
      <c r="E15" s="523">
        <f>SUM(E13:E14)</f>
      </c>
      <c r="F15" s="522">
        <f>SUM(F13:F14)</f>
      </c>
      <c r="G15" s="522">
        <f t="shared" si="439"/>
      </c>
      <c r="H15" s="524">
        <f t="shared" si="340"/>
      </c>
      <c r="I15" s="525">
        <f t="shared" si="276"/>
      </c>
      <c r="J15" s="526">
        <f t="shared" si="212"/>
      </c>
      <c r="K15" s="527">
        <f t="shared" si="118"/>
      </c>
      <c r="L15" s="524">
        <f t="shared" si="73"/>
      </c>
      <c r="M15" s="524">
        <f t="shared" si="1"/>
      </c>
      <c r="N15" s="528">
        <f t="shared" si="533"/>
      </c>
      <c r="O15" s="528">
        <f t="shared" si="565"/>
      </c>
      <c r="P15" s="528">
        <f t="shared" si="470"/>
      </c>
      <c r="Q15" s="528">
        <f t="shared" si="403"/>
      </c>
      <c r="R15" s="524">
        <f t="shared" si="307"/>
      </c>
      <c r="S15" s="526">
        <f t="shared" si="243"/>
      </c>
      <c r="T15" s="528">
        <f t="shared" si="180"/>
      </c>
      <c r="U15" s="528">
        <f t="shared" si="110"/>
      </c>
      <c r="V15" s="528">
        <f t="shared" si="36"/>
      </c>
      <c r="W15" s="528">
        <f t="shared" si="596"/>
      </c>
      <c r="X15" s="528"/>
      <c r="Y15" s="529"/>
      <c r="Z15" s="522">
        <f>SUM(Z13:Z14)</f>
      </c>
      <c r="AA15" s="522">
        <f>SUM(AA13:AA14)</f>
      </c>
      <c r="AB15" s="522">
        <f>SUM(AB13:AB14)</f>
      </c>
      <c r="AC15" s="522">
        <f>SUM(AC13:AC14)</f>
      </c>
      <c r="AD15" s="522">
        <f>SUM(AD13:AD14)</f>
      </c>
      <c r="AE15" s="522">
        <f>SUM(AE13:AE14)</f>
      </c>
      <c r="AF15" s="522">
        <f>SUM(AF13:AF14)</f>
      </c>
      <c r="AG15" s="522">
        <f>SUM(AG13:AG14)</f>
      </c>
      <c r="AH15" s="522">
        <f>SUM(AH13:AH14)</f>
      </c>
      <c r="AI15" s="522">
        <f>SUM(AI13:AI14)</f>
      </c>
    </row>
    <row r="16">
      <c r="A16" s="498"/>
      <c r="B16" s="540" t="s">
        <v>271</v>
      </c>
      <c r="C16" s="537" t="s">
        <v>272</v>
      </c>
      <c r="D16" s="541">
        <v>2249.946</v>
      </c>
      <c r="E16" s="542">
        <v>6</v>
      </c>
      <c r="F16" s="519">
        <v>1893.2000000000007</v>
      </c>
      <c r="G16" s="504">
        <f t="shared" si="439"/>
      </c>
      <c r="H16" s="505">
        <f t="shared" si="340"/>
      </c>
      <c r="I16" s="506">
        <f t="shared" si="276"/>
      </c>
      <c r="J16" s="507">
        <f t="shared" si="212"/>
      </c>
      <c r="K16" s="508">
        <f t="shared" si="118"/>
      </c>
      <c r="L16" s="505">
        <f t="shared" si="73"/>
      </c>
      <c r="M16" s="505">
        <f t="shared" si="1"/>
      </c>
      <c r="N16" s="509">
        <f t="shared" si="533"/>
      </c>
      <c r="O16" s="509">
        <f t="shared" si="565"/>
      </c>
      <c r="P16" s="509">
        <f t="shared" si="470"/>
      </c>
      <c r="Q16" s="509">
        <f t="shared" si="403"/>
      </c>
      <c r="R16" s="505">
        <f t="shared" si="307"/>
      </c>
      <c r="S16" s="507">
        <f t="shared" si="243"/>
      </c>
      <c r="T16" s="509">
        <f t="shared" si="180"/>
      </c>
      <c r="U16" s="509">
        <f t="shared" si="110"/>
      </c>
      <c r="V16" s="509">
        <f t="shared" si="36"/>
      </c>
      <c r="W16" s="509">
        <f t="shared" si="596"/>
      </c>
      <c r="X16" s="520" t="s">
        <v>255</v>
      </c>
      <c r="Y16" s="511" t="s">
        <v>267</v>
      </c>
      <c r="Z16" s="513">
        <v>484560</v>
      </c>
      <c r="AA16" s="513">
        <v>4882</v>
      </c>
      <c r="AB16" s="513">
        <v>237485</v>
      </c>
      <c r="AC16" s="513">
        <v>747</v>
      </c>
      <c r="AD16" s="513">
        <v>5</v>
      </c>
      <c r="AE16" s="513">
        <v>4111</v>
      </c>
      <c r="AF16" s="513">
        <v>67</v>
      </c>
      <c r="AG16" s="513">
        <v>69</v>
      </c>
      <c r="AH16" s="513">
        <v>8</v>
      </c>
      <c r="AI16" s="514">
        <v>1</v>
      </c>
    </row>
    <row r="17">
      <c r="A17" s="498"/>
      <c r="B17" s="540" t="s">
        <v>271</v>
      </c>
      <c r="C17" s="537" t="s">
        <v>273</v>
      </c>
      <c r="D17" s="541">
        <v>2588.666</v>
      </c>
      <c r="E17" s="542">
        <v>8</v>
      </c>
      <c r="F17" s="519">
        <v>2835.5999999999985</v>
      </c>
      <c r="G17" s="504">
        <f t="shared" si="439"/>
      </c>
      <c r="H17" s="505">
        <f t="shared" si="340"/>
      </c>
      <c r="I17" s="506">
        <f t="shared" si="276"/>
      </c>
      <c r="J17" s="507">
        <f t="shared" si="212"/>
      </c>
      <c r="K17" s="508">
        <f t="shared" si="118"/>
      </c>
      <c r="L17" s="505">
        <f t="shared" si="73"/>
      </c>
      <c r="M17" s="505">
        <f t="shared" si="1"/>
      </c>
      <c r="N17" s="509">
        <f t="shared" si="533"/>
      </c>
      <c r="O17" s="509">
        <f t="shared" si="565"/>
      </c>
      <c r="P17" s="509">
        <f t="shared" si="470"/>
      </c>
      <c r="Q17" s="509">
        <f t="shared" si="403"/>
      </c>
      <c r="R17" s="505">
        <f t="shared" si="307"/>
      </c>
      <c r="S17" s="507">
        <f t="shared" si="243"/>
      </c>
      <c r="T17" s="509">
        <f t="shared" si="180"/>
      </c>
      <c r="U17" s="509">
        <f t="shared" si="110"/>
      </c>
      <c r="V17" s="509">
        <f t="shared" si="36"/>
      </c>
      <c r="W17" s="509">
        <f t="shared" si="596"/>
      </c>
      <c r="X17" s="520" t="s">
        <v>255</v>
      </c>
      <c r="Y17" s="511" t="s">
        <v>267</v>
      </c>
      <c r="Z17" s="513">
        <v>603465</v>
      </c>
      <c r="AA17" s="513">
        <v>5460</v>
      </c>
      <c r="AB17" s="513">
        <v>398184</v>
      </c>
      <c r="AC17" s="513">
        <v>727</v>
      </c>
      <c r="AD17" s="513">
        <v>6</v>
      </c>
      <c r="AE17" s="513">
        <v>5320</v>
      </c>
      <c r="AF17" s="513">
        <v>67</v>
      </c>
      <c r="AG17" s="513">
        <v>62</v>
      </c>
      <c r="AH17" s="513">
        <v>3</v>
      </c>
      <c r="AI17" s="514">
        <v>2</v>
      </c>
    </row>
    <row r="18">
      <c r="A18" s="498"/>
      <c r="B18" s="540" t="s">
        <v>271</v>
      </c>
      <c r="C18" s="537" t="s">
        <v>274</v>
      </c>
      <c r="D18" s="541">
        <v>2474.705</v>
      </c>
      <c r="E18" s="542">
        <v>7</v>
      </c>
      <c r="F18" s="519">
        <v>3272.7999999999993</v>
      </c>
      <c r="G18" s="504">
        <f t="shared" si="439"/>
      </c>
      <c r="H18" s="505">
        <f t="shared" si="340"/>
      </c>
      <c r="I18" s="506">
        <f t="shared" si="276"/>
      </c>
      <c r="J18" s="507">
        <f t="shared" si="212"/>
      </c>
      <c r="K18" s="508">
        <f t="shared" si="118"/>
      </c>
      <c r="L18" s="505">
        <f t="shared" si="73"/>
      </c>
      <c r="M18" s="505">
        <f t="shared" si="1"/>
      </c>
      <c r="N18" s="509">
        <f t="shared" si="533"/>
      </c>
      <c r="O18" s="509">
        <f t="shared" si="565"/>
      </c>
      <c r="P18" s="509">
        <f t="shared" si="470"/>
      </c>
      <c r="Q18" s="509">
        <f t="shared" si="403"/>
      </c>
      <c r="R18" s="505">
        <f t="shared" si="307"/>
      </c>
      <c r="S18" s="507">
        <f t="shared" si="243"/>
      </c>
      <c r="T18" s="509">
        <f t="shared" si="180"/>
      </c>
      <c r="U18" s="509">
        <f t="shared" si="110"/>
      </c>
      <c r="V18" s="509">
        <f t="shared" si="36"/>
      </c>
      <c r="W18" s="509">
        <f t="shared" si="596"/>
      </c>
      <c r="X18" s="520" t="s">
        <v>255</v>
      </c>
      <c r="Y18" s="511" t="s">
        <v>267</v>
      </c>
      <c r="Z18" s="513">
        <v>607468</v>
      </c>
      <c r="AA18" s="513">
        <v>5181</v>
      </c>
      <c r="AB18" s="513">
        <v>405994</v>
      </c>
      <c r="AC18" s="513">
        <v>818</v>
      </c>
      <c r="AD18" s="513">
        <v>3</v>
      </c>
      <c r="AE18" s="513">
        <v>5266</v>
      </c>
      <c r="AF18" s="513">
        <v>57</v>
      </c>
      <c r="AG18" s="513">
        <v>68</v>
      </c>
      <c r="AH18" s="514">
        <v>6</v>
      </c>
      <c r="AI18" s="514">
        <v>1</v>
      </c>
    </row>
    <row r="19">
      <c r="A19" s="498"/>
      <c r="B19" s="540" t="s">
        <v>271</v>
      </c>
      <c r="C19" s="537" t="s">
        <v>275</v>
      </c>
      <c r="D19" s="541">
        <v>2429.6049999999996</v>
      </c>
      <c r="E19" s="542">
        <v>3</v>
      </c>
      <c r="F19" s="519">
        <v>1180.2000000000007</v>
      </c>
      <c r="G19" s="504">
        <f t="shared" si="439"/>
      </c>
      <c r="H19" s="505">
        <f t="shared" si="340"/>
      </c>
      <c r="I19" s="506">
        <f t="shared" si="276"/>
      </c>
      <c r="J19" s="507">
        <f t="shared" si="212"/>
      </c>
      <c r="K19" s="508">
        <f t="shared" si="118"/>
      </c>
      <c r="L19" s="505">
        <f t="shared" si="73"/>
      </c>
      <c r="M19" s="505">
        <f t="shared" si="1"/>
      </c>
      <c r="N19" s="509">
        <f t="shared" si="533"/>
      </c>
      <c r="O19" s="509">
        <f t="shared" si="565"/>
      </c>
      <c r="P19" s="509">
        <f t="shared" si="470"/>
      </c>
      <c r="Q19" s="509">
        <f t="shared" si="403"/>
      </c>
      <c r="R19" s="505">
        <f t="shared" si="307"/>
      </c>
      <c r="S19" s="507">
        <f t="shared" si="243"/>
      </c>
      <c r="T19" s="509">
        <f t="shared" si="180"/>
      </c>
      <c r="U19" s="509">
        <f t="shared" si="110"/>
      </c>
      <c r="V19" s="509">
        <f t="shared" si="36"/>
      </c>
      <c r="W19" s="509">
        <f t="shared" si="596"/>
      </c>
      <c r="X19" s="520" t="s">
        <v>255</v>
      </c>
      <c r="Y19" s="511" t="s">
        <v>267</v>
      </c>
      <c r="Z19" s="513">
        <v>526881</v>
      </c>
      <c r="AA19" s="513">
        <v>3768</v>
      </c>
      <c r="AB19" s="513">
        <v>489868</v>
      </c>
      <c r="AC19" s="513">
        <v>452</v>
      </c>
      <c r="AD19" s="513">
        <v>4</v>
      </c>
      <c r="AE19" s="513">
        <v>6084</v>
      </c>
      <c r="AF19" s="513">
        <v>56</v>
      </c>
      <c r="AG19" s="513">
        <v>59</v>
      </c>
      <c r="AH19" s="513">
        <v>9</v>
      </c>
      <c r="AI19" s="514">
        <v>1</v>
      </c>
    </row>
    <row r="20">
      <c r="A20" s="498"/>
      <c r="B20" s="538" t="s">
        <v>261</v>
      </c>
      <c r="C20" s="538"/>
      <c r="D20" s="522">
        <f>SUM(D16:D19)</f>
      </c>
      <c r="E20" s="523">
        <f>SUM(E16:E19)</f>
      </c>
      <c r="F20" s="522">
        <f>SUM(F16:F19)</f>
      </c>
      <c r="G20" s="522">
        <f t="shared" si="439"/>
      </c>
      <c r="H20" s="524">
        <f t="shared" si="340"/>
      </c>
      <c r="I20" s="525">
        <f t="shared" si="276"/>
      </c>
      <c r="J20" s="526">
        <f t="shared" si="212"/>
      </c>
      <c r="K20" s="527">
        <f t="shared" si="118"/>
      </c>
      <c r="L20" s="524">
        <f t="shared" si="73"/>
      </c>
      <c r="M20" s="524">
        <f t="shared" si="1"/>
      </c>
      <c r="N20" s="528">
        <f t="shared" si="533"/>
      </c>
      <c r="O20" s="528">
        <f t="shared" si="565"/>
      </c>
      <c r="P20" s="528">
        <f t="shared" si="470"/>
      </c>
      <c r="Q20" s="528">
        <f t="shared" si="403"/>
      </c>
      <c r="R20" s="524">
        <f t="shared" si="307"/>
      </c>
      <c r="S20" s="526">
        <f t="shared" si="243"/>
      </c>
      <c r="T20" s="528">
        <f t="shared" si="180"/>
      </c>
      <c r="U20" s="528">
        <f t="shared" si="110"/>
      </c>
      <c r="V20" s="528">
        <f t="shared" si="36"/>
      </c>
      <c r="W20" s="528">
        <f t="shared" si="596"/>
      </c>
      <c r="X20" s="528"/>
      <c r="Y20" s="529"/>
      <c r="Z20" s="522">
        <f>SUM(Z16:Z19)</f>
      </c>
      <c r="AA20" s="522">
        <f>SUM(AA16:AA19)</f>
      </c>
      <c r="AB20" s="522">
        <f>SUM(AB16:AB19)</f>
      </c>
      <c r="AC20" s="522">
        <f>SUM(AC16:AC19)</f>
      </c>
      <c r="AD20" s="522">
        <f>SUM(AD16:AD19)</f>
      </c>
      <c r="AE20" s="522">
        <f>SUM(AE16:AE19)</f>
      </c>
      <c r="AF20" s="522">
        <f>SUM(AF16:AF19)</f>
      </c>
      <c r="AG20" s="522">
        <f>SUM(AG16:AG19)</f>
      </c>
      <c r="AH20" s="522">
        <f>SUM(AH16:AH19)</f>
      </c>
      <c r="AI20" s="522">
        <f>SUM(AI16:AI19)</f>
      </c>
    </row>
    <row r="21">
      <c r="A21" s="498"/>
      <c r="B21" s="543" t="s">
        <v>276</v>
      </c>
      <c r="C21" s="543"/>
      <c r="D21" s="544">
        <f>SUM(D20+D15+D12+D7)</f>
      </c>
      <c r="E21" s="544">
        <f>SUM(E20+E15+E12+E7)</f>
      </c>
      <c r="F21" s="544">
        <f>SUM(F20+F15+F12+F7)</f>
      </c>
      <c r="G21" s="544">
        <f t="shared" si="439"/>
      </c>
      <c r="H21" s="545">
        <f t="shared" si="340"/>
      </c>
      <c r="I21" s="546">
        <f t="shared" si="276"/>
      </c>
      <c r="J21" s="547">
        <f t="shared" si="212"/>
      </c>
      <c r="K21" s="548">
        <f t="shared" si="118"/>
      </c>
      <c r="L21" s="548">
        <f t="shared" si="73"/>
      </c>
      <c r="M21" s="549">
        <f t="shared" si="1"/>
      </c>
      <c r="N21" s="550">
        <f t="shared" si="533"/>
      </c>
      <c r="O21" s="550">
        <f t="shared" si="565"/>
      </c>
      <c r="P21" s="550">
        <f t="shared" si="470"/>
      </c>
      <c r="Q21" s="550">
        <f t="shared" si="403"/>
      </c>
      <c r="R21" s="549">
        <f t="shared" si="307"/>
      </c>
      <c r="S21" s="551">
        <f t="shared" si="243"/>
      </c>
      <c r="T21" s="552">
        <f t="shared" si="180"/>
      </c>
      <c r="U21" s="552">
        <f t="shared" si="110"/>
      </c>
      <c r="V21" s="552">
        <f t="shared" si="36"/>
      </c>
      <c r="W21" s="552">
        <f t="shared" si="596"/>
      </c>
      <c r="X21" s="552"/>
      <c r="Y21" s="553"/>
      <c r="Z21" s="544">
        <f>SUM(Z20+Z15+Z12+Z7)</f>
      </c>
      <c r="AA21" s="544">
        <f>SUM(AA20+AA15+AA12+AA7)</f>
      </c>
      <c r="AB21" s="544">
        <f>SUM(AB20+AB15+AB12+AB7)</f>
      </c>
      <c r="AC21" s="544">
        <f>SUM(AC20+AC15+AC12+AC7)</f>
      </c>
      <c r="AD21" s="544">
        <f>SUM(AD20+AD15+AD12+AD7)</f>
      </c>
      <c r="AE21" s="544">
        <f>SUM(AE20+AE15+AE12+AE7)</f>
      </c>
      <c r="AF21" s="544">
        <f>SUM(AF20+AF15+AF12+AF7)</f>
      </c>
      <c r="AG21" s="544">
        <f>SUM(AG20+AG15+AG12+AG7)</f>
      </c>
      <c r="AH21" s="544">
        <f>SUM(AH20+AH15+AH12+AH7)</f>
      </c>
      <c r="AI21" s="544">
        <f>SUM(AI20+AI15+AI12+AI7)</f>
      </c>
    </row>
    <row r="22">
      <c r="A22" s="485" t="s">
        <v>218</v>
      </c>
      <c r="B22" s="485" t="s">
        <v>219</v>
      </c>
      <c r="C22" s="486" t="s">
        <v>220</v>
      </c>
      <c r="D22" s="487" t="s">
        <v>221</v>
      </c>
      <c r="E22" s="488" t="s">
        <v>222</v>
      </c>
      <c r="F22" s="489" t="s">
        <v>223</v>
      </c>
      <c r="G22" s="489" t="s">
        <v>224</v>
      </c>
      <c r="H22" s="490" t="s">
        <v>225</v>
      </c>
      <c r="I22" s="490" t="s">
        <v>226</v>
      </c>
      <c r="J22" s="490" t="s">
        <v>227</v>
      </c>
      <c r="K22" s="491" t="s">
        <v>228</v>
      </c>
      <c r="L22" s="491" t="s">
        <v>229</v>
      </c>
      <c r="M22" s="491" t="s">
        <v>230</v>
      </c>
      <c r="N22" s="491" t="s">
        <v>231</v>
      </c>
      <c r="O22" s="491" t="s">
        <v>232</v>
      </c>
      <c r="P22" s="491" t="s">
        <v>233</v>
      </c>
      <c r="Q22" s="491" t="s">
        <v>234</v>
      </c>
      <c r="R22" s="491" t="s">
        <v>235</v>
      </c>
      <c r="S22" s="491" t="s">
        <v>236</v>
      </c>
      <c r="T22" s="492" t="s">
        <v>237</v>
      </c>
      <c r="U22" s="492" t="s">
        <v>238</v>
      </c>
      <c r="V22" s="492" t="s">
        <v>239</v>
      </c>
      <c r="W22" s="492" t="s">
        <v>240</v>
      </c>
      <c r="X22" s="493" t="s">
        <v>241</v>
      </c>
      <c r="Y22" s="493" t="s">
        <v>242</v>
      </c>
      <c r="Z22" s="494" t="s">
        <v>243</v>
      </c>
      <c r="AA22" s="494" t="s">
        <v>244</v>
      </c>
      <c r="AB22" s="494" t="s">
        <v>245</v>
      </c>
      <c r="AC22" s="495" t="s">
        <v>246</v>
      </c>
      <c r="AD22" s="495" t="s">
        <v>247</v>
      </c>
      <c r="AE22" s="496" t="s">
        <v>248</v>
      </c>
      <c r="AF22" s="495" t="s">
        <v>249</v>
      </c>
      <c r="AG22" s="495" t="s">
        <v>250</v>
      </c>
      <c r="AH22" s="497" t="s">
        <v>251</v>
      </c>
      <c r="AI22" s="495" t="s">
        <v>252</v>
      </c>
    </row>
    <row r="23">
      <c r="A23" s="498">
        <v>46205</v>
      </c>
      <c r="B23" s="530" t="s">
        <v>262</v>
      </c>
      <c r="C23" s="500" t="s">
        <v>254</v>
      </c>
      <c r="D23" s="501">
        <v>904.951</v>
      </c>
      <c r="E23" s="502">
        <v>1</v>
      </c>
      <c r="F23" s="503">
        <v>228</v>
      </c>
      <c r="G23" s="504">
        <f t="shared" ref="G23:G40" si="440">D23/AD23</f>
      </c>
      <c r="H23" s="505">
        <f t="shared" ref="H23:H40" si="341">F23/E23</f>
      </c>
      <c r="I23" s="506">
        <f t="shared" ref="I23:I40" si="277">D23/E23</f>
      </c>
      <c r="J23" s="507">
        <f t="shared" ref="J23:J40" si="213">F23/D23</f>
      </c>
      <c r="K23" s="508">
        <f t="shared" ref="K23:K30" si="119">D23/AB23</f>
      </c>
      <c r="L23" s="505">
        <f t="shared" ref="L23:L30" si="74">D23/AC23</f>
      </c>
      <c r="M23" s="505">
        <f t="shared" ref="M23:M30" si="2">D23/AD23</f>
      </c>
      <c r="N23" s="509">
        <f t="shared" ref="N23:N30" si="534">AC23/AB23</f>
      </c>
      <c r="O23" s="509">
        <f t="shared" ref="O23:O40" si="566">AD23/AC23</f>
      </c>
      <c r="P23" s="509">
        <f t="shared" ref="P23:P40" si="471">AA23/Z23</f>
      </c>
      <c r="Q23" s="509">
        <f t="shared" ref="Q23:Q30" si="404">AD23/AA23</f>
      </c>
      <c r="R23" s="505">
        <f t="shared" ref="R23:R40" si="308">D23/Z23*1000</f>
      </c>
      <c r="S23" s="507">
        <f t="shared" ref="S23:S40" si="244">D23/AA23</f>
      </c>
      <c r="T23" s="509">
        <f t="shared" ref="T23:T30" si="181">AE23/AB23</f>
      </c>
      <c r="U23" s="509">
        <f t="shared" ref="U23:U30" si="111">AF23/AB23</f>
      </c>
      <c r="V23" s="509">
        <f t="shared" ref="V23:V30" si="37">AG23/AB23</f>
      </c>
      <c r="W23" s="509">
        <f t="shared" ref="W23:W40" si="597">AH23/AB23</f>
      </c>
      <c r="X23" s="510" t="s">
        <v>255</v>
      </c>
      <c r="Y23" s="511" t="s">
        <v>256</v>
      </c>
      <c r="Z23" s="512">
        <v>112677</v>
      </c>
      <c r="AA23" s="512">
        <v>1879</v>
      </c>
      <c r="AB23" s="512">
        <v>63378</v>
      </c>
      <c r="AC23" s="512">
        <v>248</v>
      </c>
      <c r="AD23" s="513">
        <v>1</v>
      </c>
      <c r="AE23" s="512">
        <v>3387</v>
      </c>
      <c r="AF23" s="513">
        <v>52</v>
      </c>
      <c r="AG23" s="513">
        <v>27</v>
      </c>
      <c r="AH23" s="513">
        <v>4</v>
      </c>
      <c r="AI23" s="514">
        <v>0</v>
      </c>
    </row>
    <row r="24">
      <c r="A24" s="498"/>
      <c r="B24" s="530" t="s">
        <v>262</v>
      </c>
      <c r="C24" s="500" t="s">
        <v>257</v>
      </c>
      <c r="D24" s="501">
        <v>1688.446</v>
      </c>
      <c r="E24" s="502">
        <v>2</v>
      </c>
      <c r="F24" s="503">
        <v>456</v>
      </c>
      <c r="G24" s="504">
        <f t="shared" si="440"/>
      </c>
      <c r="H24" s="505">
        <f t="shared" si="341"/>
      </c>
      <c r="I24" s="506">
        <f t="shared" si="277"/>
      </c>
      <c r="J24" s="507">
        <f t="shared" si="213"/>
      </c>
      <c r="K24" s="508">
        <f t="shared" si="119"/>
      </c>
      <c r="L24" s="505">
        <f t="shared" si="74"/>
      </c>
      <c r="M24" s="505">
        <f t="shared" si="2"/>
      </c>
      <c r="N24" s="509">
        <f t="shared" si="534"/>
      </c>
      <c r="O24" s="509">
        <f t="shared" si="566"/>
      </c>
      <c r="P24" s="509">
        <f t="shared" si="471"/>
      </c>
      <c r="Q24" s="509">
        <f t="shared" si="404"/>
      </c>
      <c r="R24" s="505">
        <f t="shared" si="308"/>
      </c>
      <c r="S24" s="507">
        <f t="shared" si="244"/>
      </c>
      <c r="T24" s="509">
        <f t="shared" si="181"/>
      </c>
      <c r="U24" s="509">
        <f t="shared" si="111"/>
      </c>
      <c r="V24" s="509">
        <f t="shared" si="37"/>
      </c>
      <c r="W24" s="509">
        <f t="shared" si="597"/>
      </c>
      <c r="X24" s="510" t="s">
        <v>255</v>
      </c>
      <c r="Y24" s="511" t="s">
        <v>256</v>
      </c>
      <c r="Z24" s="513">
        <v>243126</v>
      </c>
      <c r="AA24" s="512">
        <v>3005</v>
      </c>
      <c r="AB24" s="512">
        <v>171146</v>
      </c>
      <c r="AC24" s="512">
        <v>418</v>
      </c>
      <c r="AD24" s="513">
        <v>3</v>
      </c>
      <c r="AE24" s="512">
        <v>6055</v>
      </c>
      <c r="AF24" s="513">
        <v>110</v>
      </c>
      <c r="AG24" s="513">
        <v>62</v>
      </c>
      <c r="AH24" s="514">
        <v>9</v>
      </c>
      <c r="AI24" s="514">
        <v>0</v>
      </c>
    </row>
    <row r="25">
      <c r="A25" s="498"/>
      <c r="B25" s="530" t="s">
        <v>262</v>
      </c>
      <c r="C25" s="515" t="s">
        <v>258</v>
      </c>
      <c r="D25" s="501">
        <v>1677.12</v>
      </c>
      <c r="E25" s="502">
        <v>2</v>
      </c>
      <c r="F25" s="503">
        <v>1056</v>
      </c>
      <c r="G25" s="504">
        <f t="shared" si="440"/>
      </c>
      <c r="H25" s="505">
        <f t="shared" si="341"/>
      </c>
      <c r="I25" s="506">
        <f t="shared" si="277"/>
      </c>
      <c r="J25" s="507">
        <f t="shared" si="213"/>
      </c>
      <c r="K25" s="508">
        <f t="shared" si="119"/>
      </c>
      <c r="L25" s="505">
        <f t="shared" si="74"/>
      </c>
      <c r="M25" s="505">
        <f t="shared" si="2"/>
      </c>
      <c r="N25" s="509">
        <f t="shared" si="534"/>
      </c>
      <c r="O25" s="509">
        <f t="shared" si="566"/>
      </c>
      <c r="P25" s="509">
        <f t="shared" si="471"/>
      </c>
      <c r="Q25" s="509">
        <f t="shared" si="404"/>
      </c>
      <c r="R25" s="505">
        <f t="shared" si="308"/>
      </c>
      <c r="S25" s="507">
        <f t="shared" si="244"/>
      </c>
      <c r="T25" s="509">
        <f t="shared" si="181"/>
      </c>
      <c r="U25" s="509">
        <f t="shared" si="111"/>
      </c>
      <c r="V25" s="509">
        <f t="shared" si="37"/>
      </c>
      <c r="W25" s="509">
        <f t="shared" si="597"/>
      </c>
      <c r="X25" s="510" t="s">
        <v>255</v>
      </c>
      <c r="Y25" s="511" t="s">
        <v>256</v>
      </c>
      <c r="Z25" s="513">
        <v>282945</v>
      </c>
      <c r="AA25" s="512">
        <v>2812</v>
      </c>
      <c r="AB25" s="512">
        <v>213579</v>
      </c>
      <c r="AC25" s="512">
        <v>399</v>
      </c>
      <c r="AD25" s="513">
        <v>2</v>
      </c>
      <c r="AE25" s="512">
        <v>4750</v>
      </c>
      <c r="AF25" s="513">
        <v>52</v>
      </c>
      <c r="AG25" s="513">
        <v>46</v>
      </c>
      <c r="AH25" s="513">
        <v>2</v>
      </c>
      <c r="AI25" s="514">
        <v>0</v>
      </c>
    </row>
    <row r="26">
      <c r="A26" s="498"/>
      <c r="B26" s="530" t="s">
        <v>262</v>
      </c>
      <c r="C26" s="516" t="s">
        <v>259</v>
      </c>
      <c r="D26" s="501">
        <v>1851.829</v>
      </c>
      <c r="E26" s="502">
        <v>4</v>
      </c>
      <c r="F26" s="503">
        <v>1501.2000000000003</v>
      </c>
      <c r="G26" s="504">
        <f t="shared" si="440"/>
      </c>
      <c r="H26" s="505">
        <f t="shared" si="341"/>
      </c>
      <c r="I26" s="506">
        <f t="shared" si="277"/>
      </c>
      <c r="J26" s="507">
        <f t="shared" si="213"/>
      </c>
      <c r="K26" s="508">
        <f t="shared" si="119"/>
      </c>
      <c r="L26" s="505">
        <f t="shared" si="74"/>
      </c>
      <c r="M26" s="505">
        <f t="shared" si="2"/>
      </c>
      <c r="N26" s="509">
        <f t="shared" si="534"/>
      </c>
      <c r="O26" s="509">
        <f t="shared" si="566"/>
      </c>
      <c r="P26" s="509">
        <f t="shared" si="471"/>
      </c>
      <c r="Q26" s="509">
        <f t="shared" si="404"/>
      </c>
      <c r="R26" s="505">
        <f t="shared" si="308"/>
      </c>
      <c r="S26" s="507">
        <f t="shared" si="244"/>
      </c>
      <c r="T26" s="509">
        <f t="shared" si="181"/>
      </c>
      <c r="U26" s="509">
        <f t="shared" si="111"/>
      </c>
      <c r="V26" s="509">
        <f t="shared" si="37"/>
      </c>
      <c r="W26" s="509">
        <f t="shared" si="597"/>
      </c>
      <c r="X26" s="504" t="s">
        <v>255</v>
      </c>
      <c r="Y26" s="511" t="s">
        <v>256</v>
      </c>
      <c r="Z26" s="513">
        <v>300168</v>
      </c>
      <c r="AA26" s="513">
        <v>3049</v>
      </c>
      <c r="AB26" s="513">
        <v>254958</v>
      </c>
      <c r="AC26" s="513">
        <v>344</v>
      </c>
      <c r="AD26" s="513">
        <v>3</v>
      </c>
      <c r="AE26" s="513">
        <v>4974</v>
      </c>
      <c r="AF26" s="513">
        <v>40</v>
      </c>
      <c r="AG26" s="513">
        <v>52</v>
      </c>
      <c r="AH26" s="514">
        <v>6</v>
      </c>
      <c r="AI26" s="514">
        <v>1</v>
      </c>
    </row>
    <row r="27">
      <c r="A27" s="498"/>
      <c r="B27" s="530" t="s">
        <v>262</v>
      </c>
      <c r="C27" s="516" t="s">
        <v>260</v>
      </c>
      <c r="D27" s="517">
        <v>2124.669</v>
      </c>
      <c r="E27" s="518">
        <v>5</v>
      </c>
      <c r="F27" s="519">
        <v>1676.0000000000005</v>
      </c>
      <c r="G27" s="504">
        <f t="shared" si="440"/>
      </c>
      <c r="H27" s="505">
        <f t="shared" si="341"/>
      </c>
      <c r="I27" s="506">
        <f t="shared" si="277"/>
      </c>
      <c r="J27" s="507">
        <f t="shared" si="213"/>
      </c>
      <c r="K27" s="508">
        <f t="shared" si="119"/>
      </c>
      <c r="L27" s="505">
        <f t="shared" si="74"/>
      </c>
      <c r="M27" s="505">
        <f t="shared" si="2"/>
      </c>
      <c r="N27" s="509">
        <f t="shared" si="534"/>
      </c>
      <c r="O27" s="509">
        <f t="shared" si="566"/>
      </c>
      <c r="P27" s="509">
        <f t="shared" si="471"/>
      </c>
      <c r="Q27" s="509">
        <f t="shared" si="404"/>
      </c>
      <c r="R27" s="505">
        <f t="shared" si="308"/>
      </c>
      <c r="S27" s="507">
        <f t="shared" si="244"/>
      </c>
      <c r="T27" s="509">
        <f t="shared" si="181"/>
      </c>
      <c r="U27" s="509">
        <f t="shared" si="111"/>
      </c>
      <c r="V27" s="509">
        <f t="shared" si="37"/>
      </c>
      <c r="W27" s="509">
        <f t="shared" si="597"/>
      </c>
      <c r="X27" s="520" t="s">
        <v>255</v>
      </c>
      <c r="Y27" s="511" t="s">
        <v>256</v>
      </c>
      <c r="Z27" s="513">
        <v>404635</v>
      </c>
      <c r="AA27" s="513">
        <v>3096</v>
      </c>
      <c r="AB27" s="513">
        <v>353083</v>
      </c>
      <c r="AC27" s="513">
        <v>369</v>
      </c>
      <c r="AD27" s="513">
        <v>5</v>
      </c>
      <c r="AE27" s="513">
        <v>5415</v>
      </c>
      <c r="AF27" s="513">
        <v>54</v>
      </c>
      <c r="AG27" s="513">
        <v>45</v>
      </c>
      <c r="AH27" s="514">
        <v>9</v>
      </c>
      <c r="AI27" s="514">
        <v>0</v>
      </c>
    </row>
    <row r="28">
      <c r="A28" s="498"/>
      <c r="B28" s="521" t="s">
        <v>261</v>
      </c>
      <c r="C28" s="521"/>
      <c r="D28" s="522">
        <f>SUM(D23:D27)</f>
      </c>
      <c r="E28" s="523">
        <f>SUM(E23:E27)</f>
      </c>
      <c r="F28" s="522">
        <f>SUM(F23:F27)</f>
      </c>
      <c r="G28" s="522">
        <f t="shared" si="440"/>
      </c>
      <c r="H28" s="524">
        <f t="shared" si="341"/>
      </c>
      <c r="I28" s="525">
        <f t="shared" si="277"/>
      </c>
      <c r="J28" s="526">
        <f t="shared" si="213"/>
      </c>
      <c r="K28" s="527">
        <f t="shared" si="119"/>
      </c>
      <c r="L28" s="524">
        <f t="shared" si="74"/>
      </c>
      <c r="M28" s="524">
        <f t="shared" si="2"/>
      </c>
      <c r="N28" s="528">
        <f t="shared" si="534"/>
      </c>
      <c r="O28" s="528">
        <f t="shared" si="566"/>
      </c>
      <c r="P28" s="528">
        <f t="shared" si="471"/>
      </c>
      <c r="Q28" s="528">
        <f t="shared" si="404"/>
      </c>
      <c r="R28" s="524">
        <f t="shared" si="308"/>
      </c>
      <c r="S28" s="526">
        <f t="shared" si="244"/>
      </c>
      <c r="T28" s="528">
        <f t="shared" si="181"/>
      </c>
      <c r="U28" s="528">
        <f t="shared" si="111"/>
      </c>
      <c r="V28" s="528">
        <f t="shared" si="37"/>
      </c>
      <c r="W28" s="528">
        <f t="shared" si="597"/>
      </c>
      <c r="X28" s="528"/>
      <c r="Y28" s="529"/>
      <c r="Z28" s="522">
        <f>SUM(Z23:Z27)</f>
      </c>
      <c r="AA28" s="522">
        <f>SUM(AA23:AA27)</f>
      </c>
      <c r="AB28" s="522">
        <f>SUM(AB23:AB27)</f>
      </c>
      <c r="AC28" s="522">
        <f>SUM(AC23:AC27)</f>
      </c>
      <c r="AD28" s="522">
        <f>SUM(AD23:AD27)</f>
      </c>
      <c r="AE28" s="522">
        <f>SUM(AE23:AE27)</f>
      </c>
      <c r="AF28" s="522">
        <f>SUM(AF23:AF27)</f>
      </c>
      <c r="AG28" s="522">
        <f>SUM(AG23:AG27)</f>
      </c>
      <c r="AH28" s="522">
        <f>SUM(AH23:AH27)</f>
      </c>
      <c r="AI28" s="522">
        <f>SUM(AI23:AI27)</f>
      </c>
    </row>
    <row r="29">
      <c r="A29" s="498"/>
      <c r="B29" s="499" t="s">
        <v>277</v>
      </c>
      <c r="C29" s="531" t="s">
        <v>263</v>
      </c>
      <c r="D29" s="532">
        <v>1923.022</v>
      </c>
      <c r="E29" s="502">
        <v>3</v>
      </c>
      <c r="F29" s="503">
        <v>1845.6000000000004</v>
      </c>
      <c r="G29" s="504">
        <f t="shared" si="440"/>
      </c>
      <c r="H29" s="505">
        <f t="shared" si="341"/>
      </c>
      <c r="I29" s="506">
        <f t="shared" si="277"/>
      </c>
      <c r="J29" s="507">
        <f t="shared" si="213"/>
      </c>
      <c r="K29" s="508">
        <f t="shared" si="119"/>
      </c>
      <c r="L29" s="505">
        <f t="shared" si="74"/>
      </c>
      <c r="M29" s="505">
        <f t="shared" si="2"/>
      </c>
      <c r="N29" s="509">
        <f t="shared" si="534"/>
      </c>
      <c r="O29" s="509">
        <f t="shared" si="566"/>
      </c>
      <c r="P29" s="509">
        <f t="shared" si="471"/>
      </c>
      <c r="Q29" s="509">
        <f t="shared" si="404"/>
      </c>
      <c r="R29" s="505">
        <f t="shared" si="308"/>
      </c>
      <c r="S29" s="507">
        <f t="shared" si="244"/>
      </c>
      <c r="T29" s="509">
        <f t="shared" si="181"/>
      </c>
      <c r="U29" s="509">
        <f t="shared" si="111"/>
      </c>
      <c r="V29" s="509">
        <f t="shared" si="37"/>
      </c>
      <c r="W29" s="509">
        <f t="shared" si="597"/>
      </c>
      <c r="X29" s="520" t="s">
        <v>255</v>
      </c>
      <c r="Y29" s="511" t="s">
        <v>256</v>
      </c>
      <c r="Z29" s="512">
        <v>307735</v>
      </c>
      <c r="AA29" s="512">
        <v>4804</v>
      </c>
      <c r="AB29" s="512">
        <v>233387</v>
      </c>
      <c r="AC29" s="513">
        <v>507</v>
      </c>
      <c r="AD29" s="513">
        <v>3</v>
      </c>
      <c r="AE29" s="512">
        <v>6230</v>
      </c>
      <c r="AF29" s="513">
        <v>87</v>
      </c>
      <c r="AG29" s="513">
        <v>74</v>
      </c>
      <c r="AH29" s="513">
        <v>19</v>
      </c>
      <c r="AI29" s="514">
        <v>0</v>
      </c>
    </row>
    <row r="30">
      <c r="A30" s="498"/>
      <c r="B30" s="499" t="s">
        <v>277</v>
      </c>
      <c r="C30" s="533" t="s">
        <v>264</v>
      </c>
      <c r="D30" s="532">
        <v>2564.803</v>
      </c>
      <c r="E30" s="518">
        <v>7</v>
      </c>
      <c r="F30" s="519">
        <v>1499.6000000000004</v>
      </c>
      <c r="G30" s="504">
        <f t="shared" si="440"/>
      </c>
      <c r="H30" s="505">
        <f t="shared" si="341"/>
      </c>
      <c r="I30" s="506">
        <f t="shared" si="277"/>
      </c>
      <c r="J30" s="507">
        <f t="shared" si="213"/>
      </c>
      <c r="K30" s="508">
        <f t="shared" si="119"/>
      </c>
      <c r="L30" s="505">
        <f t="shared" si="74"/>
      </c>
      <c r="M30" s="505">
        <f t="shared" si="2"/>
      </c>
      <c r="N30" s="509">
        <f t="shared" si="534"/>
      </c>
      <c r="O30" s="509">
        <f t="shared" si="566"/>
      </c>
      <c r="P30" s="509">
        <f t="shared" si="471"/>
      </c>
      <c r="Q30" s="509">
        <f t="shared" si="404"/>
      </c>
      <c r="R30" s="505">
        <f t="shared" si="308"/>
      </c>
      <c r="S30" s="507">
        <f t="shared" si="244"/>
      </c>
      <c r="T30" s="509">
        <f t="shared" si="181"/>
      </c>
      <c r="U30" s="509">
        <f t="shared" si="111"/>
      </c>
      <c r="V30" s="509">
        <f t="shared" si="37"/>
      </c>
      <c r="W30" s="509">
        <f t="shared" si="597"/>
      </c>
      <c r="X30" s="520" t="s">
        <v>255</v>
      </c>
      <c r="Y30" s="511" t="s">
        <v>256</v>
      </c>
      <c r="Z30" s="513">
        <v>406559</v>
      </c>
      <c r="AA30" s="513">
        <v>5852</v>
      </c>
      <c r="AB30" s="513">
        <v>253178</v>
      </c>
      <c r="AC30" s="513">
        <v>657</v>
      </c>
      <c r="AD30" s="513">
        <v>5</v>
      </c>
      <c r="AE30" s="513">
        <v>7351</v>
      </c>
      <c r="AF30" s="513">
        <v>123</v>
      </c>
      <c r="AG30" s="513">
        <v>104</v>
      </c>
      <c r="AH30" s="513">
        <v>13</v>
      </c>
      <c r="AI30" s="514">
        <v>2</v>
      </c>
    </row>
    <row r="31">
      <c r="A31" s="498"/>
      <c r="B31" s="499" t="s">
        <v>277</v>
      </c>
      <c r="C31" s="534" t="s">
        <v>265</v>
      </c>
      <c r="D31" s="535">
        <v>2281.046</v>
      </c>
      <c r="E31" s="502">
        <v>7</v>
      </c>
      <c r="F31" s="503">
        <v>1479.4999999999982</v>
      </c>
      <c r="G31" s="504">
        <f t="shared" si="440"/>
      </c>
      <c r="H31" s="505">
        <f t="shared" si="341"/>
      </c>
      <c r="I31" s="506">
        <f t="shared" si="277"/>
      </c>
      <c r="J31" s="507">
        <f t="shared" si="213"/>
      </c>
      <c r="K31" s="508">
        <f t="shared" ref="K31:K32" si="407">D31/AC31</f>
      </c>
      <c r="L31" s="505">
        <f t="shared" ref="L31:L32" si="310">D31/AD31</f>
      </c>
      <c r="M31" s="505">
        <f t="shared" ref="M31:M32" si="246">D31/AE31</f>
      </c>
      <c r="N31" s="509">
        <f t="shared" ref="N31:N32" si="211">AD31/AC31</f>
      </c>
      <c r="O31" s="509">
        <f t="shared" si="566"/>
      </c>
      <c r="P31" s="509">
        <f t="shared" si="471"/>
      </c>
      <c r="Q31" s="509">
        <f t="shared" ref="Q31:Q32" si="116">AE31/AA31</f>
      </c>
      <c r="R31" s="505">
        <f t="shared" si="308"/>
      </c>
      <c r="S31" s="507">
        <f t="shared" si="244"/>
      </c>
      <c r="T31" s="509">
        <f t="shared" ref="T31:T32" si="42">AF31/AC31</f>
      </c>
      <c r="U31" s="509">
        <f t="shared" ref="U31:U32" si="601">AG31/AC31</f>
      </c>
      <c r="V31" s="509">
        <f t="shared" ref="V31:V32" si="475">AH31/AC31</f>
      </c>
      <c r="W31" s="509">
        <f t="shared" si="597"/>
      </c>
      <c r="X31" s="520" t="s">
        <v>255</v>
      </c>
      <c r="Y31" s="511" t="s">
        <v>256</v>
      </c>
      <c r="Z31" s="513">
        <v>330523</v>
      </c>
      <c r="AA31" s="513">
        <v>5551</v>
      </c>
      <c r="AB31" s="513">
        <v>203299</v>
      </c>
      <c r="AC31" s="536">
        <v>654</v>
      </c>
      <c r="AD31" s="536">
        <v>4</v>
      </c>
      <c r="AE31" s="536">
        <v>6611</v>
      </c>
      <c r="AF31" s="536">
        <v>138</v>
      </c>
      <c r="AG31" s="536">
        <v>113</v>
      </c>
      <c r="AH31" s="536">
        <v>13</v>
      </c>
      <c r="AI31" s="514">
        <v>2</v>
      </c>
    </row>
    <row r="32">
      <c r="A32" s="498"/>
      <c r="B32" s="499" t="s">
        <v>277</v>
      </c>
      <c r="C32" s="537" t="s">
        <v>266</v>
      </c>
      <c r="D32" s="535">
        <v>2252.388</v>
      </c>
      <c r="E32" s="502">
        <v>3</v>
      </c>
      <c r="F32" s="503">
        <v>684.0000000000018</v>
      </c>
      <c r="G32" s="504">
        <f t="shared" si="440"/>
      </c>
      <c r="H32" s="505">
        <f t="shared" si="341"/>
      </c>
      <c r="I32" s="506">
        <f t="shared" si="277"/>
      </c>
      <c r="J32" s="507">
        <f t="shared" si="213"/>
      </c>
      <c r="K32" s="508">
        <f t="shared" si="407"/>
      </c>
      <c r="L32" s="505">
        <f t="shared" si="310"/>
      </c>
      <c r="M32" s="505">
        <f t="shared" si="246"/>
      </c>
      <c r="N32" s="509">
        <f t="shared" si="211"/>
      </c>
      <c r="O32" s="509">
        <f t="shared" si="566"/>
      </c>
      <c r="P32" s="509">
        <f t="shared" si="471"/>
      </c>
      <c r="Q32" s="509">
        <f t="shared" si="116"/>
      </c>
      <c r="R32" s="505">
        <f t="shared" si="308"/>
      </c>
      <c r="S32" s="507">
        <f t="shared" si="244"/>
      </c>
      <c r="T32" s="509">
        <f t="shared" si="42"/>
      </c>
      <c r="U32" s="509">
        <f t="shared" si="601"/>
      </c>
      <c r="V32" s="509">
        <f t="shared" si="475"/>
      </c>
      <c r="W32" s="509">
        <f t="shared" si="597"/>
      </c>
      <c r="X32" s="520" t="s">
        <v>255</v>
      </c>
      <c r="Y32" s="511" t="s">
        <v>267</v>
      </c>
      <c r="Z32" s="513">
        <v>312781</v>
      </c>
      <c r="AA32" s="513">
        <v>5249</v>
      </c>
      <c r="AB32" s="513">
        <v>173534</v>
      </c>
      <c r="AC32" s="536">
        <v>574</v>
      </c>
      <c r="AD32" s="536">
        <v>4</v>
      </c>
      <c r="AE32" s="536">
        <v>5402</v>
      </c>
      <c r="AF32" s="536">
        <v>126</v>
      </c>
      <c r="AG32" s="536">
        <v>87</v>
      </c>
      <c r="AH32" s="536">
        <v>8</v>
      </c>
      <c r="AI32" s="514">
        <v>0</v>
      </c>
    </row>
    <row r="33">
      <c r="A33" s="498"/>
      <c r="B33" s="499" t="s">
        <v>277</v>
      </c>
      <c r="C33" s="534" t="s">
        <v>269</v>
      </c>
      <c r="D33" s="532">
        <v>2068.583</v>
      </c>
      <c r="E33" s="518">
        <v>2</v>
      </c>
      <c r="F33" s="519">
        <v>424</v>
      </c>
      <c r="G33" s="504">
        <f t="shared" si="440"/>
      </c>
      <c r="H33" s="505">
        <f t="shared" si="341"/>
      </c>
      <c r="I33" s="506">
        <f t="shared" si="277"/>
      </c>
      <c r="J33" s="507">
        <f t="shared" si="213"/>
      </c>
      <c r="K33" s="508">
        <f t="shared" ref="K33:K40" si="120">D33/AB33</f>
      </c>
      <c r="L33" s="505">
        <f t="shared" ref="L33:L40" si="75">D33/AC33</f>
      </c>
      <c r="M33" s="505">
        <f t="shared" ref="M33:M40" si="3">D33/AD33</f>
      </c>
      <c r="N33" s="509">
        <f t="shared" ref="N33:N40" si="535">AC33/AB33</f>
      </c>
      <c r="O33" s="509">
        <f t="shared" si="566"/>
      </c>
      <c r="P33" s="509">
        <f t="shared" si="471"/>
      </c>
      <c r="Q33" s="509">
        <f t="shared" ref="Q33:Q40" si="405">AD33/AA33</f>
      </c>
      <c r="R33" s="505">
        <f t="shared" si="308"/>
      </c>
      <c r="S33" s="507">
        <f t="shared" si="244"/>
      </c>
      <c r="T33" s="509">
        <f t="shared" ref="T33:T40" si="182">AE33/AB33</f>
      </c>
      <c r="U33" s="509">
        <f t="shared" ref="U33:U40" si="112">AF33/AB33</f>
      </c>
      <c r="V33" s="509">
        <f t="shared" ref="V33:V40" si="38">AG33/AB33</f>
      </c>
      <c r="W33" s="509">
        <f t="shared" si="597"/>
      </c>
      <c r="X33" s="520" t="s">
        <v>255</v>
      </c>
      <c r="Y33" s="511" t="s">
        <v>267</v>
      </c>
      <c r="Z33" s="513">
        <v>332421</v>
      </c>
      <c r="AA33" s="513">
        <v>5105</v>
      </c>
      <c r="AB33" s="513">
        <v>265182</v>
      </c>
      <c r="AC33" s="513">
        <v>461</v>
      </c>
      <c r="AD33" s="513">
        <v>2</v>
      </c>
      <c r="AE33" s="513">
        <v>6415</v>
      </c>
      <c r="AF33" s="513">
        <v>93</v>
      </c>
      <c r="AG33" s="513">
        <v>98</v>
      </c>
      <c r="AH33" s="513">
        <v>9</v>
      </c>
      <c r="AI33" s="514">
        <v>0</v>
      </c>
    </row>
    <row r="34">
      <c r="A34" s="498"/>
      <c r="B34" s="538" t="s">
        <v>261</v>
      </c>
      <c r="C34" s="538"/>
      <c r="D34" s="522">
        <f>SUM(D29:D33)</f>
      </c>
      <c r="E34" s="523">
        <f>SUM(E29:E33)</f>
      </c>
      <c r="F34" s="522">
        <f>SUM(F29:F33)</f>
      </c>
      <c r="G34" s="522">
        <f t="shared" si="440"/>
      </c>
      <c r="H34" s="524">
        <f t="shared" si="341"/>
      </c>
      <c r="I34" s="525">
        <f t="shared" si="277"/>
      </c>
      <c r="J34" s="526">
        <f t="shared" si="213"/>
      </c>
      <c r="K34" s="527">
        <f t="shared" si="120"/>
      </c>
      <c r="L34" s="524">
        <f t="shared" si="75"/>
      </c>
      <c r="M34" s="524">
        <f t="shared" si="3"/>
      </c>
      <c r="N34" s="528">
        <f t="shared" si="535"/>
      </c>
      <c r="O34" s="528">
        <f t="shared" si="566"/>
      </c>
      <c r="P34" s="528">
        <f t="shared" si="471"/>
      </c>
      <c r="Q34" s="528">
        <f t="shared" si="405"/>
      </c>
      <c r="R34" s="524">
        <f t="shared" si="308"/>
      </c>
      <c r="S34" s="526">
        <f t="shared" si="244"/>
      </c>
      <c r="T34" s="528">
        <f t="shared" si="182"/>
      </c>
      <c r="U34" s="528">
        <f t="shared" si="112"/>
      </c>
      <c r="V34" s="528">
        <f t="shared" si="38"/>
      </c>
      <c r="W34" s="528">
        <f t="shared" si="597"/>
      </c>
      <c r="X34" s="528"/>
      <c r="Y34" s="529"/>
      <c r="Z34" s="522">
        <f>SUM(Z29:Z33)</f>
      </c>
      <c r="AA34" s="522">
        <f>SUM(AA29:AA33)</f>
      </c>
      <c r="AB34" s="522">
        <f>SUM(AB29:AB33)</f>
      </c>
      <c r="AC34" s="522">
        <f>SUM(AC29:AC33)</f>
      </c>
      <c r="AD34" s="522">
        <f>SUM(AD29:AD33)</f>
      </c>
      <c r="AE34" s="522">
        <f>SUM(AE29:AE33)</f>
      </c>
      <c r="AF34" s="522">
        <f>SUM(AF29:AF33)</f>
      </c>
      <c r="AG34" s="522">
        <f>SUM(AG29:AG33)</f>
      </c>
      <c r="AH34" s="522">
        <f>SUM(AH29:AH33)</f>
      </c>
      <c r="AI34" s="522">
        <f>SUM(AI29:AI33)</f>
      </c>
    </row>
    <row r="35">
      <c r="A35" s="498"/>
      <c r="B35" s="540" t="s">
        <v>271</v>
      </c>
      <c r="C35" s="534" t="s">
        <v>270</v>
      </c>
      <c r="D35" s="541">
        <v>1624.02</v>
      </c>
      <c r="E35" s="542">
        <v>3</v>
      </c>
      <c r="F35" s="519">
        <v>684</v>
      </c>
      <c r="G35" s="504">
        <f t="shared" si="440"/>
      </c>
      <c r="H35" s="505">
        <f t="shared" si="341"/>
      </c>
      <c r="I35" s="506">
        <f t="shared" si="277"/>
      </c>
      <c r="J35" s="507">
        <f t="shared" si="213"/>
      </c>
      <c r="K35" s="508">
        <f t="shared" si="120"/>
      </c>
      <c r="L35" s="505">
        <f t="shared" si="75"/>
      </c>
      <c r="M35" s="505">
        <f t="shared" si="3"/>
      </c>
      <c r="N35" s="509">
        <f t="shared" si="535"/>
      </c>
      <c r="O35" s="509">
        <f t="shared" si="566"/>
      </c>
      <c r="P35" s="509">
        <f t="shared" si="471"/>
      </c>
      <c r="Q35" s="509">
        <f t="shared" si="405"/>
      </c>
      <c r="R35" s="505">
        <f t="shared" si="308"/>
      </c>
      <c r="S35" s="507">
        <f t="shared" si="244"/>
      </c>
      <c r="T35" s="509">
        <f t="shared" si="182"/>
      </c>
      <c r="U35" s="509">
        <f t="shared" si="112"/>
      </c>
      <c r="V35" s="509">
        <f t="shared" si="38"/>
      </c>
      <c r="W35" s="509">
        <f t="shared" si="597"/>
      </c>
      <c r="X35" s="520" t="s">
        <v>255</v>
      </c>
      <c r="Y35" s="511" t="s">
        <v>267</v>
      </c>
      <c r="Z35" s="513">
        <v>223177</v>
      </c>
      <c r="AA35" s="513">
        <v>4268</v>
      </c>
      <c r="AB35" s="513">
        <v>190773</v>
      </c>
      <c r="AC35" s="513">
        <v>378</v>
      </c>
      <c r="AD35" s="513">
        <v>3</v>
      </c>
      <c r="AE35" s="513">
        <v>4931</v>
      </c>
      <c r="AF35" s="513">
        <v>86</v>
      </c>
      <c r="AG35" s="513">
        <v>102</v>
      </c>
      <c r="AH35" s="513">
        <v>5</v>
      </c>
      <c r="AI35" s="514">
        <v>0</v>
      </c>
    </row>
    <row r="36">
      <c r="A36" s="498"/>
      <c r="B36" s="540" t="s">
        <v>271</v>
      </c>
      <c r="C36" s="537" t="s">
        <v>272</v>
      </c>
      <c r="D36" s="541">
        <v>1233.01</v>
      </c>
      <c r="E36" s="542">
        <v>4</v>
      </c>
      <c r="F36" s="519">
        <v>869.2000000000007</v>
      </c>
      <c r="G36" s="504">
        <f t="shared" si="440"/>
      </c>
      <c r="H36" s="505">
        <f t="shared" si="341"/>
      </c>
      <c r="I36" s="506">
        <f t="shared" si="277"/>
      </c>
      <c r="J36" s="507">
        <f t="shared" si="213"/>
      </c>
      <c r="K36" s="508">
        <f t="shared" si="120"/>
      </c>
      <c r="L36" s="505">
        <f t="shared" si="75"/>
      </c>
      <c r="M36" s="505">
        <f t="shared" si="3"/>
      </c>
      <c r="N36" s="509">
        <f t="shared" si="535"/>
      </c>
      <c r="O36" s="509">
        <f t="shared" si="566"/>
      </c>
      <c r="P36" s="509">
        <f t="shared" si="471"/>
      </c>
      <c r="Q36" s="509">
        <f t="shared" si="405"/>
      </c>
      <c r="R36" s="505">
        <f t="shared" si="308"/>
      </c>
      <c r="S36" s="507">
        <f t="shared" si="244"/>
      </c>
      <c r="T36" s="509">
        <f t="shared" si="182"/>
      </c>
      <c r="U36" s="509">
        <f t="shared" si="112"/>
      </c>
      <c r="V36" s="509">
        <f t="shared" si="38"/>
      </c>
      <c r="W36" s="509">
        <f t="shared" si="597"/>
      </c>
      <c r="X36" s="520" t="s">
        <v>255</v>
      </c>
      <c r="Y36" s="511" t="s">
        <v>267</v>
      </c>
      <c r="Z36" s="513">
        <v>168507</v>
      </c>
      <c r="AA36" s="513">
        <v>2910</v>
      </c>
      <c r="AB36" s="513">
        <v>134660</v>
      </c>
      <c r="AC36" s="513">
        <v>255</v>
      </c>
      <c r="AD36" s="513">
        <v>4</v>
      </c>
      <c r="AE36" s="513">
        <v>3147</v>
      </c>
      <c r="AF36" s="513">
        <v>51</v>
      </c>
      <c r="AG36" s="513">
        <v>53</v>
      </c>
      <c r="AH36" s="513">
        <v>12</v>
      </c>
      <c r="AI36" s="514">
        <v>1</v>
      </c>
    </row>
    <row r="37">
      <c r="A37" s="498"/>
      <c r="B37" s="540" t="s">
        <v>271</v>
      </c>
      <c r="C37" s="537" t="s">
        <v>273</v>
      </c>
      <c r="D37" s="541">
        <v>1856.5</v>
      </c>
      <c r="E37" s="542">
        <v>1</v>
      </c>
      <c r="F37" s="519">
        <v>196</v>
      </c>
      <c r="G37" s="504">
        <f t="shared" si="440"/>
      </c>
      <c r="H37" s="505">
        <f t="shared" si="341"/>
      </c>
      <c r="I37" s="506">
        <f t="shared" si="277"/>
      </c>
      <c r="J37" s="507">
        <f t="shared" si="213"/>
      </c>
      <c r="K37" s="508">
        <f t="shared" si="120"/>
      </c>
      <c r="L37" s="505">
        <f t="shared" si="75"/>
      </c>
      <c r="M37" s="505">
        <f t="shared" si="3"/>
      </c>
      <c r="N37" s="509">
        <f t="shared" si="535"/>
      </c>
      <c r="O37" s="509">
        <f t="shared" si="566"/>
      </c>
      <c r="P37" s="509">
        <f t="shared" si="471"/>
      </c>
      <c r="Q37" s="509">
        <f t="shared" si="405"/>
      </c>
      <c r="R37" s="505">
        <f t="shared" si="308"/>
      </c>
      <c r="S37" s="507">
        <f t="shared" si="244"/>
      </c>
      <c r="T37" s="509">
        <f t="shared" si="182"/>
      </c>
      <c r="U37" s="509">
        <f t="shared" si="112"/>
      </c>
      <c r="V37" s="509">
        <f t="shared" si="38"/>
      </c>
      <c r="W37" s="509">
        <f t="shared" si="597"/>
      </c>
      <c r="X37" s="520" t="s">
        <v>255</v>
      </c>
      <c r="Y37" s="511" t="s">
        <v>267</v>
      </c>
      <c r="Z37" s="513">
        <v>278697</v>
      </c>
      <c r="AA37" s="513">
        <v>3542</v>
      </c>
      <c r="AB37" s="513">
        <v>237042</v>
      </c>
      <c r="AC37" s="513">
        <v>291</v>
      </c>
      <c r="AD37" s="513">
        <v>2</v>
      </c>
      <c r="AE37" s="513">
        <v>4045</v>
      </c>
      <c r="AF37" s="513">
        <v>69</v>
      </c>
      <c r="AG37" s="513">
        <v>65</v>
      </c>
      <c r="AH37" s="514">
        <v>5</v>
      </c>
      <c r="AI37" s="514">
        <v>0</v>
      </c>
    </row>
    <row r="38">
      <c r="A38" s="498"/>
      <c r="B38" s="540" t="s">
        <v>271</v>
      </c>
      <c r="C38" s="534" t="s">
        <v>278</v>
      </c>
      <c r="D38" s="541">
        <v>994.77</v>
      </c>
      <c r="E38" s="542">
        <v>0</v>
      </c>
      <c r="F38" s="519">
        <v>0</v>
      </c>
      <c r="G38" s="504">
        <f t="shared" si="440"/>
      </c>
      <c r="H38" s="505">
        <f t="shared" si="341"/>
      </c>
      <c r="I38" s="506">
        <f t="shared" si="277"/>
      </c>
      <c r="J38" s="507">
        <f t="shared" si="213"/>
      </c>
      <c r="K38" s="508">
        <f t="shared" si="120"/>
      </c>
      <c r="L38" s="505">
        <f t="shared" si="75"/>
      </c>
      <c r="M38" s="505">
        <f t="shared" si="3"/>
      </c>
      <c r="N38" s="509">
        <f t="shared" si="535"/>
      </c>
      <c r="O38" s="509">
        <f t="shared" si="566"/>
      </c>
      <c r="P38" s="509">
        <f t="shared" si="471"/>
      </c>
      <c r="Q38" s="509">
        <f t="shared" si="405"/>
      </c>
      <c r="R38" s="505">
        <f t="shared" si="308"/>
      </c>
      <c r="S38" s="507">
        <f t="shared" si="244"/>
      </c>
      <c r="T38" s="509">
        <f t="shared" si="182"/>
      </c>
      <c r="U38" s="509">
        <f t="shared" si="112"/>
      </c>
      <c r="V38" s="509">
        <f t="shared" si="38"/>
      </c>
      <c r="W38" s="509">
        <f t="shared" si="597"/>
      </c>
      <c r="X38" s="520" t="s">
        <v>255</v>
      </c>
      <c r="Y38" s="511" t="s">
        <v>267</v>
      </c>
      <c r="Z38" s="513">
        <v>148647</v>
      </c>
      <c r="AA38" s="513">
        <v>2015</v>
      </c>
      <c r="AB38" s="513">
        <v>129840</v>
      </c>
      <c r="AC38" s="513">
        <v>189</v>
      </c>
      <c r="AD38" s="513">
        <v>0</v>
      </c>
      <c r="AE38" s="513">
        <v>2495</v>
      </c>
      <c r="AF38" s="513">
        <v>52</v>
      </c>
      <c r="AG38" s="513">
        <v>42</v>
      </c>
      <c r="AH38" s="513">
        <v>4</v>
      </c>
      <c r="AI38" s="514">
        <v>0</v>
      </c>
    </row>
    <row r="39">
      <c r="A39" s="498"/>
      <c r="B39" s="538" t="s">
        <v>261</v>
      </c>
      <c r="C39" s="538"/>
      <c r="D39" s="522">
        <f>SUM(D35:D38)</f>
      </c>
      <c r="E39" s="522">
        <f>SUM(E35:E38)</f>
      </c>
      <c r="F39" s="522">
        <f>SUM(F35:F38)</f>
      </c>
      <c r="G39" s="522">
        <f t="shared" si="440"/>
      </c>
      <c r="H39" s="524">
        <f t="shared" si="341"/>
      </c>
      <c r="I39" s="525">
        <f t="shared" si="277"/>
      </c>
      <c r="J39" s="526">
        <f t="shared" si="213"/>
      </c>
      <c r="K39" s="527">
        <f t="shared" si="120"/>
      </c>
      <c r="L39" s="524">
        <f t="shared" si="75"/>
      </c>
      <c r="M39" s="524">
        <f t="shared" si="3"/>
      </c>
      <c r="N39" s="528">
        <f t="shared" si="535"/>
      </c>
      <c r="O39" s="528">
        <f t="shared" si="566"/>
      </c>
      <c r="P39" s="528">
        <f t="shared" si="471"/>
      </c>
      <c r="Q39" s="528">
        <f t="shared" si="405"/>
      </c>
      <c r="R39" s="524">
        <f t="shared" si="308"/>
      </c>
      <c r="S39" s="526">
        <f t="shared" si="244"/>
      </c>
      <c r="T39" s="528">
        <f t="shared" si="182"/>
      </c>
      <c r="U39" s="528">
        <f t="shared" si="112"/>
      </c>
      <c r="V39" s="528">
        <f t="shared" si="38"/>
      </c>
      <c r="W39" s="528">
        <f t="shared" si="597"/>
      </c>
      <c r="X39" s="528"/>
      <c r="Y39" s="529"/>
      <c r="Z39" s="522">
        <f>SUM(Z35:Z38)</f>
      </c>
      <c r="AA39" s="522">
        <f>SUM(AA35:AA38)</f>
      </c>
      <c r="AB39" s="522">
        <f>SUM(AB35:AB38)</f>
      </c>
      <c r="AC39" s="522">
        <f>SUM(AC35:AC38)</f>
      </c>
      <c r="AD39" s="522">
        <f>SUM(AD35:AD38)</f>
      </c>
      <c r="AE39" s="522">
        <f>SUM(AE35:AE38)</f>
      </c>
      <c r="AF39" s="522">
        <f>SUM(AF35:AF38)</f>
      </c>
      <c r="AG39" s="522">
        <f>SUM(AG35:AG38)</f>
      </c>
      <c r="AH39" s="522">
        <f>SUM(AH35:AH38)</f>
      </c>
      <c r="AI39" s="522">
        <f>SUM(AI35:AI38)</f>
      </c>
    </row>
    <row r="40">
      <c r="A40" s="498"/>
      <c r="B40" s="543" t="s">
        <v>276</v>
      </c>
      <c r="C40" s="543"/>
      <c r="D40" s="554">
        <f>SUM(D28+D34+D39)</f>
      </c>
      <c r="E40" s="544">
        <f>SUM(E39+E34+E28)</f>
      </c>
      <c r="F40" s="544">
        <f>SUM(F39+F34+F28)</f>
      </c>
      <c r="G40" s="544">
        <f t="shared" si="440"/>
      </c>
      <c r="H40" s="545">
        <f t="shared" si="341"/>
      </c>
      <c r="I40" s="546">
        <f t="shared" si="277"/>
      </c>
      <c r="J40" s="547">
        <f t="shared" si="213"/>
      </c>
      <c r="K40" s="548">
        <f t="shared" si="120"/>
      </c>
      <c r="L40" s="548">
        <f t="shared" si="75"/>
      </c>
      <c r="M40" s="549">
        <f t="shared" si="3"/>
      </c>
      <c r="N40" s="550">
        <f t="shared" si="535"/>
      </c>
      <c r="O40" s="550">
        <f t="shared" si="566"/>
      </c>
      <c r="P40" s="550">
        <f t="shared" si="471"/>
      </c>
      <c r="Q40" s="550">
        <f t="shared" si="405"/>
      </c>
      <c r="R40" s="549">
        <f t="shared" si="308"/>
      </c>
      <c r="S40" s="551">
        <f t="shared" si="244"/>
      </c>
      <c r="T40" s="552">
        <f t="shared" si="182"/>
      </c>
      <c r="U40" s="552">
        <f t="shared" si="112"/>
      </c>
      <c r="V40" s="552">
        <f t="shared" si="38"/>
      </c>
      <c r="W40" s="552">
        <f t="shared" si="597"/>
      </c>
      <c r="X40" s="552"/>
      <c r="Y40" s="553"/>
      <c r="Z40" s="544">
        <f>SUM(Z39+Z34+Z28)</f>
      </c>
      <c r="AA40" s="544">
        <f>SUM(AA39+AA34+AA28)</f>
      </c>
      <c r="AB40" s="544">
        <f>SUM(AB39+AB34+AB28)</f>
      </c>
      <c r="AC40" s="544">
        <f>SUM(AC39+AC34+AC28)</f>
      </c>
      <c r="AD40" s="544">
        <f>SUM(AD39+AD34+AD28)</f>
      </c>
      <c r="AE40" s="544">
        <f>SUM(AE39+AE34+AE28)</f>
      </c>
      <c r="AF40" s="544">
        <f>SUM(AF39+AF34+AF28)</f>
      </c>
      <c r="AG40" s="544">
        <f>SUM(AG39+AG34+AG28)</f>
      </c>
      <c r="AH40" s="544">
        <f>SUM(AH39+AH34+AH28)</f>
      </c>
      <c r="AI40" s="544">
        <f>SUM(AI39+AI34+AI28)</f>
      </c>
    </row>
    <row r="41">
      <c r="A41" s="485" t="s">
        <v>218</v>
      </c>
      <c r="B41" s="485" t="s">
        <v>219</v>
      </c>
      <c r="C41" s="486" t="s">
        <v>220</v>
      </c>
      <c r="D41" s="487" t="s">
        <v>221</v>
      </c>
      <c r="E41" s="488" t="s">
        <v>222</v>
      </c>
      <c r="F41" s="489" t="s">
        <v>223</v>
      </c>
      <c r="G41" s="489" t="s">
        <v>224</v>
      </c>
      <c r="H41" s="490" t="s">
        <v>225</v>
      </c>
      <c r="I41" s="490" t="s">
        <v>226</v>
      </c>
      <c r="J41" s="490" t="s">
        <v>227</v>
      </c>
      <c r="K41" s="491" t="s">
        <v>228</v>
      </c>
      <c r="L41" s="491" t="s">
        <v>229</v>
      </c>
      <c r="M41" s="491" t="s">
        <v>231</v>
      </c>
      <c r="N41" s="491" t="s">
        <v>232</v>
      </c>
      <c r="O41" s="491" t="s">
        <v>233</v>
      </c>
      <c r="P41" s="491" t="s">
        <v>234</v>
      </c>
      <c r="Q41" s="491" t="s">
        <v>235</v>
      </c>
      <c r="R41" s="491" t="s">
        <v>236</v>
      </c>
      <c r="S41" s="492" t="s">
        <v>237</v>
      </c>
      <c r="T41" s="492" t="s">
        <v>238</v>
      </c>
      <c r="U41" s="492" t="s">
        <v>239</v>
      </c>
      <c r="V41" s="492" t="s">
        <v>240</v>
      </c>
      <c r="W41" s="493" t="s">
        <v>241</v>
      </c>
      <c r="X41" s="493" t="s">
        <v>242</v>
      </c>
      <c r="Y41" s="494" t="s">
        <v>243</v>
      </c>
      <c r="Z41" s="494" t="s">
        <v>244</v>
      </c>
      <c r="AA41" s="494" t="s">
        <v>245</v>
      </c>
      <c r="AB41" s="495" t="s">
        <v>246</v>
      </c>
      <c r="AC41" s="495" t="s">
        <v>247</v>
      </c>
      <c r="AD41" s="496" t="s">
        <v>248</v>
      </c>
      <c r="AE41" s="495" t="s">
        <v>249</v>
      </c>
      <c r="AF41" s="495" t="s">
        <v>250</v>
      </c>
      <c r="AG41" s="497" t="s">
        <v>251</v>
      </c>
      <c r="AH41" s="495" t="s">
        <v>252</v>
      </c>
    </row>
    <row r="42">
      <c r="A42" s="498">
        <v>46206</v>
      </c>
      <c r="B42" s="530" t="s">
        <v>277</v>
      </c>
      <c r="C42" s="500" t="s">
        <v>254</v>
      </c>
      <c r="D42" s="501">
        <v>1089.406</v>
      </c>
      <c r="E42" s="502">
        <v>0</v>
      </c>
      <c r="F42" s="503">
        <v>0</v>
      </c>
      <c r="G42" s="504">
        <f t="shared" ref="G42:G61" si="43">D42/AC42</f>
      </c>
      <c r="H42" s="505">
        <f t="shared" ref="H42:H61" si="342">F42/E42</f>
      </c>
      <c r="I42" s="506">
        <f t="shared" ref="I42:I61" si="278">D42/E42</f>
      </c>
      <c r="J42" s="507">
        <f t="shared" ref="J42:J61" si="214">F42/D42</f>
      </c>
      <c r="K42" s="508">
        <f t="shared" ref="K42:K49" si="602">D42/AA42</f>
      </c>
      <c r="L42" s="505">
        <f t="shared" ref="L42:L49" si="408">D42/AB42</f>
      </c>
      <c r="M42" s="509">
        <f t="shared" ref="M42:M49" si="476">AB42/AA42</f>
      </c>
      <c r="N42" s="509">
        <f t="shared" ref="N42:N61" si="536">AC42/AB42</f>
      </c>
      <c r="O42" s="509">
        <f t="shared" ref="O42:O61" si="441">Z42/Y42</f>
      </c>
      <c r="P42" s="509">
        <f t="shared" ref="P42:P49" si="371">AC42/Z42</f>
      </c>
      <c r="Q42" s="505">
        <f t="shared" ref="Q42:Q61" si="311">D42/Y42*1000</f>
      </c>
      <c r="R42" s="507">
        <f t="shared" ref="R42:R61" si="247">D42/Z42</f>
      </c>
      <c r="S42" s="509">
        <f t="shared" ref="S42:S49" si="148">AD42/AA42</f>
      </c>
      <c r="T42" s="509">
        <f t="shared" ref="T42:T49" si="78">AE42/AA42</f>
      </c>
      <c r="U42" s="509">
        <f t="shared" ref="U42:U49" si="4">AF42/AA42</f>
      </c>
      <c r="V42" s="509">
        <f t="shared" ref="V42:V61" si="567">AG42/AA42</f>
      </c>
      <c r="W42" s="510" t="s">
        <v>255</v>
      </c>
      <c r="X42" s="511" t="s">
        <v>279</v>
      </c>
      <c r="Y42" s="512">
        <v>73005</v>
      </c>
      <c r="Z42" s="512">
        <v>1615</v>
      </c>
      <c r="AA42" s="512">
        <v>72202</v>
      </c>
      <c r="AB42" s="512">
        <v>239</v>
      </c>
      <c r="AC42" s="514">
        <v>0</v>
      </c>
      <c r="AD42" s="512">
        <v>5456</v>
      </c>
      <c r="AE42" s="513">
        <v>114</v>
      </c>
      <c r="AF42" s="513">
        <v>73</v>
      </c>
      <c r="AG42" s="513">
        <v>9</v>
      </c>
      <c r="AH42" s="514">
        <v>0</v>
      </c>
    </row>
    <row r="43">
      <c r="A43" s="498"/>
      <c r="B43" s="530" t="s">
        <v>277</v>
      </c>
      <c r="C43" s="500" t="s">
        <v>257</v>
      </c>
      <c r="D43" s="501">
        <v>4570.713</v>
      </c>
      <c r="E43" s="502">
        <v>11</v>
      </c>
      <c r="F43" s="503">
        <v>5190.4</v>
      </c>
      <c r="G43" s="504">
        <f t="shared" si="43"/>
      </c>
      <c r="H43" s="505">
        <f t="shared" si="342"/>
      </c>
      <c r="I43" s="506">
        <f t="shared" si="278"/>
      </c>
      <c r="J43" s="507">
        <f t="shared" si="214"/>
      </c>
      <c r="K43" s="508">
        <f t="shared" si="602"/>
      </c>
      <c r="L43" s="505">
        <f t="shared" si="408"/>
      </c>
      <c r="M43" s="509">
        <f t="shared" si="476"/>
      </c>
      <c r="N43" s="509">
        <f t="shared" si="536"/>
      </c>
      <c r="O43" s="509">
        <f t="shared" si="441"/>
      </c>
      <c r="P43" s="509">
        <f t="shared" si="371"/>
      </c>
      <c r="Q43" s="505">
        <f t="shared" si="311"/>
      </c>
      <c r="R43" s="507">
        <f t="shared" si="247"/>
      </c>
      <c r="S43" s="509">
        <f t="shared" si="148"/>
      </c>
      <c r="T43" s="509">
        <f t="shared" si="78"/>
      </c>
      <c r="U43" s="509">
        <f t="shared" si="4"/>
      </c>
      <c r="V43" s="509">
        <f t="shared" si="567"/>
      </c>
      <c r="W43" s="510" t="s">
        <v>255</v>
      </c>
      <c r="X43" s="511" t="s">
        <v>279</v>
      </c>
      <c r="Y43" s="513">
        <v>428537</v>
      </c>
      <c r="Z43" s="512">
        <v>4682</v>
      </c>
      <c r="AA43" s="512">
        <v>432442</v>
      </c>
      <c r="AB43" s="512">
        <v>712</v>
      </c>
      <c r="AC43" s="513">
        <v>7</v>
      </c>
      <c r="AD43" s="512">
        <v>16893</v>
      </c>
      <c r="AE43" s="513">
        <v>305</v>
      </c>
      <c r="AF43" s="513">
        <v>189</v>
      </c>
      <c r="AG43" s="514">
        <v>12</v>
      </c>
      <c r="AH43" s="514">
        <v>4</v>
      </c>
    </row>
    <row r="44">
      <c r="A44" s="498"/>
      <c r="B44" s="530" t="s">
        <v>277</v>
      </c>
      <c r="C44" s="515" t="s">
        <v>258</v>
      </c>
      <c r="D44" s="501">
        <v>4177.915999999999</v>
      </c>
      <c r="E44" s="502">
        <v>8</v>
      </c>
      <c r="F44" s="503">
        <v>1717.2000000000007</v>
      </c>
      <c r="G44" s="504">
        <f t="shared" si="43"/>
      </c>
      <c r="H44" s="505">
        <f t="shared" si="342"/>
      </c>
      <c r="I44" s="506">
        <f t="shared" si="278"/>
      </c>
      <c r="J44" s="507">
        <f t="shared" si="214"/>
      </c>
      <c r="K44" s="508">
        <f t="shared" si="602"/>
      </c>
      <c r="L44" s="505">
        <f t="shared" si="408"/>
      </c>
      <c r="M44" s="509">
        <f t="shared" si="476"/>
      </c>
      <c r="N44" s="509">
        <f t="shared" si="536"/>
      </c>
      <c r="O44" s="509">
        <f t="shared" si="441"/>
      </c>
      <c r="P44" s="509">
        <f t="shared" si="371"/>
      </c>
      <c r="Q44" s="505">
        <f t="shared" si="311"/>
      </c>
      <c r="R44" s="507">
        <f t="shared" si="247"/>
      </c>
      <c r="S44" s="509">
        <f t="shared" si="148"/>
      </c>
      <c r="T44" s="509">
        <f t="shared" si="78"/>
      </c>
      <c r="U44" s="509">
        <f t="shared" si="4"/>
      </c>
      <c r="V44" s="509">
        <f t="shared" si="567"/>
      </c>
      <c r="W44" s="510" t="s">
        <v>255</v>
      </c>
      <c r="X44" s="511" t="s">
        <v>279</v>
      </c>
      <c r="Y44" s="513">
        <v>443666</v>
      </c>
      <c r="Z44" s="512">
        <v>4981</v>
      </c>
      <c r="AA44" s="512">
        <v>446706</v>
      </c>
      <c r="AB44" s="512">
        <v>587</v>
      </c>
      <c r="AC44" s="513">
        <v>7</v>
      </c>
      <c r="AD44" s="512">
        <v>14826</v>
      </c>
      <c r="AE44" s="513">
        <v>252</v>
      </c>
      <c r="AF44" s="513">
        <v>185</v>
      </c>
      <c r="AG44" s="513">
        <v>17</v>
      </c>
      <c r="AH44" s="514">
        <v>0</v>
      </c>
    </row>
    <row r="45">
      <c r="A45" s="498"/>
      <c r="B45" s="530" t="s">
        <v>277</v>
      </c>
      <c r="C45" s="516" t="s">
        <v>259</v>
      </c>
      <c r="D45" s="501">
        <v>3196.2709999999997</v>
      </c>
      <c r="E45" s="502">
        <v>5</v>
      </c>
      <c r="F45" s="503">
        <v>1076</v>
      </c>
      <c r="G45" s="504">
        <f t="shared" si="43"/>
      </c>
      <c r="H45" s="505">
        <f t="shared" si="342"/>
      </c>
      <c r="I45" s="506">
        <f t="shared" si="278"/>
      </c>
      <c r="J45" s="507">
        <f t="shared" si="214"/>
      </c>
      <c r="K45" s="508">
        <f t="shared" si="602"/>
      </c>
      <c r="L45" s="505">
        <f t="shared" si="408"/>
      </c>
      <c r="M45" s="509">
        <f t="shared" si="476"/>
      </c>
      <c r="N45" s="509">
        <f t="shared" si="536"/>
      </c>
      <c r="O45" s="509">
        <f t="shared" si="441"/>
      </c>
      <c r="P45" s="509">
        <f t="shared" si="371"/>
      </c>
      <c r="Q45" s="505">
        <f t="shared" si="311"/>
      </c>
      <c r="R45" s="507">
        <f t="shared" si="247"/>
      </c>
      <c r="S45" s="509">
        <f t="shared" si="148"/>
      </c>
      <c r="T45" s="509">
        <f t="shared" si="78"/>
      </c>
      <c r="U45" s="509">
        <f t="shared" si="4"/>
      </c>
      <c r="V45" s="509">
        <f t="shared" si="567"/>
      </c>
      <c r="W45" s="504" t="s">
        <v>255</v>
      </c>
      <c r="X45" s="511" t="s">
        <v>279</v>
      </c>
      <c r="Y45" s="513">
        <v>356572</v>
      </c>
      <c r="Z45" s="513">
        <v>4139</v>
      </c>
      <c r="AA45" s="513">
        <v>357997</v>
      </c>
      <c r="AB45" s="513">
        <v>504</v>
      </c>
      <c r="AC45" s="513">
        <v>5</v>
      </c>
      <c r="AD45" s="513">
        <v>11061</v>
      </c>
      <c r="AE45" s="513">
        <v>143</v>
      </c>
      <c r="AF45" s="513">
        <v>122</v>
      </c>
      <c r="AG45" s="514">
        <v>22</v>
      </c>
      <c r="AH45" s="514">
        <v>0</v>
      </c>
    </row>
    <row r="46">
      <c r="A46" s="498"/>
      <c r="B46" s="530" t="s">
        <v>277</v>
      </c>
      <c r="C46" s="516" t="s">
        <v>260</v>
      </c>
      <c r="D46" s="517">
        <v>3902.174</v>
      </c>
      <c r="E46" s="518">
        <v>7</v>
      </c>
      <c r="F46" s="519">
        <v>1574.3999999999996</v>
      </c>
      <c r="G46" s="504">
        <f t="shared" si="43"/>
      </c>
      <c r="H46" s="505">
        <f t="shared" si="342"/>
      </c>
      <c r="I46" s="506">
        <f t="shared" si="278"/>
      </c>
      <c r="J46" s="507">
        <f t="shared" si="214"/>
      </c>
      <c r="K46" s="508">
        <f t="shared" si="602"/>
      </c>
      <c r="L46" s="505">
        <f t="shared" si="408"/>
      </c>
      <c r="M46" s="509">
        <f t="shared" si="476"/>
      </c>
      <c r="N46" s="509">
        <f t="shared" si="536"/>
      </c>
      <c r="O46" s="509">
        <f t="shared" si="441"/>
      </c>
      <c r="P46" s="509">
        <f t="shared" si="371"/>
      </c>
      <c r="Q46" s="505">
        <f t="shared" si="311"/>
      </c>
      <c r="R46" s="507">
        <f t="shared" si="247"/>
      </c>
      <c r="S46" s="509">
        <f t="shared" si="148"/>
      </c>
      <c r="T46" s="509">
        <f t="shared" si="78"/>
      </c>
      <c r="U46" s="509">
        <f t="shared" si="4"/>
      </c>
      <c r="V46" s="509">
        <f t="shared" si="567"/>
      </c>
      <c r="W46" s="520" t="s">
        <v>255</v>
      </c>
      <c r="X46" s="511" t="s">
        <v>279</v>
      </c>
      <c r="Y46" s="513">
        <v>471344</v>
      </c>
      <c r="Z46" s="513">
        <v>5903</v>
      </c>
      <c r="AA46" s="513">
        <v>475919</v>
      </c>
      <c r="AB46" s="513">
        <v>592</v>
      </c>
      <c r="AC46" s="513">
        <v>6</v>
      </c>
      <c r="AD46" s="513">
        <v>12182</v>
      </c>
      <c r="AE46" s="513">
        <v>184</v>
      </c>
      <c r="AF46" s="513">
        <v>159</v>
      </c>
      <c r="AG46" s="514">
        <v>13</v>
      </c>
      <c r="AH46" s="514">
        <v>1</v>
      </c>
    </row>
    <row r="47">
      <c r="A47" s="498"/>
      <c r="B47" s="521" t="s">
        <v>261</v>
      </c>
      <c r="C47" s="521"/>
      <c r="D47" s="522">
        <f>SUM(D42:D46)</f>
      </c>
      <c r="E47" s="523">
        <f>SUM(E42:E46)</f>
      </c>
      <c r="F47" s="522">
        <f>SUM(F42:F46)</f>
      </c>
      <c r="G47" s="522">
        <f t="shared" si="43"/>
      </c>
      <c r="H47" s="524">
        <f t="shared" si="342"/>
      </c>
      <c r="I47" s="525">
        <f t="shared" si="278"/>
      </c>
      <c r="J47" s="526">
        <f t="shared" si="214"/>
      </c>
      <c r="K47" s="527">
        <f t="shared" si="602"/>
      </c>
      <c r="L47" s="524">
        <f t="shared" si="408"/>
      </c>
      <c r="M47" s="528">
        <f t="shared" si="476"/>
      </c>
      <c r="N47" s="528">
        <f t="shared" si="536"/>
      </c>
      <c r="O47" s="528">
        <f t="shared" si="441"/>
      </c>
      <c r="P47" s="528">
        <f t="shared" si="371"/>
      </c>
      <c r="Q47" s="524">
        <f t="shared" si="311"/>
      </c>
      <c r="R47" s="526">
        <f t="shared" si="247"/>
      </c>
      <c r="S47" s="528">
        <f t="shared" si="148"/>
      </c>
      <c r="T47" s="528">
        <f t="shared" si="78"/>
      </c>
      <c r="U47" s="528">
        <f t="shared" si="4"/>
      </c>
      <c r="V47" s="528">
        <f t="shared" si="567"/>
      </c>
      <c r="W47" s="528"/>
      <c r="X47" s="529"/>
      <c r="Y47" s="522">
        <f>SUM(Y42:Y46)</f>
      </c>
      <c r="Z47" s="522">
        <f>SUM(Z42:Z46)</f>
      </c>
      <c r="AA47" s="522">
        <f>SUM(AA42:AA46)</f>
      </c>
      <c r="AB47" s="522">
        <f>SUM(AB42:AB46)</f>
      </c>
      <c r="AC47" s="522">
        <f>SUM(AC42:AC46)</f>
      </c>
      <c r="AD47" s="522">
        <f>SUM(AD42:AD46)</f>
      </c>
      <c r="AE47" s="522">
        <f>SUM(AE42:AE46)</f>
      </c>
      <c r="AF47" s="522">
        <f>SUM(AF42:AF46)</f>
      </c>
      <c r="AG47" s="522">
        <f>SUM(AG42:AG46)</f>
      </c>
      <c r="AH47" s="522">
        <f>SUM(AH42:AH46)</f>
      </c>
    </row>
    <row r="48">
      <c r="A48" s="498"/>
      <c r="B48" s="499" t="s">
        <v>262</v>
      </c>
      <c r="C48" s="531" t="s">
        <v>263</v>
      </c>
      <c r="D48" s="532">
        <v>2959.517</v>
      </c>
      <c r="E48" s="502">
        <v>1</v>
      </c>
      <c r="F48" s="503">
        <v>228</v>
      </c>
      <c r="G48" s="504">
        <f t="shared" si="43"/>
      </c>
      <c r="H48" s="505">
        <f t="shared" si="342"/>
      </c>
      <c r="I48" s="506">
        <f t="shared" si="278"/>
      </c>
      <c r="J48" s="507">
        <f t="shared" si="214"/>
      </c>
      <c r="K48" s="508">
        <f t="shared" si="602"/>
      </c>
      <c r="L48" s="505">
        <f t="shared" si="408"/>
      </c>
      <c r="M48" s="509">
        <f t="shared" si="476"/>
      </c>
      <c r="N48" s="509">
        <f t="shared" si="536"/>
      </c>
      <c r="O48" s="509">
        <f t="shared" si="441"/>
      </c>
      <c r="P48" s="509">
        <f t="shared" si="371"/>
      </c>
      <c r="Q48" s="505">
        <f t="shared" si="311"/>
      </c>
      <c r="R48" s="507">
        <f t="shared" si="247"/>
      </c>
      <c r="S48" s="509">
        <f t="shared" si="148"/>
      </c>
      <c r="T48" s="509">
        <f t="shared" si="78"/>
      </c>
      <c r="U48" s="509">
        <f t="shared" si="4"/>
      </c>
      <c r="V48" s="509">
        <f t="shared" si="567"/>
      </c>
      <c r="W48" s="520" t="s">
        <v>255</v>
      </c>
      <c r="X48" s="511" t="s">
        <v>279</v>
      </c>
      <c r="Y48" s="512">
        <v>343925</v>
      </c>
      <c r="Z48" s="512">
        <v>5793</v>
      </c>
      <c r="AA48" s="512">
        <v>346975</v>
      </c>
      <c r="AB48" s="513">
        <v>478</v>
      </c>
      <c r="AC48" s="513">
        <v>1</v>
      </c>
      <c r="AD48" s="512">
        <v>10649</v>
      </c>
      <c r="AE48" s="513">
        <v>141</v>
      </c>
      <c r="AF48" s="513">
        <v>140</v>
      </c>
      <c r="AG48" s="513">
        <v>18</v>
      </c>
      <c r="AH48" s="514">
        <v>0</v>
      </c>
    </row>
    <row r="49">
      <c r="A49" s="498"/>
      <c r="B49" s="499" t="s">
        <v>262</v>
      </c>
      <c r="C49" s="533" t="s">
        <v>264</v>
      </c>
      <c r="D49" s="532">
        <v>1823.324</v>
      </c>
      <c r="E49" s="518">
        <v>1</v>
      </c>
      <c r="F49" s="519">
        <v>828</v>
      </c>
      <c r="G49" s="504">
        <f t="shared" si="43"/>
      </c>
      <c r="H49" s="505">
        <f t="shared" si="342"/>
      </c>
      <c r="I49" s="506">
        <f t="shared" si="278"/>
      </c>
      <c r="J49" s="507">
        <f t="shared" si="214"/>
      </c>
      <c r="K49" s="508">
        <f t="shared" si="602"/>
      </c>
      <c r="L49" s="505">
        <f t="shared" si="408"/>
      </c>
      <c r="M49" s="509">
        <f t="shared" si="476"/>
      </c>
      <c r="N49" s="509">
        <f t="shared" si="536"/>
      </c>
      <c r="O49" s="509">
        <f t="shared" si="441"/>
      </c>
      <c r="P49" s="509">
        <f t="shared" si="371"/>
      </c>
      <c r="Q49" s="505">
        <f t="shared" si="311"/>
      </c>
      <c r="R49" s="507">
        <f t="shared" si="247"/>
      </c>
      <c r="S49" s="509">
        <f t="shared" si="148"/>
      </c>
      <c r="T49" s="509">
        <f t="shared" si="78"/>
      </c>
      <c r="U49" s="509">
        <f t="shared" si="4"/>
      </c>
      <c r="V49" s="509">
        <f t="shared" si="567"/>
      </c>
      <c r="W49" s="520" t="s">
        <v>255</v>
      </c>
      <c r="X49" s="511" t="s">
        <v>279</v>
      </c>
      <c r="Y49" s="513">
        <v>208466</v>
      </c>
      <c r="Z49" s="513">
        <v>3872</v>
      </c>
      <c r="AA49" s="513">
        <v>209391</v>
      </c>
      <c r="AB49" s="513">
        <v>265</v>
      </c>
      <c r="AC49" s="513">
        <v>1</v>
      </c>
      <c r="AD49" s="513">
        <v>6628</v>
      </c>
      <c r="AE49" s="513">
        <v>107</v>
      </c>
      <c r="AF49" s="513">
        <v>104</v>
      </c>
      <c r="AG49" s="513">
        <v>16</v>
      </c>
      <c r="AH49" s="514">
        <v>0</v>
      </c>
    </row>
    <row r="50">
      <c r="A50" s="498"/>
      <c r="B50" s="499" t="s">
        <v>262</v>
      </c>
      <c r="C50" s="534" t="s">
        <v>265</v>
      </c>
      <c r="D50" s="535">
        <v>1529.234</v>
      </c>
      <c r="E50" s="502">
        <v>4</v>
      </c>
      <c r="F50" s="503">
        <v>1512</v>
      </c>
      <c r="G50" s="504">
        <f t="shared" si="43"/>
      </c>
      <c r="H50" s="505">
        <f t="shared" si="342"/>
      </c>
      <c r="I50" s="506">
        <f t="shared" si="278"/>
      </c>
      <c r="J50" s="507">
        <f t="shared" si="214"/>
      </c>
      <c r="K50" s="508">
        <f t="shared" ref="K50:K51" si="121">D50/AB50</f>
      </c>
      <c r="L50" s="505">
        <f t="shared" ref="L50:L51" si="76">D50/AC50</f>
      </c>
      <c r="M50" s="509">
        <f t="shared" ref="M50:M51" si="183">AC50/AB50</f>
      </c>
      <c r="N50" s="509">
        <f t="shared" si="536"/>
      </c>
      <c r="O50" s="509">
        <f t="shared" si="441"/>
      </c>
      <c r="P50" s="509">
        <f t="shared" ref="P50:P51" si="113">AD50/Z50</f>
      </c>
      <c r="Q50" s="505">
        <f t="shared" si="311"/>
      </c>
      <c r="R50" s="507">
        <f t="shared" si="247"/>
      </c>
      <c r="S50" s="509">
        <f t="shared" ref="S50:S51" si="39">AE50/AB50</f>
      </c>
      <c r="T50" s="509">
        <f t="shared" ref="T50:T51" si="598">AF50/AB50</f>
      </c>
      <c r="U50" s="509">
        <f t="shared" ref="U50:U51" si="472">AG50/AB50</f>
      </c>
      <c r="V50" s="509">
        <f t="shared" si="567"/>
      </c>
      <c r="W50" s="520" t="s">
        <v>255</v>
      </c>
      <c r="X50" s="511" t="s">
        <v>279</v>
      </c>
      <c r="Y50" s="513">
        <v>179441</v>
      </c>
      <c r="Z50" s="513">
        <v>3519</v>
      </c>
      <c r="AA50" s="513">
        <v>180415</v>
      </c>
      <c r="AB50" s="536">
        <v>219</v>
      </c>
      <c r="AC50" s="536">
        <v>3</v>
      </c>
      <c r="AD50" s="536">
        <v>5141</v>
      </c>
      <c r="AE50" s="536">
        <v>71</v>
      </c>
      <c r="AF50" s="536">
        <v>52</v>
      </c>
      <c r="AG50" s="536">
        <v>11</v>
      </c>
      <c r="AH50" s="514">
        <v>0</v>
      </c>
    </row>
    <row r="51">
      <c r="A51" s="498"/>
      <c r="B51" s="499" t="s">
        <v>262</v>
      </c>
      <c r="C51" s="537" t="s">
        <v>266</v>
      </c>
      <c r="D51" s="535">
        <v>1894.92</v>
      </c>
      <c r="E51" s="502">
        <v>3</v>
      </c>
      <c r="F51" s="503">
        <v>1852.0000000000018</v>
      </c>
      <c r="G51" s="504">
        <f t="shared" si="43"/>
      </c>
      <c r="H51" s="505">
        <f t="shared" si="342"/>
      </c>
      <c r="I51" s="506">
        <f t="shared" si="278"/>
      </c>
      <c r="J51" s="507">
        <f t="shared" si="214"/>
      </c>
      <c r="K51" s="508">
        <f t="shared" si="121"/>
      </c>
      <c r="L51" s="505">
        <f t="shared" si="76"/>
      </c>
      <c r="M51" s="509">
        <f t="shared" si="183"/>
      </c>
      <c r="N51" s="509">
        <f t="shared" si="536"/>
      </c>
      <c r="O51" s="509">
        <f t="shared" si="441"/>
      </c>
      <c r="P51" s="509">
        <f t="shared" si="113"/>
      </c>
      <c r="Q51" s="505">
        <f t="shared" si="311"/>
      </c>
      <c r="R51" s="507">
        <f t="shared" si="247"/>
      </c>
      <c r="S51" s="509">
        <f t="shared" si="39"/>
      </c>
      <c r="T51" s="509">
        <f t="shared" si="598"/>
      </c>
      <c r="U51" s="509">
        <f t="shared" si="472"/>
      </c>
      <c r="V51" s="509">
        <f t="shared" si="567"/>
      </c>
      <c r="W51" s="520" t="s">
        <v>255</v>
      </c>
      <c r="X51" s="511" t="s">
        <v>267</v>
      </c>
      <c r="Y51" s="513">
        <v>221547</v>
      </c>
      <c r="Z51" s="513">
        <v>2679</v>
      </c>
      <c r="AA51" s="513">
        <v>221369</v>
      </c>
      <c r="AB51" s="536">
        <v>208</v>
      </c>
      <c r="AC51" s="536">
        <v>4</v>
      </c>
      <c r="AD51" s="536">
        <v>5499</v>
      </c>
      <c r="AE51" s="536">
        <v>62</v>
      </c>
      <c r="AF51" s="536">
        <v>59</v>
      </c>
      <c r="AG51" s="536">
        <v>5</v>
      </c>
      <c r="AH51" s="514">
        <v>0</v>
      </c>
    </row>
    <row r="52">
      <c r="A52" s="498"/>
      <c r="B52" s="538" t="s">
        <v>261</v>
      </c>
      <c r="C52" s="538"/>
      <c r="D52" s="522">
        <f>SUM(D48:D51)</f>
      </c>
      <c r="E52" s="523">
        <f>SUM(E48:E51)</f>
      </c>
      <c r="F52" s="522">
        <f>SUM(F48:F51)</f>
      </c>
      <c r="G52" s="522">
        <f t="shared" si="43"/>
      </c>
      <c r="H52" s="524">
        <f t="shared" si="342"/>
      </c>
      <c r="I52" s="525">
        <f t="shared" si="278"/>
      </c>
      <c r="J52" s="526">
        <f t="shared" si="214"/>
      </c>
      <c r="K52" s="527">
        <f t="shared" ref="K52:K61" si="603">D52/AA52</f>
      </c>
      <c r="L52" s="524">
        <f t="shared" ref="L52:L61" si="409">D52/AB52</f>
      </c>
      <c r="M52" s="528">
        <f t="shared" ref="M52:M61" si="477">AB52/AA52</f>
      </c>
      <c r="N52" s="528">
        <f t="shared" si="536"/>
      </c>
      <c r="O52" s="528">
        <f t="shared" si="441"/>
      </c>
      <c r="P52" s="528">
        <f t="shared" ref="P52:P61" si="372">AC52/Z52</f>
      </c>
      <c r="Q52" s="524">
        <f t="shared" si="311"/>
      </c>
      <c r="R52" s="526">
        <f t="shared" si="247"/>
      </c>
      <c r="S52" s="528">
        <f t="shared" ref="S52:S61" si="149">AD52/AA52</f>
      </c>
      <c r="T52" s="528">
        <f t="shared" ref="T52:T61" si="79">AE52/AA52</f>
      </c>
      <c r="U52" s="528">
        <f t="shared" ref="U52:U61" si="5">AF52/AA52</f>
      </c>
      <c r="V52" s="528">
        <f t="shared" si="567"/>
      </c>
      <c r="W52" s="528"/>
      <c r="X52" s="529"/>
      <c r="Y52" s="522">
        <f>SUM(Y48:Y51)</f>
      </c>
      <c r="Z52" s="522">
        <f>SUM(Z48:Z51)</f>
      </c>
      <c r="AA52" s="522">
        <f>SUM(AA48:AA51)</f>
      </c>
      <c r="AB52" s="522">
        <f>SUM(AB48:AB51)</f>
      </c>
      <c r="AC52" s="522">
        <f>SUM(AC48:AC51)</f>
      </c>
      <c r="AD52" s="522">
        <f>SUM(AD48:AD51)</f>
      </c>
      <c r="AE52" s="522">
        <f>SUM(AE48:AE51)</f>
      </c>
      <c r="AF52" s="522">
        <f>SUM(AF48:AF51)</f>
      </c>
      <c r="AG52" s="522">
        <f>SUM(AG48:AG51)</f>
      </c>
      <c r="AH52" s="522">
        <f>SUM(AH48:AH51)</f>
      </c>
    </row>
    <row customHeight="true" ht="16.071428571428573" r="53">
      <c r="A53" s="498"/>
      <c r="B53" s="540" t="s">
        <v>268</v>
      </c>
      <c r="C53" s="540" t="s">
        <v>269</v>
      </c>
      <c r="D53" s="541">
        <v>1549.455</v>
      </c>
      <c r="E53" s="542">
        <v>4</v>
      </c>
      <c r="F53" s="519">
        <v>2673.6000000000004</v>
      </c>
      <c r="G53" s="504">
        <f t="shared" si="43"/>
      </c>
      <c r="H53" s="505">
        <f t="shared" si="342"/>
      </c>
      <c r="I53" s="506">
        <f t="shared" si="278"/>
      </c>
      <c r="J53" s="507">
        <f t="shared" si="214"/>
      </c>
      <c r="K53" s="508">
        <f t="shared" si="603"/>
      </c>
      <c r="L53" s="505">
        <f t="shared" si="409"/>
      </c>
      <c r="M53" s="509">
        <f t="shared" si="477"/>
      </c>
      <c r="N53" s="509">
        <f t="shared" si="536"/>
      </c>
      <c r="O53" s="509">
        <f t="shared" si="441"/>
      </c>
      <c r="P53" s="509">
        <f t="shared" si="372"/>
      </c>
      <c r="Q53" s="505">
        <f t="shared" si="311"/>
      </c>
      <c r="R53" s="507">
        <f t="shared" si="247"/>
      </c>
      <c r="S53" s="509">
        <f t="shared" si="149"/>
      </c>
      <c r="T53" s="509">
        <f t="shared" si="79"/>
      </c>
      <c r="U53" s="509">
        <f t="shared" si="5"/>
      </c>
      <c r="V53" s="509">
        <f t="shared" si="567"/>
      </c>
      <c r="W53" s="520" t="s">
        <v>255</v>
      </c>
      <c r="X53" s="511" t="s">
        <v>267</v>
      </c>
      <c r="Y53" s="513">
        <v>187504</v>
      </c>
      <c r="Z53" s="513">
        <v>2283</v>
      </c>
      <c r="AA53" s="513">
        <v>186457</v>
      </c>
      <c r="AB53" s="513">
        <v>189</v>
      </c>
      <c r="AC53" s="513">
        <v>2</v>
      </c>
      <c r="AD53" s="513">
        <v>5665</v>
      </c>
      <c r="AE53" s="513">
        <v>65</v>
      </c>
      <c r="AF53" s="513">
        <v>69</v>
      </c>
      <c r="AG53" s="514">
        <v>7</v>
      </c>
      <c r="AH53" s="514">
        <v>1</v>
      </c>
    </row>
    <row customHeight="true" ht="16.071428571428573" r="54">
      <c r="A54" s="498"/>
      <c r="B54" s="540" t="s">
        <v>268</v>
      </c>
      <c r="C54" s="534" t="s">
        <v>270</v>
      </c>
      <c r="D54" s="541">
        <v>969.373</v>
      </c>
      <c r="E54" s="542">
        <v>3</v>
      </c>
      <c r="F54" s="519">
        <v>641.2000000000007</v>
      </c>
      <c r="G54" s="504">
        <f t="shared" si="43"/>
      </c>
      <c r="H54" s="505">
        <f t="shared" si="342"/>
      </c>
      <c r="I54" s="506">
        <f t="shared" si="278"/>
      </c>
      <c r="J54" s="507">
        <f t="shared" si="214"/>
      </c>
      <c r="K54" s="508">
        <f t="shared" si="603"/>
      </c>
      <c r="L54" s="505">
        <f t="shared" si="409"/>
      </c>
      <c r="M54" s="509">
        <f t="shared" si="477"/>
      </c>
      <c r="N54" s="509">
        <f t="shared" si="536"/>
      </c>
      <c r="O54" s="509">
        <f t="shared" si="441"/>
      </c>
      <c r="P54" s="509">
        <f t="shared" si="372"/>
      </c>
      <c r="Q54" s="505">
        <f t="shared" si="311"/>
      </c>
      <c r="R54" s="507">
        <f t="shared" si="247"/>
      </c>
      <c r="S54" s="509">
        <f t="shared" si="149"/>
      </c>
      <c r="T54" s="509">
        <f t="shared" si="79"/>
      </c>
      <c r="U54" s="509">
        <f t="shared" si="5"/>
      </c>
      <c r="V54" s="509">
        <f t="shared" si="567"/>
      </c>
      <c r="W54" s="520" t="s">
        <v>255</v>
      </c>
      <c r="X54" s="511" t="s">
        <v>267</v>
      </c>
      <c r="Y54" s="513">
        <v>111124</v>
      </c>
      <c r="Z54" s="513">
        <v>1722</v>
      </c>
      <c r="AA54" s="513">
        <v>109444</v>
      </c>
      <c r="AB54" s="513">
        <v>205</v>
      </c>
      <c r="AC54" s="513">
        <v>3</v>
      </c>
      <c r="AD54" s="513">
        <v>4087</v>
      </c>
      <c r="AE54" s="513">
        <v>73</v>
      </c>
      <c r="AF54" s="513">
        <v>46</v>
      </c>
      <c r="AG54" s="513">
        <v>4</v>
      </c>
      <c r="AH54" s="514">
        <v>1</v>
      </c>
    </row>
    <row customHeight="true" ht="16.071428571428573" r="55">
      <c r="A55" s="498"/>
      <c r="B55" s="538" t="s">
        <v>261</v>
      </c>
      <c r="C55" s="538"/>
      <c r="D55" s="522">
        <f>SUM(D53:D54)</f>
      </c>
      <c r="E55" s="522">
        <f>SUM(E53:E54)</f>
      </c>
      <c r="F55" s="522">
        <f>SUM(F53:F54)</f>
      </c>
      <c r="G55" s="522">
        <f t="shared" si="43"/>
      </c>
      <c r="H55" s="524">
        <f t="shared" si="342"/>
      </c>
      <c r="I55" s="525">
        <f t="shared" si="278"/>
      </c>
      <c r="J55" s="526">
        <f t="shared" si="214"/>
      </c>
      <c r="K55" s="527">
        <f t="shared" si="603"/>
      </c>
      <c r="L55" s="524">
        <f t="shared" si="409"/>
      </c>
      <c r="M55" s="528">
        <f t="shared" si="477"/>
      </c>
      <c r="N55" s="528">
        <f t="shared" si="536"/>
      </c>
      <c r="O55" s="528">
        <f t="shared" si="441"/>
      </c>
      <c r="P55" s="528">
        <f t="shared" si="372"/>
      </c>
      <c r="Q55" s="524">
        <f t="shared" si="311"/>
      </c>
      <c r="R55" s="526">
        <f t="shared" si="247"/>
      </c>
      <c r="S55" s="528">
        <f t="shared" si="149"/>
      </c>
      <c r="T55" s="528">
        <f t="shared" si="79"/>
      </c>
      <c r="U55" s="528">
        <f t="shared" si="5"/>
      </c>
      <c r="V55" s="528">
        <f t="shared" si="567"/>
      </c>
      <c r="W55" s="528"/>
      <c r="X55" s="529"/>
      <c r="Y55" s="522">
        <f>SUM(Y52:Y54)</f>
      </c>
      <c r="Z55" s="522">
        <f>SUM(Z52:Z54)</f>
      </c>
      <c r="AA55" s="522">
        <f>SUM(AA52:AA54)</f>
      </c>
      <c r="AB55" s="522">
        <f>SUM(AB52:AB54)</f>
      </c>
      <c r="AC55" s="522">
        <f>SUM(AC52:AC54)</f>
      </c>
      <c r="AD55" s="522">
        <f>SUM(AD53:AD54)</f>
      </c>
      <c r="AE55" s="522">
        <f>SUM(AE53:AE54)</f>
      </c>
      <c r="AF55" s="522">
        <f>SUM(AF53:AF54)</f>
      </c>
      <c r="AG55" s="522">
        <f>SUM(AG53:AG54)</f>
      </c>
      <c r="AH55" s="522">
        <f>SUM(AH53:AH54)</f>
      </c>
    </row>
    <row r="56">
      <c r="A56" s="498"/>
      <c r="B56" s="540" t="s">
        <v>271</v>
      </c>
      <c r="C56" s="537" t="s">
        <v>272</v>
      </c>
      <c r="D56" s="541">
        <v>760.255</v>
      </c>
      <c r="E56" s="542">
        <v>0</v>
      </c>
      <c r="F56" s="519">
        <v>0</v>
      </c>
      <c r="G56" s="504">
        <f t="shared" si="43"/>
      </c>
      <c r="H56" s="505">
        <f t="shared" si="342"/>
      </c>
      <c r="I56" s="506">
        <f t="shared" si="278"/>
      </c>
      <c r="J56" s="507">
        <f t="shared" si="214"/>
      </c>
      <c r="K56" s="508">
        <f t="shared" si="603"/>
      </c>
      <c r="L56" s="505">
        <f t="shared" si="409"/>
      </c>
      <c r="M56" s="509">
        <f t="shared" si="477"/>
      </c>
      <c r="N56" s="509">
        <f t="shared" si="536"/>
      </c>
      <c r="O56" s="509">
        <f t="shared" si="441"/>
      </c>
      <c r="P56" s="509">
        <f t="shared" si="372"/>
      </c>
      <c r="Q56" s="505">
        <f t="shared" si="311"/>
      </c>
      <c r="R56" s="507">
        <f t="shared" si="247"/>
      </c>
      <c r="S56" s="509">
        <f t="shared" si="149"/>
      </c>
      <c r="T56" s="509">
        <f t="shared" si="79"/>
      </c>
      <c r="U56" s="509">
        <f t="shared" si="5"/>
      </c>
      <c r="V56" s="509">
        <f t="shared" si="567"/>
      </c>
      <c r="W56" s="520" t="s">
        <v>255</v>
      </c>
      <c r="X56" s="511" t="s">
        <v>267</v>
      </c>
      <c r="Y56" s="513">
        <v>125478</v>
      </c>
      <c r="Z56" s="513">
        <v>1451</v>
      </c>
      <c r="AA56" s="513">
        <v>124783</v>
      </c>
      <c r="AB56" s="513">
        <v>187</v>
      </c>
      <c r="AC56" s="513">
        <v>0</v>
      </c>
      <c r="AD56" s="513">
        <v>3454</v>
      </c>
      <c r="AE56" s="513">
        <v>55</v>
      </c>
      <c r="AF56" s="513">
        <v>36</v>
      </c>
      <c r="AG56" s="513">
        <v>6</v>
      </c>
      <c r="AH56" s="514">
        <v>0</v>
      </c>
    </row>
    <row r="57">
      <c r="A57" s="498"/>
      <c r="B57" s="540" t="s">
        <v>271</v>
      </c>
      <c r="C57" s="537" t="s">
        <v>273</v>
      </c>
      <c r="D57" s="541">
        <v>827.5260000000001</v>
      </c>
      <c r="E57" s="542">
        <v>3</v>
      </c>
      <c r="F57" s="519">
        <v>1284</v>
      </c>
      <c r="G57" s="504">
        <f t="shared" si="43"/>
      </c>
      <c r="H57" s="505">
        <f t="shared" si="342"/>
      </c>
      <c r="I57" s="506">
        <f t="shared" si="278"/>
      </c>
      <c r="J57" s="507">
        <f t="shared" si="214"/>
      </c>
      <c r="K57" s="508">
        <f t="shared" si="603"/>
      </c>
      <c r="L57" s="505">
        <f t="shared" si="409"/>
      </c>
      <c r="M57" s="509">
        <f t="shared" si="477"/>
      </c>
      <c r="N57" s="509">
        <f t="shared" si="536"/>
      </c>
      <c r="O57" s="509">
        <f t="shared" si="441"/>
      </c>
      <c r="P57" s="509">
        <f t="shared" si="372"/>
      </c>
      <c r="Q57" s="505">
        <f t="shared" si="311"/>
      </c>
      <c r="R57" s="507">
        <f t="shared" si="247"/>
      </c>
      <c r="S57" s="509">
        <f t="shared" si="149"/>
      </c>
      <c r="T57" s="509">
        <f t="shared" si="79"/>
      </c>
      <c r="U57" s="509">
        <f t="shared" si="5"/>
      </c>
      <c r="V57" s="509">
        <f t="shared" si="567"/>
      </c>
      <c r="W57" s="520" t="s">
        <v>255</v>
      </c>
      <c r="X57" s="511" t="s">
        <v>267</v>
      </c>
      <c r="Y57" s="513">
        <v>139980</v>
      </c>
      <c r="Z57" s="513">
        <v>1561</v>
      </c>
      <c r="AA57" s="513">
        <v>139245</v>
      </c>
      <c r="AB57" s="513">
        <v>217</v>
      </c>
      <c r="AC57" s="513">
        <v>2</v>
      </c>
      <c r="AD57" s="513">
        <v>3726</v>
      </c>
      <c r="AE57" s="513">
        <v>66</v>
      </c>
      <c r="AF57" s="513">
        <v>44</v>
      </c>
      <c r="AG57" s="513">
        <v>10</v>
      </c>
      <c r="AH57" s="514">
        <v>0</v>
      </c>
    </row>
    <row r="58">
      <c r="A58" s="498"/>
      <c r="B58" s="540" t="s">
        <v>271</v>
      </c>
      <c r="C58" s="534" t="s">
        <v>274</v>
      </c>
      <c r="D58" s="541">
        <v>770.9469999999999</v>
      </c>
      <c r="E58" s="542">
        <v>5</v>
      </c>
      <c r="F58" s="519">
        <v>2182.399999999998</v>
      </c>
      <c r="G58" s="504">
        <f t="shared" si="43"/>
      </c>
      <c r="H58" s="505">
        <f t="shared" si="342"/>
      </c>
      <c r="I58" s="506">
        <f t="shared" si="278"/>
      </c>
      <c r="J58" s="507">
        <f t="shared" si="214"/>
      </c>
      <c r="K58" s="508">
        <f t="shared" si="603"/>
      </c>
      <c r="L58" s="505">
        <f t="shared" si="409"/>
      </c>
      <c r="M58" s="509">
        <f t="shared" si="477"/>
      </c>
      <c r="N58" s="509">
        <f t="shared" si="536"/>
      </c>
      <c r="O58" s="509">
        <f t="shared" si="441"/>
      </c>
      <c r="P58" s="509">
        <f t="shared" si="372"/>
      </c>
      <c r="Q58" s="505">
        <f t="shared" si="311"/>
      </c>
      <c r="R58" s="507">
        <f t="shared" si="247"/>
      </c>
      <c r="S58" s="509">
        <f t="shared" si="149"/>
      </c>
      <c r="T58" s="509">
        <f t="shared" si="79"/>
      </c>
      <c r="U58" s="509">
        <f t="shared" si="5"/>
      </c>
      <c r="V58" s="509">
        <f t="shared" si="567"/>
      </c>
      <c r="W58" s="520" t="s">
        <v>255</v>
      </c>
      <c r="X58" s="511" t="s">
        <v>267</v>
      </c>
      <c r="Y58" s="513">
        <v>135094</v>
      </c>
      <c r="Z58" s="513">
        <v>1741</v>
      </c>
      <c r="AA58" s="513">
        <v>133981</v>
      </c>
      <c r="AB58" s="513">
        <v>225</v>
      </c>
      <c r="AC58" s="513">
        <v>3</v>
      </c>
      <c r="AD58" s="513">
        <v>3831</v>
      </c>
      <c r="AE58" s="513">
        <v>72</v>
      </c>
      <c r="AF58" s="513">
        <v>54</v>
      </c>
      <c r="AG58" s="514">
        <v>5</v>
      </c>
      <c r="AH58" s="514">
        <v>1</v>
      </c>
    </row>
    <row r="59">
      <c r="A59" s="498"/>
      <c r="B59" s="540" t="s">
        <v>271</v>
      </c>
      <c r="C59" s="555" t="s">
        <v>275</v>
      </c>
      <c r="D59" s="541">
        <v>1337.3500000000004</v>
      </c>
      <c r="E59" s="542">
        <v>1</v>
      </c>
      <c r="F59" s="519">
        <v>827.9999999999964</v>
      </c>
      <c r="G59" s="504">
        <f t="shared" si="43"/>
      </c>
      <c r="H59" s="505">
        <f t="shared" si="342"/>
      </c>
      <c r="I59" s="506">
        <f t="shared" si="278"/>
      </c>
      <c r="J59" s="507">
        <f t="shared" si="214"/>
      </c>
      <c r="K59" s="508">
        <f t="shared" si="603"/>
      </c>
      <c r="L59" s="505">
        <f t="shared" si="409"/>
      </c>
      <c r="M59" s="509">
        <f t="shared" si="477"/>
      </c>
      <c r="N59" s="509">
        <f t="shared" si="536"/>
      </c>
      <c r="O59" s="509">
        <f t="shared" si="441"/>
      </c>
      <c r="P59" s="509">
        <f t="shared" si="372"/>
      </c>
      <c r="Q59" s="505">
        <f t="shared" si="311"/>
      </c>
      <c r="R59" s="507">
        <f t="shared" si="247"/>
      </c>
      <c r="S59" s="509">
        <f t="shared" si="149"/>
      </c>
      <c r="T59" s="509">
        <f t="shared" si="79"/>
      </c>
      <c r="U59" s="509">
        <f t="shared" si="5"/>
      </c>
      <c r="V59" s="509">
        <f t="shared" si="567"/>
      </c>
      <c r="W59" s="520" t="s">
        <v>255</v>
      </c>
      <c r="X59" s="511" t="s">
        <v>267</v>
      </c>
      <c r="Y59" s="513">
        <v>270642</v>
      </c>
      <c r="Z59" s="513">
        <v>2406</v>
      </c>
      <c r="AA59" s="513">
        <v>271155</v>
      </c>
      <c r="AB59" s="513">
        <v>266</v>
      </c>
      <c r="AC59" s="513">
        <v>2</v>
      </c>
      <c r="AD59" s="513">
        <v>5721</v>
      </c>
      <c r="AE59" s="513">
        <v>55</v>
      </c>
      <c r="AF59" s="513">
        <v>52</v>
      </c>
      <c r="AG59" s="513">
        <v>11</v>
      </c>
      <c r="AH59" s="514">
        <v>0</v>
      </c>
    </row>
    <row r="60">
      <c r="A60" s="498"/>
      <c r="B60" s="538" t="s">
        <v>261</v>
      </c>
      <c r="C60" s="538"/>
      <c r="D60" s="522">
        <f>SUM(D56:D59)</f>
      </c>
      <c r="E60" s="522">
        <f>SUM(E56:E59)</f>
      </c>
      <c r="F60" s="522">
        <f>SUM(F56:F59)</f>
      </c>
      <c r="G60" s="522">
        <f t="shared" si="43"/>
      </c>
      <c r="H60" s="524">
        <f t="shared" si="342"/>
      </c>
      <c r="I60" s="525">
        <f t="shared" si="278"/>
      </c>
      <c r="J60" s="526">
        <f t="shared" si="214"/>
      </c>
      <c r="K60" s="527">
        <f t="shared" si="603"/>
      </c>
      <c r="L60" s="524">
        <f t="shared" si="409"/>
      </c>
      <c r="M60" s="528">
        <f t="shared" si="477"/>
      </c>
      <c r="N60" s="528">
        <f t="shared" si="536"/>
      </c>
      <c r="O60" s="528">
        <f t="shared" si="441"/>
      </c>
      <c r="P60" s="528">
        <f t="shared" si="372"/>
      </c>
      <c r="Q60" s="524">
        <f t="shared" si="311"/>
      </c>
      <c r="R60" s="526">
        <f t="shared" si="247"/>
      </c>
      <c r="S60" s="528">
        <f t="shared" si="149"/>
      </c>
      <c r="T60" s="528">
        <f t="shared" si="79"/>
      </c>
      <c r="U60" s="528">
        <f t="shared" si="5"/>
      </c>
      <c r="V60" s="528">
        <f t="shared" si="567"/>
      </c>
      <c r="W60" s="528"/>
      <c r="X60" s="529"/>
      <c r="Y60" s="522">
        <f>SUM(Y56:Y59)</f>
      </c>
      <c r="Z60" s="522">
        <f>SUM(Z56:Z59)</f>
      </c>
      <c r="AA60" s="522">
        <f>SUM(AA56:AA59)</f>
      </c>
      <c r="AB60" s="522">
        <f>SUM(AB56:AB59)</f>
      </c>
      <c r="AC60" s="522">
        <f>SUM(AC56:AC59)</f>
      </c>
      <c r="AD60" s="522">
        <f>SUM(AD56:AD59)</f>
      </c>
      <c r="AE60" s="522">
        <f>SUM(AE56:AE59)</f>
      </c>
      <c r="AF60" s="522">
        <f>SUM(AF56:AF59)</f>
      </c>
      <c r="AG60" s="522">
        <f>SUM(AG56:AG59)</f>
      </c>
      <c r="AH60" s="522">
        <f>SUM(AH56:AH59)</f>
      </c>
    </row>
    <row r="61">
      <c r="A61" s="498"/>
      <c r="B61" s="543" t="s">
        <v>276</v>
      </c>
      <c r="C61" s="543"/>
      <c r="D61" s="554">
        <f>SUM(D47+D52+D60+D55)</f>
      </c>
      <c r="E61" s="544">
        <f>SUM(E60+E52+E47+E55)</f>
      </c>
      <c r="F61" s="544">
        <f>SUM(F60+F52+F47+F55)</f>
      </c>
      <c r="G61" s="544">
        <f t="shared" si="43"/>
      </c>
      <c r="H61" s="545">
        <f t="shared" si="342"/>
      </c>
      <c r="I61" s="546">
        <f t="shared" si="278"/>
      </c>
      <c r="J61" s="547">
        <f t="shared" si="214"/>
      </c>
      <c r="K61" s="548">
        <f t="shared" si="603"/>
      </c>
      <c r="L61" s="548">
        <f t="shared" si="409"/>
      </c>
      <c r="M61" s="550">
        <f t="shared" si="477"/>
      </c>
      <c r="N61" s="550">
        <f t="shared" si="536"/>
      </c>
      <c r="O61" s="550">
        <f t="shared" si="441"/>
      </c>
      <c r="P61" s="550">
        <f t="shared" si="372"/>
      </c>
      <c r="Q61" s="549">
        <f t="shared" si="311"/>
      </c>
      <c r="R61" s="551">
        <f t="shared" si="247"/>
      </c>
      <c r="S61" s="552">
        <f t="shared" si="149"/>
      </c>
      <c r="T61" s="552">
        <f t="shared" si="79"/>
      </c>
      <c r="U61" s="552">
        <f t="shared" si="5"/>
      </c>
      <c r="V61" s="552">
        <f t="shared" si="567"/>
      </c>
      <c r="W61" s="552"/>
      <c r="X61" s="553"/>
      <c r="Y61" s="544">
        <f>SUM(Y60+Y52+Y47+Y55)</f>
      </c>
      <c r="Z61" s="544">
        <f>SUM(Z60+Z52+Z47+Z55)</f>
      </c>
      <c r="AA61" s="544">
        <f>SUM(AA60+AA52+AA47+AA55)</f>
      </c>
      <c r="AB61" s="544">
        <f>SUM(AB60+AB52+AB47+AB55)</f>
      </c>
      <c r="AC61" s="544">
        <f>SUM(AC60+AC52+AC47+AC55)</f>
      </c>
      <c r="AD61" s="544">
        <f>SUM(AD60+AD52+AD47+AD55)</f>
      </c>
      <c r="AE61" s="544">
        <f>SUM(AE60+AE52+AE47+AE55)</f>
      </c>
      <c r="AF61" s="544">
        <f>SUM(AF60+AF52+AF47+AF55)</f>
      </c>
      <c r="AG61" s="544">
        <f>SUM(AG60+AG52+AG47+AG55)</f>
      </c>
      <c r="AH61" s="544">
        <f>SUM(AH60+AH52+AH47+AH55)</f>
      </c>
    </row>
    <row r="62">
      <c r="A62" s="485" t="s">
        <v>218</v>
      </c>
      <c r="B62" s="485" t="s">
        <v>219</v>
      </c>
      <c r="C62" s="486" t="s">
        <v>220</v>
      </c>
      <c r="D62" s="487" t="s">
        <v>221</v>
      </c>
      <c r="E62" s="488" t="s">
        <v>222</v>
      </c>
      <c r="F62" s="489" t="s">
        <v>223</v>
      </c>
      <c r="G62" s="489" t="s">
        <v>224</v>
      </c>
      <c r="H62" s="490" t="s">
        <v>225</v>
      </c>
      <c r="I62" s="490" t="s">
        <v>226</v>
      </c>
      <c r="J62" s="490" t="s">
        <v>227</v>
      </c>
      <c r="K62" s="491" t="s">
        <v>228</v>
      </c>
      <c r="L62" s="491" t="s">
        <v>229</v>
      </c>
      <c r="M62" s="491" t="s">
        <v>231</v>
      </c>
      <c r="N62" s="491" t="s">
        <v>232</v>
      </c>
      <c r="O62" s="491" t="s">
        <v>233</v>
      </c>
      <c r="P62" s="491" t="s">
        <v>234</v>
      </c>
      <c r="Q62" s="491" t="s">
        <v>235</v>
      </c>
      <c r="R62" s="491" t="s">
        <v>236</v>
      </c>
      <c r="S62" s="492" t="s">
        <v>237</v>
      </c>
      <c r="T62" s="492" t="s">
        <v>238</v>
      </c>
      <c r="U62" s="492" t="s">
        <v>239</v>
      </c>
      <c r="V62" s="492" t="s">
        <v>240</v>
      </c>
      <c r="W62" s="493" t="s">
        <v>241</v>
      </c>
      <c r="X62" s="493" t="s">
        <v>242</v>
      </c>
      <c r="Y62" s="494" t="s">
        <v>243</v>
      </c>
      <c r="Z62" s="494" t="s">
        <v>244</v>
      </c>
      <c r="AA62" s="494" t="s">
        <v>245</v>
      </c>
      <c r="AB62" s="495" t="s">
        <v>246</v>
      </c>
      <c r="AC62" s="495" t="s">
        <v>247</v>
      </c>
      <c r="AD62" s="496" t="s">
        <v>248</v>
      </c>
      <c r="AE62" s="495" t="s">
        <v>249</v>
      </c>
      <c r="AF62" s="495" t="s">
        <v>250</v>
      </c>
      <c r="AG62" s="497" t="s">
        <v>251</v>
      </c>
      <c r="AH62" s="495" t="s">
        <v>252</v>
      </c>
    </row>
    <row r="63">
      <c r="A63" s="498">
        <v>46207</v>
      </c>
      <c r="B63" s="530" t="s">
        <v>277</v>
      </c>
      <c r="C63" s="500" t="s">
        <v>254</v>
      </c>
      <c r="D63" s="501">
        <v>1000.5779999999999</v>
      </c>
      <c r="E63" s="502">
        <v>2</v>
      </c>
      <c r="F63" s="503">
        <v>424</v>
      </c>
      <c r="G63" s="504">
        <f t="shared" ref="G63:G81" si="44">D63/AC63</f>
      </c>
      <c r="H63" s="505">
        <f t="shared" ref="H63:H81" si="343">F63/E63</f>
      </c>
      <c r="I63" s="506">
        <f t="shared" ref="I63:I81" si="279">D63/E63</f>
      </c>
      <c r="J63" s="507">
        <f t="shared" ref="J63:J81" si="215">F63/D63</f>
      </c>
      <c r="K63" s="508">
        <f t="shared" ref="K63:K70" si="604">D63/AA63</f>
      </c>
      <c r="L63" s="505">
        <f t="shared" ref="L63:L70" si="410">D63/AB63</f>
      </c>
      <c r="M63" s="509">
        <f t="shared" ref="M63:M70" si="478">AB63/AA63</f>
      </c>
      <c r="N63" s="509">
        <f t="shared" ref="N63:N81" si="537">AC63/AB63</f>
      </c>
      <c r="O63" s="509">
        <f t="shared" ref="O63:O81" si="442">Z63/Y63</f>
      </c>
      <c r="P63" s="509">
        <f t="shared" ref="P63:P70" si="373">AC63/Z63</f>
      </c>
      <c r="Q63" s="505">
        <f t="shared" ref="Q63:Q81" si="312">D63/Y63*1000</f>
      </c>
      <c r="R63" s="507">
        <f t="shared" ref="R63:R81" si="248">D63/Z63</f>
      </c>
      <c r="S63" s="509">
        <f t="shared" ref="S63:S70" si="150">AD63/AA63</f>
      </c>
      <c r="T63" s="509">
        <f t="shared" ref="T63:T70" si="80">AE63/AA63</f>
      </c>
      <c r="U63" s="509">
        <f t="shared" ref="U63:U70" si="6">AF63/AA63</f>
      </c>
      <c r="V63" s="509">
        <f t="shared" ref="V63:V81" si="568">AG63/AA63</f>
      </c>
      <c r="W63" s="510" t="s">
        <v>255</v>
      </c>
      <c r="X63" s="511" t="s">
        <v>279</v>
      </c>
      <c r="Y63" s="512">
        <v>152449</v>
      </c>
      <c r="Z63" s="512">
        <v>3174</v>
      </c>
      <c r="AA63" s="512">
        <v>88465</v>
      </c>
      <c r="AB63" s="512">
        <v>448</v>
      </c>
      <c r="AC63" s="514">
        <v>1</v>
      </c>
      <c r="AD63" s="512">
        <v>9433</v>
      </c>
      <c r="AE63" s="513">
        <v>129</v>
      </c>
      <c r="AF63" s="513">
        <v>97</v>
      </c>
      <c r="AG63" s="513">
        <v>12</v>
      </c>
      <c r="AH63" s="514">
        <v>0</v>
      </c>
    </row>
    <row r="64">
      <c r="A64" s="498"/>
      <c r="B64" s="530" t="s">
        <v>277</v>
      </c>
      <c r="C64" s="500" t="s">
        <v>257</v>
      </c>
      <c r="D64" s="501">
        <v>1786.025</v>
      </c>
      <c r="E64" s="502">
        <v>6</v>
      </c>
      <c r="F64" s="503">
        <v>3072</v>
      </c>
      <c r="G64" s="504">
        <f t="shared" si="44"/>
      </c>
      <c r="H64" s="505">
        <f t="shared" si="343"/>
      </c>
      <c r="I64" s="506">
        <f t="shared" si="279"/>
      </c>
      <c r="J64" s="507">
        <f t="shared" si="215"/>
      </c>
      <c r="K64" s="508">
        <f t="shared" si="604"/>
      </c>
      <c r="L64" s="505">
        <f t="shared" si="410"/>
      </c>
      <c r="M64" s="509">
        <f t="shared" si="478"/>
      </c>
      <c r="N64" s="509">
        <f t="shared" si="537"/>
      </c>
      <c r="O64" s="509">
        <f t="shared" si="442"/>
      </c>
      <c r="P64" s="509">
        <f t="shared" si="373"/>
      </c>
      <c r="Q64" s="505">
        <f t="shared" si="312"/>
      </c>
      <c r="R64" s="507">
        <f t="shared" si="248"/>
      </c>
      <c r="S64" s="509">
        <f t="shared" si="150"/>
      </c>
      <c r="T64" s="509">
        <f t="shared" si="80"/>
      </c>
      <c r="U64" s="509">
        <f t="shared" si="6"/>
      </c>
      <c r="V64" s="509">
        <f t="shared" si="568"/>
      </c>
      <c r="W64" s="510" t="s">
        <v>255</v>
      </c>
      <c r="X64" s="511" t="s">
        <v>279</v>
      </c>
      <c r="Y64" s="513">
        <v>314740</v>
      </c>
      <c r="Z64" s="512">
        <v>5155</v>
      </c>
      <c r="AA64" s="512">
        <v>114537</v>
      </c>
      <c r="AB64" s="512">
        <v>857</v>
      </c>
      <c r="AC64" s="513">
        <v>7</v>
      </c>
      <c r="AD64" s="512">
        <v>10325</v>
      </c>
      <c r="AE64" s="513">
        <v>152</v>
      </c>
      <c r="AF64" s="513">
        <v>124</v>
      </c>
      <c r="AG64" s="514">
        <v>7</v>
      </c>
      <c r="AH64" s="514">
        <v>0</v>
      </c>
    </row>
    <row r="65">
      <c r="A65" s="498"/>
      <c r="B65" s="530" t="s">
        <v>277</v>
      </c>
      <c r="C65" s="515" t="s">
        <v>258</v>
      </c>
      <c r="D65" s="501">
        <v>1703.5220000000004</v>
      </c>
      <c r="E65" s="502">
        <v>4</v>
      </c>
      <c r="F65" s="503">
        <v>1501.1999999999998</v>
      </c>
      <c r="G65" s="504">
        <f t="shared" si="44"/>
      </c>
      <c r="H65" s="505">
        <f t="shared" si="343"/>
      </c>
      <c r="I65" s="506">
        <f t="shared" si="279"/>
      </c>
      <c r="J65" s="507">
        <f t="shared" si="215"/>
      </c>
      <c r="K65" s="508">
        <f t="shared" si="604"/>
      </c>
      <c r="L65" s="505">
        <f t="shared" si="410"/>
      </c>
      <c r="M65" s="509">
        <f t="shared" si="478"/>
      </c>
      <c r="N65" s="509">
        <f t="shared" si="537"/>
      </c>
      <c r="O65" s="509">
        <f t="shared" si="442"/>
      </c>
      <c r="P65" s="509">
        <f t="shared" si="373"/>
      </c>
      <c r="Q65" s="505">
        <f t="shared" si="312"/>
      </c>
      <c r="R65" s="507">
        <f t="shared" si="248"/>
      </c>
      <c r="S65" s="509">
        <f t="shared" si="150"/>
      </c>
      <c r="T65" s="509">
        <f t="shared" si="80"/>
      </c>
      <c r="U65" s="509">
        <f t="shared" si="6"/>
      </c>
      <c r="V65" s="509">
        <f t="shared" si="568"/>
      </c>
      <c r="W65" s="510" t="s">
        <v>255</v>
      </c>
      <c r="X65" s="511" t="s">
        <v>279</v>
      </c>
      <c r="Y65" s="513">
        <v>293032</v>
      </c>
      <c r="Z65" s="512">
        <v>4876</v>
      </c>
      <c r="AA65" s="512">
        <v>185809</v>
      </c>
      <c r="AB65" s="512">
        <v>711</v>
      </c>
      <c r="AC65" s="513">
        <v>3</v>
      </c>
      <c r="AD65" s="512">
        <v>9478</v>
      </c>
      <c r="AE65" s="513">
        <v>181</v>
      </c>
      <c r="AF65" s="513">
        <v>96</v>
      </c>
      <c r="AG65" s="513">
        <v>16</v>
      </c>
      <c r="AH65" s="514">
        <v>1</v>
      </c>
    </row>
    <row r="66">
      <c r="A66" s="498"/>
      <c r="B66" s="530" t="s">
        <v>277</v>
      </c>
      <c r="C66" s="516" t="s">
        <v>259</v>
      </c>
      <c r="D66" s="501">
        <v>1413.7020000000002</v>
      </c>
      <c r="E66" s="502">
        <v>4</v>
      </c>
      <c r="F66" s="503">
        <v>1480</v>
      </c>
      <c r="G66" s="504">
        <f t="shared" si="44"/>
      </c>
      <c r="H66" s="505">
        <f t="shared" si="343"/>
      </c>
      <c r="I66" s="506">
        <f t="shared" si="279"/>
      </c>
      <c r="J66" s="507">
        <f t="shared" si="215"/>
      </c>
      <c r="K66" s="508">
        <f t="shared" si="604"/>
      </c>
      <c r="L66" s="505">
        <f t="shared" si="410"/>
      </c>
      <c r="M66" s="509">
        <f t="shared" si="478"/>
      </c>
      <c r="N66" s="509">
        <f t="shared" si="537"/>
      </c>
      <c r="O66" s="509">
        <f t="shared" si="442"/>
      </c>
      <c r="P66" s="509">
        <f t="shared" si="373"/>
      </c>
      <c r="Q66" s="505">
        <f t="shared" si="312"/>
      </c>
      <c r="R66" s="507">
        <f t="shared" si="248"/>
      </c>
      <c r="S66" s="509">
        <f t="shared" si="150"/>
      </c>
      <c r="T66" s="509">
        <f t="shared" si="80"/>
      </c>
      <c r="U66" s="509">
        <f t="shared" si="6"/>
      </c>
      <c r="V66" s="509">
        <f t="shared" si="568"/>
      </c>
      <c r="W66" s="504" t="s">
        <v>255</v>
      </c>
      <c r="X66" s="511" t="s">
        <v>279</v>
      </c>
      <c r="Y66" s="513">
        <v>262607</v>
      </c>
      <c r="Z66" s="513">
        <v>6756</v>
      </c>
      <c r="AA66" s="513">
        <v>152691</v>
      </c>
      <c r="AB66" s="513">
        <v>697</v>
      </c>
      <c r="AC66" s="513">
        <v>4</v>
      </c>
      <c r="AD66" s="513">
        <v>9340</v>
      </c>
      <c r="AE66" s="513">
        <v>175</v>
      </c>
      <c r="AF66" s="513">
        <v>125</v>
      </c>
      <c r="AG66" s="514">
        <v>11</v>
      </c>
      <c r="AH66" s="514">
        <v>0</v>
      </c>
    </row>
    <row r="67">
      <c r="A67" s="498"/>
      <c r="B67" s="530" t="s">
        <v>277</v>
      </c>
      <c r="C67" s="516" t="s">
        <v>260</v>
      </c>
      <c r="D67" s="517">
        <v>1893.679</v>
      </c>
      <c r="E67" s="518">
        <v>8</v>
      </c>
      <c r="F67" s="519">
        <v>2837.4000000000005</v>
      </c>
      <c r="G67" s="504">
        <f t="shared" si="44"/>
      </c>
      <c r="H67" s="505">
        <f t="shared" si="343"/>
      </c>
      <c r="I67" s="506">
        <f t="shared" si="279"/>
      </c>
      <c r="J67" s="507">
        <f t="shared" si="215"/>
      </c>
      <c r="K67" s="508">
        <f t="shared" si="604"/>
      </c>
      <c r="L67" s="505">
        <f t="shared" si="410"/>
      </c>
      <c r="M67" s="509">
        <f t="shared" si="478"/>
      </c>
      <c r="N67" s="509">
        <f t="shared" si="537"/>
      </c>
      <c r="O67" s="509">
        <f t="shared" si="442"/>
      </c>
      <c r="P67" s="509">
        <f t="shared" si="373"/>
      </c>
      <c r="Q67" s="505">
        <f t="shared" si="312"/>
      </c>
      <c r="R67" s="507">
        <f t="shared" si="248"/>
      </c>
      <c r="S67" s="509">
        <f t="shared" si="150"/>
      </c>
      <c r="T67" s="509">
        <f t="shared" si="80"/>
      </c>
      <c r="U67" s="509">
        <f t="shared" si="6"/>
      </c>
      <c r="V67" s="509">
        <f t="shared" si="568"/>
      </c>
      <c r="W67" s="520" t="s">
        <v>255</v>
      </c>
      <c r="X67" s="511" t="s">
        <v>279</v>
      </c>
      <c r="Y67" s="513">
        <v>387221</v>
      </c>
      <c r="Z67" s="513">
        <v>8376</v>
      </c>
      <c r="AA67" s="513">
        <v>191148</v>
      </c>
      <c r="AB67" s="513">
        <v>967</v>
      </c>
      <c r="AC67" s="513">
        <v>6</v>
      </c>
      <c r="AD67" s="513">
        <v>8382</v>
      </c>
      <c r="AE67" s="513">
        <v>116</v>
      </c>
      <c r="AF67" s="513">
        <v>175</v>
      </c>
      <c r="AG67" s="514">
        <v>13</v>
      </c>
      <c r="AH67" s="514">
        <v>3</v>
      </c>
    </row>
    <row r="68">
      <c r="A68" s="498"/>
      <c r="B68" s="521" t="s">
        <v>261</v>
      </c>
      <c r="C68" s="521"/>
      <c r="D68" s="522">
        <f>SUM(D63:D67)</f>
      </c>
      <c r="E68" s="523">
        <f>SUM(E63:E67)</f>
      </c>
      <c r="F68" s="522">
        <f>SUM(F63:F67)</f>
      </c>
      <c r="G68" s="522">
        <f t="shared" si="44"/>
      </c>
      <c r="H68" s="524">
        <f t="shared" si="343"/>
      </c>
      <c r="I68" s="525">
        <f t="shared" si="279"/>
      </c>
      <c r="J68" s="526">
        <f t="shared" si="215"/>
      </c>
      <c r="K68" s="527">
        <f t="shared" si="604"/>
      </c>
      <c r="L68" s="524">
        <f t="shared" si="410"/>
      </c>
      <c r="M68" s="528">
        <f t="shared" si="478"/>
      </c>
      <c r="N68" s="528">
        <f t="shared" si="537"/>
      </c>
      <c r="O68" s="528">
        <f t="shared" si="442"/>
      </c>
      <c r="P68" s="528">
        <f t="shared" si="373"/>
      </c>
      <c r="Q68" s="524">
        <f t="shared" si="312"/>
      </c>
      <c r="R68" s="526">
        <f t="shared" si="248"/>
      </c>
      <c r="S68" s="528">
        <f t="shared" si="150"/>
      </c>
      <c r="T68" s="528">
        <f t="shared" si="80"/>
      </c>
      <c r="U68" s="528">
        <f t="shared" si="6"/>
      </c>
      <c r="V68" s="528">
        <f t="shared" si="568"/>
      </c>
      <c r="W68" s="528"/>
      <c r="X68" s="529"/>
      <c r="Y68" s="522">
        <f>SUM(Y63:Y67)</f>
      </c>
      <c r="Z68" s="522">
        <f>SUM(Z63:Z67)</f>
      </c>
      <c r="AA68" s="522">
        <f>SUM(AA63:AA67)</f>
      </c>
      <c r="AB68" s="522">
        <f>SUM(AB63:AB67)</f>
      </c>
      <c r="AC68" s="522">
        <f>SUM(AC63:AC67)</f>
      </c>
      <c r="AD68" s="522">
        <f>SUM(AD63:AD67)</f>
      </c>
      <c r="AE68" s="522">
        <f>SUM(AE63:AE67)</f>
      </c>
      <c r="AF68" s="522">
        <f>SUM(AF63:AF67)</f>
      </c>
      <c r="AG68" s="522">
        <f>SUM(AG63:AG67)</f>
      </c>
      <c r="AH68" s="522">
        <f>SUM(AH63:AH67)</f>
      </c>
    </row>
    <row r="69">
      <c r="A69" s="498"/>
      <c r="B69" s="499" t="s">
        <v>262</v>
      </c>
      <c r="C69" s="531" t="s">
        <v>263</v>
      </c>
      <c r="D69" s="532">
        <v>1488.8370000000002</v>
      </c>
      <c r="E69" s="502">
        <v>0</v>
      </c>
      <c r="F69" s="503">
        <v>0</v>
      </c>
      <c r="G69" s="504">
        <f t="shared" si="44"/>
      </c>
      <c r="H69" s="505">
        <f t="shared" si="343"/>
      </c>
      <c r="I69" s="506">
        <f t="shared" si="279"/>
      </c>
      <c r="J69" s="507">
        <f t="shared" si="215"/>
      </c>
      <c r="K69" s="508">
        <f t="shared" si="604"/>
      </c>
      <c r="L69" s="505">
        <f t="shared" si="410"/>
      </c>
      <c r="M69" s="509">
        <f t="shared" si="478"/>
      </c>
      <c r="N69" s="509">
        <f t="shared" si="537"/>
      </c>
      <c r="O69" s="509">
        <f t="shared" si="442"/>
      </c>
      <c r="P69" s="509">
        <f t="shared" si="373"/>
      </c>
      <c r="Q69" s="505">
        <f t="shared" si="312"/>
      </c>
      <c r="R69" s="507">
        <f t="shared" si="248"/>
      </c>
      <c r="S69" s="509">
        <f t="shared" si="150"/>
      </c>
      <c r="T69" s="509">
        <f t="shared" si="80"/>
      </c>
      <c r="U69" s="509">
        <f t="shared" si="6"/>
      </c>
      <c r="V69" s="509">
        <f t="shared" si="568"/>
      </c>
      <c r="W69" s="520" t="s">
        <v>255</v>
      </c>
      <c r="X69" s="511" t="s">
        <v>279</v>
      </c>
      <c r="Y69" s="512">
        <v>303551</v>
      </c>
      <c r="Z69" s="512">
        <v>6428</v>
      </c>
      <c r="AA69" s="512">
        <v>191395</v>
      </c>
      <c r="AB69" s="513">
        <v>677</v>
      </c>
      <c r="AC69" s="513">
        <v>0</v>
      </c>
      <c r="AD69" s="512">
        <v>6829</v>
      </c>
      <c r="AE69" s="513">
        <v>98</v>
      </c>
      <c r="AF69" s="513">
        <v>110</v>
      </c>
      <c r="AG69" s="513">
        <v>17</v>
      </c>
      <c r="AH69" s="514">
        <v>0</v>
      </c>
    </row>
    <row r="70">
      <c r="A70" s="498"/>
      <c r="B70" s="499" t="s">
        <v>262</v>
      </c>
      <c r="C70" s="533" t="s">
        <v>264</v>
      </c>
      <c r="D70" s="532">
        <v>1455.7530000000004</v>
      </c>
      <c r="E70" s="518">
        <v>4</v>
      </c>
      <c r="F70" s="519">
        <v>912</v>
      </c>
      <c r="G70" s="504">
        <f t="shared" si="44"/>
      </c>
      <c r="H70" s="505">
        <f t="shared" si="343"/>
      </c>
      <c r="I70" s="506">
        <f t="shared" si="279"/>
      </c>
      <c r="J70" s="507">
        <f t="shared" si="215"/>
      </c>
      <c r="K70" s="508">
        <f t="shared" si="604"/>
      </c>
      <c r="L70" s="505">
        <f t="shared" si="410"/>
      </c>
      <c r="M70" s="509">
        <f t="shared" si="478"/>
      </c>
      <c r="N70" s="509">
        <f t="shared" si="537"/>
      </c>
      <c r="O70" s="509">
        <f t="shared" si="442"/>
      </c>
      <c r="P70" s="509">
        <f t="shared" si="373"/>
      </c>
      <c r="Q70" s="505">
        <f t="shared" si="312"/>
      </c>
      <c r="R70" s="507">
        <f t="shared" si="248"/>
      </c>
      <c r="S70" s="509">
        <f t="shared" si="150"/>
      </c>
      <c r="T70" s="509">
        <f t="shared" si="80"/>
      </c>
      <c r="U70" s="509">
        <f t="shared" si="6"/>
      </c>
      <c r="V70" s="509">
        <f t="shared" si="568"/>
      </c>
      <c r="W70" s="520" t="s">
        <v>255</v>
      </c>
      <c r="X70" s="511" t="s">
        <v>279</v>
      </c>
      <c r="Y70" s="513">
        <v>269760</v>
      </c>
      <c r="Z70" s="513">
        <v>7239</v>
      </c>
      <c r="AA70" s="513">
        <v>194635</v>
      </c>
      <c r="AB70" s="513">
        <v>514</v>
      </c>
      <c r="AC70" s="513">
        <v>4</v>
      </c>
      <c r="AD70" s="513">
        <v>7023</v>
      </c>
      <c r="AE70" s="513">
        <v>96</v>
      </c>
      <c r="AF70" s="513">
        <v>124</v>
      </c>
      <c r="AG70" s="513">
        <v>9</v>
      </c>
      <c r="AH70" s="514">
        <v>0</v>
      </c>
    </row>
    <row r="71">
      <c r="A71" s="498"/>
      <c r="B71" s="499" t="s">
        <v>262</v>
      </c>
      <c r="C71" s="534" t="s">
        <v>265</v>
      </c>
      <c r="D71" s="535">
        <v>1779.2259999999999</v>
      </c>
      <c r="E71" s="502">
        <v>7</v>
      </c>
      <c r="F71" s="503">
        <v>1950.199999999999</v>
      </c>
      <c r="G71" s="504">
        <f t="shared" si="44"/>
      </c>
      <c r="H71" s="505">
        <f t="shared" si="343"/>
      </c>
      <c r="I71" s="506">
        <f t="shared" si="279"/>
      </c>
      <c r="J71" s="507">
        <f t="shared" si="215"/>
      </c>
      <c r="K71" s="508">
        <f t="shared" ref="K71:K72" si="122">D71/AB71</f>
      </c>
      <c r="L71" s="505">
        <f t="shared" ref="L71:L72" si="77">D71/AC71</f>
      </c>
      <c r="M71" s="509">
        <f t="shared" ref="M71:M72" si="184">AC71/AB71</f>
      </c>
      <c r="N71" s="509">
        <f t="shared" si="537"/>
      </c>
      <c r="O71" s="509">
        <f t="shared" si="442"/>
      </c>
      <c r="P71" s="509">
        <f t="shared" ref="P71:P72" si="114">AD71/Z71</f>
      </c>
      <c r="Q71" s="505">
        <f t="shared" si="312"/>
      </c>
      <c r="R71" s="507">
        <f t="shared" si="248"/>
      </c>
      <c r="S71" s="509">
        <f t="shared" ref="S71:S72" si="40">AE71/AB71</f>
      </c>
      <c r="T71" s="509">
        <f t="shared" ref="T71:T72" si="599">AF71/AB71</f>
      </c>
      <c r="U71" s="509">
        <f t="shared" ref="U71:U72" si="473">AG71/AB71</f>
      </c>
      <c r="V71" s="509">
        <f t="shared" si="568"/>
      </c>
      <c r="W71" s="520" t="s">
        <v>255</v>
      </c>
      <c r="X71" s="511" t="s">
        <v>279</v>
      </c>
      <c r="Y71" s="513">
        <v>345212</v>
      </c>
      <c r="Z71" s="513">
        <v>5957</v>
      </c>
      <c r="AA71" s="513">
        <v>245695</v>
      </c>
      <c r="AB71" s="536">
        <v>524</v>
      </c>
      <c r="AC71" s="536">
        <v>3</v>
      </c>
      <c r="AD71" s="536">
        <v>6551</v>
      </c>
      <c r="AE71" s="536">
        <v>94</v>
      </c>
      <c r="AF71" s="536">
        <v>87</v>
      </c>
      <c r="AG71" s="536">
        <v>4</v>
      </c>
      <c r="AH71" s="514">
        <v>2</v>
      </c>
    </row>
    <row r="72">
      <c r="A72" s="498"/>
      <c r="B72" s="499" t="s">
        <v>262</v>
      </c>
      <c r="C72" s="537" t="s">
        <v>266</v>
      </c>
      <c r="D72" s="535">
        <v>1839.2310000000002</v>
      </c>
      <c r="E72" s="502">
        <v>6</v>
      </c>
      <c r="F72" s="503">
        <v>1304</v>
      </c>
      <c r="G72" s="504">
        <f t="shared" si="44"/>
      </c>
      <c r="H72" s="505">
        <f t="shared" si="343"/>
      </c>
      <c r="I72" s="506">
        <f t="shared" si="279"/>
      </c>
      <c r="J72" s="507">
        <f t="shared" si="215"/>
      </c>
      <c r="K72" s="508">
        <f t="shared" si="122"/>
      </c>
      <c r="L72" s="505">
        <f t="shared" si="77"/>
      </c>
      <c r="M72" s="509">
        <f t="shared" si="184"/>
      </c>
      <c r="N72" s="509">
        <f t="shared" si="537"/>
      </c>
      <c r="O72" s="509">
        <f t="shared" si="442"/>
      </c>
      <c r="P72" s="509">
        <f t="shared" si="114"/>
      </c>
      <c r="Q72" s="505">
        <f t="shared" si="312"/>
      </c>
      <c r="R72" s="507">
        <f t="shared" si="248"/>
      </c>
      <c r="S72" s="509">
        <f t="shared" si="40"/>
      </c>
      <c r="T72" s="509">
        <f t="shared" si="599"/>
      </c>
      <c r="U72" s="509">
        <f t="shared" si="473"/>
      </c>
      <c r="V72" s="509">
        <f t="shared" si="568"/>
      </c>
      <c r="W72" s="520" t="s">
        <v>255</v>
      </c>
      <c r="X72" s="511" t="s">
        <v>267</v>
      </c>
      <c r="Y72" s="513">
        <v>380195</v>
      </c>
      <c r="Z72" s="513">
        <v>4895</v>
      </c>
      <c r="AA72" s="513">
        <v>295697</v>
      </c>
      <c r="AB72" s="536">
        <v>500</v>
      </c>
      <c r="AC72" s="536">
        <v>7</v>
      </c>
      <c r="AD72" s="536">
        <v>7614</v>
      </c>
      <c r="AE72" s="536">
        <v>100</v>
      </c>
      <c r="AF72" s="536">
        <v>80</v>
      </c>
      <c r="AG72" s="536">
        <v>5</v>
      </c>
      <c r="AH72" s="514">
        <v>0</v>
      </c>
    </row>
    <row customHeight="true" ht="16.071428571428573" r="73">
      <c r="A73" s="498"/>
      <c r="B73" s="499" t="s">
        <v>262</v>
      </c>
      <c r="C73" s="540" t="s">
        <v>269</v>
      </c>
      <c r="D73" s="541">
        <v>2014.1680000000001</v>
      </c>
      <c r="E73" s="542">
        <v>7</v>
      </c>
      <c r="F73" s="519">
        <v>2026.300000000001</v>
      </c>
      <c r="G73" s="504">
        <f t="shared" si="44"/>
      </c>
      <c r="H73" s="505">
        <f t="shared" si="343"/>
      </c>
      <c r="I73" s="506">
        <f t="shared" si="279"/>
      </c>
      <c r="J73" s="507">
        <f t="shared" si="215"/>
      </c>
      <c r="K73" s="508">
        <f t="shared" ref="K73:K81" si="605">D73/AA73</f>
      </c>
      <c r="L73" s="505">
        <f t="shared" ref="L73:L81" si="411">D73/AB73</f>
      </c>
      <c r="M73" s="509">
        <f t="shared" ref="M73:M81" si="479">AB73/AA73</f>
      </c>
      <c r="N73" s="509">
        <f t="shared" si="537"/>
      </c>
      <c r="O73" s="509">
        <f t="shared" si="442"/>
      </c>
      <c r="P73" s="509">
        <f t="shared" ref="P73:P81" si="374">AC73/Z73</f>
      </c>
      <c r="Q73" s="505">
        <f t="shared" si="312"/>
      </c>
      <c r="R73" s="507">
        <f t="shared" si="248"/>
      </c>
      <c r="S73" s="509">
        <f t="shared" ref="S73:S81" si="151">AD73/AA73</f>
      </c>
      <c r="T73" s="509">
        <f t="shared" ref="T73:T81" si="81">AE73/AA73</f>
      </c>
      <c r="U73" s="509">
        <f t="shared" ref="U73:U81" si="7">AF73/AA73</f>
      </c>
      <c r="V73" s="509">
        <f t="shared" si="568"/>
      </c>
      <c r="W73" s="520" t="s">
        <v>255</v>
      </c>
      <c r="X73" s="511" t="s">
        <v>267</v>
      </c>
      <c r="Y73" s="513">
        <v>453057</v>
      </c>
      <c r="Z73" s="513">
        <v>4170</v>
      </c>
      <c r="AA73" s="513">
        <v>333748</v>
      </c>
      <c r="AB73" s="513">
        <v>548</v>
      </c>
      <c r="AC73" s="513">
        <v>5</v>
      </c>
      <c r="AD73" s="513">
        <v>8268</v>
      </c>
      <c r="AE73" s="513">
        <v>117</v>
      </c>
      <c r="AF73" s="513">
        <v>86</v>
      </c>
      <c r="AG73" s="514">
        <v>16</v>
      </c>
      <c r="AH73" s="514">
        <v>2</v>
      </c>
    </row>
    <row r="74">
      <c r="A74" s="498"/>
      <c r="B74" s="538" t="s">
        <v>261</v>
      </c>
      <c r="C74" s="538"/>
      <c r="D74" s="522">
        <f>SUM(D69:D73)</f>
      </c>
      <c r="E74" s="522">
        <f>SUM(E69:E73)</f>
      </c>
      <c r="F74" s="522">
        <f>SUM(F69:F73)</f>
      </c>
      <c r="G74" s="522">
        <f t="shared" si="44"/>
      </c>
      <c r="H74" s="524">
        <f t="shared" si="343"/>
      </c>
      <c r="I74" s="525">
        <f t="shared" si="279"/>
      </c>
      <c r="J74" s="526">
        <f t="shared" si="215"/>
      </c>
      <c r="K74" s="527">
        <f t="shared" si="605"/>
      </c>
      <c r="L74" s="524">
        <f t="shared" si="411"/>
      </c>
      <c r="M74" s="528">
        <f t="shared" si="479"/>
      </c>
      <c r="N74" s="528">
        <f t="shared" si="537"/>
      </c>
      <c r="O74" s="528">
        <f t="shared" si="442"/>
      </c>
      <c r="P74" s="528">
        <f t="shared" si="374"/>
      </c>
      <c r="Q74" s="524">
        <f t="shared" si="312"/>
      </c>
      <c r="R74" s="526">
        <f t="shared" si="248"/>
      </c>
      <c r="S74" s="528">
        <f t="shared" si="151"/>
      </c>
      <c r="T74" s="528">
        <f t="shared" si="81"/>
      </c>
      <c r="U74" s="528">
        <f t="shared" si="7"/>
      </c>
      <c r="V74" s="528">
        <f t="shared" si="568"/>
      </c>
      <c r="W74" s="528"/>
      <c r="X74" s="529"/>
      <c r="Y74" s="522">
        <f>SUM(Y69:Y73)</f>
      </c>
      <c r="Z74" s="522">
        <f>SUM(Z69:Z73)</f>
      </c>
      <c r="AA74" s="522">
        <f>SUM(AA69:AA73)</f>
      </c>
      <c r="AB74" s="522">
        <f>SUM(AB69:AB73)</f>
      </c>
      <c r="AC74" s="522">
        <f>SUM(AC69:AC73)</f>
      </c>
      <c r="AD74" s="522">
        <f>SUM(AD69:AD73)</f>
      </c>
      <c r="AE74" s="522">
        <f>SUM(AE69:AE73)</f>
      </c>
      <c r="AF74" s="522">
        <f>SUM(AF69:AF73)</f>
      </c>
      <c r="AG74" s="522">
        <f>SUM(AG69:AG73)</f>
      </c>
      <c r="AH74" s="522">
        <f>SUM(AH69:AH73)</f>
      </c>
    </row>
    <row customHeight="true" ht="16.071428571428573" r="75">
      <c r="A75" s="498"/>
      <c r="B75" s="540" t="s">
        <v>271</v>
      </c>
      <c r="C75" s="534" t="s">
        <v>270</v>
      </c>
      <c r="D75" s="541">
        <v>1856.521</v>
      </c>
      <c r="E75" s="542">
        <v>3</v>
      </c>
      <c r="F75" s="519">
        <v>684</v>
      </c>
      <c r="G75" s="504">
        <f t="shared" si="44"/>
      </c>
      <c r="H75" s="505">
        <f t="shared" si="343"/>
      </c>
      <c r="I75" s="506">
        <f t="shared" si="279"/>
      </c>
      <c r="J75" s="507">
        <f t="shared" si="215"/>
      </c>
      <c r="K75" s="508">
        <f t="shared" si="605"/>
      </c>
      <c r="L75" s="505">
        <f t="shared" si="411"/>
      </c>
      <c r="M75" s="509">
        <f t="shared" si="479"/>
      </c>
      <c r="N75" s="509">
        <f t="shared" si="537"/>
      </c>
      <c r="O75" s="509">
        <f t="shared" si="442"/>
      </c>
      <c r="P75" s="509">
        <f t="shared" si="374"/>
      </c>
      <c r="Q75" s="505">
        <f t="shared" si="312"/>
      </c>
      <c r="R75" s="507">
        <f t="shared" si="248"/>
      </c>
      <c r="S75" s="509">
        <f t="shared" si="151"/>
      </c>
      <c r="T75" s="509">
        <f t="shared" si="81"/>
      </c>
      <c r="U75" s="509">
        <f t="shared" si="7"/>
      </c>
      <c r="V75" s="509">
        <f t="shared" si="568"/>
      </c>
      <c r="W75" s="520" t="s">
        <v>255</v>
      </c>
      <c r="X75" s="511" t="s">
        <v>267</v>
      </c>
      <c r="Y75" s="513">
        <v>358369</v>
      </c>
      <c r="Z75" s="513">
        <v>3814</v>
      </c>
      <c r="AA75" s="513">
        <v>185442</v>
      </c>
      <c r="AB75" s="513">
        <v>560</v>
      </c>
      <c r="AC75" s="513">
        <v>4</v>
      </c>
      <c r="AD75" s="513">
        <v>6396</v>
      </c>
      <c r="AE75" s="513">
        <v>98</v>
      </c>
      <c r="AF75" s="513">
        <v>86</v>
      </c>
      <c r="AG75" s="513">
        <v>9</v>
      </c>
      <c r="AH75" s="514">
        <v>0</v>
      </c>
    </row>
    <row r="76">
      <c r="A76" s="498"/>
      <c r="B76" s="540" t="s">
        <v>271</v>
      </c>
      <c r="C76" s="537" t="s">
        <v>272</v>
      </c>
      <c r="D76" s="541">
        <v>1723.5639999999999</v>
      </c>
      <c r="E76" s="542">
        <v>7</v>
      </c>
      <c r="F76" s="519">
        <v>2099.999999999998</v>
      </c>
      <c r="G76" s="504">
        <f t="shared" si="44"/>
      </c>
      <c r="H76" s="505">
        <f t="shared" si="343"/>
      </c>
      <c r="I76" s="506">
        <f t="shared" si="279"/>
      </c>
      <c r="J76" s="507">
        <f t="shared" si="215"/>
      </c>
      <c r="K76" s="508">
        <f t="shared" si="605"/>
      </c>
      <c r="L76" s="505">
        <f t="shared" si="411"/>
      </c>
      <c r="M76" s="509">
        <f t="shared" si="479"/>
      </c>
      <c r="N76" s="509">
        <f t="shared" si="537"/>
      </c>
      <c r="O76" s="509">
        <f t="shared" si="442"/>
      </c>
      <c r="P76" s="509">
        <f t="shared" si="374"/>
      </c>
      <c r="Q76" s="505">
        <f t="shared" si="312"/>
      </c>
      <c r="R76" s="507">
        <f t="shared" si="248"/>
      </c>
      <c r="S76" s="509">
        <f t="shared" si="151"/>
      </c>
      <c r="T76" s="509">
        <f t="shared" si="81"/>
      </c>
      <c r="U76" s="509">
        <f t="shared" si="7"/>
      </c>
      <c r="V76" s="509">
        <f t="shared" si="568"/>
      </c>
      <c r="W76" s="520" t="s">
        <v>255</v>
      </c>
      <c r="X76" s="511" t="s">
        <v>267</v>
      </c>
      <c r="Y76" s="513">
        <v>374967</v>
      </c>
      <c r="Z76" s="513">
        <v>3710</v>
      </c>
      <c r="AA76" s="513">
        <v>267797</v>
      </c>
      <c r="AB76" s="513">
        <v>518</v>
      </c>
      <c r="AC76" s="513">
        <v>5</v>
      </c>
      <c r="AD76" s="513">
        <v>7312</v>
      </c>
      <c r="AE76" s="513">
        <v>101</v>
      </c>
      <c r="AF76" s="513">
        <v>85</v>
      </c>
      <c r="AG76" s="513">
        <v>9</v>
      </c>
      <c r="AH76" s="514">
        <v>0</v>
      </c>
    </row>
    <row r="77">
      <c r="A77" s="498"/>
      <c r="B77" s="540" t="s">
        <v>271</v>
      </c>
      <c r="C77" s="537" t="s">
        <v>273</v>
      </c>
      <c r="D77" s="541">
        <v>1510.6060000000002</v>
      </c>
      <c r="E77" s="542">
        <v>8</v>
      </c>
      <c r="F77" s="519">
        <v>2174.7000000000007</v>
      </c>
      <c r="G77" s="504">
        <f t="shared" si="44"/>
      </c>
      <c r="H77" s="505">
        <f t="shared" si="343"/>
      </c>
      <c r="I77" s="506">
        <f t="shared" si="279"/>
      </c>
      <c r="J77" s="507">
        <f t="shared" si="215"/>
      </c>
      <c r="K77" s="508">
        <f t="shared" si="605"/>
      </c>
      <c r="L77" s="505">
        <f t="shared" si="411"/>
      </c>
      <c r="M77" s="509">
        <f t="shared" si="479"/>
      </c>
      <c r="N77" s="509">
        <f t="shared" si="537"/>
      </c>
      <c r="O77" s="509">
        <f t="shared" si="442"/>
      </c>
      <c r="P77" s="509">
        <f t="shared" si="374"/>
      </c>
      <c r="Q77" s="505">
        <f t="shared" si="312"/>
      </c>
      <c r="R77" s="507">
        <f t="shared" si="248"/>
      </c>
      <c r="S77" s="509">
        <f t="shared" si="151"/>
      </c>
      <c r="T77" s="509">
        <f t="shared" si="81"/>
      </c>
      <c r="U77" s="509">
        <f t="shared" si="7"/>
      </c>
      <c r="V77" s="509">
        <f t="shared" si="568"/>
      </c>
      <c r="W77" s="520" t="s">
        <v>255</v>
      </c>
      <c r="X77" s="511" t="s">
        <v>267</v>
      </c>
      <c r="Y77" s="513">
        <v>294915</v>
      </c>
      <c r="Z77" s="513">
        <v>3204</v>
      </c>
      <c r="AA77" s="513">
        <v>207490</v>
      </c>
      <c r="AB77" s="513">
        <v>467</v>
      </c>
      <c r="AC77" s="513">
        <v>7</v>
      </c>
      <c r="AD77" s="513">
        <v>6301</v>
      </c>
      <c r="AE77" s="513">
        <v>125</v>
      </c>
      <c r="AF77" s="513">
        <v>84</v>
      </c>
      <c r="AG77" s="513">
        <v>7</v>
      </c>
      <c r="AH77" s="514">
        <v>1</v>
      </c>
    </row>
    <row r="78">
      <c r="A78" s="498"/>
      <c r="B78" s="540" t="s">
        <v>271</v>
      </c>
      <c r="C78" s="534" t="s">
        <v>274</v>
      </c>
      <c r="D78" s="541">
        <v>1529.8380000000002</v>
      </c>
      <c r="E78" s="542">
        <v>6</v>
      </c>
      <c r="F78" s="519">
        <v>2968.2000000000007</v>
      </c>
      <c r="G78" s="504">
        <f t="shared" si="44"/>
      </c>
      <c r="H78" s="505">
        <f t="shared" si="343"/>
      </c>
      <c r="I78" s="506">
        <f t="shared" si="279"/>
      </c>
      <c r="J78" s="507">
        <f t="shared" si="215"/>
      </c>
      <c r="K78" s="508">
        <f t="shared" si="605"/>
      </c>
      <c r="L78" s="505">
        <f t="shared" si="411"/>
      </c>
      <c r="M78" s="509">
        <f t="shared" si="479"/>
      </c>
      <c r="N78" s="509">
        <f t="shared" si="537"/>
      </c>
      <c r="O78" s="509">
        <f t="shared" si="442"/>
      </c>
      <c r="P78" s="509">
        <f t="shared" si="374"/>
      </c>
      <c r="Q78" s="505">
        <f t="shared" si="312"/>
      </c>
      <c r="R78" s="507">
        <f t="shared" si="248"/>
      </c>
      <c r="S78" s="509">
        <f t="shared" si="151"/>
      </c>
      <c r="T78" s="509">
        <f t="shared" si="81"/>
      </c>
      <c r="U78" s="509">
        <f t="shared" si="7"/>
      </c>
      <c r="V78" s="509">
        <f t="shared" si="568"/>
      </c>
      <c r="W78" s="520" t="s">
        <v>255</v>
      </c>
      <c r="X78" s="511" t="s">
        <v>267</v>
      </c>
      <c r="Y78" s="513">
        <v>310733</v>
      </c>
      <c r="Z78" s="513">
        <v>3297</v>
      </c>
      <c r="AA78" s="513">
        <v>243252</v>
      </c>
      <c r="AB78" s="513">
        <v>468</v>
      </c>
      <c r="AC78" s="513">
        <v>6</v>
      </c>
      <c r="AD78" s="513">
        <v>7133</v>
      </c>
      <c r="AE78" s="513">
        <v>119</v>
      </c>
      <c r="AF78" s="513">
        <v>91</v>
      </c>
      <c r="AG78" s="514">
        <v>8</v>
      </c>
      <c r="AH78" s="514">
        <v>1</v>
      </c>
    </row>
    <row r="79">
      <c r="A79" s="498"/>
      <c r="B79" s="540" t="s">
        <v>271</v>
      </c>
      <c r="C79" s="555" t="s">
        <v>275</v>
      </c>
      <c r="D79" s="541">
        <v>1430.695</v>
      </c>
      <c r="E79" s="542">
        <v>5</v>
      </c>
      <c r="F79" s="519">
        <v>1076</v>
      </c>
      <c r="G79" s="504">
        <f t="shared" si="44"/>
      </c>
      <c r="H79" s="505">
        <f t="shared" si="343"/>
      </c>
      <c r="I79" s="506">
        <f t="shared" si="279"/>
      </c>
      <c r="J79" s="507">
        <f t="shared" si="215"/>
      </c>
      <c r="K79" s="508">
        <f t="shared" si="605"/>
      </c>
      <c r="L79" s="505">
        <f t="shared" si="411"/>
      </c>
      <c r="M79" s="509">
        <f t="shared" si="479"/>
      </c>
      <c r="N79" s="509">
        <f t="shared" si="537"/>
      </c>
      <c r="O79" s="509">
        <f t="shared" si="442"/>
      </c>
      <c r="P79" s="509">
        <f t="shared" si="374"/>
      </c>
      <c r="Q79" s="505">
        <f t="shared" si="312"/>
      </c>
      <c r="R79" s="507">
        <f t="shared" si="248"/>
      </c>
      <c r="S79" s="509">
        <f t="shared" si="151"/>
      </c>
      <c r="T79" s="509">
        <f t="shared" si="81"/>
      </c>
      <c r="U79" s="509">
        <f t="shared" si="7"/>
      </c>
      <c r="V79" s="509">
        <f t="shared" si="568"/>
      </c>
      <c r="W79" s="520" t="s">
        <v>255</v>
      </c>
      <c r="X79" s="511" t="s">
        <v>267</v>
      </c>
      <c r="Y79" s="513">
        <v>306074</v>
      </c>
      <c r="Z79" s="513">
        <v>3712</v>
      </c>
      <c r="AA79" s="513">
        <v>214263</v>
      </c>
      <c r="AB79" s="513">
        <v>525</v>
      </c>
      <c r="AC79" s="513">
        <v>4</v>
      </c>
      <c r="AD79" s="513">
        <v>6159</v>
      </c>
      <c r="AE79" s="513">
        <v>89</v>
      </c>
      <c r="AF79" s="513">
        <v>90</v>
      </c>
      <c r="AG79" s="513">
        <v>14</v>
      </c>
      <c r="AH79" s="514">
        <v>0</v>
      </c>
    </row>
    <row r="80">
      <c r="A80" s="498"/>
      <c r="B80" s="538" t="s">
        <v>261</v>
      </c>
      <c r="C80" s="538"/>
      <c r="D80" s="522">
        <f>SUM(D75:D79)</f>
      </c>
      <c r="E80" s="522">
        <f>SUM(E75:E79)</f>
      </c>
      <c r="F80" s="522">
        <f>SUM(F75:F79)</f>
      </c>
      <c r="G80" s="522">
        <f t="shared" si="44"/>
      </c>
      <c r="H80" s="524">
        <f t="shared" si="343"/>
      </c>
      <c r="I80" s="525">
        <f t="shared" si="279"/>
      </c>
      <c r="J80" s="526">
        <f t="shared" si="215"/>
      </c>
      <c r="K80" s="527">
        <f t="shared" si="605"/>
      </c>
      <c r="L80" s="524">
        <f t="shared" si="411"/>
      </c>
      <c r="M80" s="528">
        <f t="shared" si="479"/>
      </c>
      <c r="N80" s="528">
        <f t="shared" si="537"/>
      </c>
      <c r="O80" s="528">
        <f t="shared" si="442"/>
      </c>
      <c r="P80" s="528">
        <f t="shared" si="374"/>
      </c>
      <c r="Q80" s="524">
        <f t="shared" si="312"/>
      </c>
      <c r="R80" s="526">
        <f t="shared" si="248"/>
      </c>
      <c r="S80" s="528">
        <f t="shared" si="151"/>
      </c>
      <c r="T80" s="528">
        <f t="shared" si="81"/>
      </c>
      <c r="U80" s="528">
        <f t="shared" si="7"/>
      </c>
      <c r="V80" s="528">
        <f t="shared" si="568"/>
      </c>
      <c r="W80" s="528"/>
      <c r="X80" s="529"/>
      <c r="Y80" s="522">
        <f>SUM(Y75:Y79)</f>
      </c>
      <c r="Z80" s="522">
        <f>SUM(Z75:Z79)</f>
      </c>
      <c r="AA80" s="522">
        <f>SUM(AA75:AA79)</f>
      </c>
      <c r="AB80" s="522">
        <f>SUM(AB75:AB79)</f>
      </c>
      <c r="AC80" s="522">
        <f>SUM(AC75:AC79)</f>
      </c>
      <c r="AD80" s="522">
        <f>SUM(AD75:AD79)</f>
      </c>
      <c r="AE80" s="522">
        <f>SUM(AE75:AE79)</f>
      </c>
      <c r="AF80" s="522">
        <f>SUM(AF75:AF79)</f>
      </c>
      <c r="AG80" s="522">
        <f>SUM(AG75:AG79)</f>
      </c>
      <c r="AH80" s="522">
        <f>SUM(AH75:AH79)</f>
      </c>
    </row>
    <row r="81">
      <c r="A81" s="498"/>
      <c r="B81" s="543" t="s">
        <v>276</v>
      </c>
      <c r="C81" s="543"/>
      <c r="D81" s="554">
        <f>SUM(D68+D74+D80)</f>
      </c>
      <c r="E81" s="554">
        <f>SUM(E68+E74+E80)</f>
      </c>
      <c r="F81" s="554">
        <f>SUM(F68+F74+F80)</f>
      </c>
      <c r="G81" s="544">
        <f t="shared" si="44"/>
      </c>
      <c r="H81" s="545">
        <f t="shared" si="343"/>
      </c>
      <c r="I81" s="546">
        <f t="shared" si="279"/>
      </c>
      <c r="J81" s="547">
        <f t="shared" si="215"/>
      </c>
      <c r="K81" s="548">
        <f t="shared" si="605"/>
      </c>
      <c r="L81" s="548">
        <f t="shared" si="411"/>
      </c>
      <c r="M81" s="550">
        <f t="shared" si="479"/>
      </c>
      <c r="N81" s="550">
        <f t="shared" si="537"/>
      </c>
      <c r="O81" s="550">
        <f t="shared" si="442"/>
      </c>
      <c r="P81" s="550">
        <f t="shared" si="374"/>
      </c>
      <c r="Q81" s="549">
        <f t="shared" si="312"/>
      </c>
      <c r="R81" s="551">
        <f t="shared" si="248"/>
      </c>
      <c r="S81" s="552">
        <f t="shared" si="151"/>
      </c>
      <c r="T81" s="552">
        <f t="shared" si="81"/>
      </c>
      <c r="U81" s="552">
        <f t="shared" si="7"/>
      </c>
      <c r="V81" s="552">
        <f t="shared" si="568"/>
      </c>
      <c r="W81" s="552"/>
      <c r="X81" s="553"/>
      <c r="Y81" s="544">
        <f>SUM(Y80+Y74+Y68)</f>
      </c>
      <c r="Z81" s="544">
        <f>SUM(Z80+Z74+Z68)</f>
      </c>
      <c r="AA81" s="544">
        <f>SUM(AA80+AA74+AA68)</f>
      </c>
      <c r="AB81" s="544">
        <f>SUM(AB80+AB74+AB68)</f>
      </c>
      <c r="AC81" s="544">
        <f>SUM(AC80+AC74+AC68)</f>
      </c>
      <c r="AD81" s="544">
        <f>SUM(AD80+AD74+AD68)</f>
      </c>
      <c r="AE81" s="544">
        <f>SUM(AE80+AE74+AE68)</f>
      </c>
      <c r="AF81" s="544">
        <f>SUM(AF80+AF74+AF68)</f>
      </c>
      <c r="AG81" s="544">
        <f>SUM(AG80+AG74+AG68)</f>
      </c>
      <c r="AH81" s="544">
        <f>SUM(AH80+AH74+AH68)</f>
      </c>
    </row>
    <row r="82">
      <c r="A82" s="485" t="s">
        <v>218</v>
      </c>
      <c r="B82" s="485" t="s">
        <v>219</v>
      </c>
      <c r="C82" s="486" t="s">
        <v>220</v>
      </c>
      <c r="D82" s="487" t="s">
        <v>221</v>
      </c>
      <c r="E82" s="488" t="s">
        <v>222</v>
      </c>
      <c r="F82" s="489" t="s">
        <v>223</v>
      </c>
      <c r="G82" s="489" t="s">
        <v>224</v>
      </c>
      <c r="H82" s="490" t="s">
        <v>225</v>
      </c>
      <c r="I82" s="490" t="s">
        <v>226</v>
      </c>
      <c r="J82" s="490" t="s">
        <v>227</v>
      </c>
      <c r="K82" s="491" t="s">
        <v>228</v>
      </c>
      <c r="L82" s="491" t="s">
        <v>229</v>
      </c>
      <c r="M82" s="491" t="s">
        <v>231</v>
      </c>
      <c r="N82" s="491" t="s">
        <v>232</v>
      </c>
      <c r="O82" s="491" t="s">
        <v>233</v>
      </c>
      <c r="P82" s="491" t="s">
        <v>234</v>
      </c>
      <c r="Q82" s="491" t="s">
        <v>235</v>
      </c>
      <c r="R82" s="491" t="s">
        <v>236</v>
      </c>
      <c r="S82" s="492" t="s">
        <v>237</v>
      </c>
      <c r="T82" s="492" t="s">
        <v>238</v>
      </c>
      <c r="U82" s="492" t="s">
        <v>239</v>
      </c>
      <c r="V82" s="492" t="s">
        <v>240</v>
      </c>
      <c r="W82" s="493" t="s">
        <v>241</v>
      </c>
      <c r="X82" s="493" t="s">
        <v>242</v>
      </c>
      <c r="Y82" s="494" t="s">
        <v>243</v>
      </c>
      <c r="Z82" s="494" t="s">
        <v>244</v>
      </c>
      <c r="AA82" s="494" t="s">
        <v>245</v>
      </c>
      <c r="AB82" s="495" t="s">
        <v>246</v>
      </c>
      <c r="AC82" s="495" t="s">
        <v>247</v>
      </c>
      <c r="AD82" s="496" t="s">
        <v>248</v>
      </c>
      <c r="AE82" s="495" t="s">
        <v>249</v>
      </c>
      <c r="AF82" s="495" t="s">
        <v>250</v>
      </c>
      <c r="AG82" s="497" t="s">
        <v>251</v>
      </c>
      <c r="AH82" s="495" t="s">
        <v>252</v>
      </c>
    </row>
    <row r="83">
      <c r="A83" s="498">
        <v>46208</v>
      </c>
      <c r="B83" s="530" t="s">
        <v>277</v>
      </c>
      <c r="C83" s="500" t="s">
        <v>254</v>
      </c>
      <c r="D83" s="501">
        <v>713.4520000000001</v>
      </c>
      <c r="E83" s="502">
        <v>3</v>
      </c>
      <c r="F83" s="503">
        <v>578.3</v>
      </c>
      <c r="G83" s="504">
        <f t="shared" ref="G83:G103" si="45">D83/AC83</f>
      </c>
      <c r="H83" s="505">
        <f t="shared" ref="H83:H103" si="344">F83/E83</f>
      </c>
      <c r="I83" s="506">
        <f t="shared" ref="I83:I103" si="280">D83/E83</f>
      </c>
      <c r="J83" s="507">
        <f t="shared" ref="J83:J103" si="216">F83/D83</f>
      </c>
      <c r="K83" s="508">
        <f t="shared" ref="K83:K103" si="606">D83/AA83</f>
      </c>
      <c r="L83" s="505">
        <f t="shared" ref="L83:L103" si="412">D83/AB83</f>
      </c>
      <c r="M83" s="509">
        <f t="shared" ref="M83:M103" si="480">AB83/AA83</f>
      </c>
      <c r="N83" s="509">
        <f t="shared" ref="N83:N103" si="538">AC83/AB83</f>
      </c>
      <c r="O83" s="509">
        <f t="shared" ref="O83:O103" si="443">Z83/Y83</f>
      </c>
      <c r="P83" s="509">
        <f t="shared" ref="P83:P103" si="375">AC83/Z83</f>
      </c>
      <c r="Q83" s="505">
        <f t="shared" ref="Q83:Q103" si="313">D83/Y83*1000</f>
      </c>
      <c r="R83" s="507">
        <f t="shared" ref="R83:R103" si="249">D83/Z83</f>
      </c>
      <c r="S83" s="509">
        <f t="shared" ref="S83:S103" si="152">AD83/AA83</f>
      </c>
      <c r="T83" s="509">
        <f t="shared" ref="T83:T103" si="82">AE83/AA83</f>
      </c>
      <c r="U83" s="509">
        <f t="shared" ref="U83:U103" si="8">AF83/AA83</f>
      </c>
      <c r="V83" s="509">
        <f t="shared" ref="V83:V103" si="569">AG83/AA83</f>
      </c>
      <c r="W83" s="510" t="s">
        <v>255</v>
      </c>
      <c r="X83" s="511" t="s">
        <v>279</v>
      </c>
      <c r="Y83" s="512">
        <v>101874</v>
      </c>
      <c r="Z83" s="512">
        <v>2504</v>
      </c>
      <c r="AA83" s="512">
        <v>64394</v>
      </c>
      <c r="AB83" s="512">
        <v>279</v>
      </c>
      <c r="AC83" s="514">
        <v>2</v>
      </c>
      <c r="AD83" s="512">
        <v>6331</v>
      </c>
      <c r="AE83" s="513">
        <v>102</v>
      </c>
      <c r="AF83" s="513">
        <v>79</v>
      </c>
      <c r="AG83" s="513">
        <v>10</v>
      </c>
      <c r="AH83" s="514">
        <v>1</v>
      </c>
    </row>
    <row r="84">
      <c r="A84" s="498"/>
      <c r="B84" s="530" t="s">
        <v>277</v>
      </c>
      <c r="C84" s="500" t="s">
        <v>257</v>
      </c>
      <c r="D84" s="501">
        <v>910.414</v>
      </c>
      <c r="E84" s="502">
        <v>2</v>
      </c>
      <c r="F84" s="503">
        <v>1624.0000000000002</v>
      </c>
      <c r="G84" s="504">
        <f t="shared" si="45"/>
      </c>
      <c r="H84" s="505">
        <f t="shared" si="344"/>
      </c>
      <c r="I84" s="506">
        <f t="shared" si="280"/>
      </c>
      <c r="J84" s="507">
        <f t="shared" si="216"/>
      </c>
      <c r="K84" s="508">
        <f t="shared" si="606"/>
      </c>
      <c r="L84" s="505">
        <f t="shared" si="412"/>
      </c>
      <c r="M84" s="509">
        <f t="shared" si="480"/>
      </c>
      <c r="N84" s="509">
        <f t="shared" si="538"/>
      </c>
      <c r="O84" s="509">
        <f t="shared" si="443"/>
      </c>
      <c r="P84" s="509">
        <f t="shared" si="375"/>
      </c>
      <c r="Q84" s="505">
        <f t="shared" si="313"/>
      </c>
      <c r="R84" s="507">
        <f t="shared" si="249"/>
      </c>
      <c r="S84" s="509">
        <f t="shared" si="152"/>
      </c>
      <c r="T84" s="509">
        <f t="shared" si="82"/>
      </c>
      <c r="U84" s="509">
        <f t="shared" si="8"/>
      </c>
      <c r="V84" s="509">
        <f t="shared" si="569"/>
      </c>
      <c r="W84" s="510" t="s">
        <v>255</v>
      </c>
      <c r="X84" s="511" t="s">
        <v>279</v>
      </c>
      <c r="Y84" s="513">
        <v>130126</v>
      </c>
      <c r="Z84" s="512">
        <v>3095</v>
      </c>
      <c r="AA84" s="512">
        <v>90665</v>
      </c>
      <c r="AB84" s="512">
        <v>423</v>
      </c>
      <c r="AC84" s="513">
        <v>2</v>
      </c>
      <c r="AD84" s="512">
        <v>7478</v>
      </c>
      <c r="AE84" s="513">
        <v>155</v>
      </c>
      <c r="AF84" s="513">
        <v>99</v>
      </c>
      <c r="AG84" s="514">
        <v>17</v>
      </c>
      <c r="AH84" s="514">
        <v>0</v>
      </c>
    </row>
    <row r="85">
      <c r="A85" s="498"/>
      <c r="B85" s="530" t="s">
        <v>277</v>
      </c>
      <c r="C85" s="515" t="s">
        <v>258</v>
      </c>
      <c r="D85" s="501">
        <v>976.657</v>
      </c>
      <c r="E85" s="502">
        <v>5</v>
      </c>
      <c r="F85" s="503">
        <v>1729.1999999999998</v>
      </c>
      <c r="G85" s="504">
        <f t="shared" si="45"/>
      </c>
      <c r="H85" s="505">
        <f t="shared" si="344"/>
      </c>
      <c r="I85" s="506">
        <f t="shared" si="280"/>
      </c>
      <c r="J85" s="507">
        <f t="shared" si="216"/>
      </c>
      <c r="K85" s="508">
        <f t="shared" si="606"/>
      </c>
      <c r="L85" s="505">
        <f t="shared" si="412"/>
      </c>
      <c r="M85" s="509">
        <f t="shared" si="480"/>
      </c>
      <c r="N85" s="509">
        <f t="shared" si="538"/>
      </c>
      <c r="O85" s="509">
        <f t="shared" si="443"/>
      </c>
      <c r="P85" s="509">
        <f t="shared" si="375"/>
      </c>
      <c r="Q85" s="505">
        <f t="shared" si="313"/>
      </c>
      <c r="R85" s="507">
        <f t="shared" si="249"/>
      </c>
      <c r="S85" s="509">
        <f t="shared" si="152"/>
      </c>
      <c r="T85" s="509">
        <f t="shared" si="82"/>
      </c>
      <c r="U85" s="509">
        <f t="shared" si="8"/>
      </c>
      <c r="V85" s="509">
        <f t="shared" si="569"/>
      </c>
      <c r="W85" s="510" t="s">
        <v>255</v>
      </c>
      <c r="X85" s="511" t="s">
        <v>279</v>
      </c>
      <c r="Y85" s="513">
        <v>139829</v>
      </c>
      <c r="Z85" s="512">
        <v>3341</v>
      </c>
      <c r="AA85" s="512">
        <v>119676</v>
      </c>
      <c r="AB85" s="512">
        <v>369</v>
      </c>
      <c r="AC85" s="513">
        <v>4</v>
      </c>
      <c r="AD85" s="512">
        <v>6906</v>
      </c>
      <c r="AE85" s="513">
        <v>127</v>
      </c>
      <c r="AF85" s="513">
        <v>101</v>
      </c>
      <c r="AG85" s="513">
        <v>14</v>
      </c>
      <c r="AH85" s="514">
        <v>1</v>
      </c>
    </row>
    <row r="86">
      <c r="A86" s="498"/>
      <c r="B86" s="530" t="s">
        <v>277</v>
      </c>
      <c r="C86" s="516" t="s">
        <v>259</v>
      </c>
      <c r="D86" s="501">
        <v>613.418</v>
      </c>
      <c r="E86" s="502">
        <v>2</v>
      </c>
      <c r="F86" s="503">
        <v>424</v>
      </c>
      <c r="G86" s="504">
        <f t="shared" si="45"/>
      </c>
      <c r="H86" s="505">
        <f t="shared" si="344"/>
      </c>
      <c r="I86" s="506">
        <f t="shared" si="280"/>
      </c>
      <c r="J86" s="507">
        <f t="shared" si="216"/>
      </c>
      <c r="K86" s="508">
        <f t="shared" si="606"/>
      </c>
      <c r="L86" s="505">
        <f t="shared" si="412"/>
      </c>
      <c r="M86" s="509">
        <f t="shared" si="480"/>
      </c>
      <c r="N86" s="509">
        <f t="shared" si="538"/>
      </c>
      <c r="O86" s="509">
        <f t="shared" si="443"/>
      </c>
      <c r="P86" s="509">
        <f t="shared" si="375"/>
      </c>
      <c r="Q86" s="505">
        <f t="shared" si="313"/>
      </c>
      <c r="R86" s="507">
        <f t="shared" si="249"/>
      </c>
      <c r="S86" s="509">
        <f t="shared" si="152"/>
      </c>
      <c r="T86" s="509">
        <f t="shared" si="82"/>
      </c>
      <c r="U86" s="509">
        <f t="shared" si="8"/>
      </c>
      <c r="V86" s="509">
        <f t="shared" si="569"/>
      </c>
      <c r="W86" s="504" t="s">
        <v>255</v>
      </c>
      <c r="X86" s="511" t="s">
        <v>279</v>
      </c>
      <c r="Y86" s="513">
        <v>102328</v>
      </c>
      <c r="Z86" s="513">
        <v>2796</v>
      </c>
      <c r="AA86" s="513">
        <v>87978</v>
      </c>
      <c r="AB86" s="513">
        <v>219</v>
      </c>
      <c r="AC86" s="513">
        <v>0</v>
      </c>
      <c r="AD86" s="513">
        <v>4603</v>
      </c>
      <c r="AE86" s="513">
        <v>67</v>
      </c>
      <c r="AF86" s="513">
        <v>77</v>
      </c>
      <c r="AG86" s="514">
        <v>11</v>
      </c>
      <c r="AH86" s="514">
        <v>0</v>
      </c>
    </row>
    <row r="87">
      <c r="A87" s="498"/>
      <c r="B87" s="530" t="s">
        <v>277</v>
      </c>
      <c r="C87" s="516" t="s">
        <v>260</v>
      </c>
      <c r="D87" s="517">
        <v>1372.213</v>
      </c>
      <c r="E87" s="518">
        <v>4</v>
      </c>
      <c r="F87" s="519">
        <v>838.3000000000002</v>
      </c>
      <c r="G87" s="504">
        <f t="shared" si="45"/>
      </c>
      <c r="H87" s="505">
        <f t="shared" si="344"/>
      </c>
      <c r="I87" s="506">
        <f t="shared" si="280"/>
      </c>
      <c r="J87" s="507">
        <f t="shared" si="216"/>
      </c>
      <c r="K87" s="508">
        <f t="shared" si="606"/>
      </c>
      <c r="L87" s="505">
        <f t="shared" si="412"/>
      </c>
      <c r="M87" s="509">
        <f t="shared" si="480"/>
      </c>
      <c r="N87" s="509">
        <f t="shared" si="538"/>
      </c>
      <c r="O87" s="509">
        <f t="shared" si="443"/>
      </c>
      <c r="P87" s="509">
        <f t="shared" si="375"/>
      </c>
      <c r="Q87" s="505">
        <f t="shared" si="313"/>
      </c>
      <c r="R87" s="507">
        <f t="shared" si="249"/>
      </c>
      <c r="S87" s="509">
        <f t="shared" si="152"/>
      </c>
      <c r="T87" s="509">
        <f t="shared" si="82"/>
      </c>
      <c r="U87" s="509">
        <f t="shared" si="8"/>
      </c>
      <c r="V87" s="509">
        <f t="shared" si="569"/>
      </c>
      <c r="W87" s="520" t="s">
        <v>255</v>
      </c>
      <c r="X87" s="511" t="s">
        <v>279</v>
      </c>
      <c r="Y87" s="513">
        <v>241033</v>
      </c>
      <c r="Z87" s="513">
        <v>8133</v>
      </c>
      <c r="AA87" s="513">
        <v>224110</v>
      </c>
      <c r="AB87" s="513">
        <v>531</v>
      </c>
      <c r="AC87" s="513">
        <v>3</v>
      </c>
      <c r="AD87" s="513">
        <v>11023</v>
      </c>
      <c r="AE87" s="513">
        <v>153</v>
      </c>
      <c r="AF87" s="513">
        <v>192</v>
      </c>
      <c r="AG87" s="514">
        <v>16</v>
      </c>
      <c r="AH87" s="514">
        <v>1</v>
      </c>
    </row>
    <row r="88">
      <c r="A88" s="498"/>
      <c r="B88" s="521" t="s">
        <v>261</v>
      </c>
      <c r="C88" s="521"/>
      <c r="D88" s="522">
        <f>SUM(D83:D87)</f>
      </c>
      <c r="E88" s="523">
        <f>SUM(E83:E87)</f>
      </c>
      <c r="F88" s="522">
        <f>SUM(F83:F87)</f>
      </c>
      <c r="G88" s="522">
        <f t="shared" si="45"/>
      </c>
      <c r="H88" s="524">
        <f t="shared" si="344"/>
      </c>
      <c r="I88" s="525">
        <f t="shared" si="280"/>
      </c>
      <c r="J88" s="526">
        <f t="shared" si="216"/>
      </c>
      <c r="K88" s="527">
        <f t="shared" si="606"/>
      </c>
      <c r="L88" s="524">
        <f t="shared" si="412"/>
      </c>
      <c r="M88" s="528">
        <f t="shared" si="480"/>
      </c>
      <c r="N88" s="528">
        <f t="shared" si="538"/>
      </c>
      <c r="O88" s="528">
        <f t="shared" si="443"/>
      </c>
      <c r="P88" s="528">
        <f t="shared" si="375"/>
      </c>
      <c r="Q88" s="524">
        <f t="shared" si="313"/>
      </c>
      <c r="R88" s="526">
        <f t="shared" si="249"/>
      </c>
      <c r="S88" s="528">
        <f t="shared" si="152"/>
      </c>
      <c r="T88" s="528">
        <f t="shared" si="82"/>
      </c>
      <c r="U88" s="528">
        <f t="shared" si="8"/>
      </c>
      <c r="V88" s="528">
        <f t="shared" si="569"/>
      </c>
      <c r="W88" s="528"/>
      <c r="X88" s="529"/>
      <c r="Y88" s="522">
        <f>SUM(Y83:Y87)</f>
      </c>
      <c r="Z88" s="522">
        <f>SUM(Z83:Z87)</f>
      </c>
      <c r="AA88" s="522">
        <f>SUM(AA83:AA87)</f>
      </c>
      <c r="AB88" s="522">
        <f>SUM(AB83:AB87)</f>
      </c>
      <c r="AC88" s="522">
        <f>SUM(AC83:AC87)</f>
      </c>
      <c r="AD88" s="522">
        <f>SUM(AD83:AD87)</f>
      </c>
      <c r="AE88" s="522">
        <f>SUM(AE83:AE87)</f>
      </c>
      <c r="AF88" s="522">
        <f>SUM(AF83:AF87)</f>
      </c>
      <c r="AG88" s="522">
        <f>SUM(AG83:AG87)</f>
      </c>
      <c r="AH88" s="522">
        <f>SUM(AH83:AH87)</f>
      </c>
    </row>
    <row r="89">
      <c r="A89" s="498"/>
      <c r="B89" s="499" t="s">
        <v>268</v>
      </c>
      <c r="C89" s="531" t="s">
        <v>263</v>
      </c>
      <c r="D89" s="532">
        <v>1123.742</v>
      </c>
      <c r="E89" s="502">
        <v>4</v>
      </c>
      <c r="F89" s="503">
        <v>1420</v>
      </c>
      <c r="G89" s="504">
        <f t="shared" si="45"/>
      </c>
      <c r="H89" s="505">
        <f t="shared" si="344"/>
      </c>
      <c r="I89" s="506">
        <f t="shared" si="280"/>
      </c>
      <c r="J89" s="507">
        <f t="shared" si="216"/>
      </c>
      <c r="K89" s="508">
        <f t="shared" si="606"/>
      </c>
      <c r="L89" s="505">
        <f t="shared" si="412"/>
      </c>
      <c r="M89" s="509">
        <f t="shared" si="480"/>
      </c>
      <c r="N89" s="509">
        <f t="shared" si="538"/>
      </c>
      <c r="O89" s="509">
        <f t="shared" si="443"/>
      </c>
      <c r="P89" s="509">
        <f t="shared" si="375"/>
      </c>
      <c r="Q89" s="505">
        <f t="shared" si="313"/>
      </c>
      <c r="R89" s="507">
        <f t="shared" si="249"/>
      </c>
      <c r="S89" s="509">
        <f t="shared" si="152"/>
      </c>
      <c r="T89" s="509">
        <f t="shared" si="82"/>
      </c>
      <c r="U89" s="509">
        <f t="shared" si="8"/>
      </c>
      <c r="V89" s="509">
        <f t="shared" si="569"/>
      </c>
      <c r="W89" s="520" t="s">
        <v>255</v>
      </c>
      <c r="X89" s="511" t="s">
        <v>279</v>
      </c>
      <c r="Y89" s="512">
        <v>177488</v>
      </c>
      <c r="Z89" s="512">
        <v>6056</v>
      </c>
      <c r="AA89" s="512">
        <v>170695</v>
      </c>
      <c r="AB89" s="513">
        <v>456</v>
      </c>
      <c r="AC89" s="513">
        <v>4</v>
      </c>
      <c r="AD89" s="512">
        <v>8454</v>
      </c>
      <c r="AE89" s="513">
        <v>164</v>
      </c>
      <c r="AF89" s="513">
        <v>136</v>
      </c>
      <c r="AG89" s="513">
        <v>22</v>
      </c>
      <c r="AH89" s="514">
        <v>0</v>
      </c>
    </row>
    <row r="90">
      <c r="A90" s="498"/>
      <c r="B90" s="499" t="s">
        <v>268</v>
      </c>
      <c r="C90" s="533" t="s">
        <v>264</v>
      </c>
      <c r="D90" s="532">
        <v>963.912</v>
      </c>
      <c r="E90" s="518">
        <v>3</v>
      </c>
      <c r="F90" s="519">
        <v>684</v>
      </c>
      <c r="G90" s="504">
        <f t="shared" si="45"/>
      </c>
      <c r="H90" s="505">
        <f t="shared" si="344"/>
      </c>
      <c r="I90" s="506">
        <f t="shared" si="280"/>
      </c>
      <c r="J90" s="507">
        <f t="shared" si="216"/>
      </c>
      <c r="K90" s="508">
        <f t="shared" si="606"/>
      </c>
      <c r="L90" s="505">
        <f t="shared" si="412"/>
      </c>
      <c r="M90" s="509">
        <f t="shared" si="480"/>
      </c>
      <c r="N90" s="509">
        <f t="shared" si="538"/>
      </c>
      <c r="O90" s="509">
        <f t="shared" si="443"/>
      </c>
      <c r="P90" s="509">
        <f t="shared" si="375"/>
      </c>
      <c r="Q90" s="505">
        <f t="shared" si="313"/>
      </c>
      <c r="R90" s="507">
        <f t="shared" si="249"/>
      </c>
      <c r="S90" s="509">
        <f t="shared" si="152"/>
      </c>
      <c r="T90" s="509">
        <f t="shared" si="82"/>
      </c>
      <c r="U90" s="509">
        <f t="shared" si="8"/>
      </c>
      <c r="V90" s="509">
        <f t="shared" si="569"/>
      </c>
      <c r="W90" s="520" t="s">
        <v>255</v>
      </c>
      <c r="X90" s="511" t="s">
        <v>279</v>
      </c>
      <c r="Y90" s="513">
        <v>145316</v>
      </c>
      <c r="Z90" s="513">
        <v>5425</v>
      </c>
      <c r="AA90" s="513">
        <v>137317</v>
      </c>
      <c r="AB90" s="513">
        <v>386</v>
      </c>
      <c r="AC90" s="513">
        <v>3</v>
      </c>
      <c r="AD90" s="513">
        <v>7010</v>
      </c>
      <c r="AE90" s="513">
        <v>161</v>
      </c>
      <c r="AF90" s="513">
        <v>122</v>
      </c>
      <c r="AG90" s="513">
        <v>7</v>
      </c>
      <c r="AH90" s="514">
        <v>0</v>
      </c>
    </row>
    <row customHeight="true" ht="16.071428571428573" r="91">
      <c r="A91" s="498"/>
      <c r="B91" s="521" t="s">
        <v>261</v>
      </c>
      <c r="C91" s="521"/>
      <c r="D91" s="522">
        <f>SUM(D89:D90)</f>
      </c>
      <c r="E91" s="522">
        <f>SUM(E89:E90)</f>
      </c>
      <c r="F91" s="522">
        <f>SUM(F89:F90)</f>
      </c>
      <c r="G91" s="522">
        <f t="shared" si="45"/>
      </c>
      <c r="H91" s="524">
        <f t="shared" si="344"/>
      </c>
      <c r="I91" s="525">
        <f t="shared" si="280"/>
      </c>
      <c r="J91" s="526">
        <f t="shared" si="216"/>
      </c>
      <c r="K91" s="527">
        <f t="shared" si="606"/>
      </c>
      <c r="L91" s="524">
        <f t="shared" si="412"/>
      </c>
      <c r="M91" s="528">
        <f t="shared" si="480"/>
      </c>
      <c r="N91" s="528">
        <f t="shared" si="538"/>
      </c>
      <c r="O91" s="528">
        <f t="shared" si="443"/>
      </c>
      <c r="P91" s="528">
        <f t="shared" si="375"/>
      </c>
      <c r="Q91" s="524">
        <f t="shared" si="313"/>
      </c>
      <c r="R91" s="526">
        <f t="shared" si="249"/>
      </c>
      <c r="S91" s="528">
        <f t="shared" si="152"/>
      </c>
      <c r="T91" s="528">
        <f t="shared" si="82"/>
      </c>
      <c r="U91" s="528">
        <f t="shared" si="8"/>
      </c>
      <c r="V91" s="528">
        <f t="shared" si="569"/>
      </c>
      <c r="W91" s="528"/>
      <c r="X91" s="529"/>
      <c r="Y91" s="522">
        <f>SUM(Y89:Y90)</f>
      </c>
      <c r="Z91" s="522">
        <f>SUM(Z89:Z90)</f>
      </c>
      <c r="AA91" s="522">
        <f>SUM(AA89:AA90)</f>
      </c>
      <c r="AB91" s="522">
        <f>SUM(AB89:AB90)</f>
      </c>
      <c r="AC91" s="522">
        <f>SUM(AC89:AC90)</f>
      </c>
      <c r="AD91" s="522">
        <f>SUM(AD89:AD90)</f>
      </c>
      <c r="AE91" s="522">
        <f>SUM(AE89:AE90)</f>
      </c>
      <c r="AF91" s="522">
        <f>SUM(AF89:AF90)</f>
      </c>
      <c r="AG91" s="522">
        <f>SUM(AG89:AG90)</f>
      </c>
      <c r="AH91" s="522">
        <f>SUM(AH89:AH90)</f>
      </c>
    </row>
    <row r="92">
      <c r="A92" s="498"/>
      <c r="B92" s="540" t="s">
        <v>271</v>
      </c>
      <c r="C92" s="534" t="s">
        <v>265</v>
      </c>
      <c r="D92" s="541">
        <v>1271.74</v>
      </c>
      <c r="E92" s="542">
        <v>4</v>
      </c>
      <c r="F92" s="519">
        <v>1308.999999999999</v>
      </c>
      <c r="G92" s="504">
        <f t="shared" si="45"/>
      </c>
      <c r="H92" s="505">
        <f t="shared" si="344"/>
      </c>
      <c r="I92" s="506">
        <f t="shared" si="280"/>
      </c>
      <c r="J92" s="507">
        <f t="shared" si="216"/>
      </c>
      <c r="K92" s="508">
        <f t="shared" si="606"/>
      </c>
      <c r="L92" s="505">
        <f t="shared" si="412"/>
      </c>
      <c r="M92" s="509">
        <f t="shared" si="480"/>
      </c>
      <c r="N92" s="509">
        <f t="shared" si="538"/>
      </c>
      <c r="O92" s="509">
        <f t="shared" si="443"/>
      </c>
      <c r="P92" s="509">
        <f t="shared" si="375"/>
      </c>
      <c r="Q92" s="505">
        <f t="shared" si="313"/>
      </c>
      <c r="R92" s="507">
        <f t="shared" si="249"/>
      </c>
      <c r="S92" s="509">
        <f t="shared" si="152"/>
      </c>
      <c r="T92" s="509">
        <f t="shared" si="82"/>
      </c>
      <c r="U92" s="509">
        <f t="shared" si="8"/>
      </c>
      <c r="V92" s="509">
        <f t="shared" si="569"/>
      </c>
      <c r="W92" s="520" t="s">
        <v>255</v>
      </c>
      <c r="X92" s="511" t="s">
        <v>279</v>
      </c>
      <c r="Y92" s="513">
        <v>208255</v>
      </c>
      <c r="Z92" s="513">
        <v>9871</v>
      </c>
      <c r="AA92" s="513">
        <v>197689</v>
      </c>
      <c r="AB92" s="513">
        <v>454</v>
      </c>
      <c r="AC92" s="513">
        <v>3</v>
      </c>
      <c r="AD92" s="513">
        <v>10506</v>
      </c>
      <c r="AE92" s="513">
        <v>166</v>
      </c>
      <c r="AF92" s="513">
        <v>216</v>
      </c>
      <c r="AG92" s="513">
        <v>19</v>
      </c>
      <c r="AH92" s="514">
        <v>1</v>
      </c>
    </row>
    <row r="93">
      <c r="A93" s="498"/>
      <c r="B93" s="540" t="s">
        <v>271</v>
      </c>
      <c r="C93" s="537" t="s">
        <v>266</v>
      </c>
      <c r="D93" s="541">
        <v>1073.4089999999999</v>
      </c>
      <c r="E93" s="542">
        <v>1</v>
      </c>
      <c r="F93" s="519">
        <v>789.6000000000022</v>
      </c>
      <c r="G93" s="504">
        <f t="shared" si="45"/>
      </c>
      <c r="H93" s="505">
        <f t="shared" si="344"/>
      </c>
      <c r="I93" s="506">
        <f t="shared" si="280"/>
      </c>
      <c r="J93" s="507">
        <f t="shared" si="216"/>
      </c>
      <c r="K93" s="508">
        <f t="shared" si="606"/>
      </c>
      <c r="L93" s="505">
        <f t="shared" si="412"/>
      </c>
      <c r="M93" s="509">
        <f t="shared" si="480"/>
      </c>
      <c r="N93" s="509">
        <f t="shared" si="538"/>
      </c>
      <c r="O93" s="509">
        <f t="shared" si="443"/>
      </c>
      <c r="P93" s="509">
        <f t="shared" si="375"/>
      </c>
      <c r="Q93" s="505">
        <f t="shared" si="313"/>
      </c>
      <c r="R93" s="507">
        <f t="shared" si="249"/>
      </c>
      <c r="S93" s="509">
        <f t="shared" si="152"/>
      </c>
      <c r="T93" s="509">
        <f t="shared" si="82"/>
      </c>
      <c r="U93" s="509">
        <f t="shared" si="8"/>
      </c>
      <c r="V93" s="509">
        <f t="shared" si="569"/>
      </c>
      <c r="W93" s="520" t="s">
        <v>255</v>
      </c>
      <c r="X93" s="511" t="s">
        <v>267</v>
      </c>
      <c r="Y93" s="513">
        <v>177983</v>
      </c>
      <c r="Z93" s="513">
        <v>6356</v>
      </c>
      <c r="AA93" s="513">
        <v>170201</v>
      </c>
      <c r="AB93" s="513">
        <v>346</v>
      </c>
      <c r="AC93" s="513">
        <v>0</v>
      </c>
      <c r="AD93" s="513">
        <v>7212</v>
      </c>
      <c r="AE93" s="513">
        <v>136</v>
      </c>
      <c r="AF93" s="513">
        <v>119</v>
      </c>
      <c r="AG93" s="513">
        <v>15</v>
      </c>
      <c r="AH93" s="514">
        <v>0</v>
      </c>
    </row>
    <row r="94">
      <c r="A94" s="498"/>
      <c r="B94" s="540" t="s">
        <v>271</v>
      </c>
      <c r="C94" s="540" t="s">
        <v>269</v>
      </c>
      <c r="D94" s="541">
        <v>1321.723</v>
      </c>
      <c r="E94" s="542">
        <v>4</v>
      </c>
      <c r="F94" s="519">
        <v>869.1999999999989</v>
      </c>
      <c r="G94" s="504">
        <f t="shared" si="45"/>
      </c>
      <c r="H94" s="505">
        <f t="shared" si="344"/>
      </c>
      <c r="I94" s="506">
        <f t="shared" si="280"/>
      </c>
      <c r="J94" s="507">
        <f t="shared" si="216"/>
      </c>
      <c r="K94" s="508">
        <f t="shared" si="606"/>
      </c>
      <c r="L94" s="505">
        <f t="shared" si="412"/>
      </c>
      <c r="M94" s="509">
        <f t="shared" si="480"/>
      </c>
      <c r="N94" s="509">
        <f t="shared" si="538"/>
      </c>
      <c r="O94" s="509">
        <f t="shared" si="443"/>
      </c>
      <c r="P94" s="509">
        <f t="shared" si="375"/>
      </c>
      <c r="Q94" s="505">
        <f t="shared" si="313"/>
      </c>
      <c r="R94" s="507">
        <f t="shared" si="249"/>
      </c>
      <c r="S94" s="509">
        <f t="shared" si="152"/>
      </c>
      <c r="T94" s="509">
        <f t="shared" si="82"/>
      </c>
      <c r="U94" s="509">
        <f t="shared" si="8"/>
      </c>
      <c r="V94" s="509">
        <f t="shared" si="569"/>
      </c>
      <c r="W94" s="520" t="s">
        <v>255</v>
      </c>
      <c r="X94" s="511" t="s">
        <v>267</v>
      </c>
      <c r="Y94" s="513">
        <v>215609</v>
      </c>
      <c r="Z94" s="513">
        <v>6001</v>
      </c>
      <c r="AA94" s="513">
        <v>208756</v>
      </c>
      <c r="AB94" s="513">
        <v>373</v>
      </c>
      <c r="AC94" s="513">
        <v>3</v>
      </c>
      <c r="AD94" s="513">
        <v>9438</v>
      </c>
      <c r="AE94" s="513">
        <v>110</v>
      </c>
      <c r="AF94" s="513">
        <v>122</v>
      </c>
      <c r="AG94" s="513">
        <v>12</v>
      </c>
      <c r="AH94" s="514">
        <v>1</v>
      </c>
    </row>
    <row r="95">
      <c r="A95" s="498"/>
      <c r="B95" s="540" t="s">
        <v>271</v>
      </c>
      <c r="C95" s="534" t="s">
        <v>270</v>
      </c>
      <c r="D95" s="541">
        <v>1438.4340000000002</v>
      </c>
      <c r="E95" s="542">
        <v>0</v>
      </c>
      <c r="F95" s="519">
        <v>0</v>
      </c>
      <c r="G95" s="504">
        <f t="shared" si="45"/>
      </c>
      <c r="H95" s="505">
        <f t="shared" si="344"/>
      </c>
      <c r="I95" s="506">
        <f t="shared" si="280"/>
      </c>
      <c r="J95" s="507">
        <f t="shared" si="216"/>
      </c>
      <c r="K95" s="508">
        <f t="shared" si="606"/>
      </c>
      <c r="L95" s="505">
        <f t="shared" si="412"/>
      </c>
      <c r="M95" s="509">
        <f t="shared" si="480"/>
      </c>
      <c r="N95" s="509">
        <f t="shared" si="538"/>
      </c>
      <c r="O95" s="509">
        <f t="shared" si="443"/>
      </c>
      <c r="P95" s="509">
        <f t="shared" si="375"/>
      </c>
      <c r="Q95" s="505">
        <f t="shared" si="313"/>
      </c>
      <c r="R95" s="507">
        <f t="shared" si="249"/>
      </c>
      <c r="S95" s="509">
        <f t="shared" si="152"/>
      </c>
      <c r="T95" s="509">
        <f t="shared" si="82"/>
      </c>
      <c r="U95" s="509">
        <f t="shared" si="8"/>
      </c>
      <c r="V95" s="509">
        <f t="shared" si="569"/>
      </c>
      <c r="W95" s="520" t="s">
        <v>255</v>
      </c>
      <c r="X95" s="511" t="s">
        <v>267</v>
      </c>
      <c r="Y95" s="513">
        <v>226024</v>
      </c>
      <c r="Z95" s="513">
        <v>3522</v>
      </c>
      <c r="AA95" s="513">
        <v>217296</v>
      </c>
      <c r="AB95" s="513">
        <v>424</v>
      </c>
      <c r="AC95" s="513">
        <v>0</v>
      </c>
      <c r="AD95" s="513">
        <v>10385</v>
      </c>
      <c r="AE95" s="513">
        <v>141</v>
      </c>
      <c r="AF95" s="513">
        <v>127</v>
      </c>
      <c r="AG95" s="514">
        <v>10</v>
      </c>
      <c r="AH95" s="514">
        <v>0</v>
      </c>
    </row>
    <row r="96">
      <c r="A96" s="498"/>
      <c r="B96" s="538" t="s">
        <v>261</v>
      </c>
      <c r="C96" s="538"/>
      <c r="D96" s="522">
        <f>SUM(D92:D95)</f>
      </c>
      <c r="E96" s="522">
        <f>SUM(E92:E95)</f>
      </c>
      <c r="F96" s="522">
        <f>SUM(F92:F95)</f>
      </c>
      <c r="G96" s="522">
        <f t="shared" si="45"/>
      </c>
      <c r="H96" s="524">
        <f t="shared" si="344"/>
      </c>
      <c r="I96" s="525">
        <f t="shared" si="280"/>
      </c>
      <c r="J96" s="526">
        <f t="shared" si="216"/>
      </c>
      <c r="K96" s="527">
        <f t="shared" si="606"/>
      </c>
      <c r="L96" s="524">
        <f t="shared" si="412"/>
      </c>
      <c r="M96" s="528">
        <f t="shared" si="480"/>
      </c>
      <c r="N96" s="528">
        <f t="shared" si="538"/>
      </c>
      <c r="O96" s="528">
        <f t="shared" si="443"/>
      </c>
      <c r="P96" s="528">
        <f t="shared" si="375"/>
      </c>
      <c r="Q96" s="524">
        <f t="shared" si="313"/>
      </c>
      <c r="R96" s="526">
        <f t="shared" si="249"/>
      </c>
      <c r="S96" s="528">
        <f t="shared" si="152"/>
      </c>
      <c r="T96" s="528">
        <f t="shared" si="82"/>
      </c>
      <c r="U96" s="528">
        <f t="shared" si="8"/>
      </c>
      <c r="V96" s="528">
        <f t="shared" si="569"/>
      </c>
      <c r="W96" s="528"/>
      <c r="X96" s="529"/>
      <c r="Y96" s="522">
        <f>SUM(Y92:Y95)</f>
      </c>
      <c r="Z96" s="522">
        <f>SUM(Z92:Z95)</f>
      </c>
      <c r="AA96" s="522">
        <f>SUM(AA92:AA95)</f>
      </c>
      <c r="AB96" s="522">
        <f>SUM(AB92:AB95)</f>
      </c>
      <c r="AC96" s="522">
        <f>SUM(AC92:AC95)</f>
      </c>
      <c r="AD96" s="522">
        <f>SUM(AD92:AD95)</f>
      </c>
      <c r="AE96" s="522">
        <f>SUM(AE92:AE95)</f>
      </c>
      <c r="AF96" s="522">
        <f>SUM(AF92:AF95)</f>
      </c>
      <c r="AG96" s="522">
        <f>SUM(AG92:AG95)</f>
      </c>
      <c r="AH96" s="522">
        <f>SUM(AH92:AH95)</f>
      </c>
    </row>
    <row customHeight="true" ht="16.071428571428573" r="97">
      <c r="A97" s="498"/>
      <c r="B97" s="499" t="s">
        <v>262</v>
      </c>
      <c r="C97" s="534" t="s">
        <v>272</v>
      </c>
      <c r="D97" s="535">
        <v>1623.7830000000001</v>
      </c>
      <c r="E97" s="502">
        <v>3</v>
      </c>
      <c r="F97" s="503">
        <v>652</v>
      </c>
      <c r="G97" s="504">
        <f t="shared" si="45"/>
      </c>
      <c r="H97" s="505">
        <f t="shared" si="344"/>
      </c>
      <c r="I97" s="506">
        <f t="shared" si="280"/>
      </c>
      <c r="J97" s="507">
        <f t="shared" si="216"/>
      </c>
      <c r="K97" s="556">
        <f t="shared" si="606"/>
      </c>
      <c r="L97" s="557">
        <f t="shared" si="412"/>
      </c>
      <c r="M97" s="558">
        <f t="shared" si="480"/>
      </c>
      <c r="N97" s="558">
        <f t="shared" si="538"/>
      </c>
      <c r="O97" s="558">
        <f t="shared" si="443"/>
      </c>
      <c r="P97" s="558">
        <f t="shared" si="375"/>
      </c>
      <c r="Q97" s="557">
        <f t="shared" si="313"/>
      </c>
      <c r="R97" s="559">
        <f t="shared" si="249"/>
      </c>
      <c r="S97" s="558">
        <f t="shared" si="152"/>
      </c>
      <c r="T97" s="558">
        <f t="shared" si="82"/>
      </c>
      <c r="U97" s="558">
        <f t="shared" si="8"/>
      </c>
      <c r="V97" s="558">
        <f t="shared" si="569"/>
      </c>
      <c r="W97" s="520" t="s">
        <v>255</v>
      </c>
      <c r="X97" s="511" t="s">
        <v>267</v>
      </c>
      <c r="Y97" s="513">
        <v>288073</v>
      </c>
      <c r="Z97" s="513">
        <v>3336</v>
      </c>
      <c r="AA97" s="513">
        <v>281257</v>
      </c>
      <c r="AB97" s="536">
        <v>373</v>
      </c>
      <c r="AC97" s="536">
        <v>2</v>
      </c>
      <c r="AD97" s="536">
        <v>9600</v>
      </c>
      <c r="AE97" s="536">
        <v>121</v>
      </c>
      <c r="AF97" s="536">
        <v>102</v>
      </c>
      <c r="AG97" s="536">
        <v>11</v>
      </c>
      <c r="AH97" s="514">
        <v>0</v>
      </c>
    </row>
    <row customHeight="true" ht="16.071428571428573" r="98">
      <c r="A98" s="498"/>
      <c r="B98" s="499" t="s">
        <v>262</v>
      </c>
      <c r="C98" s="537" t="s">
        <v>273</v>
      </c>
      <c r="D98" s="535">
        <v>2009.958</v>
      </c>
      <c r="E98" s="502">
        <v>4</v>
      </c>
      <c r="F98" s="503">
        <v>2041.6000000000004</v>
      </c>
      <c r="G98" s="504">
        <f t="shared" si="45"/>
      </c>
      <c r="H98" s="505">
        <f t="shared" si="344"/>
      </c>
      <c r="I98" s="506">
        <f t="shared" si="280"/>
      </c>
      <c r="J98" s="507">
        <f t="shared" si="216"/>
      </c>
      <c r="K98" s="556">
        <f t="shared" si="606"/>
      </c>
      <c r="L98" s="557">
        <f t="shared" si="412"/>
      </c>
      <c r="M98" s="558">
        <f t="shared" si="480"/>
      </c>
      <c r="N98" s="558">
        <f t="shared" si="538"/>
      </c>
      <c r="O98" s="558">
        <f t="shared" si="443"/>
      </c>
      <c r="P98" s="558">
        <f t="shared" si="375"/>
      </c>
      <c r="Q98" s="557">
        <f t="shared" si="313"/>
      </c>
      <c r="R98" s="559">
        <f t="shared" si="249"/>
      </c>
      <c r="S98" s="558">
        <f t="shared" si="152"/>
      </c>
      <c r="T98" s="558">
        <f t="shared" si="82"/>
      </c>
      <c r="U98" s="558">
        <f t="shared" si="8"/>
      </c>
      <c r="V98" s="558">
        <f t="shared" si="569"/>
      </c>
      <c r="W98" s="520" t="s">
        <v>255</v>
      </c>
      <c r="X98" s="511" t="s">
        <v>267</v>
      </c>
      <c r="Y98" s="513">
        <v>392219</v>
      </c>
      <c r="Z98" s="513">
        <v>4652</v>
      </c>
      <c r="AA98" s="513">
        <v>383151</v>
      </c>
      <c r="AB98" s="536">
        <v>488</v>
      </c>
      <c r="AC98" s="536">
        <v>3</v>
      </c>
      <c r="AD98" s="536">
        <v>12948</v>
      </c>
      <c r="AE98" s="536">
        <v>182</v>
      </c>
      <c r="AF98" s="536">
        <v>140</v>
      </c>
      <c r="AG98" s="536">
        <v>14</v>
      </c>
      <c r="AH98" s="514">
        <v>1</v>
      </c>
    </row>
    <row customHeight="true" ht="16.071428571428573" r="99">
      <c r="A99" s="498"/>
      <c r="B99" s="499" t="s">
        <v>262</v>
      </c>
      <c r="C99" s="534" t="s">
        <v>274</v>
      </c>
      <c r="D99" s="535">
        <v>2301.552</v>
      </c>
      <c r="E99" s="502">
        <v>5</v>
      </c>
      <c r="F99" s="503">
        <v>1076</v>
      </c>
      <c r="G99" s="504">
        <f t="shared" si="45"/>
      </c>
      <c r="H99" s="505">
        <f t="shared" si="344"/>
      </c>
      <c r="I99" s="506">
        <f t="shared" si="280"/>
      </c>
      <c r="J99" s="507">
        <f t="shared" si="216"/>
      </c>
      <c r="K99" s="556">
        <f t="shared" si="606"/>
      </c>
      <c r="L99" s="557">
        <f t="shared" si="412"/>
      </c>
      <c r="M99" s="558">
        <f t="shared" si="480"/>
      </c>
      <c r="N99" s="558">
        <f t="shared" si="538"/>
      </c>
      <c r="O99" s="558">
        <f t="shared" si="443"/>
      </c>
      <c r="P99" s="558">
        <f t="shared" si="375"/>
      </c>
      <c r="Q99" s="557">
        <f t="shared" si="313"/>
      </c>
      <c r="R99" s="559">
        <f t="shared" si="249"/>
      </c>
      <c r="S99" s="558">
        <f t="shared" si="152"/>
      </c>
      <c r="T99" s="558">
        <f t="shared" si="82"/>
      </c>
      <c r="U99" s="558">
        <f t="shared" si="8"/>
      </c>
      <c r="V99" s="558">
        <f t="shared" si="569"/>
      </c>
      <c r="W99" s="520" t="s">
        <v>255</v>
      </c>
      <c r="X99" s="511" t="s">
        <v>267</v>
      </c>
      <c r="Y99" s="513">
        <v>443262</v>
      </c>
      <c r="Z99" s="513">
        <v>4844</v>
      </c>
      <c r="AA99" s="513">
        <v>440832</v>
      </c>
      <c r="AB99" s="536">
        <v>583</v>
      </c>
      <c r="AC99" s="536">
        <v>5</v>
      </c>
      <c r="AD99" s="536">
        <v>13767</v>
      </c>
      <c r="AE99" s="536">
        <v>159</v>
      </c>
      <c r="AF99" s="536">
        <v>174</v>
      </c>
      <c r="AG99" s="536">
        <v>18</v>
      </c>
      <c r="AH99" s="514">
        <v>0</v>
      </c>
    </row>
    <row customHeight="true" ht="16.071428571428573" r="100">
      <c r="A100" s="498"/>
      <c r="B100" s="499" t="s">
        <v>262</v>
      </c>
      <c r="C100" s="555" t="s">
        <v>275</v>
      </c>
      <c r="D100" s="541">
        <v>2402.9260000000004</v>
      </c>
      <c r="E100" s="542">
        <v>11</v>
      </c>
      <c r="F100" s="519">
        <v>2958.2999999999993</v>
      </c>
      <c r="G100" s="504">
        <f t="shared" si="45"/>
      </c>
      <c r="H100" s="505">
        <f t="shared" si="344"/>
      </c>
      <c r="I100" s="506">
        <f t="shared" si="280"/>
      </c>
      <c r="J100" s="507">
        <f t="shared" si="216"/>
      </c>
      <c r="K100" s="556">
        <f t="shared" si="606"/>
      </c>
      <c r="L100" s="557">
        <f t="shared" si="412"/>
      </c>
      <c r="M100" s="558">
        <f t="shared" si="480"/>
      </c>
      <c r="N100" s="558">
        <f t="shared" si="538"/>
      </c>
      <c r="O100" s="558">
        <f t="shared" si="443"/>
      </c>
      <c r="P100" s="558">
        <f t="shared" si="375"/>
      </c>
      <c r="Q100" s="557">
        <f t="shared" si="313"/>
      </c>
      <c r="R100" s="559">
        <f t="shared" si="249"/>
      </c>
      <c r="S100" s="558">
        <f t="shared" si="152"/>
      </c>
      <c r="T100" s="558">
        <f t="shared" si="82"/>
      </c>
      <c r="U100" s="558">
        <f t="shared" si="8"/>
      </c>
      <c r="V100" s="558">
        <f t="shared" si="569"/>
      </c>
      <c r="W100" s="520" t="s">
        <v>255</v>
      </c>
      <c r="X100" s="511" t="s">
        <v>267</v>
      </c>
      <c r="Y100" s="513">
        <v>495427</v>
      </c>
      <c r="Z100" s="513">
        <v>4876</v>
      </c>
      <c r="AA100" s="513">
        <v>497973</v>
      </c>
      <c r="AB100" s="513">
        <v>566</v>
      </c>
      <c r="AC100" s="513">
        <v>9</v>
      </c>
      <c r="AD100" s="513">
        <v>13584</v>
      </c>
      <c r="AE100" s="513">
        <v>172</v>
      </c>
      <c r="AF100" s="513">
        <v>157</v>
      </c>
      <c r="AG100" s="514">
        <v>21</v>
      </c>
      <c r="AH100" s="514">
        <v>2</v>
      </c>
    </row>
    <row customHeight="true" ht="16.071428571428573" r="101">
      <c r="A101" s="498"/>
      <c r="B101" s="499" t="s">
        <v>262</v>
      </c>
      <c r="C101" s="555" t="s">
        <v>280</v>
      </c>
      <c r="D101" s="541">
        <v>865.6860000000001</v>
      </c>
      <c r="E101" s="542">
        <v>2</v>
      </c>
      <c r="F101" s="519">
        <v>1024</v>
      </c>
      <c r="G101" s="504">
        <f t="shared" si="45"/>
      </c>
      <c r="H101" s="505">
        <f t="shared" si="344"/>
      </c>
      <c r="I101" s="506">
        <f t="shared" si="280"/>
      </c>
      <c r="J101" s="507">
        <f t="shared" si="216"/>
      </c>
      <c r="K101" s="556">
        <f t="shared" si="606"/>
      </c>
      <c r="L101" s="557">
        <f t="shared" si="412"/>
      </c>
      <c r="M101" s="558">
        <f t="shared" si="480"/>
      </c>
      <c r="N101" s="558">
        <f t="shared" si="538"/>
      </c>
      <c r="O101" s="558">
        <f t="shared" si="443"/>
      </c>
      <c r="P101" s="558">
        <f t="shared" si="375"/>
      </c>
      <c r="Q101" s="557">
        <f t="shared" si="313"/>
      </c>
      <c r="R101" s="559">
        <f t="shared" si="249"/>
      </c>
      <c r="S101" s="558">
        <f t="shared" si="152"/>
      </c>
      <c r="T101" s="558">
        <f t="shared" si="82"/>
      </c>
      <c r="U101" s="558">
        <f t="shared" si="8"/>
      </c>
      <c r="V101" s="558">
        <f t="shared" si="569"/>
      </c>
      <c r="W101" s="520" t="s">
        <v>255</v>
      </c>
      <c r="X101" s="511" t="s">
        <v>267</v>
      </c>
      <c r="Y101" s="513">
        <v>180243</v>
      </c>
      <c r="Z101" s="513">
        <v>1772</v>
      </c>
      <c r="AA101" s="513">
        <v>179323</v>
      </c>
      <c r="AB101" s="513">
        <v>200</v>
      </c>
      <c r="AC101" s="513">
        <v>2</v>
      </c>
      <c r="AD101" s="513">
        <v>3999</v>
      </c>
      <c r="AE101" s="513">
        <v>40</v>
      </c>
      <c r="AF101" s="513">
        <v>58</v>
      </c>
      <c r="AG101" s="514">
        <v>6</v>
      </c>
      <c r="AH101" s="514">
        <v>0</v>
      </c>
    </row>
    <row customHeight="true" ht="16.071428571428573" r="102">
      <c r="A102" s="498"/>
      <c r="B102" s="538" t="s">
        <v>261</v>
      </c>
      <c r="C102" s="538"/>
      <c r="D102" s="522">
        <f>SUM(D97:D101)</f>
      </c>
      <c r="E102" s="522">
        <f>SUM(E97:E101)</f>
      </c>
      <c r="F102" s="522">
        <f>SUM(F97:F101)</f>
      </c>
      <c r="G102" s="522">
        <f t="shared" si="45"/>
      </c>
      <c r="H102" s="524">
        <f t="shared" si="344"/>
      </c>
      <c r="I102" s="525">
        <f t="shared" si="280"/>
      </c>
      <c r="J102" s="526">
        <f t="shared" si="216"/>
      </c>
      <c r="K102" s="527">
        <f t="shared" si="606"/>
      </c>
      <c r="L102" s="524">
        <f t="shared" si="412"/>
      </c>
      <c r="M102" s="528">
        <f t="shared" si="480"/>
      </c>
      <c r="N102" s="528">
        <f t="shared" si="538"/>
      </c>
      <c r="O102" s="528">
        <f t="shared" si="443"/>
      </c>
      <c r="P102" s="528">
        <f t="shared" si="375"/>
      </c>
      <c r="Q102" s="524">
        <f t="shared" si="313"/>
      </c>
      <c r="R102" s="526">
        <f t="shared" si="249"/>
      </c>
      <c r="S102" s="528">
        <f t="shared" si="152"/>
      </c>
      <c r="T102" s="528">
        <f t="shared" si="82"/>
      </c>
      <c r="U102" s="528">
        <f t="shared" si="8"/>
      </c>
      <c r="V102" s="528">
        <f t="shared" si="569"/>
      </c>
      <c r="W102" s="528"/>
      <c r="X102" s="529"/>
      <c r="Y102" s="522">
        <f>SUM(Y97:Y101)</f>
      </c>
      <c r="Z102" s="522">
        <f>SUM(Z97:Z101)</f>
      </c>
      <c r="AA102" s="522">
        <f>SUM(AA97:AA101)</f>
      </c>
      <c r="AB102" s="522">
        <f>SUM(AB97:AB101)</f>
      </c>
      <c r="AC102" s="522">
        <f>SUM(AC97:AC101)</f>
      </c>
      <c r="AD102" s="522">
        <f>SUM(AD97:AD101)</f>
      </c>
      <c r="AE102" s="522">
        <f>SUM(AE97:AE101)</f>
      </c>
      <c r="AF102" s="522">
        <f>SUM(AF97:AF101)</f>
      </c>
      <c r="AG102" s="522">
        <f>SUM(AG97:AG101)</f>
      </c>
      <c r="AH102" s="522">
        <f>SUM(AH97:AH101)</f>
      </c>
    </row>
    <row r="103">
      <c r="A103" s="498"/>
      <c r="B103" s="543" t="s">
        <v>276</v>
      </c>
      <c r="C103" s="543"/>
      <c r="D103" s="554">
        <f>SUM(D88+D102+D96+D91)</f>
      </c>
      <c r="E103" s="554">
        <f>SUM(E88+E102+E96+E91)</f>
      </c>
      <c r="F103" s="554">
        <f>SUM(F88+F102+F96+F91)</f>
      </c>
      <c r="G103" s="544">
        <f t="shared" si="45"/>
      </c>
      <c r="H103" s="545">
        <f t="shared" si="344"/>
      </c>
      <c r="I103" s="546">
        <f t="shared" si="280"/>
      </c>
      <c r="J103" s="547">
        <f t="shared" si="216"/>
      </c>
      <c r="K103" s="548">
        <f t="shared" si="606"/>
      </c>
      <c r="L103" s="548">
        <f t="shared" si="412"/>
      </c>
      <c r="M103" s="550">
        <f t="shared" si="480"/>
      </c>
      <c r="N103" s="550">
        <f t="shared" si="538"/>
      </c>
      <c r="O103" s="550">
        <f t="shared" si="443"/>
      </c>
      <c r="P103" s="550">
        <f t="shared" si="375"/>
      </c>
      <c r="Q103" s="549">
        <f t="shared" si="313"/>
      </c>
      <c r="R103" s="551">
        <f t="shared" si="249"/>
      </c>
      <c r="S103" s="552">
        <f t="shared" si="152"/>
      </c>
      <c r="T103" s="552">
        <f t="shared" si="82"/>
      </c>
      <c r="U103" s="552">
        <f t="shared" si="8"/>
      </c>
      <c r="V103" s="552">
        <f t="shared" si="569"/>
      </c>
      <c r="W103" s="552"/>
      <c r="X103" s="553"/>
      <c r="Y103" s="544">
        <f>SUM(Y96+Y102+Y88+Y91)</f>
      </c>
      <c r="Z103" s="544">
        <f>SUM(Z96+Z102+Z88+Z91)</f>
      </c>
      <c r="AA103" s="544">
        <f>SUM(AA96+AA102+AA88+AA91)</f>
      </c>
      <c r="AB103" s="544">
        <f>SUM(AB96+AB102+AB88+AB91)</f>
      </c>
      <c r="AC103" s="544">
        <f>SUM(AC96+AC102+AC88+AC91)</f>
      </c>
      <c r="AD103" s="544">
        <f>SUM(AD96+AD102+AD88+AD91)</f>
      </c>
      <c r="AE103" s="544">
        <f>SUM(AE96+AE102+AE88+AE91)</f>
      </c>
      <c r="AF103" s="544">
        <f>SUM(AF96+AF102+AF88+AF91)</f>
      </c>
      <c r="AG103" s="544">
        <f>SUM(AG96+AG102+AG88+AG91)</f>
      </c>
      <c r="AH103" s="544">
        <f>SUM(AH96+AH102+AH88+AH91)</f>
      </c>
    </row>
    <row r="104">
      <c r="A104" s="485" t="s">
        <v>218</v>
      </c>
      <c r="B104" s="485" t="s">
        <v>219</v>
      </c>
      <c r="C104" s="486" t="s">
        <v>220</v>
      </c>
      <c r="D104" s="487" t="s">
        <v>221</v>
      </c>
      <c r="E104" s="488" t="s">
        <v>222</v>
      </c>
      <c r="F104" s="489" t="s">
        <v>223</v>
      </c>
      <c r="G104" s="489" t="s">
        <v>224</v>
      </c>
      <c r="H104" s="490" t="s">
        <v>225</v>
      </c>
      <c r="I104" s="490" t="s">
        <v>226</v>
      </c>
      <c r="J104" s="490" t="s">
        <v>227</v>
      </c>
      <c r="K104" s="491" t="s">
        <v>228</v>
      </c>
      <c r="L104" s="491" t="s">
        <v>229</v>
      </c>
      <c r="M104" s="491" t="s">
        <v>231</v>
      </c>
      <c r="N104" s="491" t="s">
        <v>232</v>
      </c>
      <c r="O104" s="491" t="s">
        <v>233</v>
      </c>
      <c r="P104" s="491" t="s">
        <v>234</v>
      </c>
      <c r="Q104" s="491" t="s">
        <v>235</v>
      </c>
      <c r="R104" s="491" t="s">
        <v>236</v>
      </c>
      <c r="S104" s="492" t="s">
        <v>237</v>
      </c>
      <c r="T104" s="492" t="s">
        <v>238</v>
      </c>
      <c r="U104" s="492" t="s">
        <v>239</v>
      </c>
      <c r="V104" s="492" t="s">
        <v>240</v>
      </c>
      <c r="W104" s="493" t="s">
        <v>241</v>
      </c>
      <c r="X104" s="493" t="s">
        <v>242</v>
      </c>
      <c r="Y104" s="494" t="s">
        <v>243</v>
      </c>
      <c r="Z104" s="494" t="s">
        <v>244</v>
      </c>
      <c r="AA104" s="494" t="s">
        <v>245</v>
      </c>
      <c r="AB104" s="495" t="s">
        <v>246</v>
      </c>
      <c r="AC104" s="495" t="s">
        <v>247</v>
      </c>
      <c r="AD104" s="496" t="s">
        <v>248</v>
      </c>
      <c r="AE104" s="495" t="s">
        <v>249</v>
      </c>
      <c r="AF104" s="495" t="s">
        <v>250</v>
      </c>
      <c r="AG104" s="497" t="s">
        <v>251</v>
      </c>
      <c r="AH104" s="495" t="s">
        <v>252</v>
      </c>
    </row>
    <row r="105">
      <c r="A105" s="498">
        <v>46209</v>
      </c>
      <c r="B105" s="530" t="s">
        <v>277</v>
      </c>
      <c r="C105" s="500" t="s">
        <v>254</v>
      </c>
      <c r="D105" s="501">
        <v>766.7470000000001</v>
      </c>
      <c r="E105" s="502">
        <v>1</v>
      </c>
      <c r="F105" s="503">
        <v>228</v>
      </c>
      <c r="G105" s="504">
        <f t="shared" ref="G105:G124" si="46">D105/AC105</f>
      </c>
      <c r="H105" s="505">
        <f t="shared" ref="H105:H124" si="345">F105/E105</f>
      </c>
      <c r="I105" s="506">
        <f t="shared" ref="I105:I124" si="281">D105/E105</f>
      </c>
      <c r="J105" s="507">
        <f t="shared" ref="J105:J124" si="217">F105/D105</f>
      </c>
      <c r="K105" s="508">
        <f t="shared" ref="K105:K124" si="607">D105/AA105</f>
      </c>
      <c r="L105" s="505">
        <f t="shared" ref="L105:L124" si="413">D105/AB105</f>
      </c>
      <c r="M105" s="509">
        <f t="shared" ref="M105:M124" si="481">AB105/AA105</f>
      </c>
      <c r="N105" s="509">
        <f t="shared" ref="N105:N124" si="539">AC105/AB105</f>
      </c>
      <c r="O105" s="509">
        <f t="shared" ref="O105:O124" si="444">Z105/Y105</f>
      </c>
      <c r="P105" s="509">
        <f t="shared" ref="P105:P124" si="376">AC105/Z105</f>
      </c>
      <c r="Q105" s="505">
        <f t="shared" ref="Q105:Q124" si="314">D105/Y105*1000</f>
      </c>
      <c r="R105" s="507">
        <f t="shared" ref="R105:R124" si="250">D105/Z105</f>
      </c>
      <c r="S105" s="509">
        <f t="shared" ref="S105:S124" si="153">AD105/AA105</f>
      </c>
      <c r="T105" s="509">
        <f t="shared" ref="T105:T124" si="83">AE105/AA105</f>
      </c>
      <c r="U105" s="509">
        <f t="shared" ref="U105:U124" si="9">AF105/AA105</f>
      </c>
      <c r="V105" s="509">
        <f t="shared" ref="V105:V124" si="570">AG105/AA105</f>
      </c>
      <c r="W105" s="510" t="s">
        <v>255</v>
      </c>
      <c r="X105" s="511" t="s">
        <v>281</v>
      </c>
      <c r="Y105" s="512">
        <v>100720</v>
      </c>
      <c r="Z105" s="512">
        <v>2339</v>
      </c>
      <c r="AA105" s="512">
        <v>77139</v>
      </c>
      <c r="AB105" s="512">
        <v>352</v>
      </c>
      <c r="AC105" s="514">
        <v>1</v>
      </c>
      <c r="AD105" s="512">
        <v>7702</v>
      </c>
      <c r="AE105" s="513">
        <v>128</v>
      </c>
      <c r="AF105" s="513">
        <v>88</v>
      </c>
      <c r="AG105" s="513">
        <v>7</v>
      </c>
      <c r="AH105" s="514">
        <v>0</v>
      </c>
    </row>
    <row r="106">
      <c r="A106" s="498"/>
      <c r="B106" s="530" t="s">
        <v>277</v>
      </c>
      <c r="C106" s="500" t="s">
        <v>257</v>
      </c>
      <c r="D106" s="501">
        <v>1261.116</v>
      </c>
      <c r="E106" s="502">
        <v>4</v>
      </c>
      <c r="F106" s="503">
        <v>1406.3</v>
      </c>
      <c r="G106" s="504">
        <f t="shared" si="46"/>
      </c>
      <c r="H106" s="505">
        <f t="shared" si="345"/>
      </c>
      <c r="I106" s="506">
        <f t="shared" si="281"/>
      </c>
      <c r="J106" s="507">
        <f t="shared" si="217"/>
      </c>
      <c r="K106" s="508">
        <f t="shared" si="607"/>
      </c>
      <c r="L106" s="505">
        <f t="shared" si="413"/>
      </c>
      <c r="M106" s="509">
        <f t="shared" si="481"/>
      </c>
      <c r="N106" s="509">
        <f t="shared" si="539"/>
      </c>
      <c r="O106" s="509">
        <f t="shared" si="444"/>
      </c>
      <c r="P106" s="509">
        <f t="shared" si="376"/>
      </c>
      <c r="Q106" s="505">
        <f t="shared" si="314"/>
      </c>
      <c r="R106" s="507">
        <f t="shared" si="250"/>
      </c>
      <c r="S106" s="509">
        <f t="shared" si="153"/>
      </c>
      <c r="T106" s="509">
        <f t="shared" si="83"/>
      </c>
      <c r="U106" s="509">
        <f t="shared" si="9"/>
      </c>
      <c r="V106" s="509">
        <f t="shared" si="570"/>
      </c>
      <c r="W106" s="510" t="s">
        <v>255</v>
      </c>
      <c r="X106" s="511" t="s">
        <v>281</v>
      </c>
      <c r="Y106" s="513">
        <v>178083</v>
      </c>
      <c r="Z106" s="512">
        <v>3875</v>
      </c>
      <c r="AA106" s="512">
        <v>151216</v>
      </c>
      <c r="AB106" s="512">
        <v>470</v>
      </c>
      <c r="AC106" s="513">
        <v>3</v>
      </c>
      <c r="AD106" s="512">
        <v>11612</v>
      </c>
      <c r="AE106" s="513">
        <v>164</v>
      </c>
      <c r="AF106" s="513">
        <v>115</v>
      </c>
      <c r="AG106" s="514">
        <v>16</v>
      </c>
      <c r="AH106" s="514">
        <v>1</v>
      </c>
    </row>
    <row r="107">
      <c r="A107" s="498"/>
      <c r="B107" s="530" t="s">
        <v>277</v>
      </c>
      <c r="C107" s="515" t="s">
        <v>258</v>
      </c>
      <c r="D107" s="501">
        <v>1136.959</v>
      </c>
      <c r="E107" s="502">
        <v>2</v>
      </c>
      <c r="F107" s="503">
        <v>1024.0000000000002</v>
      </c>
      <c r="G107" s="504">
        <f t="shared" si="46"/>
      </c>
      <c r="H107" s="505">
        <f t="shared" si="345"/>
      </c>
      <c r="I107" s="506">
        <f t="shared" si="281"/>
      </c>
      <c r="J107" s="507">
        <f t="shared" si="217"/>
      </c>
      <c r="K107" s="508">
        <f t="shared" si="607"/>
      </c>
      <c r="L107" s="505">
        <f t="shared" si="413"/>
      </c>
      <c r="M107" s="509">
        <f t="shared" si="481"/>
      </c>
      <c r="N107" s="509">
        <f t="shared" si="539"/>
      </c>
      <c r="O107" s="509">
        <f t="shared" si="444"/>
      </c>
      <c r="P107" s="509">
        <f t="shared" si="376"/>
      </c>
      <c r="Q107" s="505">
        <f t="shared" si="314"/>
      </c>
      <c r="R107" s="507">
        <f t="shared" si="250"/>
      </c>
      <c r="S107" s="509">
        <f t="shared" si="153"/>
      </c>
      <c r="T107" s="509">
        <f t="shared" si="83"/>
      </c>
      <c r="U107" s="509">
        <f t="shared" si="9"/>
      </c>
      <c r="V107" s="509">
        <f t="shared" si="570"/>
      </c>
      <c r="W107" s="510" t="s">
        <v>255</v>
      </c>
      <c r="X107" s="511" t="s">
        <v>281</v>
      </c>
      <c r="Y107" s="513">
        <v>175784</v>
      </c>
      <c r="Z107" s="512">
        <v>3509</v>
      </c>
      <c r="AA107" s="512">
        <v>151347</v>
      </c>
      <c r="AB107" s="512">
        <v>380</v>
      </c>
      <c r="AC107" s="513">
        <v>2</v>
      </c>
      <c r="AD107" s="512">
        <v>8125</v>
      </c>
      <c r="AE107" s="513">
        <v>151</v>
      </c>
      <c r="AF107" s="513">
        <v>85</v>
      </c>
      <c r="AG107" s="513">
        <v>7</v>
      </c>
      <c r="AH107" s="514">
        <v>0</v>
      </c>
    </row>
    <row r="108">
      <c r="A108" s="498"/>
      <c r="B108" s="530" t="s">
        <v>277</v>
      </c>
      <c r="C108" s="516" t="s">
        <v>259</v>
      </c>
      <c r="D108" s="501">
        <v>958.9159999999999</v>
      </c>
      <c r="E108" s="502">
        <v>3</v>
      </c>
      <c r="F108" s="503">
        <v>1252</v>
      </c>
      <c r="G108" s="504">
        <f t="shared" si="46"/>
      </c>
      <c r="H108" s="505">
        <f t="shared" si="345"/>
      </c>
      <c r="I108" s="506">
        <f t="shared" si="281"/>
      </c>
      <c r="J108" s="507">
        <f t="shared" si="217"/>
      </c>
      <c r="K108" s="508">
        <f t="shared" si="607"/>
      </c>
      <c r="L108" s="505">
        <f t="shared" si="413"/>
      </c>
      <c r="M108" s="509">
        <f t="shared" si="481"/>
      </c>
      <c r="N108" s="509">
        <f t="shared" si="539"/>
      </c>
      <c r="O108" s="509">
        <f t="shared" si="444"/>
      </c>
      <c r="P108" s="509">
        <f t="shared" si="376"/>
      </c>
      <c r="Q108" s="505">
        <f t="shared" si="314"/>
      </c>
      <c r="R108" s="507">
        <f t="shared" si="250"/>
      </c>
      <c r="S108" s="509">
        <f t="shared" si="153"/>
      </c>
      <c r="T108" s="509">
        <f t="shared" si="83"/>
      </c>
      <c r="U108" s="509">
        <f t="shared" si="9"/>
      </c>
      <c r="V108" s="509">
        <f t="shared" si="570"/>
      </c>
      <c r="W108" s="504" t="s">
        <v>255</v>
      </c>
      <c r="X108" s="511" t="s">
        <v>281</v>
      </c>
      <c r="Y108" s="513">
        <v>156663</v>
      </c>
      <c r="Z108" s="513">
        <v>3379</v>
      </c>
      <c r="AA108" s="513">
        <v>136937</v>
      </c>
      <c r="AB108" s="513">
        <v>349</v>
      </c>
      <c r="AC108" s="513">
        <v>3</v>
      </c>
      <c r="AD108" s="513">
        <v>7945</v>
      </c>
      <c r="AE108" s="513">
        <v>96</v>
      </c>
      <c r="AF108" s="513">
        <v>102</v>
      </c>
      <c r="AG108" s="514">
        <v>11</v>
      </c>
      <c r="AH108" s="514">
        <v>0</v>
      </c>
    </row>
    <row r="109">
      <c r="A109" s="498"/>
      <c r="B109" s="530" t="s">
        <v>277</v>
      </c>
      <c r="C109" s="516" t="s">
        <v>260</v>
      </c>
      <c r="D109" s="517">
        <v>1242.88</v>
      </c>
      <c r="E109" s="518">
        <v>0</v>
      </c>
      <c r="F109" s="519">
        <v>0</v>
      </c>
      <c r="G109" s="504">
        <f t="shared" si="46"/>
      </c>
      <c r="H109" s="505">
        <f t="shared" si="345"/>
      </c>
      <c r="I109" s="506">
        <f t="shared" si="281"/>
      </c>
      <c r="J109" s="507">
        <f t="shared" si="217"/>
      </c>
      <c r="K109" s="508">
        <f t="shared" si="607"/>
      </c>
      <c r="L109" s="505">
        <f t="shared" si="413"/>
      </c>
      <c r="M109" s="509">
        <f t="shared" si="481"/>
      </c>
      <c r="N109" s="509">
        <f t="shared" si="539"/>
      </c>
      <c r="O109" s="509">
        <f t="shared" si="444"/>
      </c>
      <c r="P109" s="509">
        <f t="shared" si="376"/>
      </c>
      <c r="Q109" s="505">
        <f t="shared" si="314"/>
      </c>
      <c r="R109" s="507">
        <f t="shared" si="250"/>
      </c>
      <c r="S109" s="509">
        <f t="shared" si="153"/>
      </c>
      <c r="T109" s="509">
        <f t="shared" si="83"/>
      </c>
      <c r="U109" s="509">
        <f t="shared" si="9"/>
      </c>
      <c r="V109" s="509">
        <f t="shared" si="570"/>
      </c>
      <c r="W109" s="520" t="s">
        <v>255</v>
      </c>
      <c r="X109" s="511" t="s">
        <v>281</v>
      </c>
      <c r="Y109" s="513">
        <v>238791</v>
      </c>
      <c r="Z109" s="513">
        <v>5656</v>
      </c>
      <c r="AA109" s="513">
        <v>205837</v>
      </c>
      <c r="AB109" s="513">
        <v>435</v>
      </c>
      <c r="AC109" s="513">
        <v>0</v>
      </c>
      <c r="AD109" s="513">
        <v>8746</v>
      </c>
      <c r="AE109" s="513">
        <v>138</v>
      </c>
      <c r="AF109" s="513">
        <v>123</v>
      </c>
      <c r="AG109" s="514">
        <v>15</v>
      </c>
      <c r="AH109" s="514">
        <v>0</v>
      </c>
    </row>
    <row r="110">
      <c r="A110" s="498"/>
      <c r="B110" s="521" t="s">
        <v>261</v>
      </c>
      <c r="C110" s="521"/>
      <c r="D110" s="522">
        <f>SUM(D105:D109)</f>
      </c>
      <c r="E110" s="523">
        <f>SUM(E105:E109)</f>
      </c>
      <c r="F110" s="522">
        <f>SUM(F105:F109)</f>
      </c>
      <c r="G110" s="522">
        <f t="shared" si="46"/>
      </c>
      <c r="H110" s="524">
        <f t="shared" si="345"/>
      </c>
      <c r="I110" s="525">
        <f t="shared" si="281"/>
      </c>
      <c r="J110" s="526">
        <f t="shared" si="217"/>
      </c>
      <c r="K110" s="527">
        <f t="shared" si="607"/>
      </c>
      <c r="L110" s="524">
        <f t="shared" si="413"/>
      </c>
      <c r="M110" s="528">
        <f t="shared" si="481"/>
      </c>
      <c r="N110" s="528">
        <f t="shared" si="539"/>
      </c>
      <c r="O110" s="528">
        <f t="shared" si="444"/>
      </c>
      <c r="P110" s="528">
        <f t="shared" si="376"/>
      </c>
      <c r="Q110" s="524">
        <f t="shared" si="314"/>
      </c>
      <c r="R110" s="526">
        <f t="shared" si="250"/>
      </c>
      <c r="S110" s="528">
        <f t="shared" si="153"/>
      </c>
      <c r="T110" s="528">
        <f t="shared" si="83"/>
      </c>
      <c r="U110" s="528">
        <f t="shared" si="9"/>
      </c>
      <c r="V110" s="528">
        <f t="shared" si="570"/>
      </c>
      <c r="W110" s="528"/>
      <c r="X110" s="529"/>
      <c r="Y110" s="522">
        <f>SUM(Y105:Y109)</f>
      </c>
      <c r="Z110" s="522">
        <f>SUM(Z105:Z109)</f>
      </c>
      <c r="AA110" s="522">
        <f>SUM(AA105:AA109)</f>
      </c>
      <c r="AB110" s="522">
        <f>SUM(AB105:AB109)</f>
      </c>
      <c r="AC110" s="522">
        <f>SUM(AC105:AC109)</f>
      </c>
      <c r="AD110" s="522">
        <f>SUM(AD105:AD109)</f>
      </c>
      <c r="AE110" s="522">
        <f>SUM(AE105:AE109)</f>
      </c>
      <c r="AF110" s="522">
        <f>SUM(AF105:AF109)</f>
      </c>
      <c r="AG110" s="522">
        <f>SUM(AG105:AG109)</f>
      </c>
      <c r="AH110" s="522">
        <f>SUM(AH105:AH109)</f>
      </c>
    </row>
    <row r="111">
      <c r="A111" s="498"/>
      <c r="B111" s="499" t="s">
        <v>268</v>
      </c>
      <c r="C111" s="531" t="s">
        <v>263</v>
      </c>
      <c r="D111" s="532">
        <v>948.502</v>
      </c>
      <c r="E111" s="502">
        <v>4</v>
      </c>
      <c r="F111" s="503">
        <v>1895.3000000000002</v>
      </c>
      <c r="G111" s="504">
        <f t="shared" si="46"/>
      </c>
      <c r="H111" s="505">
        <f t="shared" si="345"/>
      </c>
      <c r="I111" s="506">
        <f t="shared" si="281"/>
      </c>
      <c r="J111" s="507">
        <f t="shared" si="217"/>
      </c>
      <c r="K111" s="508">
        <f t="shared" si="607"/>
      </c>
      <c r="L111" s="505">
        <f t="shared" si="413"/>
      </c>
      <c r="M111" s="509">
        <f t="shared" si="481"/>
      </c>
      <c r="N111" s="509">
        <f t="shared" si="539"/>
      </c>
      <c r="O111" s="509">
        <f t="shared" si="444"/>
      </c>
      <c r="P111" s="509">
        <f t="shared" si="376"/>
      </c>
      <c r="Q111" s="505">
        <f t="shared" si="314"/>
      </c>
      <c r="R111" s="507">
        <f t="shared" si="250"/>
      </c>
      <c r="S111" s="509">
        <f t="shared" si="153"/>
      </c>
      <c r="T111" s="509">
        <f t="shared" si="83"/>
      </c>
      <c r="U111" s="509">
        <f t="shared" si="9"/>
      </c>
      <c r="V111" s="509">
        <f t="shared" si="570"/>
      </c>
      <c r="W111" s="520" t="s">
        <v>255</v>
      </c>
      <c r="X111" s="511" t="s">
        <v>281</v>
      </c>
      <c r="Y111" s="512">
        <v>171908</v>
      </c>
      <c r="Z111" s="512">
        <v>4696</v>
      </c>
      <c r="AA111" s="512">
        <v>161259</v>
      </c>
      <c r="AB111" s="513">
        <v>350</v>
      </c>
      <c r="AC111" s="513">
        <v>1</v>
      </c>
      <c r="AD111" s="512">
        <v>6689</v>
      </c>
      <c r="AE111" s="513">
        <v>123</v>
      </c>
      <c r="AF111" s="513">
        <v>92</v>
      </c>
      <c r="AG111" s="513">
        <v>18</v>
      </c>
      <c r="AH111" s="514">
        <v>1</v>
      </c>
    </row>
    <row r="112">
      <c r="A112" s="498"/>
      <c r="B112" s="499" t="s">
        <v>268</v>
      </c>
      <c r="C112" s="533" t="s">
        <v>264</v>
      </c>
      <c r="D112" s="532">
        <v>803.024</v>
      </c>
      <c r="E112" s="518">
        <v>0</v>
      </c>
      <c r="F112" s="519">
        <v>0</v>
      </c>
      <c r="G112" s="504">
        <f t="shared" si="46"/>
      </c>
      <c r="H112" s="505">
        <f t="shared" si="345"/>
      </c>
      <c r="I112" s="506">
        <f t="shared" si="281"/>
      </c>
      <c r="J112" s="507">
        <f t="shared" si="217"/>
      </c>
      <c r="K112" s="508">
        <f t="shared" si="607"/>
      </c>
      <c r="L112" s="505">
        <f t="shared" si="413"/>
      </c>
      <c r="M112" s="509">
        <f t="shared" si="481"/>
      </c>
      <c r="N112" s="509">
        <f t="shared" si="539"/>
      </c>
      <c r="O112" s="509">
        <f t="shared" si="444"/>
      </c>
      <c r="P112" s="509">
        <f t="shared" si="376"/>
      </c>
      <c r="Q112" s="505">
        <f t="shared" si="314"/>
      </c>
      <c r="R112" s="507">
        <f t="shared" si="250"/>
      </c>
      <c r="S112" s="509">
        <f t="shared" si="153"/>
      </c>
      <c r="T112" s="509">
        <f t="shared" si="83"/>
      </c>
      <c r="U112" s="509">
        <f t="shared" si="9"/>
      </c>
      <c r="V112" s="509">
        <f t="shared" si="570"/>
      </c>
      <c r="W112" s="520" t="s">
        <v>255</v>
      </c>
      <c r="X112" s="511" t="s">
        <v>281</v>
      </c>
      <c r="Y112" s="513">
        <v>132859</v>
      </c>
      <c r="Z112" s="513">
        <v>5123</v>
      </c>
      <c r="AA112" s="513">
        <v>126877</v>
      </c>
      <c r="AB112" s="513">
        <v>252</v>
      </c>
      <c r="AC112" s="513">
        <v>0</v>
      </c>
      <c r="AD112" s="513">
        <v>6133</v>
      </c>
      <c r="AE112" s="513">
        <v>108</v>
      </c>
      <c r="AF112" s="513">
        <v>75</v>
      </c>
      <c r="AG112" s="513">
        <v>15</v>
      </c>
      <c r="AH112" s="514">
        <v>0</v>
      </c>
    </row>
    <row customHeight="true" ht="16.071428571428573" r="113">
      <c r="A113" s="498"/>
      <c r="B113" s="499" t="s">
        <v>268</v>
      </c>
      <c r="C113" s="534" t="s">
        <v>265</v>
      </c>
      <c r="D113" s="532">
        <v>577.53</v>
      </c>
      <c r="E113" s="518">
        <v>4</v>
      </c>
      <c r="F113" s="519">
        <v>1978.8000000000002</v>
      </c>
      <c r="G113" s="504">
        <f t="shared" si="46"/>
      </c>
      <c r="H113" s="505">
        <f t="shared" si="345"/>
      </c>
      <c r="I113" s="506">
        <f t="shared" si="281"/>
      </c>
      <c r="J113" s="507">
        <f t="shared" si="217"/>
      </c>
      <c r="K113" s="508">
        <f t="shared" si="607"/>
      </c>
      <c r="L113" s="505">
        <f t="shared" si="413"/>
      </c>
      <c r="M113" s="509">
        <f t="shared" si="481"/>
      </c>
      <c r="N113" s="509">
        <f t="shared" si="539"/>
      </c>
      <c r="O113" s="509">
        <f t="shared" si="444"/>
      </c>
      <c r="P113" s="509">
        <f t="shared" si="376"/>
      </c>
      <c r="Q113" s="505">
        <f t="shared" si="314"/>
      </c>
      <c r="R113" s="507">
        <f t="shared" si="250"/>
      </c>
      <c r="S113" s="509">
        <f t="shared" si="153"/>
      </c>
      <c r="T113" s="509">
        <f t="shared" si="83"/>
      </c>
      <c r="U113" s="509">
        <f t="shared" si="9"/>
      </c>
      <c r="V113" s="509">
        <f t="shared" si="570"/>
      </c>
      <c r="W113" s="520" t="s">
        <v>255</v>
      </c>
      <c r="X113" s="511" t="s">
        <v>281</v>
      </c>
      <c r="Y113" s="513">
        <v>90416</v>
      </c>
      <c r="Z113" s="513">
        <v>3613</v>
      </c>
      <c r="AA113" s="513">
        <v>86151</v>
      </c>
      <c r="AB113" s="513">
        <v>205</v>
      </c>
      <c r="AC113" s="513">
        <v>4</v>
      </c>
      <c r="AD113" s="513">
        <v>4107</v>
      </c>
      <c r="AE113" s="513">
        <v>86</v>
      </c>
      <c r="AF113" s="513">
        <v>54</v>
      </c>
      <c r="AG113" s="513">
        <v>12</v>
      </c>
      <c r="AH113" s="514">
        <v>1</v>
      </c>
    </row>
    <row r="114">
      <c r="A114" s="498"/>
      <c r="B114" s="521" t="s">
        <v>261</v>
      </c>
      <c r="C114" s="521"/>
      <c r="D114" s="522">
        <f>SUM(D111:D113)</f>
      </c>
      <c r="E114" s="522">
        <f>SUM(E111:E113)</f>
      </c>
      <c r="F114" s="522">
        <f>SUM(F111:F113)</f>
      </c>
      <c r="G114" s="522">
        <f t="shared" si="46"/>
      </c>
      <c r="H114" s="524">
        <f t="shared" si="345"/>
      </c>
      <c r="I114" s="525">
        <f t="shared" si="281"/>
      </c>
      <c r="J114" s="526">
        <f t="shared" si="217"/>
      </c>
      <c r="K114" s="527">
        <f t="shared" si="607"/>
      </c>
      <c r="L114" s="524">
        <f t="shared" si="413"/>
      </c>
      <c r="M114" s="528">
        <f t="shared" si="481"/>
      </c>
      <c r="N114" s="528">
        <f t="shared" si="539"/>
      </c>
      <c r="O114" s="528">
        <f t="shared" si="444"/>
      </c>
      <c r="P114" s="528">
        <f t="shared" si="376"/>
      </c>
      <c r="Q114" s="524">
        <f t="shared" si="314"/>
      </c>
      <c r="R114" s="526">
        <f t="shared" si="250"/>
      </c>
      <c r="S114" s="528">
        <f t="shared" si="153"/>
      </c>
      <c r="T114" s="528">
        <f t="shared" si="83"/>
      </c>
      <c r="U114" s="528">
        <f t="shared" si="9"/>
      </c>
      <c r="V114" s="528">
        <f t="shared" si="570"/>
      </c>
      <c r="W114" s="528"/>
      <c r="X114" s="529"/>
      <c r="Y114" s="522">
        <f>SUM(Y111:Y113)</f>
      </c>
      <c r="Z114" s="522">
        <f>SUM(Z111:Z113)</f>
      </c>
      <c r="AA114" s="522">
        <f>SUM(AA111:AA113)</f>
      </c>
      <c r="AB114" s="522">
        <f>SUM(AB111:AB113)</f>
      </c>
      <c r="AC114" s="522">
        <f>SUM(AC111:AC113)</f>
      </c>
      <c r="AD114" s="522">
        <f>SUM(AD111:AD113)</f>
      </c>
      <c r="AE114" s="522">
        <f>SUM(AE111:AE113)</f>
      </c>
      <c r="AF114" s="522">
        <f>SUM(AF111:AF113)</f>
      </c>
      <c r="AG114" s="522">
        <f>SUM(AG111:AG113)</f>
      </c>
      <c r="AH114" s="522">
        <f>SUM(AH111:AH113)</f>
      </c>
    </row>
    <row r="115">
      <c r="A115" s="498"/>
      <c r="B115" s="540" t="s">
        <v>271</v>
      </c>
      <c r="C115" s="537" t="s">
        <v>266</v>
      </c>
      <c r="D115" s="541">
        <v>536.659</v>
      </c>
      <c r="E115" s="542">
        <v>0</v>
      </c>
      <c r="F115" s="519">
        <v>0</v>
      </c>
      <c r="G115" s="504">
        <f t="shared" si="46"/>
      </c>
      <c r="H115" s="505">
        <f t="shared" si="345"/>
      </c>
      <c r="I115" s="506">
        <f t="shared" si="281"/>
      </c>
      <c r="J115" s="507">
        <f t="shared" si="217"/>
      </c>
      <c r="K115" s="508">
        <f t="shared" si="607"/>
      </c>
      <c r="L115" s="505">
        <f t="shared" si="413"/>
      </c>
      <c r="M115" s="509">
        <f t="shared" si="481"/>
      </c>
      <c r="N115" s="509">
        <f t="shared" si="539"/>
      </c>
      <c r="O115" s="509">
        <f t="shared" si="444"/>
      </c>
      <c r="P115" s="509">
        <f t="shared" si="376"/>
      </c>
      <c r="Q115" s="505">
        <f t="shared" si="314"/>
      </c>
      <c r="R115" s="507">
        <f t="shared" si="250"/>
      </c>
      <c r="S115" s="509">
        <f t="shared" si="153"/>
      </c>
      <c r="T115" s="509">
        <f t="shared" si="83"/>
      </c>
      <c r="U115" s="509">
        <f t="shared" si="9"/>
      </c>
      <c r="V115" s="509">
        <f t="shared" si="570"/>
      </c>
      <c r="W115" s="520" t="s">
        <v>255</v>
      </c>
      <c r="X115" s="511" t="s">
        <v>267</v>
      </c>
      <c r="Y115" s="513">
        <v>79735</v>
      </c>
      <c r="Z115" s="513">
        <v>4299</v>
      </c>
      <c r="AA115" s="513">
        <v>76427</v>
      </c>
      <c r="AB115" s="513">
        <v>236</v>
      </c>
      <c r="AC115" s="513">
        <v>0</v>
      </c>
      <c r="AD115" s="513">
        <v>5011</v>
      </c>
      <c r="AE115" s="513">
        <v>75</v>
      </c>
      <c r="AF115" s="513">
        <v>76</v>
      </c>
      <c r="AG115" s="513">
        <v>6</v>
      </c>
      <c r="AH115" s="514">
        <v>0</v>
      </c>
    </row>
    <row r="116">
      <c r="A116" s="498"/>
      <c r="B116" s="540" t="s">
        <v>271</v>
      </c>
      <c r="C116" s="540" t="s">
        <v>269</v>
      </c>
      <c r="D116" s="541">
        <v>573.864</v>
      </c>
      <c r="E116" s="542">
        <v>0</v>
      </c>
      <c r="F116" s="519">
        <v>0</v>
      </c>
      <c r="G116" s="504">
        <f t="shared" si="46"/>
      </c>
      <c r="H116" s="505">
        <f t="shared" si="345"/>
      </c>
      <c r="I116" s="506">
        <f t="shared" si="281"/>
      </c>
      <c r="J116" s="507">
        <f t="shared" si="217"/>
      </c>
      <c r="K116" s="508">
        <f t="shared" si="607"/>
      </c>
      <c r="L116" s="505">
        <f t="shared" si="413"/>
      </c>
      <c r="M116" s="509">
        <f t="shared" si="481"/>
      </c>
      <c r="N116" s="509">
        <f t="shared" si="539"/>
      </c>
      <c r="O116" s="509">
        <f t="shared" si="444"/>
      </c>
      <c r="P116" s="509">
        <f t="shared" si="376"/>
      </c>
      <c r="Q116" s="505">
        <f t="shared" si="314"/>
      </c>
      <c r="R116" s="507">
        <f t="shared" si="250"/>
      </c>
      <c r="S116" s="509">
        <f t="shared" si="153"/>
      </c>
      <c r="T116" s="509">
        <f t="shared" si="83"/>
      </c>
      <c r="U116" s="509">
        <f t="shared" si="9"/>
      </c>
      <c r="V116" s="509">
        <f t="shared" si="570"/>
      </c>
      <c r="W116" s="520" t="s">
        <v>255</v>
      </c>
      <c r="X116" s="511" t="s">
        <v>267</v>
      </c>
      <c r="Y116" s="513">
        <v>93347</v>
      </c>
      <c r="Z116" s="513">
        <v>2861</v>
      </c>
      <c r="AA116" s="513">
        <v>90655</v>
      </c>
      <c r="AB116" s="513">
        <v>157</v>
      </c>
      <c r="AC116" s="513">
        <v>0</v>
      </c>
      <c r="AD116" s="513">
        <v>4629</v>
      </c>
      <c r="AE116" s="513">
        <v>59</v>
      </c>
      <c r="AF116" s="513">
        <v>53</v>
      </c>
      <c r="AG116" s="513">
        <v>5</v>
      </c>
      <c r="AH116" s="514">
        <v>0</v>
      </c>
    </row>
    <row r="117">
      <c r="A117" s="498"/>
      <c r="B117" s="538" t="s">
        <v>261</v>
      </c>
      <c r="C117" s="538"/>
      <c r="D117" s="522">
        <f>SUM(D115:D116)</f>
      </c>
      <c r="E117" s="522">
        <f>SUM(E115:E116)</f>
      </c>
      <c r="F117" s="522">
        <f>SUM(F115:F116)</f>
      </c>
      <c r="G117" s="522">
        <f t="shared" si="46"/>
      </c>
      <c r="H117" s="524">
        <f t="shared" si="345"/>
      </c>
      <c r="I117" s="525">
        <f t="shared" si="281"/>
      </c>
      <c r="J117" s="526">
        <f t="shared" si="217"/>
      </c>
      <c r="K117" s="527">
        <f t="shared" si="607"/>
      </c>
      <c r="L117" s="524">
        <f t="shared" si="413"/>
      </c>
      <c r="M117" s="528">
        <f t="shared" si="481"/>
      </c>
      <c r="N117" s="528">
        <f t="shared" si="539"/>
      </c>
      <c r="O117" s="528">
        <f t="shared" si="444"/>
      </c>
      <c r="P117" s="528">
        <f t="shared" si="376"/>
      </c>
      <c r="Q117" s="524">
        <f t="shared" si="314"/>
      </c>
      <c r="R117" s="526">
        <f t="shared" si="250"/>
      </c>
      <c r="S117" s="528">
        <f t="shared" si="153"/>
      </c>
      <c r="T117" s="528">
        <f t="shared" si="83"/>
      </c>
      <c r="U117" s="528">
        <f t="shared" si="9"/>
      </c>
      <c r="V117" s="528">
        <f t="shared" si="570"/>
      </c>
      <c r="W117" s="528"/>
      <c r="X117" s="529"/>
      <c r="Y117" s="522">
        <f>SUM(Y115:Y116)</f>
      </c>
      <c r="Z117" s="522">
        <f>SUM(Z115:Z116)</f>
      </c>
      <c r="AA117" s="522">
        <f>SUM(AA115:AA116)</f>
      </c>
      <c r="AB117" s="522">
        <f>SUM(AB115:AB116)</f>
      </c>
      <c r="AC117" s="522">
        <f>SUM(AC115:AC116)</f>
      </c>
      <c r="AD117" s="522">
        <f>SUM(AD115:AD116)</f>
      </c>
      <c r="AE117" s="522">
        <f>SUM(AE115:AE116)</f>
      </c>
      <c r="AF117" s="522">
        <f>SUM(AF115:AF116)</f>
      </c>
      <c r="AG117" s="522">
        <f>SUM(AG115:AG116)</f>
      </c>
      <c r="AH117" s="522">
        <f>SUM(AH115:AH116)</f>
      </c>
    </row>
    <row r="118">
      <c r="A118" s="498"/>
      <c r="B118" s="499" t="s">
        <v>253</v>
      </c>
      <c r="C118" s="534" t="s">
        <v>270</v>
      </c>
      <c r="D118" s="535">
        <v>800.229</v>
      </c>
      <c r="E118" s="502">
        <v>0</v>
      </c>
      <c r="F118" s="503">
        <v>0</v>
      </c>
      <c r="G118" s="504">
        <f t="shared" si="46"/>
      </c>
      <c r="H118" s="505">
        <f t="shared" si="345"/>
      </c>
      <c r="I118" s="506">
        <f t="shared" si="281"/>
      </c>
      <c r="J118" s="559">
        <f t="shared" si="217"/>
      </c>
      <c r="K118" s="556">
        <f t="shared" si="607"/>
      </c>
      <c r="L118" s="557">
        <f t="shared" si="413"/>
      </c>
      <c r="M118" s="558">
        <f t="shared" si="481"/>
      </c>
      <c r="N118" s="558">
        <f t="shared" si="539"/>
      </c>
      <c r="O118" s="558">
        <f t="shared" si="444"/>
      </c>
      <c r="P118" s="558">
        <f t="shared" si="376"/>
      </c>
      <c r="Q118" s="557">
        <f t="shared" si="314"/>
      </c>
      <c r="R118" s="559">
        <f t="shared" si="250"/>
      </c>
      <c r="S118" s="558">
        <f t="shared" si="153"/>
      </c>
      <c r="T118" s="558">
        <f t="shared" si="83"/>
      </c>
      <c r="U118" s="558">
        <f t="shared" si="9"/>
      </c>
      <c r="V118" s="558">
        <f t="shared" si="570"/>
      </c>
      <c r="W118" s="520" t="s">
        <v>255</v>
      </c>
      <c r="X118" s="511" t="s">
        <v>267</v>
      </c>
      <c r="Y118" s="513">
        <v>134356</v>
      </c>
      <c r="Z118" s="513">
        <v>2127</v>
      </c>
      <c r="AA118" s="513">
        <v>131495</v>
      </c>
      <c r="AB118" s="536">
        <v>176</v>
      </c>
      <c r="AC118" s="536">
        <v>0</v>
      </c>
      <c r="AD118" s="536">
        <v>5288</v>
      </c>
      <c r="AE118" s="536">
        <v>54</v>
      </c>
      <c r="AF118" s="536">
        <v>53</v>
      </c>
      <c r="AG118" s="536">
        <v>5</v>
      </c>
      <c r="AH118" s="514">
        <v>0</v>
      </c>
    </row>
    <row r="119">
      <c r="A119" s="498"/>
      <c r="B119" s="499" t="s">
        <v>253</v>
      </c>
      <c r="C119" s="534" t="s">
        <v>272</v>
      </c>
      <c r="D119" s="535">
        <v>892.473</v>
      </c>
      <c r="E119" s="502">
        <v>0</v>
      </c>
      <c r="F119" s="503">
        <v>0</v>
      </c>
      <c r="G119" s="504">
        <f t="shared" si="46"/>
      </c>
      <c r="H119" s="505">
        <f t="shared" si="345"/>
      </c>
      <c r="I119" s="506">
        <f t="shared" si="281"/>
      </c>
      <c r="J119" s="559">
        <f t="shared" si="217"/>
      </c>
      <c r="K119" s="556">
        <f t="shared" si="607"/>
      </c>
      <c r="L119" s="557">
        <f t="shared" si="413"/>
      </c>
      <c r="M119" s="558">
        <f t="shared" si="481"/>
      </c>
      <c r="N119" s="558">
        <f t="shared" si="539"/>
      </c>
      <c r="O119" s="558">
        <f t="shared" si="444"/>
      </c>
      <c r="P119" s="558">
        <f t="shared" si="376"/>
      </c>
      <c r="Q119" s="557">
        <f t="shared" si="314"/>
      </c>
      <c r="R119" s="559">
        <f t="shared" si="250"/>
      </c>
      <c r="S119" s="558">
        <f t="shared" si="153"/>
      </c>
      <c r="T119" s="558">
        <f t="shared" si="83"/>
      </c>
      <c r="U119" s="558">
        <f t="shared" si="9"/>
      </c>
      <c r="V119" s="558">
        <f t="shared" si="570"/>
      </c>
      <c r="W119" s="520" t="s">
        <v>255</v>
      </c>
      <c r="X119" s="511" t="s">
        <v>267</v>
      </c>
      <c r="Y119" s="513">
        <v>154605</v>
      </c>
      <c r="Z119" s="513">
        <v>2368</v>
      </c>
      <c r="AA119" s="513">
        <v>152187</v>
      </c>
      <c r="AB119" s="536">
        <v>237</v>
      </c>
      <c r="AC119" s="536">
        <v>0</v>
      </c>
      <c r="AD119" s="536">
        <v>5772</v>
      </c>
      <c r="AE119" s="536">
        <v>77</v>
      </c>
      <c r="AF119" s="536">
        <v>64</v>
      </c>
      <c r="AG119" s="536">
        <v>6</v>
      </c>
      <c r="AH119" s="514">
        <v>0</v>
      </c>
    </row>
    <row r="120">
      <c r="A120" s="498"/>
      <c r="B120" s="499" t="s">
        <v>253</v>
      </c>
      <c r="C120" s="537" t="s">
        <v>273</v>
      </c>
      <c r="D120" s="535">
        <v>751.0620000000001</v>
      </c>
      <c r="E120" s="502">
        <v>4</v>
      </c>
      <c r="F120" s="503">
        <v>1441.5999999999995</v>
      </c>
      <c r="G120" s="504">
        <f t="shared" si="46"/>
      </c>
      <c r="H120" s="505">
        <f t="shared" si="345"/>
      </c>
      <c r="I120" s="506">
        <f t="shared" si="281"/>
      </c>
      <c r="J120" s="559">
        <f t="shared" si="217"/>
      </c>
      <c r="K120" s="556">
        <f t="shared" si="607"/>
      </c>
      <c r="L120" s="557">
        <f t="shared" si="413"/>
      </c>
      <c r="M120" s="558">
        <f t="shared" si="481"/>
      </c>
      <c r="N120" s="558">
        <f t="shared" si="539"/>
      </c>
      <c r="O120" s="558">
        <f t="shared" si="444"/>
      </c>
      <c r="P120" s="558">
        <f t="shared" si="376"/>
      </c>
      <c r="Q120" s="557">
        <f t="shared" si="314"/>
      </c>
      <c r="R120" s="559">
        <f t="shared" si="250"/>
      </c>
      <c r="S120" s="558">
        <f t="shared" si="153"/>
      </c>
      <c r="T120" s="558">
        <f t="shared" si="83"/>
      </c>
      <c r="U120" s="558">
        <f t="shared" si="9"/>
      </c>
      <c r="V120" s="558">
        <f t="shared" si="570"/>
      </c>
      <c r="W120" s="520" t="s">
        <v>255</v>
      </c>
      <c r="X120" s="511" t="s">
        <v>267</v>
      </c>
      <c r="Y120" s="513">
        <v>133938</v>
      </c>
      <c r="Z120" s="513">
        <v>2130</v>
      </c>
      <c r="AA120" s="513">
        <v>131511</v>
      </c>
      <c r="AB120" s="536">
        <v>209</v>
      </c>
      <c r="AC120" s="536">
        <v>4</v>
      </c>
      <c r="AD120" s="536">
        <v>5275</v>
      </c>
      <c r="AE120" s="536">
        <v>58</v>
      </c>
      <c r="AF120" s="536">
        <v>48</v>
      </c>
      <c r="AG120" s="536">
        <v>7</v>
      </c>
      <c r="AH120" s="514">
        <v>1</v>
      </c>
    </row>
    <row r="121">
      <c r="A121" s="498"/>
      <c r="B121" s="499" t="s">
        <v>253</v>
      </c>
      <c r="C121" s="534" t="s">
        <v>274</v>
      </c>
      <c r="D121" s="541">
        <v>979.988</v>
      </c>
      <c r="E121" s="542">
        <v>1</v>
      </c>
      <c r="F121" s="519">
        <v>828</v>
      </c>
      <c r="G121" s="504">
        <f t="shared" si="46"/>
      </c>
      <c r="H121" s="505">
        <f t="shared" si="345"/>
      </c>
      <c r="I121" s="506">
        <f t="shared" si="281"/>
      </c>
      <c r="J121" s="559">
        <f t="shared" si="217"/>
      </c>
      <c r="K121" s="556">
        <f t="shared" si="607"/>
      </c>
      <c r="L121" s="557">
        <f t="shared" si="413"/>
      </c>
      <c r="M121" s="558">
        <f t="shared" si="481"/>
      </c>
      <c r="N121" s="558">
        <f t="shared" si="539"/>
      </c>
      <c r="O121" s="558">
        <f t="shared" si="444"/>
      </c>
      <c r="P121" s="558">
        <f t="shared" si="376"/>
      </c>
      <c r="Q121" s="557">
        <f t="shared" si="314"/>
      </c>
      <c r="R121" s="559">
        <f t="shared" si="250"/>
      </c>
      <c r="S121" s="558">
        <f t="shared" si="153"/>
      </c>
      <c r="T121" s="558">
        <f t="shared" si="83"/>
      </c>
      <c r="U121" s="558">
        <f t="shared" si="9"/>
      </c>
      <c r="V121" s="558">
        <f t="shared" si="570"/>
      </c>
      <c r="W121" s="520" t="s">
        <v>255</v>
      </c>
      <c r="X121" s="511" t="s">
        <v>267</v>
      </c>
      <c r="Y121" s="513">
        <v>188967</v>
      </c>
      <c r="Z121" s="513">
        <v>2902</v>
      </c>
      <c r="AA121" s="513">
        <v>186245</v>
      </c>
      <c r="AB121" s="513">
        <v>335</v>
      </c>
      <c r="AC121" s="513">
        <v>1</v>
      </c>
      <c r="AD121" s="513">
        <v>7489</v>
      </c>
      <c r="AE121" s="513">
        <v>91</v>
      </c>
      <c r="AF121" s="513">
        <v>99</v>
      </c>
      <c r="AG121" s="514">
        <v>16</v>
      </c>
      <c r="AH121" s="514">
        <v>0</v>
      </c>
    </row>
    <row r="122">
      <c r="A122" s="498"/>
      <c r="B122" s="499" t="s">
        <v>253</v>
      </c>
      <c r="C122" s="555" t="s">
        <v>275</v>
      </c>
      <c r="D122" s="541">
        <v>1039.106</v>
      </c>
      <c r="E122" s="542">
        <v>5</v>
      </c>
      <c r="F122" s="519">
        <v>1729.2000000000007</v>
      </c>
      <c r="G122" s="504">
        <f t="shared" si="46"/>
      </c>
      <c r="H122" s="505">
        <f t="shared" si="345"/>
      </c>
      <c r="I122" s="506">
        <f t="shared" si="281"/>
      </c>
      <c r="J122" s="559">
        <f t="shared" si="217"/>
      </c>
      <c r="K122" s="556">
        <f t="shared" si="607"/>
      </c>
      <c r="L122" s="557">
        <f t="shared" si="413"/>
      </c>
      <c r="M122" s="558">
        <f t="shared" si="481"/>
      </c>
      <c r="N122" s="558">
        <f t="shared" si="539"/>
      </c>
      <c r="O122" s="558">
        <f t="shared" si="444"/>
      </c>
      <c r="P122" s="558">
        <f t="shared" si="376"/>
      </c>
      <c r="Q122" s="557">
        <f t="shared" si="314"/>
      </c>
      <c r="R122" s="559">
        <f t="shared" si="250"/>
      </c>
      <c r="S122" s="558">
        <f t="shared" si="153"/>
      </c>
      <c r="T122" s="558">
        <f t="shared" si="83"/>
      </c>
      <c r="U122" s="558">
        <f t="shared" si="9"/>
      </c>
      <c r="V122" s="558">
        <f t="shared" si="570"/>
      </c>
      <c r="W122" s="520" t="s">
        <v>255</v>
      </c>
      <c r="X122" s="511" t="s">
        <v>267</v>
      </c>
      <c r="Y122" s="513">
        <v>201478</v>
      </c>
      <c r="Z122" s="513">
        <v>2858</v>
      </c>
      <c r="AA122" s="513">
        <v>198188</v>
      </c>
      <c r="AB122" s="513">
        <v>290</v>
      </c>
      <c r="AC122" s="513">
        <v>4</v>
      </c>
      <c r="AD122" s="513">
        <v>6538</v>
      </c>
      <c r="AE122" s="513">
        <v>89</v>
      </c>
      <c r="AF122" s="513">
        <v>103</v>
      </c>
      <c r="AG122" s="514">
        <v>6</v>
      </c>
      <c r="AH122" s="514">
        <v>2</v>
      </c>
    </row>
    <row r="123">
      <c r="A123" s="498"/>
      <c r="B123" s="538" t="s">
        <v>261</v>
      </c>
      <c r="C123" s="538"/>
      <c r="D123" s="522">
        <f>SUM(D118:D122)</f>
      </c>
      <c r="E123" s="522">
        <f>SUM(E118:E122)</f>
      </c>
      <c r="F123" s="522">
        <f>SUM(F118:F122)</f>
      </c>
      <c r="G123" s="522">
        <f t="shared" si="46"/>
      </c>
      <c r="H123" s="524">
        <f t="shared" si="345"/>
      </c>
      <c r="I123" s="525">
        <f t="shared" si="281"/>
      </c>
      <c r="J123" s="526">
        <f t="shared" si="217"/>
      </c>
      <c r="K123" s="527">
        <f t="shared" si="607"/>
      </c>
      <c r="L123" s="524">
        <f t="shared" si="413"/>
      </c>
      <c r="M123" s="528">
        <f t="shared" si="481"/>
      </c>
      <c r="N123" s="528">
        <f t="shared" si="539"/>
      </c>
      <c r="O123" s="528">
        <f t="shared" si="444"/>
      </c>
      <c r="P123" s="528">
        <f t="shared" si="376"/>
      </c>
      <c r="Q123" s="524">
        <f t="shared" si="314"/>
      </c>
      <c r="R123" s="526">
        <f t="shared" si="250"/>
      </c>
      <c r="S123" s="528">
        <f t="shared" si="153"/>
      </c>
      <c r="T123" s="528">
        <f t="shared" si="83"/>
      </c>
      <c r="U123" s="528">
        <f t="shared" si="9"/>
      </c>
      <c r="V123" s="528">
        <f t="shared" si="570"/>
      </c>
      <c r="W123" s="528"/>
      <c r="X123" s="529"/>
      <c r="Y123" s="522">
        <f>SUM(Y118:Y122)</f>
      </c>
      <c r="Z123" s="522">
        <f>SUM(Z118:Z122)</f>
      </c>
      <c r="AA123" s="522">
        <f>SUM(AA118:AA122)</f>
      </c>
      <c r="AB123" s="522">
        <f>SUM(AB118:AB122)</f>
      </c>
      <c r="AC123" s="522">
        <f>SUM(AC118:AC122)</f>
      </c>
      <c r="AD123" s="522">
        <f>SUM(AD118:AD122)</f>
      </c>
      <c r="AE123" s="522">
        <f>SUM(AE118:AE122)</f>
      </c>
      <c r="AF123" s="522">
        <f>SUM(AF118:AF122)</f>
      </c>
      <c r="AG123" s="522">
        <f>SUM(AG118:AG122)</f>
      </c>
      <c r="AH123" s="522">
        <f>SUM(AH118:AH122)</f>
      </c>
    </row>
    <row r="124">
      <c r="A124" s="498"/>
      <c r="B124" s="543" t="s">
        <v>276</v>
      </c>
      <c r="C124" s="543"/>
      <c r="D124" s="554">
        <f>SUM(D110+D123+D117+D114)</f>
      </c>
      <c r="E124" s="554">
        <f>SUM(E110+E123+E117+E114)</f>
      </c>
      <c r="F124" s="554">
        <f>SUM(F110+F123+F117+F114)</f>
      </c>
      <c r="G124" s="544">
        <f t="shared" si="46"/>
      </c>
      <c r="H124" s="545">
        <f t="shared" si="345"/>
      </c>
      <c r="I124" s="546">
        <f t="shared" si="281"/>
      </c>
      <c r="J124" s="547">
        <f t="shared" si="217"/>
      </c>
      <c r="K124" s="548">
        <f t="shared" si="607"/>
      </c>
      <c r="L124" s="548">
        <f t="shared" si="413"/>
      </c>
      <c r="M124" s="550">
        <f t="shared" si="481"/>
      </c>
      <c r="N124" s="550">
        <f t="shared" si="539"/>
      </c>
      <c r="O124" s="550">
        <f t="shared" si="444"/>
      </c>
      <c r="P124" s="550">
        <f t="shared" si="376"/>
      </c>
      <c r="Q124" s="549">
        <f t="shared" si="314"/>
      </c>
      <c r="R124" s="551">
        <f t="shared" si="250"/>
      </c>
      <c r="S124" s="552">
        <f t="shared" si="153"/>
      </c>
      <c r="T124" s="552">
        <f t="shared" si="83"/>
      </c>
      <c r="U124" s="552">
        <f t="shared" si="9"/>
      </c>
      <c r="V124" s="552">
        <f t="shared" si="570"/>
      </c>
      <c r="W124" s="552"/>
      <c r="X124" s="553"/>
      <c r="Y124" s="544">
        <f>SUM(Y117+Y123+Y110+Y114)</f>
      </c>
      <c r="Z124" s="544">
        <f>SUM(Z117+Z123+Z110+Z114)</f>
      </c>
      <c r="AA124" s="544">
        <f>SUM(AA117+AA123+AA110+AA114)</f>
      </c>
      <c r="AB124" s="544">
        <f>SUM(AB117+AB123+AB110+AB114)</f>
      </c>
      <c r="AC124" s="544">
        <f>SUM(AC117+AC123+AC110+AC114)</f>
      </c>
      <c r="AD124" s="544">
        <f>SUM(AD117+AD123+AD110+AD114)</f>
      </c>
      <c r="AE124" s="544">
        <f>SUM(AE117+AE123+AE110+AE114)</f>
      </c>
      <c r="AF124" s="544">
        <f>SUM(AF117+AF123+AF110+AF114)</f>
      </c>
      <c r="AG124" s="544">
        <f>SUM(AG117+AG123+AG110+AG114)</f>
      </c>
      <c r="AH124" s="544">
        <f>SUM(AH117+AH123+AH110+AH114)</f>
      </c>
    </row>
    <row r="125">
      <c r="A125" s="485" t="s">
        <v>218</v>
      </c>
      <c r="B125" s="485" t="s">
        <v>219</v>
      </c>
      <c r="C125" s="486" t="s">
        <v>220</v>
      </c>
      <c r="D125" s="487" t="s">
        <v>221</v>
      </c>
      <c r="E125" s="488" t="s">
        <v>222</v>
      </c>
      <c r="F125" s="489" t="s">
        <v>223</v>
      </c>
      <c r="G125" s="489" t="s">
        <v>224</v>
      </c>
      <c r="H125" s="490" t="s">
        <v>225</v>
      </c>
      <c r="I125" s="490" t="s">
        <v>226</v>
      </c>
      <c r="J125" s="490" t="s">
        <v>227</v>
      </c>
      <c r="K125" s="491" t="s">
        <v>228</v>
      </c>
      <c r="L125" s="491" t="s">
        <v>229</v>
      </c>
      <c r="M125" s="491" t="s">
        <v>231</v>
      </c>
      <c r="N125" s="491" t="s">
        <v>232</v>
      </c>
      <c r="O125" s="491" t="s">
        <v>233</v>
      </c>
      <c r="P125" s="491" t="s">
        <v>234</v>
      </c>
      <c r="Q125" s="491" t="s">
        <v>235</v>
      </c>
      <c r="R125" s="491" t="s">
        <v>236</v>
      </c>
      <c r="S125" s="492" t="s">
        <v>237</v>
      </c>
      <c r="T125" s="492" t="s">
        <v>238</v>
      </c>
      <c r="U125" s="492" t="s">
        <v>239</v>
      </c>
      <c r="V125" s="492" t="s">
        <v>240</v>
      </c>
      <c r="W125" s="493" t="s">
        <v>241</v>
      </c>
      <c r="X125" s="493" t="s">
        <v>242</v>
      </c>
      <c r="Y125" s="494" t="s">
        <v>243</v>
      </c>
      <c r="Z125" s="494" t="s">
        <v>244</v>
      </c>
      <c r="AA125" s="494" t="s">
        <v>245</v>
      </c>
      <c r="AB125" s="495" t="s">
        <v>246</v>
      </c>
      <c r="AC125" s="495" t="s">
        <v>247</v>
      </c>
      <c r="AD125" s="496" t="s">
        <v>248</v>
      </c>
      <c r="AE125" s="495" t="s">
        <v>249</v>
      </c>
      <c r="AF125" s="495" t="s">
        <v>250</v>
      </c>
      <c r="AG125" s="497" t="s">
        <v>251</v>
      </c>
      <c r="AH125" s="495" t="s">
        <v>252</v>
      </c>
    </row>
    <row r="126">
      <c r="A126" s="498">
        <v>46210</v>
      </c>
      <c r="B126" s="530" t="s">
        <v>277</v>
      </c>
      <c r="C126" s="500" t="s">
        <v>254</v>
      </c>
      <c r="D126" s="501">
        <v>348.48299999999995</v>
      </c>
      <c r="E126" s="502">
        <v>0</v>
      </c>
      <c r="F126" s="503">
        <v>0</v>
      </c>
      <c r="G126" s="504">
        <f t="shared" ref="G126:G145" si="47">D126/AC126</f>
      </c>
      <c r="H126" s="505">
        <f t="shared" ref="H126:H145" si="346">F126/E126</f>
      </c>
      <c r="I126" s="506">
        <f t="shared" ref="I126:I145" si="282">D126/E126</f>
      </c>
      <c r="J126" s="507">
        <f t="shared" ref="J126:J145" si="218">F126/D126</f>
      </c>
      <c r="K126" s="508">
        <f t="shared" ref="K126:K139" si="608">D126/AA126</f>
      </c>
      <c r="L126" s="505">
        <f t="shared" ref="L126:L145" si="414">D126/AB126</f>
      </c>
      <c r="M126" s="509">
        <f t="shared" ref="M126:M139" si="482">AB126/AA126</f>
      </c>
      <c r="N126" s="509">
        <f t="shared" ref="N126:N145" si="540">AC126/AB126</f>
      </c>
      <c r="O126" s="509">
        <f t="shared" ref="O126:O145" si="445">Z126/Y126</f>
      </c>
      <c r="P126" s="509">
        <f t="shared" ref="P126:P145" si="377">AC126/Z126</f>
      </c>
      <c r="Q126" s="505">
        <f t="shared" ref="Q126:Q145" si="315">D126/Y126*1000</f>
      </c>
      <c r="R126" s="507">
        <f t="shared" ref="R126:R145" si="251">D126/Z126</f>
      </c>
      <c r="S126" s="509">
        <f t="shared" ref="S126:S145" si="154">AD126/AA126</f>
      </c>
      <c r="T126" s="509">
        <f t="shared" ref="T126:T145" si="84">AE126/AA126</f>
      </c>
      <c r="U126" s="509">
        <f t="shared" ref="U126:U145" si="10">AF126/AA126</f>
      </c>
      <c r="V126" s="509">
        <f t="shared" ref="V126:V145" si="571">AG126/AA126</f>
      </c>
      <c r="W126" s="510" t="s">
        <v>255</v>
      </c>
      <c r="X126" s="511" t="s">
        <v>282</v>
      </c>
      <c r="Y126" s="512">
        <v>45074</v>
      </c>
      <c r="Z126" s="512">
        <v>1663</v>
      </c>
      <c r="AA126" s="512">
        <v>35995</v>
      </c>
      <c r="AB126" s="512">
        <v>165</v>
      </c>
      <c r="AC126" s="514">
        <v>0</v>
      </c>
      <c r="AD126" s="512">
        <v>4554</v>
      </c>
      <c r="AE126" s="513">
        <v>43</v>
      </c>
      <c r="AF126" s="513">
        <v>59</v>
      </c>
      <c r="AG126" s="513">
        <v>3</v>
      </c>
      <c r="AH126" s="514">
        <v>0</v>
      </c>
    </row>
    <row r="127">
      <c r="A127" s="498"/>
      <c r="B127" s="530" t="s">
        <v>277</v>
      </c>
      <c r="C127" s="500" t="s">
        <v>257</v>
      </c>
      <c r="D127" s="501">
        <v>869.56</v>
      </c>
      <c r="E127" s="502">
        <v>10</v>
      </c>
      <c r="F127" s="503">
        <v>2100.4</v>
      </c>
      <c r="G127" s="504">
        <f t="shared" si="47"/>
      </c>
      <c r="H127" s="505">
        <f t="shared" si="346"/>
      </c>
      <c r="I127" s="506">
        <f t="shared" si="282"/>
      </c>
      <c r="J127" s="507">
        <f t="shared" si="218"/>
      </c>
      <c r="K127" s="508">
        <f t="shared" si="608"/>
      </c>
      <c r="L127" s="505">
        <f t="shared" si="414"/>
      </c>
      <c r="M127" s="509">
        <f t="shared" si="482"/>
      </c>
      <c r="N127" s="509">
        <f t="shared" si="540"/>
      </c>
      <c r="O127" s="509">
        <f t="shared" si="445"/>
      </c>
      <c r="P127" s="509">
        <f t="shared" si="377"/>
      </c>
      <c r="Q127" s="505">
        <f t="shared" si="315"/>
      </c>
      <c r="R127" s="507">
        <f t="shared" si="251"/>
      </c>
      <c r="S127" s="509">
        <f t="shared" si="154"/>
      </c>
      <c r="T127" s="509">
        <f t="shared" si="84"/>
      </c>
      <c r="U127" s="509">
        <f t="shared" si="10"/>
      </c>
      <c r="V127" s="509">
        <f t="shared" si="571"/>
      </c>
      <c r="W127" s="510" t="s">
        <v>255</v>
      </c>
      <c r="X127" s="511" t="s">
        <v>282</v>
      </c>
      <c r="Y127" s="513">
        <v>124222</v>
      </c>
      <c r="Z127" s="512">
        <v>3155</v>
      </c>
      <c r="AA127" s="512">
        <v>85680</v>
      </c>
      <c r="AB127" s="512">
        <v>415</v>
      </c>
      <c r="AC127" s="513">
        <v>9</v>
      </c>
      <c r="AD127" s="512">
        <v>8483</v>
      </c>
      <c r="AE127" s="513">
        <v>125</v>
      </c>
      <c r="AF127" s="513">
        <v>115</v>
      </c>
      <c r="AG127" s="514">
        <v>16</v>
      </c>
      <c r="AH127" s="514">
        <v>0</v>
      </c>
    </row>
    <row r="128">
      <c r="A128" s="498"/>
      <c r="B128" s="530" t="s">
        <v>277</v>
      </c>
      <c r="C128" s="515" t="s">
        <v>258</v>
      </c>
      <c r="D128" s="501">
        <v>1195.0349999999999</v>
      </c>
      <c r="E128" s="502">
        <v>5</v>
      </c>
      <c r="F128" s="503">
        <v>4292</v>
      </c>
      <c r="G128" s="504">
        <f t="shared" si="47"/>
      </c>
      <c r="H128" s="505">
        <f t="shared" si="346"/>
      </c>
      <c r="I128" s="506">
        <f t="shared" si="282"/>
      </c>
      <c r="J128" s="507">
        <f t="shared" si="218"/>
      </c>
      <c r="K128" s="508">
        <f t="shared" si="608"/>
      </c>
      <c r="L128" s="505">
        <f t="shared" si="414"/>
      </c>
      <c r="M128" s="509">
        <f t="shared" si="482"/>
      </c>
      <c r="N128" s="509">
        <f t="shared" si="540"/>
      </c>
      <c r="O128" s="509">
        <f t="shared" si="445"/>
      </c>
      <c r="P128" s="509">
        <f t="shared" si="377"/>
      </c>
      <c r="Q128" s="505">
        <f t="shared" si="315"/>
      </c>
      <c r="R128" s="507">
        <f t="shared" si="251"/>
      </c>
      <c r="S128" s="509">
        <f t="shared" si="154"/>
      </c>
      <c r="T128" s="509">
        <f t="shared" si="84"/>
      </c>
      <c r="U128" s="509">
        <f t="shared" si="10"/>
      </c>
      <c r="V128" s="509">
        <f t="shared" si="571"/>
      </c>
      <c r="W128" s="510" t="s">
        <v>255</v>
      </c>
      <c r="X128" s="511" t="s">
        <v>282</v>
      </c>
      <c r="Y128" s="513">
        <v>185283</v>
      </c>
      <c r="Z128" s="512">
        <v>3617</v>
      </c>
      <c r="AA128" s="512">
        <v>140631</v>
      </c>
      <c r="AB128" s="512">
        <v>437</v>
      </c>
      <c r="AC128" s="513">
        <v>4</v>
      </c>
      <c r="AD128" s="512">
        <v>8678</v>
      </c>
      <c r="AE128" s="513">
        <v>137</v>
      </c>
      <c r="AF128" s="513">
        <v>107</v>
      </c>
      <c r="AG128" s="513">
        <v>21</v>
      </c>
      <c r="AH128" s="514">
        <v>1</v>
      </c>
    </row>
    <row r="129">
      <c r="A129" s="498"/>
      <c r="B129" s="530" t="s">
        <v>277</v>
      </c>
      <c r="C129" s="516" t="s">
        <v>259</v>
      </c>
      <c r="D129" s="501">
        <v>1410.624</v>
      </c>
      <c r="E129" s="502">
        <v>2</v>
      </c>
      <c r="F129" s="503">
        <v>392</v>
      </c>
      <c r="G129" s="504">
        <f t="shared" si="47"/>
      </c>
      <c r="H129" s="505">
        <f t="shared" si="346"/>
      </c>
      <c r="I129" s="506">
        <f t="shared" si="282"/>
      </c>
      <c r="J129" s="507">
        <f t="shared" si="218"/>
      </c>
      <c r="K129" s="508">
        <f t="shared" si="608"/>
      </c>
      <c r="L129" s="505">
        <f t="shared" si="414"/>
      </c>
      <c r="M129" s="509">
        <f t="shared" si="482"/>
      </c>
      <c r="N129" s="509">
        <f t="shared" si="540"/>
      </c>
      <c r="O129" s="509">
        <f t="shared" si="445"/>
      </c>
      <c r="P129" s="509">
        <f t="shared" si="377"/>
      </c>
      <c r="Q129" s="505">
        <f t="shared" si="315"/>
      </c>
      <c r="R129" s="507">
        <f t="shared" si="251"/>
      </c>
      <c r="S129" s="509">
        <f t="shared" si="154"/>
      </c>
      <c r="T129" s="509">
        <f t="shared" si="84"/>
      </c>
      <c r="U129" s="509">
        <f t="shared" si="10"/>
      </c>
      <c r="V129" s="509">
        <f t="shared" si="571"/>
      </c>
      <c r="W129" s="504" t="s">
        <v>255</v>
      </c>
      <c r="X129" s="511" t="s">
        <v>282</v>
      </c>
      <c r="Y129" s="513">
        <v>243095</v>
      </c>
      <c r="Z129" s="513">
        <v>5578</v>
      </c>
      <c r="AA129" s="513">
        <v>199844</v>
      </c>
      <c r="AB129" s="513">
        <v>509</v>
      </c>
      <c r="AC129" s="513">
        <v>2</v>
      </c>
      <c r="AD129" s="513">
        <v>11355</v>
      </c>
      <c r="AE129" s="513">
        <v>171</v>
      </c>
      <c r="AF129" s="513">
        <v>149</v>
      </c>
      <c r="AG129" s="514">
        <v>21</v>
      </c>
      <c r="AH129" s="514">
        <v>0</v>
      </c>
    </row>
    <row r="130">
      <c r="A130" s="498"/>
      <c r="B130" s="530" t="s">
        <v>277</v>
      </c>
      <c r="C130" s="516" t="s">
        <v>260</v>
      </c>
      <c r="D130" s="517">
        <v>1246.35</v>
      </c>
      <c r="E130" s="518">
        <v>4</v>
      </c>
      <c r="F130" s="519">
        <v>880</v>
      </c>
      <c r="G130" s="504">
        <f t="shared" si="47"/>
      </c>
      <c r="H130" s="505">
        <f t="shared" si="346"/>
      </c>
      <c r="I130" s="506">
        <f t="shared" si="282"/>
      </c>
      <c r="J130" s="507">
        <f t="shared" si="218"/>
      </c>
      <c r="K130" s="508">
        <f t="shared" si="608"/>
      </c>
      <c r="L130" s="505">
        <f t="shared" si="414"/>
      </c>
      <c r="M130" s="509">
        <f t="shared" si="482"/>
      </c>
      <c r="N130" s="509">
        <f t="shared" si="540"/>
      </c>
      <c r="O130" s="509">
        <f t="shared" si="445"/>
      </c>
      <c r="P130" s="509">
        <f t="shared" si="377"/>
      </c>
      <c r="Q130" s="505">
        <f t="shared" si="315"/>
      </c>
      <c r="R130" s="507">
        <f t="shared" si="251"/>
      </c>
      <c r="S130" s="509">
        <f t="shared" si="154"/>
      </c>
      <c r="T130" s="509">
        <f t="shared" si="84"/>
      </c>
      <c r="U130" s="509">
        <f t="shared" si="10"/>
      </c>
      <c r="V130" s="509">
        <f t="shared" si="571"/>
      </c>
      <c r="W130" s="520" t="s">
        <v>255</v>
      </c>
      <c r="X130" s="511" t="s">
        <v>282</v>
      </c>
      <c r="Y130" s="513">
        <v>240064</v>
      </c>
      <c r="Z130" s="513">
        <v>6116</v>
      </c>
      <c r="AA130" s="513">
        <v>202254</v>
      </c>
      <c r="AB130" s="513">
        <v>469</v>
      </c>
      <c r="AC130" s="513">
        <v>4</v>
      </c>
      <c r="AD130" s="513">
        <v>8626</v>
      </c>
      <c r="AE130" s="513">
        <v>168</v>
      </c>
      <c r="AF130" s="513">
        <v>144</v>
      </c>
      <c r="AG130" s="514">
        <v>23</v>
      </c>
      <c r="AH130" s="514">
        <v>0</v>
      </c>
    </row>
    <row r="131">
      <c r="A131" s="498"/>
      <c r="B131" s="521" t="s">
        <v>261</v>
      </c>
      <c r="C131" s="521"/>
      <c r="D131" s="522">
        <f>SUM(D126:D130)</f>
      </c>
      <c r="E131" s="523">
        <f>SUM(E126:E130)</f>
      </c>
      <c r="F131" s="522">
        <f>SUM(F126:F130)</f>
      </c>
      <c r="G131" s="522">
        <f t="shared" si="47"/>
      </c>
      <c r="H131" s="524">
        <f t="shared" si="346"/>
      </c>
      <c r="I131" s="525">
        <f t="shared" si="282"/>
      </c>
      <c r="J131" s="526">
        <f t="shared" si="218"/>
      </c>
      <c r="K131" s="527">
        <f t="shared" si="608"/>
      </c>
      <c r="L131" s="524">
        <f t="shared" si="414"/>
      </c>
      <c r="M131" s="528">
        <f t="shared" si="482"/>
      </c>
      <c r="N131" s="528">
        <f t="shared" si="540"/>
      </c>
      <c r="O131" s="528">
        <f t="shared" si="445"/>
      </c>
      <c r="P131" s="528">
        <f t="shared" si="377"/>
      </c>
      <c r="Q131" s="524">
        <f t="shared" si="315"/>
      </c>
      <c r="R131" s="526">
        <f t="shared" si="251"/>
      </c>
      <c r="S131" s="528">
        <f t="shared" si="154"/>
      </c>
      <c r="T131" s="528">
        <f t="shared" si="84"/>
      </c>
      <c r="U131" s="528">
        <f t="shared" si="10"/>
      </c>
      <c r="V131" s="528">
        <f t="shared" si="571"/>
      </c>
      <c r="W131" s="528"/>
      <c r="X131" s="529"/>
      <c r="Y131" s="522">
        <f>SUM(Y126:Y130)</f>
      </c>
      <c r="Z131" s="522">
        <f>SUM(Z126:Z130)</f>
      </c>
      <c r="AA131" s="522">
        <f>SUM(AA126:AA130)</f>
      </c>
      <c r="AB131" s="522">
        <f>SUM(AB126:AB130)</f>
      </c>
      <c r="AC131" s="522">
        <f>SUM(AC126:AC130)</f>
      </c>
      <c r="AD131" s="522">
        <f>SUM(AD126:AD130)</f>
      </c>
      <c r="AE131" s="522">
        <f>SUM(AE126:AE130)</f>
      </c>
      <c r="AF131" s="522">
        <f>SUM(AF126:AF130)</f>
      </c>
      <c r="AG131" s="522">
        <f>SUM(AG126:AG130)</f>
      </c>
      <c r="AH131" s="522">
        <f>SUM(AH126:AH130)</f>
      </c>
    </row>
    <row r="132">
      <c r="A132" s="498"/>
      <c r="B132" s="499" t="s">
        <v>268</v>
      </c>
      <c r="C132" s="531" t="s">
        <v>263</v>
      </c>
      <c r="D132" s="532">
        <v>1402.254</v>
      </c>
      <c r="E132" s="502">
        <v>5</v>
      </c>
      <c r="F132" s="503">
        <v>2848</v>
      </c>
      <c r="G132" s="504">
        <f t="shared" si="47"/>
      </c>
      <c r="H132" s="505">
        <f t="shared" si="346"/>
      </c>
      <c r="I132" s="506">
        <f t="shared" si="282"/>
      </c>
      <c r="J132" s="507">
        <f t="shared" si="218"/>
      </c>
      <c r="K132" s="508">
        <f t="shared" si="608"/>
      </c>
      <c r="L132" s="505">
        <f t="shared" si="414"/>
      </c>
      <c r="M132" s="509">
        <f t="shared" si="482"/>
      </c>
      <c r="N132" s="509">
        <f t="shared" si="540"/>
      </c>
      <c r="O132" s="509">
        <f t="shared" si="445"/>
      </c>
      <c r="P132" s="509">
        <f t="shared" si="377"/>
      </c>
      <c r="Q132" s="505">
        <f t="shared" si="315"/>
      </c>
      <c r="R132" s="507">
        <f t="shared" si="251"/>
      </c>
      <c r="S132" s="509">
        <f t="shared" si="154"/>
      </c>
      <c r="T132" s="509">
        <f t="shared" si="84"/>
      </c>
      <c r="U132" s="509">
        <f t="shared" si="10"/>
      </c>
      <c r="V132" s="509">
        <f t="shared" si="571"/>
      </c>
      <c r="W132" s="520" t="s">
        <v>255</v>
      </c>
      <c r="X132" s="511" t="s">
        <v>282</v>
      </c>
      <c r="Y132" s="512">
        <v>267543</v>
      </c>
      <c r="Z132" s="512">
        <v>6492</v>
      </c>
      <c r="AA132" s="512">
        <v>246573</v>
      </c>
      <c r="AB132" s="513">
        <v>550</v>
      </c>
      <c r="AC132" s="513">
        <v>3</v>
      </c>
      <c r="AD132" s="512">
        <v>9264</v>
      </c>
      <c r="AE132" s="513">
        <v>156</v>
      </c>
      <c r="AF132" s="513">
        <v>145</v>
      </c>
      <c r="AG132" s="513">
        <v>22</v>
      </c>
      <c r="AH132" s="514">
        <v>1</v>
      </c>
    </row>
    <row r="133">
      <c r="A133" s="498"/>
      <c r="B133" s="499" t="s">
        <v>268</v>
      </c>
      <c r="C133" s="533" t="s">
        <v>264</v>
      </c>
      <c r="D133" s="532">
        <v>1451.77</v>
      </c>
      <c r="E133" s="518">
        <v>8</v>
      </c>
      <c r="F133" s="519">
        <v>4436</v>
      </c>
      <c r="G133" s="504">
        <f t="shared" si="47"/>
      </c>
      <c r="H133" s="505">
        <f t="shared" si="346"/>
      </c>
      <c r="I133" s="506">
        <f t="shared" si="282"/>
      </c>
      <c r="J133" s="507">
        <f t="shared" si="218"/>
      </c>
      <c r="K133" s="508">
        <f t="shared" si="608"/>
      </c>
      <c r="L133" s="505">
        <f t="shared" si="414"/>
      </c>
      <c r="M133" s="509">
        <f t="shared" si="482"/>
      </c>
      <c r="N133" s="509">
        <f t="shared" si="540"/>
      </c>
      <c r="O133" s="509">
        <f t="shared" si="445"/>
      </c>
      <c r="P133" s="509">
        <f t="shared" si="377"/>
      </c>
      <c r="Q133" s="505">
        <f t="shared" si="315"/>
      </c>
      <c r="R133" s="507">
        <f t="shared" si="251"/>
      </c>
      <c r="S133" s="509">
        <f t="shared" si="154"/>
      </c>
      <c r="T133" s="509">
        <f t="shared" si="84"/>
      </c>
      <c r="U133" s="509">
        <f t="shared" si="10"/>
      </c>
      <c r="V133" s="509">
        <f t="shared" si="571"/>
      </c>
      <c r="W133" s="520" t="s">
        <v>255</v>
      </c>
      <c r="X133" s="511" t="s">
        <v>282</v>
      </c>
      <c r="Y133" s="513">
        <v>250967</v>
      </c>
      <c r="Z133" s="513">
        <v>7984</v>
      </c>
      <c r="AA133" s="513">
        <v>225176</v>
      </c>
      <c r="AB133" s="513">
        <v>582</v>
      </c>
      <c r="AC133" s="513">
        <v>7</v>
      </c>
      <c r="AD133" s="513">
        <v>11265</v>
      </c>
      <c r="AE133" s="513">
        <v>154</v>
      </c>
      <c r="AF133" s="513">
        <v>208</v>
      </c>
      <c r="AG133" s="513">
        <v>21</v>
      </c>
      <c r="AH133" s="514">
        <v>1</v>
      </c>
    </row>
    <row r="134">
      <c r="A134" s="498"/>
      <c r="B134" s="499" t="s">
        <v>268</v>
      </c>
      <c r="C134" s="534" t="s">
        <v>265</v>
      </c>
      <c r="D134" s="532">
        <v>1665.772</v>
      </c>
      <c r="E134" s="518">
        <v>2</v>
      </c>
      <c r="F134" s="519">
        <v>424</v>
      </c>
      <c r="G134" s="504">
        <f t="shared" si="47"/>
      </c>
      <c r="H134" s="505">
        <f t="shared" si="346"/>
      </c>
      <c r="I134" s="506">
        <f t="shared" si="282"/>
      </c>
      <c r="J134" s="507">
        <f t="shared" si="218"/>
      </c>
      <c r="K134" s="508">
        <f t="shared" si="608"/>
      </c>
      <c r="L134" s="505">
        <f t="shared" si="414"/>
      </c>
      <c r="M134" s="509">
        <f t="shared" si="482"/>
      </c>
      <c r="N134" s="509">
        <f t="shared" si="540"/>
      </c>
      <c r="O134" s="509">
        <f t="shared" si="445"/>
      </c>
      <c r="P134" s="509">
        <f t="shared" si="377"/>
      </c>
      <c r="Q134" s="505">
        <f t="shared" si="315"/>
      </c>
      <c r="R134" s="507">
        <f t="shared" si="251"/>
      </c>
      <c r="S134" s="509">
        <f t="shared" si="154"/>
      </c>
      <c r="T134" s="509">
        <f t="shared" si="84"/>
      </c>
      <c r="U134" s="509">
        <f t="shared" si="10"/>
      </c>
      <c r="V134" s="509">
        <f t="shared" si="571"/>
      </c>
      <c r="W134" s="520" t="s">
        <v>255</v>
      </c>
      <c r="X134" s="511" t="s">
        <v>282</v>
      </c>
      <c r="Y134" s="513">
        <v>294278</v>
      </c>
      <c r="Z134" s="513">
        <v>10552</v>
      </c>
      <c r="AA134" s="513">
        <v>279805</v>
      </c>
      <c r="AB134" s="513">
        <v>493</v>
      </c>
      <c r="AC134" s="513">
        <v>2</v>
      </c>
      <c r="AD134" s="513">
        <v>12933</v>
      </c>
      <c r="AE134" s="513">
        <v>187</v>
      </c>
      <c r="AF134" s="513">
        <v>208</v>
      </c>
      <c r="AG134" s="513">
        <v>17</v>
      </c>
      <c r="AH134" s="514">
        <v>0</v>
      </c>
    </row>
    <row r="135">
      <c r="A135" s="498"/>
      <c r="B135" s="521" t="s">
        <v>261</v>
      </c>
      <c r="C135" s="521"/>
      <c r="D135" s="522">
        <f>SUM(D132:D134)</f>
      </c>
      <c r="E135" s="522">
        <f>SUM(E132:E134)</f>
      </c>
      <c r="F135" s="522">
        <f>SUM(F132:F134)</f>
      </c>
      <c r="G135" s="522">
        <f t="shared" si="47"/>
      </c>
      <c r="H135" s="524">
        <f t="shared" si="346"/>
      </c>
      <c r="I135" s="525">
        <f t="shared" si="282"/>
      </c>
      <c r="J135" s="526">
        <f t="shared" si="218"/>
      </c>
      <c r="K135" s="527">
        <f t="shared" si="608"/>
      </c>
      <c r="L135" s="524">
        <f t="shared" si="414"/>
      </c>
      <c r="M135" s="528">
        <f t="shared" si="482"/>
      </c>
      <c r="N135" s="528">
        <f t="shared" si="540"/>
      </c>
      <c r="O135" s="528">
        <f t="shared" si="445"/>
      </c>
      <c r="P135" s="528">
        <f t="shared" si="377"/>
      </c>
      <c r="Q135" s="524">
        <f t="shared" si="315"/>
      </c>
      <c r="R135" s="526">
        <f t="shared" si="251"/>
      </c>
      <c r="S135" s="528">
        <f t="shared" si="154"/>
      </c>
      <c r="T135" s="528">
        <f t="shared" si="84"/>
      </c>
      <c r="U135" s="528">
        <f t="shared" si="10"/>
      </c>
      <c r="V135" s="528">
        <f t="shared" si="571"/>
      </c>
      <c r="W135" s="528"/>
      <c r="X135" s="529"/>
      <c r="Y135" s="522">
        <f>SUM(Y132:Y134)</f>
      </c>
      <c r="Z135" s="522">
        <f>SUM(Z132:Z134)</f>
      </c>
      <c r="AA135" s="522">
        <f>SUM(AA132:AA134)</f>
      </c>
      <c r="AB135" s="522">
        <f>SUM(AB132:AB134)</f>
      </c>
      <c r="AC135" s="522">
        <f>SUM(AC132:AC134)</f>
      </c>
      <c r="AD135" s="522">
        <f>SUM(AD132:AD134)</f>
      </c>
      <c r="AE135" s="522">
        <f>SUM(AE132:AE134)</f>
      </c>
      <c r="AF135" s="522">
        <f>SUM(AF132:AF134)</f>
      </c>
      <c r="AG135" s="522">
        <f>SUM(AG132:AG134)</f>
      </c>
      <c r="AH135" s="522">
        <f>SUM(AH132:AH134)</f>
      </c>
    </row>
    <row r="136">
      <c r="A136" s="498"/>
      <c r="B136" s="540" t="s">
        <v>253</v>
      </c>
      <c r="C136" s="537" t="s">
        <v>266</v>
      </c>
      <c r="D136" s="541">
        <v>998.6600000000001</v>
      </c>
      <c r="E136" s="542">
        <v>0</v>
      </c>
      <c r="F136" s="519">
        <v>0</v>
      </c>
      <c r="G136" s="504">
        <f t="shared" si="47"/>
      </c>
      <c r="H136" s="505">
        <f t="shared" si="346"/>
      </c>
      <c r="I136" s="506">
        <f t="shared" si="282"/>
      </c>
      <c r="J136" s="507">
        <f t="shared" si="218"/>
      </c>
      <c r="K136" s="508">
        <f t="shared" si="608"/>
      </c>
      <c r="L136" s="505">
        <f t="shared" si="414"/>
      </c>
      <c r="M136" s="509">
        <f t="shared" si="482"/>
      </c>
      <c r="N136" s="509">
        <f t="shared" si="540"/>
      </c>
      <c r="O136" s="509">
        <f t="shared" si="445"/>
      </c>
      <c r="P136" s="509">
        <f t="shared" si="377"/>
      </c>
      <c r="Q136" s="505">
        <f t="shared" si="315"/>
      </c>
      <c r="R136" s="507">
        <f t="shared" si="251"/>
      </c>
      <c r="S136" s="509">
        <f t="shared" si="154"/>
      </c>
      <c r="T136" s="509">
        <f t="shared" si="84"/>
      </c>
      <c r="U136" s="509">
        <f t="shared" si="10"/>
      </c>
      <c r="V136" s="509">
        <f t="shared" si="571"/>
      </c>
      <c r="W136" s="520" t="s">
        <v>255</v>
      </c>
      <c r="X136" s="511" t="s">
        <v>267</v>
      </c>
      <c r="Y136" s="513">
        <v>168251</v>
      </c>
      <c r="Z136" s="513">
        <v>4844</v>
      </c>
      <c r="AA136" s="513">
        <v>158848</v>
      </c>
      <c r="AB136" s="513">
        <v>357</v>
      </c>
      <c r="AC136" s="513">
        <v>0</v>
      </c>
      <c r="AD136" s="513">
        <v>8842</v>
      </c>
      <c r="AE136" s="513">
        <v>110</v>
      </c>
      <c r="AF136" s="513">
        <v>114</v>
      </c>
      <c r="AG136" s="513">
        <v>8</v>
      </c>
      <c r="AH136" s="514">
        <v>0</v>
      </c>
    </row>
    <row r="137">
      <c r="A137" s="498"/>
      <c r="B137" s="540" t="s">
        <v>253</v>
      </c>
      <c r="C137" s="540" t="s">
        <v>269</v>
      </c>
      <c r="D137" s="541">
        <v>1216.5439999999999</v>
      </c>
      <c r="E137" s="542">
        <v>2</v>
      </c>
      <c r="F137" s="519">
        <v>1024.0000000000018</v>
      </c>
      <c r="G137" s="504">
        <f t="shared" si="47"/>
      </c>
      <c r="H137" s="505">
        <f t="shared" si="346"/>
      </c>
      <c r="I137" s="506">
        <f t="shared" si="282"/>
      </c>
      <c r="J137" s="507">
        <f t="shared" si="218"/>
      </c>
      <c r="K137" s="508">
        <f t="shared" si="608"/>
      </c>
      <c r="L137" s="505">
        <f t="shared" si="414"/>
      </c>
      <c r="M137" s="509">
        <f t="shared" si="482"/>
      </c>
      <c r="N137" s="509">
        <f t="shared" si="540"/>
      </c>
      <c r="O137" s="509">
        <f t="shared" si="445"/>
      </c>
      <c r="P137" s="509">
        <f t="shared" si="377"/>
      </c>
      <c r="Q137" s="505">
        <f t="shared" si="315"/>
      </c>
      <c r="R137" s="507">
        <f t="shared" si="251"/>
      </c>
      <c r="S137" s="509">
        <f t="shared" si="154"/>
      </c>
      <c r="T137" s="509">
        <f t="shared" si="84"/>
      </c>
      <c r="U137" s="509">
        <f t="shared" si="10"/>
      </c>
      <c r="V137" s="509">
        <f t="shared" si="571"/>
      </c>
      <c r="W137" s="520" t="s">
        <v>255</v>
      </c>
      <c r="X137" s="511" t="s">
        <v>267</v>
      </c>
      <c r="Y137" s="513">
        <v>210506</v>
      </c>
      <c r="Z137" s="513">
        <v>3446</v>
      </c>
      <c r="AA137" s="513">
        <v>201203</v>
      </c>
      <c r="AB137" s="513">
        <v>402</v>
      </c>
      <c r="AC137" s="513">
        <v>1</v>
      </c>
      <c r="AD137" s="513">
        <v>10361</v>
      </c>
      <c r="AE137" s="513">
        <v>143</v>
      </c>
      <c r="AF137" s="513">
        <v>109</v>
      </c>
      <c r="AG137" s="513">
        <v>12</v>
      </c>
      <c r="AH137" s="514">
        <v>0</v>
      </c>
    </row>
    <row customHeight="true" ht="16.071428571428573" r="138">
      <c r="A138" s="498"/>
      <c r="B138" s="540" t="s">
        <v>253</v>
      </c>
      <c r="C138" s="534" t="s">
        <v>270</v>
      </c>
      <c r="D138" s="541">
        <v>1751.5010000000002</v>
      </c>
      <c r="E138" s="542">
        <v>6</v>
      </c>
      <c r="F138" s="519">
        <v>1251.5</v>
      </c>
      <c r="G138" s="504">
        <f t="shared" si="47"/>
      </c>
      <c r="H138" s="505">
        <f t="shared" si="346"/>
      </c>
      <c r="I138" s="506">
        <f t="shared" si="282"/>
      </c>
      <c r="J138" s="507">
        <f t="shared" si="218"/>
      </c>
      <c r="K138" s="508">
        <f t="shared" si="608"/>
      </c>
      <c r="L138" s="505">
        <f t="shared" si="414"/>
      </c>
      <c r="M138" s="509">
        <f t="shared" si="482"/>
      </c>
      <c r="N138" s="509">
        <f t="shared" si="540"/>
      </c>
      <c r="O138" s="509">
        <f t="shared" si="445"/>
      </c>
      <c r="P138" s="509">
        <f t="shared" si="377"/>
      </c>
      <c r="Q138" s="505">
        <f t="shared" si="315"/>
      </c>
      <c r="R138" s="507">
        <f t="shared" si="251"/>
      </c>
      <c r="S138" s="509">
        <f t="shared" si="154"/>
      </c>
      <c r="T138" s="509">
        <f t="shared" si="84"/>
      </c>
      <c r="U138" s="509">
        <f t="shared" si="10"/>
      </c>
      <c r="V138" s="509">
        <f t="shared" si="571"/>
      </c>
      <c r="W138" s="520" t="s">
        <v>255</v>
      </c>
      <c r="X138" s="511" t="s">
        <v>267</v>
      </c>
      <c r="Y138" s="513">
        <v>351549</v>
      </c>
      <c r="Z138" s="513">
        <v>4342</v>
      </c>
      <c r="AA138" s="513">
        <v>334138</v>
      </c>
      <c r="AB138" s="513">
        <v>404</v>
      </c>
      <c r="AC138" s="513">
        <v>5</v>
      </c>
      <c r="AD138" s="513">
        <v>14085</v>
      </c>
      <c r="AE138" s="513">
        <v>147</v>
      </c>
      <c r="AF138" s="513">
        <v>137</v>
      </c>
      <c r="AG138" s="513">
        <v>6</v>
      </c>
      <c r="AH138" s="514">
        <v>2</v>
      </c>
    </row>
    <row r="139">
      <c r="A139" s="498"/>
      <c r="B139" s="538" t="s">
        <v>261</v>
      </c>
      <c r="C139" s="538"/>
      <c r="D139" s="522">
        <f>SUM(D136:D138)</f>
      </c>
      <c r="E139" s="522">
        <f>SUM(E136:E138)</f>
      </c>
      <c r="F139" s="522">
        <f>SUM(F136:F138)</f>
      </c>
      <c r="G139" s="522">
        <f t="shared" si="47"/>
      </c>
      <c r="H139" s="524">
        <f t="shared" si="346"/>
      </c>
      <c r="I139" s="525">
        <f t="shared" si="282"/>
      </c>
      <c r="J139" s="526">
        <f t="shared" si="218"/>
      </c>
      <c r="K139" s="527">
        <f t="shared" si="608"/>
      </c>
      <c r="L139" s="524">
        <f t="shared" si="414"/>
      </c>
      <c r="M139" s="528">
        <f t="shared" si="482"/>
      </c>
      <c r="N139" s="528">
        <f t="shared" si="540"/>
      </c>
      <c r="O139" s="528">
        <f t="shared" si="445"/>
      </c>
      <c r="P139" s="528">
        <f t="shared" si="377"/>
      </c>
      <c r="Q139" s="524">
        <f t="shared" si="315"/>
      </c>
      <c r="R139" s="526">
        <f t="shared" si="251"/>
      </c>
      <c r="S139" s="528">
        <f t="shared" si="154"/>
      </c>
      <c r="T139" s="528">
        <f t="shared" si="84"/>
      </c>
      <c r="U139" s="528">
        <f t="shared" si="10"/>
      </c>
      <c r="V139" s="528">
        <f t="shared" si="571"/>
      </c>
      <c r="W139" s="528"/>
      <c r="X139" s="529"/>
      <c r="Y139" s="522">
        <f>SUM(Y136:Y138)</f>
      </c>
      <c r="Z139" s="522">
        <f>SUM(Z136:Z138)</f>
      </c>
      <c r="AA139" s="522">
        <f>SUM(AA136:AA138)</f>
      </c>
      <c r="AB139" s="522">
        <f>SUM(AB136:AB138)</f>
      </c>
      <c r="AC139" s="522">
        <f>SUM(AC136:AC138)</f>
      </c>
      <c r="AD139" s="522">
        <f>SUM(AD136:AD138)</f>
      </c>
      <c r="AE139" s="522">
        <f>SUM(AE136:AE138)</f>
      </c>
      <c r="AF139" s="522">
        <f>SUM(AF136:AF138)</f>
      </c>
      <c r="AG139" s="522">
        <f>SUM(AG136:AG138)</f>
      </c>
      <c r="AH139" s="522">
        <f>SUM(AH136:AH138)</f>
      </c>
    </row>
    <row r="140">
      <c r="A140" s="498"/>
      <c r="B140" s="499" t="s">
        <v>271</v>
      </c>
      <c r="C140" s="534" t="s">
        <v>272</v>
      </c>
      <c r="D140" s="535">
        <v>2076.253</v>
      </c>
      <c r="E140" s="502">
        <v>4</v>
      </c>
      <c r="F140" s="503">
        <v>2009.5999999999985</v>
      </c>
      <c r="G140" s="504">
        <f t="shared" si="47"/>
      </c>
      <c r="H140" s="505">
        <f t="shared" si="346"/>
      </c>
      <c r="I140" s="560">
        <f t="shared" si="282"/>
      </c>
      <c r="J140" s="559">
        <f t="shared" si="218"/>
      </c>
      <c r="K140" s="556">
        <f t="shared" ref="K140:K143" si="123">D140/AB140</f>
      </c>
      <c r="L140" s="557">
        <f t="shared" si="414"/>
      </c>
      <c r="M140" s="558">
        <f t="shared" ref="M140:M143" si="185">AC140/AB140</f>
      </c>
      <c r="N140" s="558">
        <f t="shared" si="540"/>
      </c>
      <c r="O140" s="558">
        <f t="shared" si="445"/>
      </c>
      <c r="P140" s="558">
        <f t="shared" si="377"/>
      </c>
      <c r="Q140" s="557">
        <f t="shared" si="315"/>
      </c>
      <c r="R140" s="559">
        <f t="shared" si="251"/>
      </c>
      <c r="S140" s="558">
        <f t="shared" si="154"/>
      </c>
      <c r="T140" s="558">
        <f t="shared" si="84"/>
      </c>
      <c r="U140" s="558">
        <f t="shared" si="10"/>
      </c>
      <c r="V140" s="558">
        <f t="shared" si="571"/>
      </c>
      <c r="W140" s="520" t="s">
        <v>255</v>
      </c>
      <c r="X140" s="511" t="s">
        <v>267</v>
      </c>
      <c r="Y140" s="513">
        <v>487721</v>
      </c>
      <c r="Z140" s="513">
        <v>4819</v>
      </c>
      <c r="AA140" s="513">
        <v>455548</v>
      </c>
      <c r="AB140" s="536">
        <v>557</v>
      </c>
      <c r="AC140" s="536">
        <v>2</v>
      </c>
      <c r="AD140" s="536">
        <v>16590</v>
      </c>
      <c r="AE140" s="536">
        <v>167</v>
      </c>
      <c r="AF140" s="536">
        <v>158</v>
      </c>
      <c r="AG140" s="536">
        <v>17</v>
      </c>
      <c r="AH140" s="514">
        <v>1</v>
      </c>
    </row>
    <row r="141">
      <c r="A141" s="498"/>
      <c r="B141" s="499" t="s">
        <v>271</v>
      </c>
      <c r="C141" s="537" t="s">
        <v>273</v>
      </c>
      <c r="D141" s="535">
        <v>1280.23</v>
      </c>
      <c r="E141" s="502">
        <v>7</v>
      </c>
      <c r="F141" s="503">
        <v>2248.199999999997</v>
      </c>
      <c r="G141" s="504">
        <f t="shared" si="47"/>
      </c>
      <c r="H141" s="505">
        <f t="shared" si="346"/>
      </c>
      <c r="I141" s="560">
        <f t="shared" si="282"/>
      </c>
      <c r="J141" s="559">
        <f t="shared" si="218"/>
      </c>
      <c r="K141" s="556">
        <f t="shared" si="123"/>
      </c>
      <c r="L141" s="557">
        <f t="shared" si="414"/>
      </c>
      <c r="M141" s="558">
        <f t="shared" si="185"/>
      </c>
      <c r="N141" s="558">
        <f t="shared" si="540"/>
      </c>
      <c r="O141" s="558">
        <f t="shared" si="445"/>
      </c>
      <c r="P141" s="558">
        <f t="shared" si="377"/>
      </c>
      <c r="Q141" s="557">
        <f t="shared" si="315"/>
      </c>
      <c r="R141" s="559">
        <f t="shared" si="251"/>
      </c>
      <c r="S141" s="558">
        <f t="shared" si="154"/>
      </c>
      <c r="T141" s="558">
        <f t="shared" si="84"/>
      </c>
      <c r="U141" s="558">
        <f t="shared" si="10"/>
      </c>
      <c r="V141" s="558">
        <f t="shared" si="571"/>
      </c>
      <c r="W141" s="520" t="s">
        <v>255</v>
      </c>
      <c r="X141" s="511" t="s">
        <v>267</v>
      </c>
      <c r="Y141" s="513">
        <v>273869</v>
      </c>
      <c r="Z141" s="513">
        <v>7289</v>
      </c>
      <c r="AA141" s="513">
        <v>250014</v>
      </c>
      <c r="AB141" s="536">
        <v>404</v>
      </c>
      <c r="AC141" s="536">
        <v>2</v>
      </c>
      <c r="AD141" s="536">
        <v>10502</v>
      </c>
      <c r="AE141" s="536">
        <v>113</v>
      </c>
      <c r="AF141" s="536">
        <v>159</v>
      </c>
      <c r="AG141" s="536">
        <v>13</v>
      </c>
      <c r="AH141" s="514">
        <v>1</v>
      </c>
    </row>
    <row r="142">
      <c r="A142" s="498"/>
      <c r="B142" s="499" t="s">
        <v>271</v>
      </c>
      <c r="C142" s="534" t="s">
        <v>274</v>
      </c>
      <c r="D142" s="541">
        <v>1396.738</v>
      </c>
      <c r="E142" s="542">
        <v>7</v>
      </c>
      <c r="F142" s="519">
        <v>3748.600000000006</v>
      </c>
      <c r="G142" s="504">
        <f t="shared" si="47"/>
      </c>
      <c r="H142" s="505">
        <f t="shared" si="346"/>
      </c>
      <c r="I142" s="560">
        <f t="shared" si="282"/>
      </c>
      <c r="J142" s="559">
        <f t="shared" si="218"/>
      </c>
      <c r="K142" s="556">
        <f t="shared" si="123"/>
      </c>
      <c r="L142" s="557">
        <f t="shared" si="414"/>
      </c>
      <c r="M142" s="558">
        <f t="shared" si="185"/>
      </c>
      <c r="N142" s="558">
        <f t="shared" si="540"/>
      </c>
      <c r="O142" s="558">
        <f t="shared" si="445"/>
      </c>
      <c r="P142" s="558">
        <f t="shared" si="377"/>
      </c>
      <c r="Q142" s="557">
        <f t="shared" si="315"/>
      </c>
      <c r="R142" s="559">
        <f t="shared" si="251"/>
      </c>
      <c r="S142" s="558">
        <f t="shared" si="154"/>
      </c>
      <c r="T142" s="558">
        <f t="shared" si="84"/>
      </c>
      <c r="U142" s="558">
        <f t="shared" si="10"/>
      </c>
      <c r="V142" s="558">
        <f t="shared" si="571"/>
      </c>
      <c r="W142" s="520" t="s">
        <v>255</v>
      </c>
      <c r="X142" s="511" t="s">
        <v>267</v>
      </c>
      <c r="Y142" s="513">
        <v>315276</v>
      </c>
      <c r="Z142" s="513">
        <v>10809</v>
      </c>
      <c r="AA142" s="513">
        <v>303722</v>
      </c>
      <c r="AB142" s="513">
        <v>487</v>
      </c>
      <c r="AC142" s="513">
        <v>5</v>
      </c>
      <c r="AD142" s="513">
        <v>13063</v>
      </c>
      <c r="AE142" s="513">
        <v>127</v>
      </c>
      <c r="AF142" s="513">
        <v>217</v>
      </c>
      <c r="AG142" s="514">
        <v>14</v>
      </c>
      <c r="AH142" s="514">
        <v>1</v>
      </c>
    </row>
    <row r="143">
      <c r="A143" s="498"/>
      <c r="B143" s="499" t="s">
        <v>271</v>
      </c>
      <c r="C143" s="555" t="s">
        <v>275</v>
      </c>
      <c r="D143" s="541">
        <v>1680.8029999999999</v>
      </c>
      <c r="E143" s="542">
        <v>4</v>
      </c>
      <c r="F143" s="519">
        <v>1512</v>
      </c>
      <c r="G143" s="504">
        <f t="shared" si="47"/>
      </c>
      <c r="H143" s="505">
        <f t="shared" si="346"/>
      </c>
      <c r="I143" s="560">
        <f t="shared" si="282"/>
      </c>
      <c r="J143" s="559">
        <f t="shared" si="218"/>
      </c>
      <c r="K143" s="556">
        <f t="shared" si="123"/>
      </c>
      <c r="L143" s="557">
        <f t="shared" si="414"/>
      </c>
      <c r="M143" s="558">
        <f t="shared" si="185"/>
      </c>
      <c r="N143" s="558">
        <f t="shared" si="540"/>
      </c>
      <c r="O143" s="558">
        <f t="shared" si="445"/>
      </c>
      <c r="P143" s="558">
        <f t="shared" si="377"/>
      </c>
      <c r="Q143" s="557">
        <f t="shared" si="315"/>
      </c>
      <c r="R143" s="559">
        <f t="shared" si="251"/>
      </c>
      <c r="S143" s="558">
        <f t="shared" si="154"/>
      </c>
      <c r="T143" s="558">
        <f t="shared" si="84"/>
      </c>
      <c r="U143" s="558">
        <f t="shared" si="10"/>
      </c>
      <c r="V143" s="558">
        <f t="shared" si="571"/>
      </c>
      <c r="W143" s="520" t="s">
        <v>255</v>
      </c>
      <c r="X143" s="511" t="s">
        <v>267</v>
      </c>
      <c r="Y143" s="513">
        <v>386901</v>
      </c>
      <c r="Z143" s="513">
        <v>9608</v>
      </c>
      <c r="AA143" s="513">
        <v>369496</v>
      </c>
      <c r="AB143" s="513">
        <v>579</v>
      </c>
      <c r="AC143" s="513">
        <v>3</v>
      </c>
      <c r="AD143" s="513">
        <v>13317</v>
      </c>
      <c r="AE143" s="513">
        <v>133</v>
      </c>
      <c r="AF143" s="513">
        <v>193</v>
      </c>
      <c r="AG143" s="514">
        <v>21</v>
      </c>
      <c r="AH143" s="514">
        <v>0</v>
      </c>
    </row>
    <row r="144">
      <c r="A144" s="498"/>
      <c r="B144" s="538" t="s">
        <v>261</v>
      </c>
      <c r="C144" s="538"/>
      <c r="D144" s="522">
        <f>SUM(D140:D143)</f>
      </c>
      <c r="E144" s="522">
        <f>SUM(E140:E143)</f>
      </c>
      <c r="F144" s="522">
        <f>SUM(F140:F143)</f>
      </c>
      <c r="G144" s="522">
        <f t="shared" si="47"/>
      </c>
      <c r="H144" s="524">
        <f t="shared" si="346"/>
      </c>
      <c r="I144" s="525">
        <f t="shared" si="282"/>
      </c>
      <c r="J144" s="526">
        <f t="shared" si="218"/>
      </c>
      <c r="K144" s="527">
        <f t="shared" ref="K144:K145" si="609">D144/AA144</f>
      </c>
      <c r="L144" s="524">
        <f t="shared" si="414"/>
      </c>
      <c r="M144" s="528">
        <f t="shared" ref="M144:M145" si="483">AB144/AA144</f>
      </c>
      <c r="N144" s="528">
        <f t="shared" si="540"/>
      </c>
      <c r="O144" s="528">
        <f t="shared" si="445"/>
      </c>
      <c r="P144" s="528">
        <f t="shared" si="377"/>
      </c>
      <c r="Q144" s="524">
        <f t="shared" si="315"/>
      </c>
      <c r="R144" s="526">
        <f t="shared" si="251"/>
      </c>
      <c r="S144" s="528">
        <f t="shared" si="154"/>
      </c>
      <c r="T144" s="528">
        <f t="shared" si="84"/>
      </c>
      <c r="U144" s="528">
        <f t="shared" si="10"/>
      </c>
      <c r="V144" s="528">
        <f t="shared" si="571"/>
      </c>
      <c r="W144" s="528"/>
      <c r="X144" s="529"/>
      <c r="Y144" s="522">
        <f>SUM(Y140:Y143)</f>
      </c>
      <c r="Z144" s="522">
        <f>SUM(Z140:Z143)</f>
      </c>
      <c r="AA144" s="522">
        <f>SUM(AA140:AA143)</f>
      </c>
      <c r="AB144" s="522">
        <f>SUM(AB140:AB143)</f>
      </c>
      <c r="AC144" s="522">
        <f>SUM(AC140:AC143)</f>
      </c>
      <c r="AD144" s="522">
        <f>SUM(AD140:AD143)</f>
      </c>
      <c r="AE144" s="522">
        <f>SUM(AE140:AE143)</f>
      </c>
      <c r="AF144" s="522">
        <f>SUM(AF140:AF143)</f>
      </c>
      <c r="AG144" s="522">
        <f>SUM(AG140:AG143)</f>
      </c>
      <c r="AH144" s="522">
        <f>SUM(AH140:AH143)</f>
      </c>
    </row>
    <row r="145">
      <c r="A145" s="498"/>
      <c r="B145" s="543" t="s">
        <v>276</v>
      </c>
      <c r="C145" s="543"/>
      <c r="D145" s="554">
        <f>SUM(D131+D144+D139+D135)</f>
      </c>
      <c r="E145" s="554">
        <f>SUM(E131+E144+E139+E135)</f>
      </c>
      <c r="F145" s="554">
        <f>SUM(F131+F144+F139+F135)</f>
      </c>
      <c r="G145" s="544">
        <f t="shared" si="47"/>
      </c>
      <c r="H145" s="545">
        <f t="shared" si="346"/>
      </c>
      <c r="I145" s="546">
        <f t="shared" si="282"/>
      </c>
      <c r="J145" s="547">
        <f t="shared" si="218"/>
      </c>
      <c r="K145" s="548">
        <f t="shared" si="609"/>
      </c>
      <c r="L145" s="548">
        <f t="shared" si="414"/>
      </c>
      <c r="M145" s="550">
        <f t="shared" si="483"/>
      </c>
      <c r="N145" s="550">
        <f t="shared" si="540"/>
      </c>
      <c r="O145" s="550">
        <f t="shared" si="445"/>
      </c>
      <c r="P145" s="550">
        <f t="shared" si="377"/>
      </c>
      <c r="Q145" s="549">
        <f t="shared" si="315"/>
      </c>
      <c r="R145" s="551">
        <f t="shared" si="251"/>
      </c>
      <c r="S145" s="552">
        <f t="shared" si="154"/>
      </c>
      <c r="T145" s="552">
        <f t="shared" si="84"/>
      </c>
      <c r="U145" s="552">
        <f t="shared" si="10"/>
      </c>
      <c r="V145" s="552">
        <f t="shared" si="571"/>
      </c>
      <c r="W145" s="552"/>
      <c r="X145" s="553"/>
      <c r="Y145" s="544">
        <f>SUM(Y139+Y144+Y131+Y135)</f>
      </c>
      <c r="Z145" s="544">
        <f>SUM(Z139+Z144+Z131+Z135)</f>
      </c>
      <c r="AA145" s="544">
        <f>SUM(AA139+AA144+AA131+AA135)</f>
      </c>
      <c r="AB145" s="544">
        <f>SUM(AB139+AB144+AB131+AB135)</f>
      </c>
      <c r="AC145" s="544">
        <f>SUM(AC139+AC144+AC131+AC135)</f>
      </c>
      <c r="AD145" s="544">
        <f>SUM(AD139+AD144+AD131+AD135)</f>
      </c>
      <c r="AE145" s="544">
        <f>SUM(AE139+AE144+AE131+AE135)</f>
      </c>
      <c r="AF145" s="544">
        <f>SUM(AF139+AF144+AF131+AF135)</f>
      </c>
      <c r="AG145" s="544">
        <f>SUM(AG139+AG144+AG131+AG135)</f>
      </c>
      <c r="AH145" s="544">
        <f>SUM(AH139+AH144+AH131+AH135)</f>
      </c>
    </row>
    <row r="146">
      <c r="A146" s="485" t="s">
        <v>218</v>
      </c>
      <c r="B146" s="485" t="s">
        <v>219</v>
      </c>
      <c r="C146" s="486" t="s">
        <v>220</v>
      </c>
      <c r="D146" s="487" t="s">
        <v>221</v>
      </c>
      <c r="E146" s="488" t="s">
        <v>222</v>
      </c>
      <c r="F146" s="489" t="s">
        <v>223</v>
      </c>
      <c r="G146" s="489" t="s">
        <v>224</v>
      </c>
      <c r="H146" s="490" t="s">
        <v>225</v>
      </c>
      <c r="I146" s="490" t="s">
        <v>226</v>
      </c>
      <c r="J146" s="490" t="s">
        <v>227</v>
      </c>
      <c r="K146" s="491" t="s">
        <v>228</v>
      </c>
      <c r="L146" s="491" t="s">
        <v>229</v>
      </c>
      <c r="M146" s="491" t="s">
        <v>231</v>
      </c>
      <c r="N146" s="491" t="s">
        <v>232</v>
      </c>
      <c r="O146" s="491" t="s">
        <v>233</v>
      </c>
      <c r="P146" s="491" t="s">
        <v>234</v>
      </c>
      <c r="Q146" s="491" t="s">
        <v>235</v>
      </c>
      <c r="R146" s="491" t="s">
        <v>236</v>
      </c>
      <c r="S146" s="492" t="s">
        <v>237</v>
      </c>
      <c r="T146" s="492" t="s">
        <v>238</v>
      </c>
      <c r="U146" s="492" t="s">
        <v>239</v>
      </c>
      <c r="V146" s="492" t="s">
        <v>240</v>
      </c>
      <c r="W146" s="493" t="s">
        <v>241</v>
      </c>
      <c r="X146" s="493" t="s">
        <v>242</v>
      </c>
      <c r="Y146" s="494" t="s">
        <v>243</v>
      </c>
      <c r="Z146" s="494" t="s">
        <v>244</v>
      </c>
      <c r="AA146" s="494" t="s">
        <v>245</v>
      </c>
      <c r="AB146" s="495" t="s">
        <v>246</v>
      </c>
      <c r="AC146" s="495" t="s">
        <v>247</v>
      </c>
      <c r="AD146" s="496" t="s">
        <v>248</v>
      </c>
      <c r="AE146" s="495" t="s">
        <v>249</v>
      </c>
      <c r="AF146" s="495" t="s">
        <v>250</v>
      </c>
      <c r="AG146" s="497" t="s">
        <v>251</v>
      </c>
      <c r="AH146" s="495" t="s">
        <v>252</v>
      </c>
    </row>
    <row r="147">
      <c r="A147" s="498">
        <v>46211</v>
      </c>
      <c r="B147" s="530" t="s">
        <v>277</v>
      </c>
      <c r="C147" s="500" t="s">
        <v>254</v>
      </c>
      <c r="D147" s="501">
        <v>917.804</v>
      </c>
      <c r="E147" s="502">
        <v>0</v>
      </c>
      <c r="F147" s="503">
        <v>0</v>
      </c>
      <c r="G147" s="504">
        <f t="shared" ref="G147:G166" si="48">D147/AC147</f>
      </c>
      <c r="H147" s="505">
        <f t="shared" ref="H147:H166" si="347">F147/E147</f>
      </c>
      <c r="I147" s="506">
        <f t="shared" ref="I147:I166" si="283">D147/E147</f>
      </c>
      <c r="J147" s="507">
        <f t="shared" ref="J147:J166" si="219">F147/D147</f>
      </c>
      <c r="K147" s="508">
        <f t="shared" ref="K147:K161" si="610">D147/AA147</f>
      </c>
      <c r="L147" s="505">
        <f t="shared" ref="L147:L166" si="415">D147/AB147</f>
      </c>
      <c r="M147" s="509">
        <f t="shared" ref="M147:M161" si="484">AB147/AA147</f>
      </c>
      <c r="N147" s="509">
        <f t="shared" ref="N147:N166" si="541">AC147/AB147</f>
      </c>
      <c r="O147" s="509">
        <f t="shared" ref="O147:O166" si="446">Z147/Y147</f>
      </c>
      <c r="P147" s="509">
        <f t="shared" ref="P147:P166" si="378">AC147/Z147</f>
      </c>
      <c r="Q147" s="505">
        <f t="shared" ref="Q147:Q166" si="316">D147/Y147*1000</f>
      </c>
      <c r="R147" s="507">
        <f t="shared" ref="R147:R166" si="252">D147/Z147</f>
      </c>
      <c r="S147" s="509">
        <f t="shared" ref="S147:S166" si="155">AD147/AA147</f>
      </c>
      <c r="T147" s="509">
        <f t="shared" ref="T147:T166" si="85">AE147/AA147</f>
      </c>
      <c r="U147" s="509">
        <f t="shared" ref="U147:U166" si="11">AF147/AA147</f>
      </c>
      <c r="V147" s="509">
        <f t="shared" ref="V147:V166" si="572">AG147/AA147</f>
      </c>
      <c r="W147" s="510" t="s">
        <v>255</v>
      </c>
      <c r="X147" s="511" t="s">
        <v>282</v>
      </c>
      <c r="Y147" s="512">
        <v>126765</v>
      </c>
      <c r="Z147" s="512">
        <v>3694</v>
      </c>
      <c r="AA147" s="512">
        <v>117905</v>
      </c>
      <c r="AB147" s="512">
        <v>499</v>
      </c>
      <c r="AC147" s="514">
        <v>0</v>
      </c>
      <c r="AD147" s="512">
        <v>18262</v>
      </c>
      <c r="AE147" s="513">
        <v>155</v>
      </c>
      <c r="AF147" s="513">
        <v>152</v>
      </c>
      <c r="AG147" s="513">
        <v>13</v>
      </c>
      <c r="AH147" s="514">
        <v>0</v>
      </c>
    </row>
    <row r="148">
      <c r="A148" s="498"/>
      <c r="B148" s="530" t="s">
        <v>277</v>
      </c>
      <c r="C148" s="500" t="s">
        <v>257</v>
      </c>
      <c r="D148" s="501">
        <v>1581.627</v>
      </c>
      <c r="E148" s="502">
        <v>3</v>
      </c>
      <c r="F148" s="503">
        <v>1220</v>
      </c>
      <c r="G148" s="504">
        <f t="shared" si="48"/>
      </c>
      <c r="H148" s="505">
        <f t="shared" si="347"/>
      </c>
      <c r="I148" s="506">
        <f t="shared" si="283"/>
      </c>
      <c r="J148" s="507">
        <f t="shared" si="219"/>
      </c>
      <c r="K148" s="508">
        <f t="shared" si="610"/>
      </c>
      <c r="L148" s="505">
        <f t="shared" si="415"/>
      </c>
      <c r="M148" s="509">
        <f t="shared" si="484"/>
      </c>
      <c r="N148" s="509">
        <f t="shared" si="541"/>
      </c>
      <c r="O148" s="509">
        <f t="shared" si="446"/>
      </c>
      <c r="P148" s="509">
        <f t="shared" si="378"/>
      </c>
      <c r="Q148" s="505">
        <f t="shared" si="316"/>
      </c>
      <c r="R148" s="507">
        <f t="shared" si="252"/>
      </c>
      <c r="S148" s="509">
        <f t="shared" si="155"/>
      </c>
      <c r="T148" s="509">
        <f t="shared" si="85"/>
      </c>
      <c r="U148" s="509">
        <f t="shared" si="11"/>
      </c>
      <c r="V148" s="509">
        <f t="shared" si="572"/>
      </c>
      <c r="W148" s="510" t="s">
        <v>255</v>
      </c>
      <c r="X148" s="511" t="s">
        <v>282</v>
      </c>
      <c r="Y148" s="513">
        <v>218771</v>
      </c>
      <c r="Z148" s="512">
        <v>5618</v>
      </c>
      <c r="AA148" s="512">
        <v>193548</v>
      </c>
      <c r="AB148" s="512">
        <v>745</v>
      </c>
      <c r="AC148" s="513">
        <v>3</v>
      </c>
      <c r="AD148" s="512">
        <v>25218</v>
      </c>
      <c r="AE148" s="513">
        <v>348</v>
      </c>
      <c r="AF148" s="513">
        <v>256</v>
      </c>
      <c r="AG148" s="514">
        <v>30</v>
      </c>
      <c r="AH148" s="514">
        <v>0</v>
      </c>
    </row>
    <row r="149">
      <c r="A149" s="498"/>
      <c r="B149" s="530" t="s">
        <v>277</v>
      </c>
      <c r="C149" s="515" t="s">
        <v>258</v>
      </c>
      <c r="D149" s="501">
        <v>1358.74</v>
      </c>
      <c r="E149" s="502">
        <v>2</v>
      </c>
      <c r="F149" s="503">
        <v>424</v>
      </c>
      <c r="G149" s="504">
        <f t="shared" si="48"/>
      </c>
      <c r="H149" s="505">
        <f t="shared" si="347"/>
      </c>
      <c r="I149" s="506">
        <f t="shared" si="283"/>
      </c>
      <c r="J149" s="507">
        <f t="shared" si="219"/>
      </c>
      <c r="K149" s="508">
        <f t="shared" si="610"/>
      </c>
      <c r="L149" s="505">
        <f t="shared" si="415"/>
      </c>
      <c r="M149" s="509">
        <f t="shared" si="484"/>
      </c>
      <c r="N149" s="509">
        <f t="shared" si="541"/>
      </c>
      <c r="O149" s="509">
        <f t="shared" si="446"/>
      </c>
      <c r="P149" s="509">
        <f t="shared" si="378"/>
      </c>
      <c r="Q149" s="505">
        <f t="shared" si="316"/>
      </c>
      <c r="R149" s="507">
        <f t="shared" si="252"/>
      </c>
      <c r="S149" s="509">
        <f t="shared" si="155"/>
      </c>
      <c r="T149" s="509">
        <f t="shared" si="85"/>
      </c>
      <c r="U149" s="509">
        <f t="shared" si="11"/>
      </c>
      <c r="V149" s="509">
        <f t="shared" si="572"/>
      </c>
      <c r="W149" s="510" t="s">
        <v>255</v>
      </c>
      <c r="X149" s="511" t="s">
        <v>282</v>
      </c>
      <c r="Y149" s="513">
        <v>206722</v>
      </c>
      <c r="Z149" s="512">
        <v>4941</v>
      </c>
      <c r="AA149" s="512">
        <v>187860</v>
      </c>
      <c r="AB149" s="512">
        <v>483</v>
      </c>
      <c r="AC149" s="513">
        <v>1</v>
      </c>
      <c r="AD149" s="512">
        <v>15892</v>
      </c>
      <c r="AE149" s="513">
        <v>215</v>
      </c>
      <c r="AF149" s="513">
        <v>182</v>
      </c>
      <c r="AG149" s="513">
        <v>25</v>
      </c>
      <c r="AH149" s="514">
        <v>0</v>
      </c>
    </row>
    <row r="150">
      <c r="A150" s="498"/>
      <c r="B150" s="530" t="s">
        <v>277</v>
      </c>
      <c r="C150" s="516" t="s">
        <v>259</v>
      </c>
      <c r="D150" s="501">
        <v>942.7090000000001</v>
      </c>
      <c r="E150" s="502">
        <v>3</v>
      </c>
      <c r="F150" s="503">
        <v>652</v>
      </c>
      <c r="G150" s="504">
        <f t="shared" si="48"/>
      </c>
      <c r="H150" s="505">
        <f t="shared" si="347"/>
      </c>
      <c r="I150" s="506">
        <f t="shared" si="283"/>
      </c>
      <c r="J150" s="507">
        <f t="shared" si="219"/>
      </c>
      <c r="K150" s="508">
        <f t="shared" si="610"/>
      </c>
      <c r="L150" s="505">
        <f t="shared" si="415"/>
      </c>
      <c r="M150" s="509">
        <f t="shared" si="484"/>
      </c>
      <c r="N150" s="509">
        <f t="shared" si="541"/>
      </c>
      <c r="O150" s="509">
        <f t="shared" si="446"/>
      </c>
      <c r="P150" s="509">
        <f t="shared" si="378"/>
      </c>
      <c r="Q150" s="505">
        <f t="shared" si="316"/>
      </c>
      <c r="R150" s="507">
        <f t="shared" si="252"/>
      </c>
      <c r="S150" s="509">
        <f t="shared" si="155"/>
      </c>
      <c r="T150" s="509">
        <f t="shared" si="85"/>
      </c>
      <c r="U150" s="509">
        <f t="shared" si="11"/>
      </c>
      <c r="V150" s="509">
        <f t="shared" si="572"/>
      </c>
      <c r="W150" s="504" t="s">
        <v>255</v>
      </c>
      <c r="X150" s="511" t="s">
        <v>282</v>
      </c>
      <c r="Y150" s="513">
        <v>160648</v>
      </c>
      <c r="Z150" s="513">
        <v>4460</v>
      </c>
      <c r="AA150" s="513">
        <v>147395</v>
      </c>
      <c r="AB150" s="513">
        <v>408</v>
      </c>
      <c r="AC150" s="513">
        <v>4</v>
      </c>
      <c r="AD150" s="513">
        <v>11015</v>
      </c>
      <c r="AE150" s="513">
        <v>107</v>
      </c>
      <c r="AF150" s="513">
        <v>127</v>
      </c>
      <c r="AG150" s="514">
        <v>17</v>
      </c>
      <c r="AH150" s="514">
        <v>0</v>
      </c>
    </row>
    <row r="151">
      <c r="A151" s="498"/>
      <c r="B151" s="530" t="s">
        <v>277</v>
      </c>
      <c r="C151" s="516" t="s">
        <v>260</v>
      </c>
      <c r="D151" s="517">
        <v>1033.6779999999999</v>
      </c>
      <c r="E151" s="518">
        <v>1</v>
      </c>
      <c r="F151" s="519">
        <v>196</v>
      </c>
      <c r="G151" s="504">
        <f t="shared" si="48"/>
      </c>
      <c r="H151" s="505">
        <f t="shared" si="347"/>
      </c>
      <c r="I151" s="506">
        <f t="shared" si="283"/>
      </c>
      <c r="J151" s="507">
        <f t="shared" si="219"/>
      </c>
      <c r="K151" s="508">
        <f t="shared" si="610"/>
      </c>
      <c r="L151" s="505">
        <f t="shared" si="415"/>
      </c>
      <c r="M151" s="509">
        <f t="shared" si="484"/>
      </c>
      <c r="N151" s="509">
        <f t="shared" si="541"/>
      </c>
      <c r="O151" s="509">
        <f t="shared" si="446"/>
      </c>
      <c r="P151" s="509">
        <f t="shared" si="378"/>
      </c>
      <c r="Q151" s="505">
        <f t="shared" si="316"/>
      </c>
      <c r="R151" s="507">
        <f t="shared" si="252"/>
      </c>
      <c r="S151" s="509">
        <f t="shared" si="155"/>
      </c>
      <c r="T151" s="509">
        <f t="shared" si="85"/>
      </c>
      <c r="U151" s="509">
        <f t="shared" si="11"/>
      </c>
      <c r="V151" s="509">
        <f t="shared" si="572"/>
      </c>
      <c r="W151" s="520" t="s">
        <v>255</v>
      </c>
      <c r="X151" s="511" t="s">
        <v>282</v>
      </c>
      <c r="Y151" s="513">
        <v>192215</v>
      </c>
      <c r="Z151" s="513">
        <v>3656</v>
      </c>
      <c r="AA151" s="513">
        <v>170281</v>
      </c>
      <c r="AB151" s="513">
        <v>390</v>
      </c>
      <c r="AC151" s="513">
        <v>1</v>
      </c>
      <c r="AD151" s="513">
        <v>9195</v>
      </c>
      <c r="AE151" s="513">
        <v>131</v>
      </c>
      <c r="AF151" s="513">
        <v>109</v>
      </c>
      <c r="AG151" s="514">
        <v>15</v>
      </c>
      <c r="AH151" s="514">
        <v>0</v>
      </c>
    </row>
    <row r="152">
      <c r="A152" s="498"/>
      <c r="B152" s="521" t="s">
        <v>261</v>
      </c>
      <c r="C152" s="521"/>
      <c r="D152" s="522">
        <f>SUM(D147:D151)</f>
      </c>
      <c r="E152" s="523">
        <f>SUM(E147:E151)</f>
      </c>
      <c r="F152" s="522">
        <f>SUM(F147:F151)</f>
      </c>
      <c r="G152" s="522">
        <f t="shared" si="48"/>
      </c>
      <c r="H152" s="524">
        <f t="shared" si="347"/>
      </c>
      <c r="I152" s="525">
        <f t="shared" si="283"/>
      </c>
      <c r="J152" s="526">
        <f t="shared" si="219"/>
      </c>
      <c r="K152" s="527">
        <f t="shared" si="610"/>
      </c>
      <c r="L152" s="524">
        <f t="shared" si="415"/>
      </c>
      <c r="M152" s="528">
        <f t="shared" si="484"/>
      </c>
      <c r="N152" s="528">
        <f t="shared" si="541"/>
      </c>
      <c r="O152" s="528">
        <f t="shared" si="446"/>
      </c>
      <c r="P152" s="528">
        <f t="shared" si="378"/>
      </c>
      <c r="Q152" s="524">
        <f t="shared" si="316"/>
      </c>
      <c r="R152" s="526">
        <f t="shared" si="252"/>
      </c>
      <c r="S152" s="528">
        <f t="shared" si="155"/>
      </c>
      <c r="T152" s="528">
        <f t="shared" si="85"/>
      </c>
      <c r="U152" s="528">
        <f t="shared" si="11"/>
      </c>
      <c r="V152" s="528">
        <f t="shared" si="572"/>
      </c>
      <c r="W152" s="528"/>
      <c r="X152" s="529"/>
      <c r="Y152" s="522">
        <f>SUM(Y147:Y151)</f>
      </c>
      <c r="Z152" s="522">
        <f>SUM(Z147:Z151)</f>
      </c>
      <c r="AA152" s="522">
        <f>SUM(AA147:AA151)</f>
      </c>
      <c r="AB152" s="522">
        <f>SUM(AB147:AB151)</f>
      </c>
      <c r="AC152" s="522">
        <f>SUM(AC147:AC151)</f>
      </c>
      <c r="AD152" s="522">
        <f>SUM(AD147:AD151)</f>
      </c>
      <c r="AE152" s="522">
        <f>SUM(AE147:AE151)</f>
      </c>
      <c r="AF152" s="522">
        <f>SUM(AF147:AF151)</f>
      </c>
      <c r="AG152" s="522">
        <f>SUM(AG147:AG151)</f>
      </c>
      <c r="AH152" s="522">
        <f>SUM(AH147:AH151)</f>
      </c>
    </row>
    <row r="153">
      <c r="A153" s="498"/>
      <c r="B153" s="499" t="s">
        <v>268</v>
      </c>
      <c r="C153" s="531" t="s">
        <v>263</v>
      </c>
      <c r="D153" s="532">
        <v>844.528</v>
      </c>
      <c r="E153" s="502">
        <v>1</v>
      </c>
      <c r="F153" s="503">
        <v>228</v>
      </c>
      <c r="G153" s="504">
        <f t="shared" si="48"/>
      </c>
      <c r="H153" s="505">
        <f t="shared" si="347"/>
      </c>
      <c r="I153" s="506">
        <f t="shared" si="283"/>
      </c>
      <c r="J153" s="507">
        <f t="shared" si="219"/>
      </c>
      <c r="K153" s="508">
        <f t="shared" si="610"/>
      </c>
      <c r="L153" s="505">
        <f t="shared" si="415"/>
      </c>
      <c r="M153" s="509">
        <f t="shared" si="484"/>
      </c>
      <c r="N153" s="509">
        <f t="shared" si="541"/>
      </c>
      <c r="O153" s="509">
        <f t="shared" si="446"/>
      </c>
      <c r="P153" s="509">
        <f t="shared" si="378"/>
      </c>
      <c r="Q153" s="505">
        <f t="shared" si="316"/>
      </c>
      <c r="R153" s="507">
        <f t="shared" si="252"/>
      </c>
      <c r="S153" s="509">
        <f t="shared" si="155"/>
      </c>
      <c r="T153" s="509">
        <f t="shared" si="85"/>
      </c>
      <c r="U153" s="509">
        <f t="shared" si="11"/>
      </c>
      <c r="V153" s="509">
        <f t="shared" si="572"/>
      </c>
      <c r="W153" s="520" t="s">
        <v>255</v>
      </c>
      <c r="X153" s="511" t="s">
        <v>282</v>
      </c>
      <c r="Y153" s="512">
        <v>156294</v>
      </c>
      <c r="Z153" s="512">
        <v>4617</v>
      </c>
      <c r="AA153" s="512">
        <v>142240</v>
      </c>
      <c r="AB153" s="513">
        <v>387</v>
      </c>
      <c r="AC153" s="513">
        <v>1</v>
      </c>
      <c r="AD153" s="512">
        <v>7574</v>
      </c>
      <c r="AE153" s="513">
        <v>114</v>
      </c>
      <c r="AF153" s="513">
        <v>123</v>
      </c>
      <c r="AG153" s="513">
        <v>23</v>
      </c>
      <c r="AH153" s="514">
        <v>0</v>
      </c>
    </row>
    <row r="154">
      <c r="A154" s="498"/>
      <c r="B154" s="499" t="s">
        <v>268</v>
      </c>
      <c r="C154" s="533" t="s">
        <v>264</v>
      </c>
      <c r="D154" s="532">
        <v>641.519</v>
      </c>
      <c r="E154" s="518">
        <v>1</v>
      </c>
      <c r="F154" s="519">
        <v>828</v>
      </c>
      <c r="G154" s="504">
        <f t="shared" si="48"/>
      </c>
      <c r="H154" s="505">
        <f t="shared" si="347"/>
      </c>
      <c r="I154" s="506">
        <f t="shared" si="283"/>
      </c>
      <c r="J154" s="507">
        <f t="shared" si="219"/>
      </c>
      <c r="K154" s="508">
        <f t="shared" si="610"/>
      </c>
      <c r="L154" s="505">
        <f t="shared" si="415"/>
      </c>
      <c r="M154" s="509">
        <f t="shared" si="484"/>
      </c>
      <c r="N154" s="509">
        <f t="shared" si="541"/>
      </c>
      <c r="O154" s="509">
        <f t="shared" si="446"/>
      </c>
      <c r="P154" s="509">
        <f t="shared" si="378"/>
      </c>
      <c r="Q154" s="505">
        <f t="shared" si="316"/>
      </c>
      <c r="R154" s="507">
        <f t="shared" si="252"/>
      </c>
      <c r="S154" s="509">
        <f t="shared" si="155"/>
      </c>
      <c r="T154" s="509">
        <f t="shared" si="85"/>
      </c>
      <c r="U154" s="509">
        <f t="shared" si="11"/>
      </c>
      <c r="V154" s="509">
        <f t="shared" si="572"/>
      </c>
      <c r="W154" s="520" t="s">
        <v>255</v>
      </c>
      <c r="X154" s="511" t="s">
        <v>282</v>
      </c>
      <c r="Y154" s="513">
        <v>107808</v>
      </c>
      <c r="Z154" s="513">
        <v>3343</v>
      </c>
      <c r="AA154" s="513">
        <v>97746</v>
      </c>
      <c r="AB154" s="513">
        <v>262</v>
      </c>
      <c r="AC154" s="513">
        <v>1</v>
      </c>
      <c r="AD154" s="513">
        <v>4814</v>
      </c>
      <c r="AE154" s="513">
        <v>61</v>
      </c>
      <c r="AF154" s="513">
        <v>64</v>
      </c>
      <c r="AG154" s="513">
        <v>22</v>
      </c>
      <c r="AH154" s="514">
        <v>0</v>
      </c>
    </row>
    <row customHeight="true" ht="16.071428571428573" r="155">
      <c r="A155" s="498"/>
      <c r="B155" s="499" t="s">
        <v>268</v>
      </c>
      <c r="C155" s="534" t="s">
        <v>265</v>
      </c>
      <c r="D155" s="532">
        <v>725.5999999999999</v>
      </c>
      <c r="E155" s="518">
        <v>4</v>
      </c>
      <c r="F155" s="519">
        <v>774.3000000000002</v>
      </c>
      <c r="G155" s="504">
        <f t="shared" si="48"/>
      </c>
      <c r="H155" s="505">
        <f t="shared" si="347"/>
      </c>
      <c r="I155" s="506">
        <f t="shared" si="283"/>
      </c>
      <c r="J155" s="507">
        <f t="shared" si="219"/>
      </c>
      <c r="K155" s="508">
        <f t="shared" si="610"/>
      </c>
      <c r="L155" s="505">
        <f t="shared" si="415"/>
      </c>
      <c r="M155" s="509">
        <f t="shared" si="484"/>
      </c>
      <c r="N155" s="509">
        <f t="shared" si="541"/>
      </c>
      <c r="O155" s="509">
        <f t="shared" si="446"/>
      </c>
      <c r="P155" s="509">
        <f t="shared" si="378"/>
      </c>
      <c r="Q155" s="505">
        <f t="shared" si="316"/>
      </c>
      <c r="R155" s="507">
        <f t="shared" si="252"/>
      </c>
      <c r="S155" s="509">
        <f t="shared" si="155"/>
      </c>
      <c r="T155" s="509">
        <f t="shared" si="85"/>
      </c>
      <c r="U155" s="509">
        <f t="shared" si="11"/>
      </c>
      <c r="V155" s="509">
        <f t="shared" si="572"/>
      </c>
      <c r="W155" s="520" t="s">
        <v>255</v>
      </c>
      <c r="X155" s="511" t="s">
        <v>282</v>
      </c>
      <c r="Y155" s="513">
        <v>126270</v>
      </c>
      <c r="Z155" s="513">
        <v>5039</v>
      </c>
      <c r="AA155" s="513">
        <v>113533</v>
      </c>
      <c r="AB155" s="513">
        <v>284</v>
      </c>
      <c r="AC155" s="513">
        <v>3</v>
      </c>
      <c r="AD155" s="513">
        <v>6193</v>
      </c>
      <c r="AE155" s="513">
        <v>105</v>
      </c>
      <c r="AF155" s="513">
        <v>101</v>
      </c>
      <c r="AG155" s="513">
        <v>15</v>
      </c>
      <c r="AH155" s="514">
        <v>1</v>
      </c>
    </row>
    <row r="156">
      <c r="A156" s="498"/>
      <c r="B156" s="499" t="s">
        <v>268</v>
      </c>
      <c r="C156" s="537" t="s">
        <v>266</v>
      </c>
      <c r="D156" s="532">
        <v>754.489</v>
      </c>
      <c r="E156" s="518">
        <v>2</v>
      </c>
      <c r="F156" s="519">
        <v>1014.3000000000002</v>
      </c>
      <c r="G156" s="504">
        <f t="shared" si="48"/>
      </c>
      <c r="H156" s="505">
        <f t="shared" si="347"/>
      </c>
      <c r="I156" s="506">
        <f t="shared" si="283"/>
      </c>
      <c r="J156" s="507">
        <f t="shared" si="219"/>
      </c>
      <c r="K156" s="508">
        <f t="shared" si="610"/>
      </c>
      <c r="L156" s="505">
        <f t="shared" si="415"/>
      </c>
      <c r="M156" s="509">
        <f t="shared" si="484"/>
      </c>
      <c r="N156" s="509">
        <f t="shared" si="541"/>
      </c>
      <c r="O156" s="509">
        <f t="shared" si="446"/>
      </c>
      <c r="P156" s="509">
        <f t="shared" si="378"/>
      </c>
      <c r="Q156" s="505">
        <f t="shared" si="316"/>
      </c>
      <c r="R156" s="507">
        <f t="shared" si="252"/>
      </c>
      <c r="S156" s="509">
        <f t="shared" si="155"/>
      </c>
      <c r="T156" s="509">
        <f t="shared" si="85"/>
      </c>
      <c r="U156" s="509">
        <f t="shared" si="11"/>
      </c>
      <c r="V156" s="509">
        <f t="shared" si="572"/>
      </c>
      <c r="W156" s="520" t="s">
        <v>255</v>
      </c>
      <c r="X156" s="511" t="s">
        <v>267</v>
      </c>
      <c r="Y156" s="513">
        <v>129715</v>
      </c>
      <c r="Z156" s="513">
        <v>6467</v>
      </c>
      <c r="AA156" s="513">
        <v>122898</v>
      </c>
      <c r="AB156" s="513">
        <v>267</v>
      </c>
      <c r="AC156" s="513">
        <v>2</v>
      </c>
      <c r="AD156" s="513">
        <v>7101</v>
      </c>
      <c r="AE156" s="513">
        <v>83</v>
      </c>
      <c r="AF156" s="513">
        <v>102</v>
      </c>
      <c r="AG156" s="513">
        <v>13</v>
      </c>
      <c r="AH156" s="514">
        <v>1</v>
      </c>
    </row>
    <row r="157">
      <c r="A157" s="498"/>
      <c r="B157" s="521" t="s">
        <v>261</v>
      </c>
      <c r="C157" s="521"/>
      <c r="D157" s="522">
        <f>SUM(D153:D156)</f>
      </c>
      <c r="E157" s="522">
        <f>SUM(E153:E156)</f>
      </c>
      <c r="F157" s="522">
        <f>SUM(F153:F156)</f>
      </c>
      <c r="G157" s="522">
        <f t="shared" si="48"/>
      </c>
      <c r="H157" s="524">
        <f t="shared" si="347"/>
      </c>
      <c r="I157" s="525">
        <f t="shared" si="283"/>
      </c>
      <c r="J157" s="526">
        <f t="shared" si="219"/>
      </c>
      <c r="K157" s="527">
        <f t="shared" si="610"/>
      </c>
      <c r="L157" s="524">
        <f t="shared" si="415"/>
      </c>
      <c r="M157" s="528">
        <f t="shared" si="484"/>
      </c>
      <c r="N157" s="528">
        <f t="shared" si="541"/>
      </c>
      <c r="O157" s="528">
        <f t="shared" si="446"/>
      </c>
      <c r="P157" s="528">
        <f t="shared" si="378"/>
      </c>
      <c r="Q157" s="524">
        <f t="shared" si="316"/>
      </c>
      <c r="R157" s="526">
        <f t="shared" si="252"/>
      </c>
      <c r="S157" s="528">
        <f t="shared" si="155"/>
      </c>
      <c r="T157" s="528">
        <f t="shared" si="85"/>
      </c>
      <c r="U157" s="528">
        <f t="shared" si="11"/>
      </c>
      <c r="V157" s="528">
        <f t="shared" si="572"/>
      </c>
      <c r="W157" s="528"/>
      <c r="X157" s="529"/>
      <c r="Y157" s="522">
        <f>SUM(Y153:Y156)</f>
      </c>
      <c r="Z157" s="522">
        <f>SUM(Z153:Z156)</f>
      </c>
      <c r="AA157" s="522">
        <f>SUM(AA153:AA156)</f>
      </c>
      <c r="AB157" s="522">
        <f>SUM(AB153:AB156)</f>
      </c>
      <c r="AC157" s="522">
        <f>SUM(AC153:AC156)</f>
      </c>
      <c r="AD157" s="522">
        <f>SUM(AD153:AD156)</f>
      </c>
      <c r="AE157" s="522">
        <f>SUM(AE153:AE156)</f>
      </c>
      <c r="AF157" s="522">
        <f>SUM(AF153:AF156)</f>
      </c>
      <c r="AG157" s="522">
        <f>SUM(AG153:AG156)</f>
      </c>
      <c r="AH157" s="522">
        <f>SUM(AH153:AH156)</f>
      </c>
    </row>
    <row r="158">
      <c r="A158" s="498"/>
      <c r="B158" s="540" t="s">
        <v>262</v>
      </c>
      <c r="C158" s="540" t="s">
        <v>269</v>
      </c>
      <c r="D158" s="541">
        <v>692.021</v>
      </c>
      <c r="E158" s="542">
        <v>4</v>
      </c>
      <c r="F158" s="519">
        <v>2040.1999999999998</v>
      </c>
      <c r="G158" s="504">
        <f t="shared" si="48"/>
      </c>
      <c r="H158" s="505">
        <f t="shared" si="347"/>
      </c>
      <c r="I158" s="506">
        <f t="shared" si="283"/>
      </c>
      <c r="J158" s="507">
        <f t="shared" si="219"/>
      </c>
      <c r="K158" s="508">
        <f t="shared" si="610"/>
      </c>
      <c r="L158" s="505">
        <f t="shared" si="415"/>
      </c>
      <c r="M158" s="509">
        <f t="shared" si="484"/>
      </c>
      <c r="N158" s="509">
        <f t="shared" si="541"/>
      </c>
      <c r="O158" s="509">
        <f t="shared" si="446"/>
      </c>
      <c r="P158" s="509">
        <f t="shared" si="378"/>
      </c>
      <c r="Q158" s="505">
        <f t="shared" si="316"/>
      </c>
      <c r="R158" s="507">
        <f t="shared" si="252"/>
      </c>
      <c r="S158" s="509">
        <f t="shared" si="155"/>
      </c>
      <c r="T158" s="509">
        <f t="shared" si="85"/>
      </c>
      <c r="U158" s="509">
        <f t="shared" si="11"/>
      </c>
      <c r="V158" s="509">
        <f t="shared" si="572"/>
      </c>
      <c r="W158" s="520" t="s">
        <v>255</v>
      </c>
      <c r="X158" s="511" t="s">
        <v>267</v>
      </c>
      <c r="Y158" s="513">
        <v>120330</v>
      </c>
      <c r="Z158" s="513">
        <v>5627</v>
      </c>
      <c r="AA158" s="513">
        <v>118391</v>
      </c>
      <c r="AB158" s="513">
        <v>248</v>
      </c>
      <c r="AC158" s="513">
        <v>3</v>
      </c>
      <c r="AD158" s="513">
        <v>7321</v>
      </c>
      <c r="AE158" s="513">
        <v>81</v>
      </c>
      <c r="AF158" s="513">
        <v>115</v>
      </c>
      <c r="AG158" s="513">
        <v>7</v>
      </c>
      <c r="AH158" s="514">
        <v>1</v>
      </c>
    </row>
    <row r="159">
      <c r="A159" s="498"/>
      <c r="B159" s="540" t="s">
        <v>262</v>
      </c>
      <c r="C159" s="534" t="s">
        <v>270</v>
      </c>
      <c r="D159" s="541">
        <v>954.778</v>
      </c>
      <c r="E159" s="542">
        <v>1</v>
      </c>
      <c r="F159" s="519">
        <v>228</v>
      </c>
      <c r="G159" s="504">
        <f t="shared" si="48"/>
      </c>
      <c r="H159" s="505">
        <f t="shared" si="347"/>
      </c>
      <c r="I159" s="506">
        <f t="shared" si="283"/>
      </c>
      <c r="J159" s="507">
        <f t="shared" si="219"/>
      </c>
      <c r="K159" s="508">
        <f t="shared" si="610"/>
      </c>
      <c r="L159" s="505">
        <f t="shared" si="415"/>
      </c>
      <c r="M159" s="509">
        <f t="shared" si="484"/>
      </c>
      <c r="N159" s="509">
        <f t="shared" si="541"/>
      </c>
      <c r="O159" s="509">
        <f t="shared" si="446"/>
      </c>
      <c r="P159" s="509">
        <f t="shared" si="378"/>
      </c>
      <c r="Q159" s="505">
        <f t="shared" si="316"/>
      </c>
      <c r="R159" s="507">
        <f t="shared" si="252"/>
      </c>
      <c r="S159" s="509">
        <f t="shared" si="155"/>
      </c>
      <c r="T159" s="509">
        <f t="shared" si="85"/>
      </c>
      <c r="U159" s="509">
        <f t="shared" si="11"/>
      </c>
      <c r="V159" s="509">
        <f t="shared" si="572"/>
      </c>
      <c r="W159" s="520" t="s">
        <v>255</v>
      </c>
      <c r="X159" s="511" t="s">
        <v>267</v>
      </c>
      <c r="Y159" s="513">
        <v>171751</v>
      </c>
      <c r="Z159" s="513">
        <v>6563</v>
      </c>
      <c r="AA159" s="513">
        <v>173212</v>
      </c>
      <c r="AB159" s="513">
        <v>291</v>
      </c>
      <c r="AC159" s="513">
        <v>1</v>
      </c>
      <c r="AD159" s="513">
        <v>8247</v>
      </c>
      <c r="AE159" s="513">
        <v>79</v>
      </c>
      <c r="AF159" s="513">
        <v>123</v>
      </c>
      <c r="AG159" s="513">
        <v>7</v>
      </c>
      <c r="AH159" s="514">
        <v>0</v>
      </c>
    </row>
    <row r="160">
      <c r="A160" s="498"/>
      <c r="B160" s="540" t="s">
        <v>262</v>
      </c>
      <c r="C160" s="534" t="s">
        <v>272</v>
      </c>
      <c r="D160" s="541">
        <v>1109.045</v>
      </c>
      <c r="E160" s="542">
        <v>1</v>
      </c>
      <c r="F160" s="519">
        <v>228</v>
      </c>
      <c r="G160" s="504">
        <f t="shared" si="48"/>
      </c>
      <c r="H160" s="505">
        <f t="shared" si="347"/>
      </c>
      <c r="I160" s="506">
        <f t="shared" si="283"/>
      </c>
      <c r="J160" s="507">
        <f t="shared" si="219"/>
      </c>
      <c r="K160" s="508">
        <f t="shared" si="610"/>
      </c>
      <c r="L160" s="505">
        <f t="shared" si="415"/>
      </c>
      <c r="M160" s="509">
        <f t="shared" si="484"/>
      </c>
      <c r="N160" s="509">
        <f t="shared" si="541"/>
      </c>
      <c r="O160" s="509">
        <f t="shared" si="446"/>
      </c>
      <c r="P160" s="509">
        <f t="shared" si="378"/>
      </c>
      <c r="Q160" s="505">
        <f t="shared" si="316"/>
      </c>
      <c r="R160" s="507">
        <f t="shared" si="252"/>
      </c>
      <c r="S160" s="509">
        <f t="shared" si="155"/>
      </c>
      <c r="T160" s="509">
        <f t="shared" si="85"/>
      </c>
      <c r="U160" s="509">
        <f t="shared" si="11"/>
      </c>
      <c r="V160" s="509">
        <f t="shared" si="572"/>
      </c>
      <c r="W160" s="520" t="s">
        <v>255</v>
      </c>
      <c r="X160" s="511" t="s">
        <v>267</v>
      </c>
      <c r="Y160" s="513">
        <v>244754</v>
      </c>
      <c r="Z160" s="513">
        <v>3523</v>
      </c>
      <c r="AA160" s="513">
        <v>244060</v>
      </c>
      <c r="AB160" s="513">
        <v>263</v>
      </c>
      <c r="AC160" s="513">
        <v>1</v>
      </c>
      <c r="AD160" s="513">
        <v>8194</v>
      </c>
      <c r="AE160" s="513">
        <v>74</v>
      </c>
      <c r="AF160" s="513">
        <v>98</v>
      </c>
      <c r="AG160" s="513">
        <v>10</v>
      </c>
      <c r="AH160" s="514">
        <v>0</v>
      </c>
    </row>
    <row r="161">
      <c r="A161" s="498"/>
      <c r="B161" s="538" t="s">
        <v>261</v>
      </c>
      <c r="C161" s="538"/>
      <c r="D161" s="522">
        <f>SUM(D158:D160)</f>
      </c>
      <c r="E161" s="522">
        <f>SUM(E158:E160)</f>
      </c>
      <c r="F161" s="522">
        <f>SUM(F158:F160)</f>
      </c>
      <c r="G161" s="522">
        <f t="shared" si="48"/>
      </c>
      <c r="H161" s="524">
        <f t="shared" si="347"/>
      </c>
      <c r="I161" s="525">
        <f t="shared" si="283"/>
      </c>
      <c r="J161" s="526">
        <f t="shared" si="219"/>
      </c>
      <c r="K161" s="527">
        <f t="shared" si="610"/>
      </c>
      <c r="L161" s="524">
        <f t="shared" si="415"/>
      </c>
      <c r="M161" s="528">
        <f t="shared" si="484"/>
      </c>
      <c r="N161" s="528">
        <f t="shared" si="541"/>
      </c>
      <c r="O161" s="528">
        <f t="shared" si="446"/>
      </c>
      <c r="P161" s="528">
        <f t="shared" si="378"/>
      </c>
      <c r="Q161" s="524">
        <f t="shared" si="316"/>
      </c>
      <c r="R161" s="526">
        <f t="shared" si="252"/>
      </c>
      <c r="S161" s="528">
        <f t="shared" si="155"/>
      </c>
      <c r="T161" s="528">
        <f t="shared" si="85"/>
      </c>
      <c r="U161" s="528">
        <f t="shared" si="11"/>
      </c>
      <c r="V161" s="528">
        <f t="shared" si="572"/>
      </c>
      <c r="W161" s="528"/>
      <c r="X161" s="529"/>
      <c r="Y161" s="522">
        <f>SUM(Y158:Y160)</f>
      </c>
      <c r="Z161" s="522">
        <f>SUM(Z158:Z160)</f>
      </c>
      <c r="AA161" s="522">
        <f>SUM(AA158:AA160)</f>
      </c>
      <c r="AB161" s="522">
        <f>SUM(AB158:AB160)</f>
      </c>
      <c r="AC161" s="522">
        <f>SUM(AC158:AC160)</f>
      </c>
      <c r="AD161" s="522">
        <f>SUM(AD158:AD160)</f>
      </c>
      <c r="AE161" s="522">
        <f>SUM(AE158:AE160)</f>
      </c>
      <c r="AF161" s="522">
        <f>SUM(AF158:AF160)</f>
      </c>
      <c r="AG161" s="522">
        <f>SUM(AG158:AG160)</f>
      </c>
      <c r="AH161" s="522">
        <f>SUM(AH158:AH160)</f>
      </c>
    </row>
    <row r="162">
      <c r="A162" s="498"/>
      <c r="B162" s="499" t="s">
        <v>253</v>
      </c>
      <c r="C162" s="534" t="s">
        <v>273</v>
      </c>
      <c r="D162" s="535">
        <v>1339.96</v>
      </c>
      <c r="E162" s="502">
        <v>3</v>
      </c>
      <c r="F162" s="503">
        <v>2451.999999999999</v>
      </c>
      <c r="G162" s="504">
        <f t="shared" si="48"/>
      </c>
      <c r="H162" s="505">
        <f t="shared" si="347"/>
      </c>
      <c r="I162" s="560">
        <f t="shared" si="283"/>
      </c>
      <c r="J162" s="559">
        <f t="shared" si="219"/>
      </c>
      <c r="K162" s="556">
        <f t="shared" ref="K162:K164" si="124">D162/AB162</f>
      </c>
      <c r="L162" s="557">
        <f t="shared" si="415"/>
      </c>
      <c r="M162" s="558">
        <f t="shared" ref="M162:M164" si="186">AC162/AB162</f>
      </c>
      <c r="N162" s="558">
        <f t="shared" si="541"/>
      </c>
      <c r="O162" s="558">
        <f t="shared" si="446"/>
      </c>
      <c r="P162" s="558">
        <f t="shared" si="378"/>
      </c>
      <c r="Q162" s="557">
        <f t="shared" si="316"/>
      </c>
      <c r="R162" s="559">
        <f t="shared" si="252"/>
      </c>
      <c r="S162" s="558">
        <f t="shared" si="155"/>
      </c>
      <c r="T162" s="558">
        <f t="shared" si="85"/>
      </c>
      <c r="U162" s="558">
        <f t="shared" si="11"/>
      </c>
      <c r="V162" s="558">
        <f t="shared" si="572"/>
      </c>
      <c r="W162" s="520" t="s">
        <v>255</v>
      </c>
      <c r="X162" s="511" t="s">
        <v>267</v>
      </c>
      <c r="Y162" s="513">
        <v>344800</v>
      </c>
      <c r="Z162" s="513">
        <v>3283</v>
      </c>
      <c r="AA162" s="513">
        <v>342056</v>
      </c>
      <c r="AB162" s="536">
        <v>335</v>
      </c>
      <c r="AC162" s="536">
        <v>3</v>
      </c>
      <c r="AD162" s="536">
        <v>10683</v>
      </c>
      <c r="AE162" s="536">
        <v>127</v>
      </c>
      <c r="AF162" s="536">
        <v>116</v>
      </c>
      <c r="AG162" s="536">
        <v>7</v>
      </c>
      <c r="AH162" s="514">
        <v>0</v>
      </c>
    </row>
    <row r="163">
      <c r="A163" s="498"/>
      <c r="B163" s="499" t="s">
        <v>253</v>
      </c>
      <c r="C163" s="534" t="s">
        <v>274</v>
      </c>
      <c r="D163" s="541">
        <v>1333.029</v>
      </c>
      <c r="E163" s="542">
        <v>12</v>
      </c>
      <c r="F163" s="519">
        <v>4671.4000000000015</v>
      </c>
      <c r="G163" s="504">
        <f t="shared" si="48"/>
      </c>
      <c r="H163" s="505">
        <f t="shared" si="347"/>
      </c>
      <c r="I163" s="560">
        <f t="shared" si="283"/>
      </c>
      <c r="J163" s="559">
        <f t="shared" si="219"/>
      </c>
      <c r="K163" s="556">
        <f t="shared" si="124"/>
      </c>
      <c r="L163" s="557">
        <f t="shared" si="415"/>
      </c>
      <c r="M163" s="558">
        <f t="shared" si="186"/>
      </c>
      <c r="N163" s="558">
        <f t="shared" si="541"/>
      </c>
      <c r="O163" s="558">
        <f t="shared" si="446"/>
      </c>
      <c r="P163" s="558">
        <f t="shared" si="378"/>
      </c>
      <c r="Q163" s="557">
        <f t="shared" si="316"/>
      </c>
      <c r="R163" s="559">
        <f t="shared" si="252"/>
      </c>
      <c r="S163" s="558">
        <f t="shared" si="155"/>
      </c>
      <c r="T163" s="558">
        <f t="shared" si="85"/>
      </c>
      <c r="U163" s="558">
        <f t="shared" si="11"/>
      </c>
      <c r="V163" s="558">
        <f t="shared" si="572"/>
      </c>
      <c r="W163" s="520" t="s">
        <v>255</v>
      </c>
      <c r="X163" s="511" t="s">
        <v>267</v>
      </c>
      <c r="Y163" s="513">
        <v>325844</v>
      </c>
      <c r="Z163" s="513">
        <v>3206</v>
      </c>
      <c r="AA163" s="513">
        <v>322783</v>
      </c>
      <c r="AB163" s="513">
        <v>350</v>
      </c>
      <c r="AC163" s="513">
        <v>5</v>
      </c>
      <c r="AD163" s="513">
        <v>10009</v>
      </c>
      <c r="AE163" s="513">
        <v>135</v>
      </c>
      <c r="AF163" s="513">
        <v>115</v>
      </c>
      <c r="AG163" s="514">
        <v>14</v>
      </c>
      <c r="AH163" s="514">
        <v>3</v>
      </c>
    </row>
    <row r="164">
      <c r="A164" s="498"/>
      <c r="B164" s="499" t="s">
        <v>253</v>
      </c>
      <c r="C164" s="555" t="s">
        <v>275</v>
      </c>
      <c r="D164" s="541">
        <v>1497</v>
      </c>
      <c r="E164" s="542">
        <v>6</v>
      </c>
      <c r="F164" s="519">
        <v>2462.2999999999975</v>
      </c>
      <c r="G164" s="504">
        <f t="shared" si="48"/>
      </c>
      <c r="H164" s="505">
        <f t="shared" si="347"/>
      </c>
      <c r="I164" s="560">
        <f t="shared" si="283"/>
      </c>
      <c r="J164" s="559">
        <f t="shared" si="219"/>
      </c>
      <c r="K164" s="556">
        <f t="shared" si="124"/>
      </c>
      <c r="L164" s="557">
        <f t="shared" si="415"/>
      </c>
      <c r="M164" s="558">
        <f t="shared" si="186"/>
      </c>
      <c r="N164" s="558">
        <f t="shared" si="541"/>
      </c>
      <c r="O164" s="558">
        <f t="shared" si="446"/>
      </c>
      <c r="P164" s="558">
        <f t="shared" si="378"/>
      </c>
      <c r="Q164" s="557">
        <f t="shared" si="316"/>
      </c>
      <c r="R164" s="559">
        <f t="shared" si="252"/>
      </c>
      <c r="S164" s="558">
        <f t="shared" si="155"/>
      </c>
      <c r="T164" s="558">
        <f t="shared" si="85"/>
      </c>
      <c r="U164" s="558">
        <f t="shared" si="11"/>
      </c>
      <c r="V164" s="558">
        <f t="shared" si="572"/>
      </c>
      <c r="W164" s="520" t="s">
        <v>255</v>
      </c>
      <c r="X164" s="511" t="s">
        <v>267</v>
      </c>
      <c r="Y164" s="513">
        <v>376306</v>
      </c>
      <c r="Z164" s="513">
        <v>3563</v>
      </c>
      <c r="AA164" s="513">
        <v>369061</v>
      </c>
      <c r="AB164" s="513">
        <v>496</v>
      </c>
      <c r="AC164" s="513">
        <v>3</v>
      </c>
      <c r="AD164" s="513">
        <v>11056</v>
      </c>
      <c r="AE164" s="513">
        <v>164</v>
      </c>
      <c r="AF164" s="513">
        <v>127</v>
      </c>
      <c r="AG164" s="514">
        <v>13</v>
      </c>
      <c r="AH164" s="514">
        <v>1</v>
      </c>
    </row>
    <row r="165">
      <c r="A165" s="498"/>
      <c r="B165" s="538" t="s">
        <v>261</v>
      </c>
      <c r="C165" s="538"/>
      <c r="D165" s="522">
        <f>SUM(D162:D164)</f>
      </c>
      <c r="E165" s="522">
        <f>SUM(E162:E164)</f>
      </c>
      <c r="F165" s="522">
        <f>SUM(F162:F164)</f>
      </c>
      <c r="G165" s="522">
        <f t="shared" si="48"/>
      </c>
      <c r="H165" s="524">
        <f t="shared" si="347"/>
      </c>
      <c r="I165" s="525">
        <f t="shared" si="283"/>
      </c>
      <c r="J165" s="526">
        <f t="shared" si="219"/>
      </c>
      <c r="K165" s="527">
        <f t="shared" ref="K165:K166" si="611">D165/AA165</f>
      </c>
      <c r="L165" s="524">
        <f t="shared" si="415"/>
      </c>
      <c r="M165" s="528">
        <f t="shared" ref="M165:M166" si="485">AB165/AA165</f>
      </c>
      <c r="N165" s="528">
        <f t="shared" si="541"/>
      </c>
      <c r="O165" s="528">
        <f t="shared" si="446"/>
      </c>
      <c r="P165" s="528">
        <f t="shared" si="378"/>
      </c>
      <c r="Q165" s="524">
        <f t="shared" si="316"/>
      </c>
      <c r="R165" s="526">
        <f t="shared" si="252"/>
      </c>
      <c r="S165" s="528">
        <f t="shared" si="155"/>
      </c>
      <c r="T165" s="528">
        <f t="shared" si="85"/>
      </c>
      <c r="U165" s="528">
        <f t="shared" si="11"/>
      </c>
      <c r="V165" s="528">
        <f t="shared" si="572"/>
      </c>
      <c r="W165" s="528"/>
      <c r="X165" s="529"/>
      <c r="Y165" s="522">
        <f>SUM(Y162:Y164)</f>
      </c>
      <c r="Z165" s="522">
        <f>SUM(Z162:Z164)</f>
      </c>
      <c r="AA165" s="522">
        <f>SUM(AA162:AA164)</f>
      </c>
      <c r="AB165" s="522">
        <f>SUM(AB162:AB164)</f>
      </c>
      <c r="AC165" s="522">
        <f>SUM(AC162:AC164)</f>
      </c>
      <c r="AD165" s="522">
        <f>SUM(AD162:AD164)</f>
      </c>
      <c r="AE165" s="522">
        <f>SUM(AE162:AE164)</f>
      </c>
      <c r="AF165" s="522">
        <f>SUM(AF162:AF164)</f>
      </c>
      <c r="AG165" s="522">
        <f>SUM(AG162:AG164)</f>
      </c>
      <c r="AH165" s="522">
        <f>SUM(AH162:AH164)</f>
      </c>
    </row>
    <row r="166">
      <c r="A166" s="498"/>
      <c r="B166" s="543" t="s">
        <v>276</v>
      </c>
      <c r="C166" s="543"/>
      <c r="D166" s="554">
        <f>SUM(D152+D165+D161+D157)</f>
      </c>
      <c r="E166" s="554">
        <f>SUM(E152+E165+E161+E157)</f>
      </c>
      <c r="F166" s="554">
        <f>SUM(F152+F165+F161+F157)</f>
      </c>
      <c r="G166" s="544">
        <f t="shared" si="48"/>
      </c>
      <c r="H166" s="545">
        <f t="shared" si="347"/>
      </c>
      <c r="I166" s="546">
        <f t="shared" si="283"/>
      </c>
      <c r="J166" s="547">
        <f t="shared" si="219"/>
      </c>
      <c r="K166" s="548">
        <f t="shared" si="611"/>
      </c>
      <c r="L166" s="548">
        <f t="shared" si="415"/>
      </c>
      <c r="M166" s="550">
        <f t="shared" si="485"/>
      </c>
      <c r="N166" s="550">
        <f t="shared" si="541"/>
      </c>
      <c r="O166" s="550">
        <f t="shared" si="446"/>
      </c>
      <c r="P166" s="550">
        <f t="shared" si="378"/>
      </c>
      <c r="Q166" s="549">
        <f t="shared" si="316"/>
      </c>
      <c r="R166" s="551">
        <f t="shared" si="252"/>
      </c>
      <c r="S166" s="552">
        <f t="shared" si="155"/>
      </c>
      <c r="T166" s="552">
        <f t="shared" si="85"/>
      </c>
      <c r="U166" s="552">
        <f t="shared" si="11"/>
      </c>
      <c r="V166" s="552">
        <f t="shared" si="572"/>
      </c>
      <c r="W166" s="552"/>
      <c r="X166" s="553"/>
      <c r="Y166" s="544">
        <f>SUM(Y161+Y165+Y152+Y157)</f>
      </c>
      <c r="Z166" s="544">
        <f>SUM(Z161+Z165+Z152+Z157)</f>
      </c>
      <c r="AA166" s="544">
        <f>SUM(AA161+AA165+AA152+AA157)</f>
      </c>
      <c r="AB166" s="544">
        <f>SUM(AB161+AB165+AB152+AB157)</f>
      </c>
      <c r="AC166" s="544">
        <f>SUM(AC161+AC165+AC152+AC157)</f>
      </c>
      <c r="AD166" s="544">
        <f>SUM(AD161+AD165+AD152+AD157)</f>
      </c>
      <c r="AE166" s="544">
        <f>SUM(AE161+AE165+AE152+AE157)</f>
      </c>
      <c r="AF166" s="544">
        <f>SUM(AF161+AF165+AF152+AF157)</f>
      </c>
      <c r="AG166" s="544">
        <f>SUM(AG161+AG165+AG152+AG157)</f>
      </c>
      <c r="AH166" s="544">
        <f>SUM(AH161+AH165+AH152+AH157)</f>
      </c>
    </row>
    <row r="167">
      <c r="A167" s="485" t="s">
        <v>218</v>
      </c>
      <c r="B167" s="485" t="s">
        <v>219</v>
      </c>
      <c r="C167" s="486" t="s">
        <v>220</v>
      </c>
      <c r="D167" s="487" t="s">
        <v>221</v>
      </c>
      <c r="E167" s="488" t="s">
        <v>222</v>
      </c>
      <c r="F167" s="489" t="s">
        <v>223</v>
      </c>
      <c r="G167" s="489" t="s">
        <v>224</v>
      </c>
      <c r="H167" s="490" t="s">
        <v>225</v>
      </c>
      <c r="I167" s="490" t="s">
        <v>226</v>
      </c>
      <c r="J167" s="490" t="s">
        <v>227</v>
      </c>
      <c r="K167" s="491" t="s">
        <v>228</v>
      </c>
      <c r="L167" s="491" t="s">
        <v>229</v>
      </c>
      <c r="M167" s="491" t="s">
        <v>231</v>
      </c>
      <c r="N167" s="491" t="s">
        <v>232</v>
      </c>
      <c r="O167" s="491" t="s">
        <v>233</v>
      </c>
      <c r="P167" s="491" t="s">
        <v>234</v>
      </c>
      <c r="Q167" s="491" t="s">
        <v>235</v>
      </c>
      <c r="R167" s="491" t="s">
        <v>236</v>
      </c>
      <c r="S167" s="492" t="s">
        <v>237</v>
      </c>
      <c r="T167" s="492" t="s">
        <v>238</v>
      </c>
      <c r="U167" s="492" t="s">
        <v>239</v>
      </c>
      <c r="V167" s="492" t="s">
        <v>240</v>
      </c>
      <c r="W167" s="493" t="s">
        <v>241</v>
      </c>
      <c r="X167" s="493" t="s">
        <v>242</v>
      </c>
      <c r="Y167" s="494" t="s">
        <v>243</v>
      </c>
      <c r="Z167" s="494" t="s">
        <v>244</v>
      </c>
      <c r="AA167" s="494" t="s">
        <v>245</v>
      </c>
      <c r="AB167" s="495" t="s">
        <v>246</v>
      </c>
      <c r="AC167" s="495" t="s">
        <v>247</v>
      </c>
      <c r="AD167" s="496" t="s">
        <v>248</v>
      </c>
      <c r="AE167" s="495" t="s">
        <v>249</v>
      </c>
      <c r="AF167" s="495" t="s">
        <v>250</v>
      </c>
      <c r="AG167" s="497" t="s">
        <v>251</v>
      </c>
      <c r="AH167" s="495" t="s">
        <v>252</v>
      </c>
    </row>
    <row r="168">
      <c r="A168" s="498">
        <v>46212</v>
      </c>
      <c r="B168" s="530" t="s">
        <v>277</v>
      </c>
      <c r="C168" s="500" t="s">
        <v>254</v>
      </c>
      <c r="D168" s="501">
        <v>4082.219</v>
      </c>
      <c r="E168" s="502">
        <v>4</v>
      </c>
      <c r="F168" s="503">
        <v>1441.6</v>
      </c>
      <c r="G168" s="504">
        <f t="shared" ref="G168:G187" si="49">D168/AC168</f>
      </c>
      <c r="H168" s="505">
        <f t="shared" ref="H168:H187" si="348">F168/E168</f>
      </c>
      <c r="I168" s="506">
        <f t="shared" ref="I168:I187" si="284">D168/E168</f>
      </c>
      <c r="J168" s="507">
        <f t="shared" ref="J168:J187" si="220">F168/D168</f>
      </c>
      <c r="K168" s="508">
        <f t="shared" ref="K168:K181" si="612">D168/AA168</f>
      </c>
      <c r="L168" s="505">
        <f t="shared" ref="L168:L187" si="416">D168/AB168</f>
      </c>
      <c r="M168" s="509">
        <f t="shared" ref="M168:M181" si="486">AB168/AA168</f>
      </c>
      <c r="N168" s="509">
        <f t="shared" ref="N168:N187" si="542">AC168/AB168</f>
      </c>
      <c r="O168" s="509">
        <f t="shared" ref="O168:O187" si="447">Z168/Y168</f>
      </c>
      <c r="P168" s="509">
        <f t="shared" ref="P168:P187" si="379">AC168/Z168</f>
      </c>
      <c r="Q168" s="505">
        <f t="shared" ref="Q168:Q187" si="317">D168/Y168*1000</f>
      </c>
      <c r="R168" s="507">
        <f t="shared" ref="R168:R187" si="253">D168/Z168</f>
      </c>
      <c r="S168" s="509">
        <f t="shared" ref="S168:S187" si="156">AD168/AA168</f>
      </c>
      <c r="T168" s="509">
        <f t="shared" ref="T168:T187" si="86">AE168/AA168</f>
      </c>
      <c r="U168" s="509">
        <f t="shared" ref="U168:U187" si="12">AF168/AA168</f>
      </c>
      <c r="V168" s="509">
        <f t="shared" ref="V168:V187" si="573">AG168/AA168</f>
      </c>
      <c r="W168" s="510" t="s">
        <v>255</v>
      </c>
      <c r="X168" s="511" t="s">
        <v>282</v>
      </c>
      <c r="Y168" s="512">
        <v>623314</v>
      </c>
      <c r="Z168" s="512">
        <v>8571</v>
      </c>
      <c r="AA168" s="512">
        <v>633347</v>
      </c>
      <c r="AB168" s="512">
        <v>1080</v>
      </c>
      <c r="AC168" s="514">
        <v>2</v>
      </c>
      <c r="AD168" s="512">
        <v>40141</v>
      </c>
      <c r="AE168" s="513">
        <v>470</v>
      </c>
      <c r="AF168" s="513">
        <v>493</v>
      </c>
      <c r="AG168" s="513">
        <v>42</v>
      </c>
      <c r="AH168" s="514">
        <v>1</v>
      </c>
    </row>
    <row r="169">
      <c r="A169" s="498"/>
      <c r="B169" s="530" t="s">
        <v>277</v>
      </c>
      <c r="C169" s="500" t="s">
        <v>257</v>
      </c>
      <c r="D169" s="501">
        <v>6271.615</v>
      </c>
      <c r="E169" s="502">
        <v>13</v>
      </c>
      <c r="F169" s="503">
        <v>6208.700000000003</v>
      </c>
      <c r="G169" s="504">
        <f t="shared" si="49"/>
      </c>
      <c r="H169" s="505">
        <f t="shared" si="348"/>
      </c>
      <c r="I169" s="506">
        <f t="shared" si="284"/>
      </c>
      <c r="J169" s="507">
        <f t="shared" si="220"/>
      </c>
      <c r="K169" s="508">
        <f t="shared" si="612"/>
      </c>
      <c r="L169" s="505">
        <f t="shared" si="416"/>
      </c>
      <c r="M169" s="509">
        <f t="shared" si="486"/>
      </c>
      <c r="N169" s="509">
        <f t="shared" si="542"/>
      </c>
      <c r="O169" s="509">
        <f t="shared" si="447"/>
      </c>
      <c r="P169" s="509">
        <f t="shared" si="379"/>
      </c>
      <c r="Q169" s="505">
        <f t="shared" si="317"/>
      </c>
      <c r="R169" s="507">
        <f t="shared" si="253"/>
      </c>
      <c r="S169" s="509">
        <f t="shared" si="156"/>
      </c>
      <c r="T169" s="509">
        <f t="shared" si="86"/>
      </c>
      <c r="U169" s="509">
        <f t="shared" si="12"/>
      </c>
      <c r="V169" s="509">
        <f t="shared" si="573"/>
      </c>
      <c r="W169" s="510" t="s">
        <v>255</v>
      </c>
      <c r="X169" s="511" t="s">
        <v>282</v>
      </c>
      <c r="Y169" s="513">
        <v>1079680</v>
      </c>
      <c r="Z169" s="512">
        <v>13850</v>
      </c>
      <c r="AA169" s="512">
        <v>1069830</v>
      </c>
      <c r="AB169" s="512">
        <v>1706</v>
      </c>
      <c r="AC169" s="513">
        <v>9</v>
      </c>
      <c r="AD169" s="512">
        <v>51313</v>
      </c>
      <c r="AE169" s="513">
        <v>812</v>
      </c>
      <c r="AF169" s="513">
        <v>587</v>
      </c>
      <c r="AG169" s="514">
        <v>67</v>
      </c>
      <c r="AH169" s="514">
        <v>2</v>
      </c>
    </row>
    <row r="170">
      <c r="A170" s="498"/>
      <c r="B170" s="530" t="s">
        <v>277</v>
      </c>
      <c r="C170" s="515" t="s">
        <v>258</v>
      </c>
      <c r="D170" s="501">
        <v>4275.442</v>
      </c>
      <c r="E170" s="502">
        <v>15</v>
      </c>
      <c r="F170" s="503">
        <v>4442.399999999998</v>
      </c>
      <c r="G170" s="504">
        <f t="shared" si="49"/>
      </c>
      <c r="H170" s="505">
        <f t="shared" si="348"/>
      </c>
      <c r="I170" s="506">
        <f t="shared" si="284"/>
      </c>
      <c r="J170" s="507">
        <f t="shared" si="220"/>
      </c>
      <c r="K170" s="508">
        <f t="shared" si="612"/>
      </c>
      <c r="L170" s="505">
        <f t="shared" si="416"/>
      </c>
      <c r="M170" s="509">
        <f t="shared" si="486"/>
      </c>
      <c r="N170" s="509">
        <f t="shared" si="542"/>
      </c>
      <c r="O170" s="509">
        <f t="shared" si="447"/>
      </c>
      <c r="P170" s="509">
        <f t="shared" si="379"/>
      </c>
      <c r="Q170" s="505">
        <f t="shared" si="317"/>
      </c>
      <c r="R170" s="507">
        <f t="shared" si="253"/>
      </c>
      <c r="S170" s="509">
        <f t="shared" si="156"/>
      </c>
      <c r="T170" s="509">
        <f t="shared" si="86"/>
      </c>
      <c r="U170" s="509">
        <f t="shared" si="12"/>
      </c>
      <c r="V170" s="509">
        <f t="shared" si="573"/>
      </c>
      <c r="W170" s="510" t="s">
        <v>255</v>
      </c>
      <c r="X170" s="511" t="s">
        <v>282</v>
      </c>
      <c r="Y170" s="513">
        <v>873719</v>
      </c>
      <c r="Z170" s="512">
        <v>9785</v>
      </c>
      <c r="AA170" s="512">
        <v>870215</v>
      </c>
      <c r="AB170" s="512">
        <v>1026</v>
      </c>
      <c r="AC170" s="513">
        <v>12</v>
      </c>
      <c r="AD170" s="512">
        <v>31430</v>
      </c>
      <c r="AE170" s="513">
        <v>451</v>
      </c>
      <c r="AF170" s="513">
        <v>376</v>
      </c>
      <c r="AG170" s="513">
        <v>48</v>
      </c>
      <c r="AH170" s="514">
        <v>2</v>
      </c>
    </row>
    <row r="171">
      <c r="A171" s="498"/>
      <c r="B171" s="530" t="s">
        <v>277</v>
      </c>
      <c r="C171" s="516" t="s">
        <v>259</v>
      </c>
      <c r="D171" s="501">
        <v>1685.7</v>
      </c>
      <c r="E171" s="502">
        <v>12</v>
      </c>
      <c r="F171" s="503">
        <v>4419.399999999998</v>
      </c>
      <c r="G171" s="504">
        <f t="shared" si="49"/>
      </c>
      <c r="H171" s="505">
        <f t="shared" si="348"/>
      </c>
      <c r="I171" s="506">
        <f t="shared" si="284"/>
      </c>
      <c r="J171" s="507">
        <f t="shared" si="220"/>
      </c>
      <c r="K171" s="508">
        <f t="shared" si="612"/>
      </c>
      <c r="L171" s="505">
        <f t="shared" si="416"/>
      </c>
      <c r="M171" s="509">
        <f t="shared" si="486"/>
      </c>
      <c r="N171" s="509">
        <f t="shared" si="542"/>
      </c>
      <c r="O171" s="509">
        <f t="shared" si="447"/>
      </c>
      <c r="P171" s="509">
        <f t="shared" si="379"/>
      </c>
      <c r="Q171" s="505">
        <f t="shared" si="317"/>
      </c>
      <c r="R171" s="507">
        <f t="shared" si="253"/>
      </c>
      <c r="S171" s="509">
        <f t="shared" si="156"/>
      </c>
      <c r="T171" s="509">
        <f t="shared" si="86"/>
      </c>
      <c r="U171" s="509">
        <f t="shared" si="12"/>
      </c>
      <c r="V171" s="509">
        <f t="shared" si="573"/>
      </c>
      <c r="W171" s="504" t="s">
        <v>255</v>
      </c>
      <c r="X171" s="511" t="s">
        <v>282</v>
      </c>
      <c r="Y171" s="513">
        <v>423012</v>
      </c>
      <c r="Z171" s="513">
        <v>5490</v>
      </c>
      <c r="AA171" s="513">
        <v>407752</v>
      </c>
      <c r="AB171" s="513">
        <v>586</v>
      </c>
      <c r="AC171" s="513">
        <v>8</v>
      </c>
      <c r="AD171" s="513">
        <v>17146</v>
      </c>
      <c r="AE171" s="513">
        <v>239</v>
      </c>
      <c r="AF171" s="513">
        <v>169</v>
      </c>
      <c r="AG171" s="514">
        <v>25</v>
      </c>
      <c r="AH171" s="514">
        <v>3</v>
      </c>
    </row>
    <row r="172">
      <c r="A172" s="498"/>
      <c r="B172" s="530" t="s">
        <v>277</v>
      </c>
      <c r="C172" s="516" t="s">
        <v>260</v>
      </c>
      <c r="D172" s="517">
        <v>937.177</v>
      </c>
      <c r="E172" s="518">
        <v>9</v>
      </c>
      <c r="F172" s="519">
        <v>3660.0999999999985</v>
      </c>
      <c r="G172" s="504">
        <f t="shared" si="49"/>
      </c>
      <c r="H172" s="505">
        <f t="shared" si="348"/>
      </c>
      <c r="I172" s="506">
        <f t="shared" si="284"/>
      </c>
      <c r="J172" s="507">
        <f t="shared" si="220"/>
      </c>
      <c r="K172" s="508">
        <f t="shared" si="612"/>
      </c>
      <c r="L172" s="505">
        <f t="shared" si="416"/>
      </c>
      <c r="M172" s="509">
        <f t="shared" si="486"/>
      </c>
      <c r="N172" s="509">
        <f t="shared" si="542"/>
      </c>
      <c r="O172" s="509">
        <f t="shared" si="447"/>
      </c>
      <c r="P172" s="509">
        <f t="shared" si="379"/>
      </c>
      <c r="Q172" s="505">
        <f t="shared" si="317"/>
      </c>
      <c r="R172" s="507">
        <f t="shared" si="253"/>
      </c>
      <c r="S172" s="509">
        <f t="shared" si="156"/>
      </c>
      <c r="T172" s="509">
        <f t="shared" si="86"/>
      </c>
      <c r="U172" s="509">
        <f t="shared" si="12"/>
      </c>
      <c r="V172" s="509">
        <f t="shared" si="573"/>
      </c>
      <c r="W172" s="520" t="s">
        <v>255</v>
      </c>
      <c r="X172" s="511" t="s">
        <v>282</v>
      </c>
      <c r="Y172" s="513">
        <v>234809</v>
      </c>
      <c r="Z172" s="513">
        <v>5513</v>
      </c>
      <c r="AA172" s="513">
        <v>206039</v>
      </c>
      <c r="AB172" s="513">
        <v>455</v>
      </c>
      <c r="AC172" s="513">
        <v>6</v>
      </c>
      <c r="AD172" s="513">
        <v>12508</v>
      </c>
      <c r="AE172" s="513">
        <v>150</v>
      </c>
      <c r="AF172" s="513">
        <v>168</v>
      </c>
      <c r="AG172" s="514">
        <v>19</v>
      </c>
      <c r="AH172" s="514">
        <v>2</v>
      </c>
    </row>
    <row r="173">
      <c r="A173" s="498"/>
      <c r="B173" s="521" t="s">
        <v>261</v>
      </c>
      <c r="C173" s="521"/>
      <c r="D173" s="522">
        <f>SUM(D168:D172)</f>
      </c>
      <c r="E173" s="523">
        <f>SUM(E168:E172)</f>
      </c>
      <c r="F173" s="522">
        <f>SUM(F168:F172)</f>
      </c>
      <c r="G173" s="522">
        <f t="shared" si="49"/>
      </c>
      <c r="H173" s="524">
        <f t="shared" si="348"/>
      </c>
      <c r="I173" s="525">
        <f t="shared" si="284"/>
      </c>
      <c r="J173" s="526">
        <f t="shared" si="220"/>
      </c>
      <c r="K173" s="527">
        <f t="shared" si="612"/>
      </c>
      <c r="L173" s="524">
        <f t="shared" si="416"/>
      </c>
      <c r="M173" s="528">
        <f t="shared" si="486"/>
      </c>
      <c r="N173" s="528">
        <f t="shared" si="542"/>
      </c>
      <c r="O173" s="528">
        <f t="shared" si="447"/>
      </c>
      <c r="P173" s="528">
        <f t="shared" si="379"/>
      </c>
      <c r="Q173" s="524">
        <f t="shared" si="317"/>
      </c>
      <c r="R173" s="526">
        <f t="shared" si="253"/>
      </c>
      <c r="S173" s="528">
        <f t="shared" si="156"/>
      </c>
      <c r="T173" s="528">
        <f t="shared" si="86"/>
      </c>
      <c r="U173" s="528">
        <f t="shared" si="12"/>
      </c>
      <c r="V173" s="528">
        <f t="shared" si="573"/>
      </c>
      <c r="W173" s="528"/>
      <c r="X173" s="529"/>
      <c r="Y173" s="522">
        <f>SUM(Y168:Y172)</f>
      </c>
      <c r="Z173" s="522">
        <f>SUM(Z168:Z172)</f>
      </c>
      <c r="AA173" s="522">
        <f>SUM(AA168:AA172)</f>
      </c>
      <c r="AB173" s="522">
        <f>SUM(AB168:AB172)</f>
      </c>
      <c r="AC173" s="522">
        <f>SUM(AC168:AC172)</f>
      </c>
      <c r="AD173" s="522">
        <f>SUM(AD168:AD172)</f>
      </c>
      <c r="AE173" s="522">
        <f>SUM(AE168:AE172)</f>
      </c>
      <c r="AF173" s="522">
        <f>SUM(AF168:AF172)</f>
      </c>
      <c r="AG173" s="522">
        <f>SUM(AG168:AG172)</f>
      </c>
      <c r="AH173" s="522">
        <f>SUM(AH168:AH172)</f>
      </c>
    </row>
    <row r="174">
      <c r="A174" s="498"/>
      <c r="B174" s="499" t="s">
        <v>268</v>
      </c>
      <c r="C174" s="531" t="s">
        <v>263</v>
      </c>
      <c r="D174" s="532">
        <v>900.411</v>
      </c>
      <c r="E174" s="502">
        <v>5</v>
      </c>
      <c r="F174" s="503">
        <v>1055.5</v>
      </c>
      <c r="G174" s="504">
        <f t="shared" si="49"/>
      </c>
      <c r="H174" s="505">
        <f t="shared" si="348"/>
      </c>
      <c r="I174" s="506">
        <f t="shared" si="284"/>
      </c>
      <c r="J174" s="507">
        <f t="shared" si="220"/>
      </c>
      <c r="K174" s="508">
        <f t="shared" si="612"/>
      </c>
      <c r="L174" s="505">
        <f t="shared" si="416"/>
      </c>
      <c r="M174" s="509">
        <f t="shared" si="486"/>
      </c>
      <c r="N174" s="509">
        <f t="shared" si="542"/>
      </c>
      <c r="O174" s="509">
        <f t="shared" si="447"/>
      </c>
      <c r="P174" s="509">
        <f t="shared" si="379"/>
      </c>
      <c r="Q174" s="505">
        <f t="shared" si="317"/>
      </c>
      <c r="R174" s="507">
        <f t="shared" si="253"/>
      </c>
      <c r="S174" s="509">
        <f t="shared" si="156"/>
      </c>
      <c r="T174" s="509">
        <f t="shared" si="86"/>
      </c>
      <c r="U174" s="509">
        <f t="shared" si="12"/>
      </c>
      <c r="V174" s="509">
        <f t="shared" si="573"/>
      </c>
      <c r="W174" s="520" t="s">
        <v>255</v>
      </c>
      <c r="X174" s="511" t="s">
        <v>282</v>
      </c>
      <c r="Y174" s="512">
        <v>199542</v>
      </c>
      <c r="Z174" s="512">
        <v>5421</v>
      </c>
      <c r="AA174" s="512">
        <v>181159</v>
      </c>
      <c r="AB174" s="513">
        <v>361</v>
      </c>
      <c r="AC174" s="513">
        <v>3</v>
      </c>
      <c r="AD174" s="512">
        <v>9690</v>
      </c>
      <c r="AE174" s="513">
        <v>105</v>
      </c>
      <c r="AF174" s="513">
        <v>137</v>
      </c>
      <c r="AG174" s="513">
        <v>21</v>
      </c>
      <c r="AH174" s="514">
        <v>1</v>
      </c>
    </row>
    <row r="175">
      <c r="A175" s="498"/>
      <c r="B175" s="499" t="s">
        <v>268</v>
      </c>
      <c r="C175" s="533" t="s">
        <v>264</v>
      </c>
      <c r="D175" s="532">
        <v>899.133</v>
      </c>
      <c r="E175" s="518">
        <v>4</v>
      </c>
      <c r="F175" s="519">
        <v>2073.5999999999985</v>
      </c>
      <c r="G175" s="504">
        <f t="shared" si="49"/>
      </c>
      <c r="H175" s="505">
        <f t="shared" si="348"/>
      </c>
      <c r="I175" s="506">
        <f t="shared" si="284"/>
      </c>
      <c r="J175" s="507">
        <f t="shared" si="220"/>
      </c>
      <c r="K175" s="508">
        <f t="shared" si="612"/>
      </c>
      <c r="L175" s="505">
        <f t="shared" si="416"/>
      </c>
      <c r="M175" s="509">
        <f t="shared" si="486"/>
      </c>
      <c r="N175" s="509">
        <f t="shared" si="542"/>
      </c>
      <c r="O175" s="509">
        <f t="shared" si="447"/>
      </c>
      <c r="P175" s="509">
        <f t="shared" si="379"/>
      </c>
      <c r="Q175" s="505">
        <f t="shared" si="317"/>
      </c>
      <c r="R175" s="507">
        <f t="shared" si="253"/>
      </c>
      <c r="S175" s="509">
        <f t="shared" si="156"/>
      </c>
      <c r="T175" s="509">
        <f t="shared" si="86"/>
      </c>
      <c r="U175" s="509">
        <f t="shared" si="12"/>
      </c>
      <c r="V175" s="509">
        <f t="shared" si="573"/>
      </c>
      <c r="W175" s="520" t="s">
        <v>255</v>
      </c>
      <c r="X175" s="511" t="s">
        <v>282</v>
      </c>
      <c r="Y175" s="513">
        <v>203581</v>
      </c>
      <c r="Z175" s="513">
        <v>3608</v>
      </c>
      <c r="AA175" s="513">
        <v>185498</v>
      </c>
      <c r="AB175" s="513">
        <v>325</v>
      </c>
      <c r="AC175" s="513">
        <v>3</v>
      </c>
      <c r="AD175" s="513">
        <v>8993</v>
      </c>
      <c r="AE175" s="513">
        <v>102</v>
      </c>
      <c r="AF175" s="513">
        <v>92</v>
      </c>
      <c r="AG175" s="513">
        <v>19</v>
      </c>
      <c r="AH175" s="514">
        <v>1</v>
      </c>
    </row>
    <row r="176">
      <c r="A176" s="498"/>
      <c r="B176" s="499" t="s">
        <v>268</v>
      </c>
      <c r="C176" s="534" t="s">
        <v>265</v>
      </c>
      <c r="D176" s="532">
        <v>901.932</v>
      </c>
      <c r="E176" s="518">
        <v>1</v>
      </c>
      <c r="F176" s="519">
        <v>196</v>
      </c>
      <c r="G176" s="504">
        <f t="shared" si="49"/>
      </c>
      <c r="H176" s="505">
        <f t="shared" si="348"/>
      </c>
      <c r="I176" s="506">
        <f t="shared" si="284"/>
      </c>
      <c r="J176" s="507">
        <f t="shared" si="220"/>
      </c>
      <c r="K176" s="508">
        <f t="shared" si="612"/>
      </c>
      <c r="L176" s="505">
        <f t="shared" si="416"/>
      </c>
      <c r="M176" s="509">
        <f t="shared" si="486"/>
      </c>
      <c r="N176" s="509">
        <f t="shared" si="542"/>
      </c>
      <c r="O176" s="509">
        <f t="shared" si="447"/>
      </c>
      <c r="P176" s="509">
        <f t="shared" si="379"/>
      </c>
      <c r="Q176" s="505">
        <f t="shared" si="317"/>
      </c>
      <c r="R176" s="507">
        <f t="shared" si="253"/>
      </c>
      <c r="S176" s="509">
        <f t="shared" si="156"/>
      </c>
      <c r="T176" s="509">
        <f t="shared" si="86"/>
      </c>
      <c r="U176" s="509">
        <f t="shared" si="12"/>
      </c>
      <c r="V176" s="509">
        <f t="shared" si="573"/>
      </c>
      <c r="W176" s="520" t="s">
        <v>255</v>
      </c>
      <c r="X176" s="511" t="s">
        <v>282</v>
      </c>
      <c r="Y176" s="513">
        <v>182534</v>
      </c>
      <c r="Z176" s="513">
        <v>2404</v>
      </c>
      <c r="AA176" s="513">
        <v>164167</v>
      </c>
      <c r="AB176" s="513">
        <v>297</v>
      </c>
      <c r="AC176" s="513">
        <v>1</v>
      </c>
      <c r="AD176" s="513">
        <v>7032</v>
      </c>
      <c r="AE176" s="513">
        <v>46</v>
      </c>
      <c r="AF176" s="513">
        <v>54</v>
      </c>
      <c r="AG176" s="513">
        <v>7</v>
      </c>
      <c r="AH176" s="514">
        <v>1</v>
      </c>
    </row>
    <row r="177">
      <c r="A177" s="498"/>
      <c r="B177" s="521" t="s">
        <v>261</v>
      </c>
      <c r="C177" s="521"/>
      <c r="D177" s="522">
        <f>SUM(D174:D176)</f>
      </c>
      <c r="E177" s="522">
        <f>SUM(E174:E176)</f>
      </c>
      <c r="F177" s="522">
        <f>SUM(F174:F176)</f>
      </c>
      <c r="G177" s="522">
        <f t="shared" si="49"/>
      </c>
      <c r="H177" s="524">
        <f t="shared" si="348"/>
      </c>
      <c r="I177" s="525">
        <f t="shared" si="284"/>
      </c>
      <c r="J177" s="526">
        <f t="shared" si="220"/>
      </c>
      <c r="K177" s="527">
        <f t="shared" si="612"/>
      </c>
      <c r="L177" s="524">
        <f t="shared" si="416"/>
      </c>
      <c r="M177" s="528">
        <f t="shared" si="486"/>
      </c>
      <c r="N177" s="528">
        <f t="shared" si="542"/>
      </c>
      <c r="O177" s="528">
        <f t="shared" si="447"/>
      </c>
      <c r="P177" s="528">
        <f t="shared" si="379"/>
      </c>
      <c r="Q177" s="524">
        <f t="shared" si="317"/>
      </c>
      <c r="R177" s="526">
        <f t="shared" si="253"/>
      </c>
      <c r="S177" s="528">
        <f t="shared" si="156"/>
      </c>
      <c r="T177" s="528">
        <f t="shared" si="86"/>
      </c>
      <c r="U177" s="528">
        <f t="shared" si="12"/>
      </c>
      <c r="V177" s="528">
        <f t="shared" si="573"/>
      </c>
      <c r="W177" s="528"/>
      <c r="X177" s="529"/>
      <c r="Y177" s="522">
        <f>SUM(Y174:Y176)</f>
      </c>
      <c r="Z177" s="522">
        <f>SUM(Z174:Z176)</f>
      </c>
      <c r="AA177" s="522">
        <f>SUM(AA174:AA176)</f>
      </c>
      <c r="AB177" s="522">
        <f>SUM(AB174:AB176)</f>
      </c>
      <c r="AC177" s="522">
        <f>SUM(AC174:AC176)</f>
      </c>
      <c r="AD177" s="522">
        <f>SUM(AD174:AD176)</f>
      </c>
      <c r="AE177" s="522">
        <f>SUM(AE174:AE176)</f>
      </c>
      <c r="AF177" s="522">
        <f>SUM(AF174:AF176)</f>
      </c>
      <c r="AG177" s="522">
        <f>SUM(AG174:AG176)</f>
      </c>
      <c r="AH177" s="522">
        <f>SUM(AH174:AH176)</f>
      </c>
    </row>
    <row r="178">
      <c r="A178" s="498"/>
      <c r="B178" s="540" t="s">
        <v>271</v>
      </c>
      <c r="C178" s="537" t="s">
        <v>266</v>
      </c>
      <c r="D178" s="541">
        <v>673.2470000000001</v>
      </c>
      <c r="E178" s="542">
        <v>1</v>
      </c>
      <c r="F178" s="519">
        <v>228</v>
      </c>
      <c r="G178" s="504">
        <f t="shared" si="49"/>
      </c>
      <c r="H178" s="505">
        <f t="shared" si="348"/>
      </c>
      <c r="I178" s="506">
        <f t="shared" si="284"/>
      </c>
      <c r="J178" s="507">
        <f t="shared" si="220"/>
      </c>
      <c r="K178" s="508">
        <f t="shared" si="612"/>
      </c>
      <c r="L178" s="505">
        <f t="shared" si="416"/>
      </c>
      <c r="M178" s="509">
        <f t="shared" si="486"/>
      </c>
      <c r="N178" s="509">
        <f t="shared" si="542"/>
      </c>
      <c r="O178" s="509">
        <f t="shared" si="447"/>
      </c>
      <c r="P178" s="509">
        <f t="shared" si="379"/>
      </c>
      <c r="Q178" s="505">
        <f t="shared" si="317"/>
      </c>
      <c r="R178" s="507">
        <f t="shared" si="253"/>
      </c>
      <c r="S178" s="509">
        <f t="shared" si="156"/>
      </c>
      <c r="T178" s="509">
        <f t="shared" si="86"/>
      </c>
      <c r="U178" s="509">
        <f t="shared" si="12"/>
      </c>
      <c r="V178" s="509">
        <f t="shared" si="573"/>
      </c>
      <c r="W178" s="520" t="s">
        <v>255</v>
      </c>
      <c r="X178" s="511" t="s">
        <v>267</v>
      </c>
      <c r="Y178" s="513">
        <v>140561</v>
      </c>
      <c r="Z178" s="513">
        <v>2627</v>
      </c>
      <c r="AA178" s="513">
        <v>126478</v>
      </c>
      <c r="AB178" s="513">
        <v>255</v>
      </c>
      <c r="AC178" s="513">
        <v>1</v>
      </c>
      <c r="AD178" s="513">
        <v>7008</v>
      </c>
      <c r="AE178" s="513">
        <v>54</v>
      </c>
      <c r="AF178" s="513">
        <v>78</v>
      </c>
      <c r="AG178" s="513">
        <v>4</v>
      </c>
      <c r="AH178" s="514">
        <v>0</v>
      </c>
    </row>
    <row r="179">
      <c r="A179" s="498"/>
      <c r="B179" s="540" t="s">
        <v>271</v>
      </c>
      <c r="C179" s="540" t="s">
        <v>269</v>
      </c>
      <c r="D179" s="541">
        <v>451.53499999999997</v>
      </c>
      <c r="E179" s="542">
        <v>4</v>
      </c>
      <c r="F179" s="519">
        <v>858.4000000000015</v>
      </c>
      <c r="G179" s="504">
        <f t="shared" si="49"/>
      </c>
      <c r="H179" s="505">
        <f t="shared" si="348"/>
      </c>
      <c r="I179" s="506">
        <f t="shared" si="284"/>
      </c>
      <c r="J179" s="507">
        <f t="shared" si="220"/>
      </c>
      <c r="K179" s="508">
        <f t="shared" si="612"/>
      </c>
      <c r="L179" s="505">
        <f t="shared" si="416"/>
      </c>
      <c r="M179" s="509">
        <f t="shared" si="486"/>
      </c>
      <c r="N179" s="509">
        <f t="shared" si="542"/>
      </c>
      <c r="O179" s="509">
        <f t="shared" si="447"/>
      </c>
      <c r="P179" s="509">
        <f t="shared" si="379"/>
      </c>
      <c r="Q179" s="505">
        <f t="shared" si="317"/>
      </c>
      <c r="R179" s="507">
        <f t="shared" si="253"/>
      </c>
      <c r="S179" s="509">
        <f t="shared" si="156"/>
      </c>
      <c r="T179" s="509">
        <f t="shared" si="86"/>
      </c>
      <c r="U179" s="509">
        <f t="shared" si="12"/>
      </c>
      <c r="V179" s="509">
        <f t="shared" si="573"/>
      </c>
      <c r="W179" s="520" t="s">
        <v>255</v>
      </c>
      <c r="X179" s="511" t="s">
        <v>267</v>
      </c>
      <c r="Y179" s="513">
        <v>95680</v>
      </c>
      <c r="Z179" s="513">
        <v>1627</v>
      </c>
      <c r="AA179" s="513">
        <v>73007</v>
      </c>
      <c r="AB179" s="513">
        <v>171</v>
      </c>
      <c r="AC179" s="513">
        <v>2</v>
      </c>
      <c r="AD179" s="513">
        <v>3233</v>
      </c>
      <c r="AE179" s="513">
        <v>33</v>
      </c>
      <c r="AF179" s="513">
        <v>35</v>
      </c>
      <c r="AG179" s="513">
        <v>6</v>
      </c>
      <c r="AH179" s="514">
        <v>1</v>
      </c>
    </row>
    <row r="180">
      <c r="A180" s="498"/>
      <c r="B180" s="540" t="s">
        <v>271</v>
      </c>
      <c r="C180" s="534" t="s">
        <v>270</v>
      </c>
      <c r="D180" s="541">
        <v>472.94</v>
      </c>
      <c r="E180" s="542">
        <v>2</v>
      </c>
      <c r="F180" s="519">
        <v>445.2000000000007</v>
      </c>
      <c r="G180" s="504">
        <f t="shared" si="49"/>
      </c>
      <c r="H180" s="505">
        <f t="shared" si="348"/>
      </c>
      <c r="I180" s="506">
        <f t="shared" si="284"/>
      </c>
      <c r="J180" s="507">
        <f t="shared" si="220"/>
      </c>
      <c r="K180" s="508">
        <f t="shared" si="612"/>
      </c>
      <c r="L180" s="505">
        <f t="shared" si="416"/>
      </c>
      <c r="M180" s="509">
        <f t="shared" si="486"/>
      </c>
      <c r="N180" s="509">
        <f t="shared" si="542"/>
      </c>
      <c r="O180" s="509">
        <f t="shared" si="447"/>
      </c>
      <c r="P180" s="509">
        <f t="shared" si="379"/>
      </c>
      <c r="Q180" s="505">
        <f t="shared" si="317"/>
      </c>
      <c r="R180" s="507">
        <f t="shared" si="253"/>
      </c>
      <c r="S180" s="509">
        <f t="shared" si="156"/>
      </c>
      <c r="T180" s="509">
        <f t="shared" si="86"/>
      </c>
      <c r="U180" s="509">
        <f t="shared" si="12"/>
      </c>
      <c r="V180" s="509">
        <f t="shared" si="573"/>
      </c>
      <c r="W180" s="520" t="s">
        <v>255</v>
      </c>
      <c r="X180" s="511" t="s">
        <v>267</v>
      </c>
      <c r="Y180" s="513">
        <v>100673</v>
      </c>
      <c r="Z180" s="513">
        <v>1594</v>
      </c>
      <c r="AA180" s="513">
        <v>72406</v>
      </c>
      <c r="AB180" s="513">
        <v>138</v>
      </c>
      <c r="AC180" s="513">
        <v>1</v>
      </c>
      <c r="AD180" s="513">
        <v>3172</v>
      </c>
      <c r="AE180" s="513">
        <v>42</v>
      </c>
      <c r="AF180" s="513">
        <v>35</v>
      </c>
      <c r="AG180" s="513">
        <v>4</v>
      </c>
      <c r="AH180" s="514">
        <v>1</v>
      </c>
    </row>
    <row r="181">
      <c r="A181" s="498"/>
      <c r="B181" s="538" t="s">
        <v>261</v>
      </c>
      <c r="C181" s="538"/>
      <c r="D181" s="522">
        <f>SUM(D178:D180)</f>
      </c>
      <c r="E181" s="522">
        <f>SUM(E178:E180)</f>
      </c>
      <c r="F181" s="522">
        <f>SUM(F178:F180)</f>
      </c>
      <c r="G181" s="522">
        <f t="shared" si="49"/>
      </c>
      <c r="H181" s="524">
        <f t="shared" si="348"/>
      </c>
      <c r="I181" s="525">
        <f t="shared" si="284"/>
      </c>
      <c r="J181" s="526">
        <f t="shared" si="220"/>
      </c>
      <c r="K181" s="527">
        <f t="shared" si="612"/>
      </c>
      <c r="L181" s="524">
        <f t="shared" si="416"/>
      </c>
      <c r="M181" s="528">
        <f t="shared" si="486"/>
      </c>
      <c r="N181" s="528">
        <f t="shared" si="542"/>
      </c>
      <c r="O181" s="528">
        <f t="shared" si="447"/>
      </c>
      <c r="P181" s="528">
        <f t="shared" si="379"/>
      </c>
      <c r="Q181" s="524">
        <f t="shared" si="317"/>
      </c>
      <c r="R181" s="526">
        <f t="shared" si="253"/>
      </c>
      <c r="S181" s="528">
        <f t="shared" si="156"/>
      </c>
      <c r="T181" s="528">
        <f t="shared" si="86"/>
      </c>
      <c r="U181" s="528">
        <f t="shared" si="12"/>
      </c>
      <c r="V181" s="528">
        <f t="shared" si="573"/>
      </c>
      <c r="W181" s="528"/>
      <c r="X181" s="529"/>
      <c r="Y181" s="522">
        <f>SUM(Y178:Y180)</f>
      </c>
      <c r="Z181" s="522">
        <f>SUM(Z178:Z180)</f>
      </c>
      <c r="AA181" s="522">
        <f>SUM(AA178:AA180)</f>
      </c>
      <c r="AB181" s="522">
        <f>SUM(AB178:AB180)</f>
      </c>
      <c r="AC181" s="522">
        <f>SUM(AC178:AC180)</f>
      </c>
      <c r="AD181" s="522">
        <f>SUM(AD178:AD180)</f>
      </c>
      <c r="AE181" s="522">
        <f>SUM(AE178:AE180)</f>
      </c>
      <c r="AF181" s="522">
        <f>SUM(AF178:AF180)</f>
      </c>
      <c r="AG181" s="522">
        <f>SUM(AG178:AG180)</f>
      </c>
      <c r="AH181" s="522">
        <f>SUM(AH178:AH180)</f>
      </c>
    </row>
    <row r="182">
      <c r="A182" s="498"/>
      <c r="B182" s="499" t="s">
        <v>262</v>
      </c>
      <c r="C182" s="534" t="s">
        <v>272</v>
      </c>
      <c r="D182" s="535">
        <v>461.65</v>
      </c>
      <c r="E182" s="502">
        <v>2</v>
      </c>
      <c r="F182" s="503">
        <v>445.2000000000007</v>
      </c>
      <c r="G182" s="504">
        <f t="shared" si="49"/>
      </c>
      <c r="H182" s="505">
        <f t="shared" si="348"/>
      </c>
      <c r="I182" s="560">
        <f t="shared" si="284"/>
      </c>
      <c r="J182" s="559">
        <f t="shared" si="220"/>
      </c>
      <c r="K182" s="556">
        <f t="shared" ref="K182:K185" si="125">D182/AB182</f>
      </c>
      <c r="L182" s="557">
        <f t="shared" si="416"/>
      </c>
      <c r="M182" s="558">
        <f t="shared" ref="M182:M185" si="187">AC182/AB182</f>
      </c>
      <c r="N182" s="558">
        <f t="shared" si="542"/>
      </c>
      <c r="O182" s="558">
        <f t="shared" si="447"/>
      </c>
      <c r="P182" s="558">
        <f t="shared" si="379"/>
      </c>
      <c r="Q182" s="557">
        <f t="shared" si="317"/>
      </c>
      <c r="R182" s="559">
        <f t="shared" si="253"/>
      </c>
      <c r="S182" s="558">
        <f t="shared" si="156"/>
      </c>
      <c r="T182" s="558">
        <f t="shared" si="86"/>
      </c>
      <c r="U182" s="558">
        <f t="shared" si="12"/>
      </c>
      <c r="V182" s="558">
        <f t="shared" si="573"/>
      </c>
      <c r="W182" s="520" t="s">
        <v>255</v>
      </c>
      <c r="X182" s="511" t="s">
        <v>267</v>
      </c>
      <c r="Y182" s="513">
        <v>100583</v>
      </c>
      <c r="Z182" s="513">
        <v>1388</v>
      </c>
      <c r="AA182" s="513">
        <v>77067</v>
      </c>
      <c r="AB182" s="536">
        <v>120</v>
      </c>
      <c r="AC182" s="536">
        <v>1</v>
      </c>
      <c r="AD182" s="536">
        <v>2740</v>
      </c>
      <c r="AE182" s="536">
        <v>19</v>
      </c>
      <c r="AF182" s="536">
        <v>28</v>
      </c>
      <c r="AG182" s="536">
        <v>3</v>
      </c>
      <c r="AH182" s="514">
        <v>1</v>
      </c>
    </row>
    <row r="183">
      <c r="A183" s="498"/>
      <c r="B183" s="499" t="s">
        <v>262</v>
      </c>
      <c r="C183" s="537" t="s">
        <v>273</v>
      </c>
      <c r="D183" s="535">
        <v>482.492</v>
      </c>
      <c r="E183" s="502">
        <v>4</v>
      </c>
      <c r="F183" s="503">
        <v>2079.5999999999985</v>
      </c>
      <c r="G183" s="504">
        <f t="shared" si="49"/>
      </c>
      <c r="H183" s="505">
        <f t="shared" si="348"/>
      </c>
      <c r="I183" s="560">
        <f t="shared" si="284"/>
      </c>
      <c r="J183" s="559">
        <f t="shared" si="220"/>
      </c>
      <c r="K183" s="556">
        <f t="shared" si="125"/>
      </c>
      <c r="L183" s="557">
        <f t="shared" si="416"/>
      </c>
      <c r="M183" s="558">
        <f t="shared" si="187"/>
      </c>
      <c r="N183" s="558">
        <f t="shared" si="542"/>
      </c>
      <c r="O183" s="558">
        <f t="shared" si="447"/>
      </c>
      <c r="P183" s="558">
        <f t="shared" si="379"/>
      </c>
      <c r="Q183" s="557">
        <f t="shared" si="317"/>
      </c>
      <c r="R183" s="559">
        <f t="shared" si="253"/>
      </c>
      <c r="S183" s="558">
        <f t="shared" si="156"/>
      </c>
      <c r="T183" s="558">
        <f t="shared" si="86"/>
      </c>
      <c r="U183" s="558">
        <f t="shared" si="12"/>
      </c>
      <c r="V183" s="558">
        <f t="shared" si="573"/>
      </c>
      <c r="W183" s="520" t="s">
        <v>255</v>
      </c>
      <c r="X183" s="511" t="s">
        <v>267</v>
      </c>
      <c r="Y183" s="513">
        <v>84210</v>
      </c>
      <c r="Z183" s="513">
        <v>1252</v>
      </c>
      <c r="AA183" s="513">
        <v>46223</v>
      </c>
      <c r="AB183" s="536">
        <v>138</v>
      </c>
      <c r="AC183" s="536">
        <v>2</v>
      </c>
      <c r="AD183" s="536">
        <v>1133</v>
      </c>
      <c r="AE183" s="536">
        <v>35</v>
      </c>
      <c r="AF183" s="536">
        <v>24</v>
      </c>
      <c r="AG183" s="536">
        <v>1</v>
      </c>
      <c r="AH183" s="514">
        <v>1</v>
      </c>
    </row>
    <row r="184">
      <c r="A184" s="498"/>
      <c r="B184" s="499" t="s">
        <v>262</v>
      </c>
      <c r="C184" s="534" t="s">
        <v>274</v>
      </c>
      <c r="D184" s="541">
        <v>1204.2060000000001</v>
      </c>
      <c r="E184" s="542">
        <v>1</v>
      </c>
      <c r="F184" s="519">
        <v>193.20000000000073</v>
      </c>
      <c r="G184" s="504">
        <f t="shared" si="49"/>
      </c>
      <c r="H184" s="505">
        <f t="shared" si="348"/>
      </c>
      <c r="I184" s="560">
        <f t="shared" si="284"/>
      </c>
      <c r="J184" s="559">
        <f t="shared" si="220"/>
      </c>
      <c r="K184" s="556">
        <f t="shared" si="125"/>
      </c>
      <c r="L184" s="557">
        <f t="shared" si="416"/>
      </c>
      <c r="M184" s="558">
        <f t="shared" si="187"/>
      </c>
      <c r="N184" s="558">
        <f t="shared" si="542"/>
      </c>
      <c r="O184" s="558">
        <f t="shared" si="447"/>
      </c>
      <c r="P184" s="558">
        <f t="shared" si="379"/>
      </c>
      <c r="Q184" s="557">
        <f t="shared" si="317"/>
      </c>
      <c r="R184" s="559">
        <f t="shared" si="253"/>
      </c>
      <c r="S184" s="558">
        <f t="shared" si="156"/>
      </c>
      <c r="T184" s="558">
        <f t="shared" si="86"/>
      </c>
      <c r="U184" s="558">
        <f t="shared" si="12"/>
      </c>
      <c r="V184" s="558">
        <f t="shared" si="573"/>
      </c>
      <c r="W184" s="520" t="s">
        <v>255</v>
      </c>
      <c r="X184" s="511" t="s">
        <v>267</v>
      </c>
      <c r="Y184" s="513">
        <v>197971</v>
      </c>
      <c r="Z184" s="513">
        <v>2930</v>
      </c>
      <c r="AA184" s="513">
        <v>168072</v>
      </c>
      <c r="AB184" s="513">
        <v>372</v>
      </c>
      <c r="AC184" s="513">
        <v>0</v>
      </c>
      <c r="AD184" s="513">
        <v>7918</v>
      </c>
      <c r="AE184" s="513">
        <v>107</v>
      </c>
      <c r="AF184" s="513">
        <v>111</v>
      </c>
      <c r="AG184" s="514">
        <v>13</v>
      </c>
      <c r="AH184" s="514">
        <v>0</v>
      </c>
    </row>
    <row r="185">
      <c r="A185" s="498"/>
      <c r="B185" s="499" t="s">
        <v>262</v>
      </c>
      <c r="C185" s="555" t="s">
        <v>275</v>
      </c>
      <c r="D185" s="541">
        <v>1540.583</v>
      </c>
      <c r="E185" s="542">
        <v>4</v>
      </c>
      <c r="F185" s="519">
        <v>1448</v>
      </c>
      <c r="G185" s="504">
        <f t="shared" si="49"/>
      </c>
      <c r="H185" s="505">
        <f t="shared" si="348"/>
      </c>
      <c r="I185" s="560">
        <f t="shared" si="284"/>
      </c>
      <c r="J185" s="559">
        <f t="shared" si="220"/>
      </c>
      <c r="K185" s="556">
        <f t="shared" si="125"/>
      </c>
      <c r="L185" s="557">
        <f t="shared" si="416"/>
      </c>
      <c r="M185" s="558">
        <f t="shared" si="187"/>
      </c>
      <c r="N185" s="558">
        <f t="shared" si="542"/>
      </c>
      <c r="O185" s="558">
        <f t="shared" si="447"/>
      </c>
      <c r="P185" s="558">
        <f t="shared" si="379"/>
      </c>
      <c r="Q185" s="557">
        <f t="shared" si="317"/>
      </c>
      <c r="R185" s="559">
        <f t="shared" si="253"/>
      </c>
      <c r="S185" s="558">
        <f t="shared" si="156"/>
      </c>
      <c r="T185" s="558">
        <f t="shared" si="86"/>
      </c>
      <c r="U185" s="558">
        <f t="shared" si="12"/>
      </c>
      <c r="V185" s="558">
        <f t="shared" si="573"/>
      </c>
      <c r="W185" s="520" t="s">
        <v>255</v>
      </c>
      <c r="X185" s="511" t="s">
        <v>267</v>
      </c>
      <c r="Y185" s="513">
        <v>323291</v>
      </c>
      <c r="Z185" s="513">
        <v>3363</v>
      </c>
      <c r="AA185" s="513">
        <v>309182</v>
      </c>
      <c r="AB185" s="513">
        <v>472</v>
      </c>
      <c r="AC185" s="513">
        <v>3</v>
      </c>
      <c r="AD185" s="513">
        <v>11732</v>
      </c>
      <c r="AE185" s="513">
        <v>147</v>
      </c>
      <c r="AF185" s="513">
        <v>151</v>
      </c>
      <c r="AG185" s="514">
        <v>16</v>
      </c>
      <c r="AH185" s="514">
        <v>0</v>
      </c>
    </row>
    <row r="186">
      <c r="A186" s="498"/>
      <c r="B186" s="538" t="s">
        <v>261</v>
      </c>
      <c r="C186" s="538"/>
      <c r="D186" s="522">
        <f>SUM(D182:D185)</f>
      </c>
      <c r="E186" s="522">
        <f>SUM(E182:E185)</f>
      </c>
      <c r="F186" s="522">
        <f>SUM(F182:F185)</f>
      </c>
      <c r="G186" s="522">
        <f t="shared" si="49"/>
      </c>
      <c r="H186" s="524">
        <f t="shared" si="348"/>
      </c>
      <c r="I186" s="525">
        <f t="shared" si="284"/>
      </c>
      <c r="J186" s="526">
        <f t="shared" si="220"/>
      </c>
      <c r="K186" s="527">
        <f t="shared" ref="K186:K187" si="613">D186/AA186</f>
      </c>
      <c r="L186" s="524">
        <f t="shared" si="416"/>
      </c>
      <c r="M186" s="528">
        <f t="shared" ref="M186:M187" si="487">AB186/AA186</f>
      </c>
      <c r="N186" s="528">
        <f t="shared" si="542"/>
      </c>
      <c r="O186" s="528">
        <f t="shared" si="447"/>
      </c>
      <c r="P186" s="528">
        <f t="shared" si="379"/>
      </c>
      <c r="Q186" s="524">
        <f t="shared" si="317"/>
      </c>
      <c r="R186" s="526">
        <f t="shared" si="253"/>
      </c>
      <c r="S186" s="528">
        <f t="shared" si="156"/>
      </c>
      <c r="T186" s="528">
        <f t="shared" si="86"/>
      </c>
      <c r="U186" s="528">
        <f t="shared" si="12"/>
      </c>
      <c r="V186" s="528">
        <f t="shared" si="573"/>
      </c>
      <c r="W186" s="528"/>
      <c r="X186" s="529"/>
      <c r="Y186" s="522">
        <f>SUM(Y182:Y185)</f>
      </c>
      <c r="Z186" s="522">
        <f>SUM(Z182:Z185)</f>
      </c>
      <c r="AA186" s="522">
        <f>SUM(AA182:AA185)</f>
      </c>
      <c r="AB186" s="522">
        <f>SUM(AB182:AB185)</f>
      </c>
      <c r="AC186" s="522">
        <f>SUM(AC182:AC185)</f>
      </c>
      <c r="AD186" s="522">
        <f>SUM(AD182:AD185)</f>
      </c>
      <c r="AE186" s="522">
        <f>SUM(AE182:AE185)</f>
      </c>
      <c r="AF186" s="522">
        <f>SUM(AF182:AF185)</f>
      </c>
      <c r="AG186" s="522">
        <f>SUM(AG182:AG185)</f>
      </c>
      <c r="AH186" s="522">
        <f>SUM(AH182:AH185)</f>
      </c>
    </row>
    <row r="187">
      <c r="A187" s="498"/>
      <c r="B187" s="543" t="s">
        <v>276</v>
      </c>
      <c r="C187" s="543"/>
      <c r="D187" s="554">
        <f>SUM(D173+D186+D181+D177)</f>
      </c>
      <c r="E187" s="554">
        <f>SUM(E173+E186+E181+E177)</f>
      </c>
      <c r="F187" s="554">
        <f>SUM(F173+F186+F181+F177)</f>
      </c>
      <c r="G187" s="544">
        <f t="shared" si="49"/>
      </c>
      <c r="H187" s="545">
        <f t="shared" si="348"/>
      </c>
      <c r="I187" s="546">
        <f t="shared" si="284"/>
      </c>
      <c r="J187" s="547">
        <f t="shared" si="220"/>
      </c>
      <c r="K187" s="548">
        <f t="shared" si="613"/>
      </c>
      <c r="L187" s="548">
        <f t="shared" si="416"/>
      </c>
      <c r="M187" s="550">
        <f t="shared" si="487"/>
      </c>
      <c r="N187" s="550">
        <f t="shared" si="542"/>
      </c>
      <c r="O187" s="550">
        <f t="shared" si="447"/>
      </c>
      <c r="P187" s="550">
        <f t="shared" si="379"/>
      </c>
      <c r="Q187" s="549">
        <f t="shared" si="317"/>
      </c>
      <c r="R187" s="551">
        <f t="shared" si="253"/>
      </c>
      <c r="S187" s="552">
        <f t="shared" si="156"/>
      </c>
      <c r="T187" s="552">
        <f t="shared" si="86"/>
      </c>
      <c r="U187" s="552">
        <f t="shared" si="12"/>
      </c>
      <c r="V187" s="552">
        <f t="shared" si="573"/>
      </c>
      <c r="W187" s="552"/>
      <c r="X187" s="553"/>
      <c r="Y187" s="544">
        <f>SUM(Y181+Y186+Y173+Y177)</f>
      </c>
      <c r="Z187" s="544">
        <f>SUM(Z181+Z186+Z173+Z177)</f>
      </c>
      <c r="AA187" s="544">
        <f>SUM(AA181+AA186+AA173+AA177)</f>
      </c>
      <c r="AB187" s="544">
        <f>SUM(AB181+AB186+AB173+AB177)</f>
      </c>
      <c r="AC187" s="544">
        <f>SUM(AC181+AC186+AC173+AC177)</f>
      </c>
      <c r="AD187" s="544">
        <f>SUM(AD181+AD186+AD173+AD177)</f>
      </c>
      <c r="AE187" s="544">
        <f>SUM(AE181+AE186+AE173+AE177)</f>
      </c>
      <c r="AF187" s="544">
        <f>SUM(AF181+AF186+AF173+AF177)</f>
      </c>
      <c r="AG187" s="544">
        <f>SUM(AG181+AG186+AG173+AG177)</f>
      </c>
      <c r="AH187" s="544">
        <f>SUM(AH181+AH186+AH173+AH177)</f>
      </c>
    </row>
    <row r="188">
      <c r="A188" s="485" t="s">
        <v>218</v>
      </c>
      <c r="B188" s="485" t="s">
        <v>219</v>
      </c>
      <c r="C188" s="486" t="s">
        <v>220</v>
      </c>
      <c r="D188" s="487" t="s">
        <v>221</v>
      </c>
      <c r="E188" s="488" t="s">
        <v>222</v>
      </c>
      <c r="F188" s="489" t="s">
        <v>223</v>
      </c>
      <c r="G188" s="489" t="s">
        <v>224</v>
      </c>
      <c r="H188" s="490" t="s">
        <v>225</v>
      </c>
      <c r="I188" s="490" t="s">
        <v>226</v>
      </c>
      <c r="J188" s="490" t="s">
        <v>227</v>
      </c>
      <c r="K188" s="491" t="s">
        <v>228</v>
      </c>
      <c r="L188" s="491" t="s">
        <v>229</v>
      </c>
      <c r="M188" s="491" t="s">
        <v>231</v>
      </c>
      <c r="N188" s="491" t="s">
        <v>232</v>
      </c>
      <c r="O188" s="491" t="s">
        <v>233</v>
      </c>
      <c r="P188" s="491" t="s">
        <v>234</v>
      </c>
      <c r="Q188" s="491" t="s">
        <v>235</v>
      </c>
      <c r="R188" s="491" t="s">
        <v>236</v>
      </c>
      <c r="S188" s="492" t="s">
        <v>237</v>
      </c>
      <c r="T188" s="492" t="s">
        <v>238</v>
      </c>
      <c r="U188" s="492" t="s">
        <v>239</v>
      </c>
      <c r="V188" s="492" t="s">
        <v>240</v>
      </c>
      <c r="W188" s="493" t="s">
        <v>241</v>
      </c>
      <c r="X188" s="493" t="s">
        <v>242</v>
      </c>
      <c r="Y188" s="494" t="s">
        <v>243</v>
      </c>
      <c r="Z188" s="494" t="s">
        <v>244</v>
      </c>
      <c r="AA188" s="494" t="s">
        <v>245</v>
      </c>
      <c r="AB188" s="495" t="s">
        <v>246</v>
      </c>
      <c r="AC188" s="495" t="s">
        <v>247</v>
      </c>
      <c r="AD188" s="496" t="s">
        <v>248</v>
      </c>
      <c r="AE188" s="495" t="s">
        <v>249</v>
      </c>
      <c r="AF188" s="495" t="s">
        <v>250</v>
      </c>
      <c r="AG188" s="497" t="s">
        <v>251</v>
      </c>
      <c r="AH188" s="495" t="s">
        <v>252</v>
      </c>
    </row>
    <row r="189">
      <c r="A189" s="498">
        <v>46213</v>
      </c>
      <c r="B189" s="530" t="s">
        <v>277</v>
      </c>
      <c r="C189" s="500" t="s">
        <v>254</v>
      </c>
      <c r="D189" s="501">
        <v>757.74</v>
      </c>
      <c r="E189" s="502">
        <v>3</v>
      </c>
      <c r="F189" s="503">
        <v>652</v>
      </c>
      <c r="G189" s="504">
        <f t="shared" ref="G189:G208" si="50">D189/AC189</f>
      </c>
      <c r="H189" s="505">
        <f t="shared" ref="H189:H208" si="349">F189/E189</f>
      </c>
      <c r="I189" s="506">
        <f t="shared" ref="I189:I208" si="285">D189/E189</f>
      </c>
      <c r="J189" s="507">
        <f t="shared" ref="J189:J208" si="221">F189/D189</f>
      </c>
      <c r="K189" s="508">
        <f t="shared" ref="K189:K203" si="614">D189/AA189</f>
      </c>
      <c r="L189" s="505">
        <f t="shared" ref="L189:L208" si="417">D189/AB189</f>
      </c>
      <c r="M189" s="509">
        <f t="shared" ref="M189:M203" si="488">AB189/AA189</f>
      </c>
      <c r="N189" s="509">
        <f t="shared" ref="N189:N208" si="543">AC189/AB189</f>
      </c>
      <c r="O189" s="509">
        <f t="shared" ref="O189:O208" si="448">Z189/Y189</f>
      </c>
      <c r="P189" s="509">
        <f t="shared" ref="P189:P208" si="380">AC189/Z189</f>
      </c>
      <c r="Q189" s="505">
        <f t="shared" ref="Q189:Q208" si="318">D189/Y189*1000</f>
      </c>
      <c r="R189" s="507">
        <f t="shared" ref="R189:R208" si="254">D189/Z189</f>
      </c>
      <c r="S189" s="509">
        <f t="shared" ref="S189:S208" si="157">AD189/AA189</f>
      </c>
      <c r="T189" s="509">
        <f t="shared" ref="T189:T208" si="87">AE189/AA189</f>
      </c>
      <c r="U189" s="509">
        <f t="shared" ref="U189:U208" si="13">AF189/AA189</f>
      </c>
      <c r="V189" s="509">
        <f t="shared" ref="V189:V208" si="574">AG189/AA189</f>
      </c>
      <c r="W189" s="510" t="s">
        <v>255</v>
      </c>
      <c r="X189" s="511" t="s">
        <v>283</v>
      </c>
      <c r="Y189" s="512">
        <v>93852</v>
      </c>
      <c r="Z189" s="512">
        <v>2542</v>
      </c>
      <c r="AA189" s="512">
        <v>61679</v>
      </c>
      <c r="AB189" s="512">
        <v>463</v>
      </c>
      <c r="AC189" s="514">
        <v>3</v>
      </c>
      <c r="AD189" s="512">
        <v>11189</v>
      </c>
      <c r="AE189" s="513">
        <v>115</v>
      </c>
      <c r="AF189" s="513">
        <v>117</v>
      </c>
      <c r="AG189" s="513">
        <v>7</v>
      </c>
      <c r="AH189" s="514">
        <v>0</v>
      </c>
    </row>
    <row r="190">
      <c r="A190" s="498"/>
      <c r="B190" s="530" t="s">
        <v>277</v>
      </c>
      <c r="C190" s="500" t="s">
        <v>257</v>
      </c>
      <c r="D190" s="501">
        <v>1782.27</v>
      </c>
      <c r="E190" s="502">
        <v>1</v>
      </c>
      <c r="F190" s="503">
        <v>228</v>
      </c>
      <c r="G190" s="504">
        <f t="shared" si="50"/>
      </c>
      <c r="H190" s="505">
        <f t="shared" si="349"/>
      </c>
      <c r="I190" s="506">
        <f t="shared" si="285"/>
      </c>
      <c r="J190" s="507">
        <f t="shared" si="221"/>
      </c>
      <c r="K190" s="508">
        <f t="shared" si="614"/>
      </c>
      <c r="L190" s="505">
        <f t="shared" si="417"/>
      </c>
      <c r="M190" s="509">
        <f t="shared" si="488"/>
      </c>
      <c r="N190" s="509">
        <f t="shared" si="543"/>
      </c>
      <c r="O190" s="509">
        <f t="shared" si="448"/>
      </c>
      <c r="P190" s="509">
        <f t="shared" si="380"/>
      </c>
      <c r="Q190" s="505">
        <f t="shared" si="318"/>
      </c>
      <c r="R190" s="507">
        <f t="shared" si="254"/>
      </c>
      <c r="S190" s="509">
        <f t="shared" si="157"/>
      </c>
      <c r="T190" s="509">
        <f t="shared" si="87"/>
      </c>
      <c r="U190" s="509">
        <f t="shared" si="13"/>
      </c>
      <c r="V190" s="509">
        <f t="shared" si="574"/>
      </c>
      <c r="W190" s="510" t="s">
        <v>255</v>
      </c>
      <c r="X190" s="511" t="s">
        <v>283</v>
      </c>
      <c r="Y190" s="513">
        <v>249043</v>
      </c>
      <c r="Z190" s="512">
        <v>3947</v>
      </c>
      <c r="AA190" s="512">
        <v>144818</v>
      </c>
      <c r="AB190" s="512">
        <v>736</v>
      </c>
      <c r="AC190" s="513">
        <v>1</v>
      </c>
      <c r="AD190" s="512">
        <v>15222</v>
      </c>
      <c r="AE190" s="513">
        <v>197</v>
      </c>
      <c r="AF190" s="513">
        <v>177</v>
      </c>
      <c r="AG190" s="514">
        <v>18</v>
      </c>
      <c r="AH190" s="514">
        <v>0</v>
      </c>
    </row>
    <row r="191">
      <c r="A191" s="498"/>
      <c r="B191" s="530" t="s">
        <v>277</v>
      </c>
      <c r="C191" s="515" t="s">
        <v>258</v>
      </c>
      <c r="D191" s="501">
        <v>2082.54</v>
      </c>
      <c r="E191" s="502">
        <v>6</v>
      </c>
      <c r="F191" s="503">
        <v>2670.4</v>
      </c>
      <c r="G191" s="504">
        <f t="shared" si="50"/>
      </c>
      <c r="H191" s="505">
        <f t="shared" si="349"/>
      </c>
      <c r="I191" s="506">
        <f t="shared" si="285"/>
      </c>
      <c r="J191" s="507">
        <f t="shared" si="221"/>
      </c>
      <c r="K191" s="508">
        <f t="shared" si="614"/>
      </c>
      <c r="L191" s="505">
        <f t="shared" si="417"/>
      </c>
      <c r="M191" s="509">
        <f t="shared" si="488"/>
      </c>
      <c r="N191" s="509">
        <f t="shared" si="543"/>
      </c>
      <c r="O191" s="509">
        <f t="shared" si="448"/>
      </c>
      <c r="P191" s="509">
        <f t="shared" si="380"/>
      </c>
      <c r="Q191" s="505">
        <f t="shared" si="318"/>
      </c>
      <c r="R191" s="507">
        <f t="shared" si="254"/>
      </c>
      <c r="S191" s="509">
        <f t="shared" si="157"/>
      </c>
      <c r="T191" s="509">
        <f t="shared" si="87"/>
      </c>
      <c r="U191" s="509">
        <f t="shared" si="13"/>
      </c>
      <c r="V191" s="509">
        <f t="shared" si="574"/>
      </c>
      <c r="W191" s="510" t="s">
        <v>255</v>
      </c>
      <c r="X191" s="511" t="s">
        <v>283</v>
      </c>
      <c r="Y191" s="513">
        <v>333905</v>
      </c>
      <c r="Z191" s="512">
        <v>7523</v>
      </c>
      <c r="AA191" s="512">
        <v>222210</v>
      </c>
      <c r="AB191" s="512">
        <v>920</v>
      </c>
      <c r="AC191" s="513">
        <v>5</v>
      </c>
      <c r="AD191" s="512">
        <v>20916</v>
      </c>
      <c r="AE191" s="513">
        <v>348</v>
      </c>
      <c r="AF191" s="513">
        <v>298</v>
      </c>
      <c r="AG191" s="513">
        <v>17</v>
      </c>
      <c r="AH191" s="514">
        <v>0</v>
      </c>
    </row>
    <row r="192">
      <c r="A192" s="498"/>
      <c r="B192" s="530" t="s">
        <v>277</v>
      </c>
      <c r="C192" s="516" t="s">
        <v>259</v>
      </c>
      <c r="D192" s="501">
        <v>1649.78</v>
      </c>
      <c r="E192" s="502">
        <v>1</v>
      </c>
      <c r="F192" s="503">
        <v>828</v>
      </c>
      <c r="G192" s="504">
        <f t="shared" si="50"/>
      </c>
      <c r="H192" s="505">
        <f t="shared" si="349"/>
      </c>
      <c r="I192" s="506">
        <f t="shared" si="285"/>
      </c>
      <c r="J192" s="507">
        <f t="shared" si="221"/>
      </c>
      <c r="K192" s="508">
        <f t="shared" si="614"/>
      </c>
      <c r="L192" s="505">
        <f t="shared" si="417"/>
      </c>
      <c r="M192" s="509">
        <f t="shared" si="488"/>
      </c>
      <c r="N192" s="509">
        <f t="shared" si="543"/>
      </c>
      <c r="O192" s="509">
        <f t="shared" si="448"/>
      </c>
      <c r="P192" s="509">
        <f t="shared" si="380"/>
      </c>
      <c r="Q192" s="505">
        <f t="shared" si="318"/>
      </c>
      <c r="R192" s="507">
        <f t="shared" si="254"/>
      </c>
      <c r="S192" s="509">
        <f t="shared" si="157"/>
      </c>
      <c r="T192" s="509">
        <f t="shared" si="87"/>
      </c>
      <c r="U192" s="509">
        <f t="shared" si="13"/>
      </c>
      <c r="V192" s="509">
        <f t="shared" si="574"/>
      </c>
      <c r="W192" s="504" t="s">
        <v>255</v>
      </c>
      <c r="X192" s="511" t="s">
        <v>283</v>
      </c>
      <c r="Y192" s="513">
        <v>224785</v>
      </c>
      <c r="Z192" s="513">
        <v>6091</v>
      </c>
      <c r="AA192" s="513">
        <v>192985</v>
      </c>
      <c r="AB192" s="513">
        <v>657</v>
      </c>
      <c r="AC192" s="513">
        <v>1</v>
      </c>
      <c r="AD192" s="513">
        <v>18385</v>
      </c>
      <c r="AE192" s="513">
        <v>241</v>
      </c>
      <c r="AF192" s="513">
        <v>221</v>
      </c>
      <c r="AG192" s="514">
        <v>24</v>
      </c>
      <c r="AH192" s="514">
        <v>0</v>
      </c>
    </row>
    <row r="193">
      <c r="A193" s="498"/>
      <c r="B193" s="530" t="s">
        <v>277</v>
      </c>
      <c r="C193" s="516" t="s">
        <v>260</v>
      </c>
      <c r="D193" s="517">
        <v>1559.3</v>
      </c>
      <c r="E193" s="518">
        <v>6</v>
      </c>
      <c r="F193" s="519">
        <v>1914.4</v>
      </c>
      <c r="G193" s="504">
        <f t="shared" si="50"/>
      </c>
      <c r="H193" s="505">
        <f t="shared" si="349"/>
      </c>
      <c r="I193" s="506">
        <f t="shared" si="285"/>
      </c>
      <c r="J193" s="507">
        <f t="shared" si="221"/>
      </c>
      <c r="K193" s="508">
        <f t="shared" si="614"/>
      </c>
      <c r="L193" s="505">
        <f t="shared" si="417"/>
      </c>
      <c r="M193" s="509">
        <f t="shared" si="488"/>
      </c>
      <c r="N193" s="509">
        <f t="shared" si="543"/>
      </c>
      <c r="O193" s="509">
        <f t="shared" si="448"/>
      </c>
      <c r="P193" s="509">
        <f t="shared" si="380"/>
      </c>
      <c r="Q193" s="505">
        <f t="shared" si="318"/>
      </c>
      <c r="R193" s="507">
        <f t="shared" si="254"/>
      </c>
      <c r="S193" s="509">
        <f t="shared" si="157"/>
      </c>
      <c r="T193" s="509">
        <f t="shared" si="87"/>
      </c>
      <c r="U193" s="509">
        <f t="shared" si="13"/>
      </c>
      <c r="V193" s="509">
        <f t="shared" si="574"/>
      </c>
      <c r="W193" s="520" t="s">
        <v>255</v>
      </c>
      <c r="X193" s="511" t="s">
        <v>283</v>
      </c>
      <c r="Y193" s="513">
        <v>224413</v>
      </c>
      <c r="Z193" s="513">
        <v>5654</v>
      </c>
      <c r="AA193" s="513">
        <v>204620</v>
      </c>
      <c r="AB193" s="513">
        <v>541</v>
      </c>
      <c r="AC193" s="513">
        <v>3</v>
      </c>
      <c r="AD193" s="513">
        <v>14475</v>
      </c>
      <c r="AE193" s="513">
        <v>182</v>
      </c>
      <c r="AF193" s="513">
        <v>180</v>
      </c>
      <c r="AG193" s="514">
        <v>14</v>
      </c>
      <c r="AH193" s="514">
        <v>1</v>
      </c>
    </row>
    <row r="194">
      <c r="A194" s="498"/>
      <c r="B194" s="521" t="s">
        <v>261</v>
      </c>
      <c r="C194" s="521"/>
      <c r="D194" s="522">
        <f>SUM(D189:D193)</f>
      </c>
      <c r="E194" s="523">
        <f>SUM(E189:E193)</f>
      </c>
      <c r="F194" s="522">
        <f>SUM(F189:F193)</f>
      </c>
      <c r="G194" s="522">
        <f t="shared" si="50"/>
      </c>
      <c r="H194" s="524">
        <f t="shared" si="349"/>
      </c>
      <c r="I194" s="525">
        <f t="shared" si="285"/>
      </c>
      <c r="J194" s="526">
        <f t="shared" si="221"/>
      </c>
      <c r="K194" s="527">
        <f t="shared" si="614"/>
      </c>
      <c r="L194" s="524">
        <f t="shared" si="417"/>
      </c>
      <c r="M194" s="528">
        <f t="shared" si="488"/>
      </c>
      <c r="N194" s="528">
        <f t="shared" si="543"/>
      </c>
      <c r="O194" s="528">
        <f t="shared" si="448"/>
      </c>
      <c r="P194" s="528">
        <f t="shared" si="380"/>
      </c>
      <c r="Q194" s="524">
        <f t="shared" si="318"/>
      </c>
      <c r="R194" s="526">
        <f t="shared" si="254"/>
      </c>
      <c r="S194" s="528">
        <f t="shared" si="157"/>
      </c>
      <c r="T194" s="528">
        <f t="shared" si="87"/>
      </c>
      <c r="U194" s="528">
        <f t="shared" si="13"/>
      </c>
      <c r="V194" s="528">
        <f t="shared" si="574"/>
      </c>
      <c r="W194" s="528"/>
      <c r="X194" s="529"/>
      <c r="Y194" s="522">
        <f>SUM(Y189:Y193)</f>
      </c>
      <c r="Z194" s="522">
        <f>SUM(Z189:Z193)</f>
      </c>
      <c r="AA194" s="522">
        <f>SUM(AA189:AA193)</f>
      </c>
      <c r="AB194" s="522">
        <f>SUM(AB189:AB193)</f>
      </c>
      <c r="AC194" s="522">
        <f>SUM(AC189:AC193)</f>
      </c>
      <c r="AD194" s="522">
        <f>SUM(AD189:AD193)</f>
      </c>
      <c r="AE194" s="522">
        <f>SUM(AE189:AE193)</f>
      </c>
      <c r="AF194" s="522">
        <f>SUM(AF189:AF193)</f>
      </c>
      <c r="AG194" s="522">
        <f>SUM(AG189:AG193)</f>
      </c>
      <c r="AH194" s="522">
        <f>SUM(AH189:AH193)</f>
      </c>
    </row>
    <row r="195">
      <c r="A195" s="498"/>
      <c r="B195" s="499" t="s">
        <v>253</v>
      </c>
      <c r="C195" s="531" t="s">
        <v>263</v>
      </c>
      <c r="D195" s="532">
        <v>1564.65</v>
      </c>
      <c r="E195" s="502">
        <v>3</v>
      </c>
      <c r="F195" s="503">
        <v>684</v>
      </c>
      <c r="G195" s="504">
        <f t="shared" si="50"/>
      </c>
      <c r="H195" s="505">
        <f t="shared" si="349"/>
      </c>
      <c r="I195" s="506">
        <f t="shared" si="285"/>
      </c>
      <c r="J195" s="507">
        <f t="shared" si="221"/>
      </c>
      <c r="K195" s="508">
        <f t="shared" si="614"/>
      </c>
      <c r="L195" s="505">
        <f t="shared" si="417"/>
      </c>
      <c r="M195" s="509">
        <f t="shared" si="488"/>
      </c>
      <c r="N195" s="509">
        <f t="shared" si="543"/>
      </c>
      <c r="O195" s="509">
        <f t="shared" si="448"/>
      </c>
      <c r="P195" s="509">
        <f t="shared" si="380"/>
      </c>
      <c r="Q195" s="505">
        <f t="shared" si="318"/>
      </c>
      <c r="R195" s="507">
        <f t="shared" si="254"/>
      </c>
      <c r="S195" s="509">
        <f t="shared" si="157"/>
      </c>
      <c r="T195" s="509">
        <f t="shared" si="87"/>
      </c>
      <c r="U195" s="509">
        <f t="shared" si="13"/>
      </c>
      <c r="V195" s="509">
        <f t="shared" si="574"/>
      </c>
      <c r="W195" s="520" t="s">
        <v>255</v>
      </c>
      <c r="X195" s="511" t="s">
        <v>283</v>
      </c>
      <c r="Y195" s="512">
        <v>229768</v>
      </c>
      <c r="Z195" s="512">
        <v>6793</v>
      </c>
      <c r="AA195" s="512">
        <v>210802</v>
      </c>
      <c r="AB195" s="513">
        <v>492</v>
      </c>
      <c r="AC195" s="513">
        <v>4</v>
      </c>
      <c r="AD195" s="512">
        <v>12546</v>
      </c>
      <c r="AE195" s="513">
        <v>179</v>
      </c>
      <c r="AF195" s="513">
        <v>204</v>
      </c>
      <c r="AG195" s="513">
        <v>20</v>
      </c>
      <c r="AH195" s="514">
        <v>0</v>
      </c>
    </row>
    <row r="196">
      <c r="A196" s="498"/>
      <c r="B196" s="499" t="s">
        <v>253</v>
      </c>
      <c r="C196" s="533" t="s">
        <v>264</v>
      </c>
      <c r="D196" s="532">
        <v>1241.9</v>
      </c>
      <c r="E196" s="518">
        <v>3</v>
      </c>
      <c r="F196" s="519">
        <v>684</v>
      </c>
      <c r="G196" s="504">
        <f t="shared" si="50"/>
      </c>
      <c r="H196" s="505">
        <f t="shared" si="349"/>
      </c>
      <c r="I196" s="506">
        <f t="shared" si="285"/>
      </c>
      <c r="J196" s="507">
        <f t="shared" si="221"/>
      </c>
      <c r="K196" s="508">
        <f t="shared" si="614"/>
      </c>
      <c r="L196" s="505">
        <f t="shared" si="417"/>
      </c>
      <c r="M196" s="509">
        <f t="shared" si="488"/>
      </c>
      <c r="N196" s="509">
        <f t="shared" si="543"/>
      </c>
      <c r="O196" s="509">
        <f t="shared" si="448"/>
      </c>
      <c r="P196" s="509">
        <f t="shared" si="380"/>
      </c>
      <c r="Q196" s="505">
        <f t="shared" si="318"/>
      </c>
      <c r="R196" s="507">
        <f t="shared" si="254"/>
      </c>
      <c r="S196" s="509">
        <f t="shared" si="157"/>
      </c>
      <c r="T196" s="509">
        <f t="shared" si="87"/>
      </c>
      <c r="U196" s="509">
        <f t="shared" si="13"/>
      </c>
      <c r="V196" s="509">
        <f t="shared" si="574"/>
      </c>
      <c r="W196" s="520" t="s">
        <v>255</v>
      </c>
      <c r="X196" s="511" t="s">
        <v>283</v>
      </c>
      <c r="Y196" s="513">
        <v>167724</v>
      </c>
      <c r="Z196" s="513">
        <v>4375</v>
      </c>
      <c r="AA196" s="513">
        <v>128068</v>
      </c>
      <c r="AB196" s="513">
        <v>420</v>
      </c>
      <c r="AC196" s="513">
        <v>3</v>
      </c>
      <c r="AD196" s="513">
        <v>8027</v>
      </c>
      <c r="AE196" s="513">
        <v>107</v>
      </c>
      <c r="AF196" s="513">
        <v>105</v>
      </c>
      <c r="AG196" s="513">
        <v>15</v>
      </c>
      <c r="AH196" s="514">
        <v>0</v>
      </c>
    </row>
    <row customHeight="true" ht="16.071428571428573" r="197">
      <c r="A197" s="498"/>
      <c r="B197" s="499" t="s">
        <v>253</v>
      </c>
      <c r="C197" s="534" t="s">
        <v>265</v>
      </c>
      <c r="D197" s="532">
        <v>1361.97</v>
      </c>
      <c r="E197" s="518">
        <v>3</v>
      </c>
      <c r="F197" s="519">
        <v>1252</v>
      </c>
      <c r="G197" s="504">
        <f t="shared" si="50"/>
      </c>
      <c r="H197" s="505">
        <f t="shared" si="349"/>
      </c>
      <c r="I197" s="506">
        <f t="shared" si="285"/>
      </c>
      <c r="J197" s="507">
        <f t="shared" si="221"/>
      </c>
      <c r="K197" s="508">
        <f t="shared" si="614"/>
      </c>
      <c r="L197" s="505">
        <f t="shared" si="417"/>
      </c>
      <c r="M197" s="509">
        <f t="shared" si="488"/>
      </c>
      <c r="N197" s="509">
        <f t="shared" si="543"/>
      </c>
      <c r="O197" s="509">
        <f t="shared" si="448"/>
      </c>
      <c r="P197" s="509">
        <f t="shared" si="380"/>
      </c>
      <c r="Q197" s="505">
        <f t="shared" si="318"/>
      </c>
      <c r="R197" s="507">
        <f t="shared" si="254"/>
      </c>
      <c r="S197" s="509">
        <f t="shared" si="157"/>
      </c>
      <c r="T197" s="509">
        <f t="shared" si="87"/>
      </c>
      <c r="U197" s="509">
        <f t="shared" si="13"/>
      </c>
      <c r="V197" s="509">
        <f t="shared" si="574"/>
      </c>
      <c r="W197" s="520" t="s">
        <v>255</v>
      </c>
      <c r="X197" s="511" t="s">
        <v>283</v>
      </c>
      <c r="Y197" s="513">
        <v>226268</v>
      </c>
      <c r="Z197" s="513">
        <v>6385</v>
      </c>
      <c r="AA197" s="513">
        <v>212039</v>
      </c>
      <c r="AB197" s="513">
        <v>376</v>
      </c>
      <c r="AC197" s="513">
        <v>3</v>
      </c>
      <c r="AD197" s="513">
        <v>9977</v>
      </c>
      <c r="AE197" s="513">
        <v>147</v>
      </c>
      <c r="AF197" s="513">
        <v>128</v>
      </c>
      <c r="AG197" s="513">
        <v>12</v>
      </c>
      <c r="AH197" s="514">
        <v>0</v>
      </c>
    </row>
    <row r="198">
      <c r="A198" s="498"/>
      <c r="B198" s="499" t="s">
        <v>253</v>
      </c>
      <c r="C198" s="537" t="s">
        <v>266</v>
      </c>
      <c r="D198" s="532">
        <v>1465.75</v>
      </c>
      <c r="E198" s="518">
        <v>6</v>
      </c>
      <c r="F198" s="519">
        <v>3764.2000000000007</v>
      </c>
      <c r="G198" s="504">
        <f t="shared" si="50"/>
      </c>
      <c r="H198" s="505">
        <f t="shared" si="349"/>
      </c>
      <c r="I198" s="506">
        <f t="shared" si="285"/>
      </c>
      <c r="J198" s="507">
        <f t="shared" si="221"/>
      </c>
      <c r="K198" s="508">
        <f t="shared" si="614"/>
      </c>
      <c r="L198" s="505">
        <f t="shared" si="417"/>
      </c>
      <c r="M198" s="509">
        <f t="shared" si="488"/>
      </c>
      <c r="N198" s="509">
        <f t="shared" si="543"/>
      </c>
      <c r="O198" s="509">
        <f t="shared" si="448"/>
      </c>
      <c r="P198" s="509">
        <f t="shared" si="380"/>
      </c>
      <c r="Q198" s="505">
        <f t="shared" si="318"/>
      </c>
      <c r="R198" s="507">
        <f t="shared" si="254"/>
      </c>
      <c r="S198" s="509">
        <f t="shared" si="157"/>
      </c>
      <c r="T198" s="509">
        <f t="shared" si="87"/>
      </c>
      <c r="U198" s="509">
        <f t="shared" si="13"/>
      </c>
      <c r="V198" s="509">
        <f t="shared" si="574"/>
      </c>
      <c r="W198" s="520" t="s">
        <v>255</v>
      </c>
      <c r="X198" s="511" t="s">
        <v>267</v>
      </c>
      <c r="Y198" s="513">
        <v>317581</v>
      </c>
      <c r="Z198" s="513">
        <v>8224</v>
      </c>
      <c r="AA198" s="513">
        <v>304790</v>
      </c>
      <c r="AB198" s="513">
        <v>370</v>
      </c>
      <c r="AC198" s="513">
        <v>4</v>
      </c>
      <c r="AD198" s="513">
        <v>11925</v>
      </c>
      <c r="AE198" s="513">
        <v>132</v>
      </c>
      <c r="AF198" s="513">
        <v>169</v>
      </c>
      <c r="AG198" s="513">
        <v>12</v>
      </c>
      <c r="AH198" s="514">
        <v>1</v>
      </c>
    </row>
    <row r="199">
      <c r="A199" s="498"/>
      <c r="B199" s="521" t="s">
        <v>261</v>
      </c>
      <c r="C199" s="521"/>
      <c r="D199" s="522">
        <f>SUM(D195:D198)</f>
      </c>
      <c r="E199" s="522">
        <f>SUM(E195:E198)</f>
      </c>
      <c r="F199" s="522">
        <f>SUM(F195:F198)</f>
      </c>
      <c r="G199" s="522">
        <f t="shared" si="50"/>
      </c>
      <c r="H199" s="524">
        <f t="shared" si="349"/>
      </c>
      <c r="I199" s="525">
        <f t="shared" si="285"/>
      </c>
      <c r="J199" s="526">
        <f t="shared" si="221"/>
      </c>
      <c r="K199" s="527">
        <f t="shared" si="614"/>
      </c>
      <c r="L199" s="524">
        <f t="shared" si="417"/>
      </c>
      <c r="M199" s="528">
        <f t="shared" si="488"/>
      </c>
      <c r="N199" s="528">
        <f t="shared" si="543"/>
      </c>
      <c r="O199" s="528">
        <f t="shared" si="448"/>
      </c>
      <c r="P199" s="528">
        <f t="shared" si="380"/>
      </c>
      <c r="Q199" s="524">
        <f t="shared" si="318"/>
      </c>
      <c r="R199" s="526">
        <f t="shared" si="254"/>
      </c>
      <c r="S199" s="528">
        <f t="shared" si="157"/>
      </c>
      <c r="T199" s="528">
        <f t="shared" si="87"/>
      </c>
      <c r="U199" s="528">
        <f t="shared" si="13"/>
      </c>
      <c r="V199" s="528">
        <f t="shared" si="574"/>
      </c>
      <c r="W199" s="528"/>
      <c r="X199" s="529"/>
      <c r="Y199" s="522">
        <f>SUM(Y195:Y198)</f>
      </c>
      <c r="Z199" s="522">
        <f>SUM(Z195:Z198)</f>
      </c>
      <c r="AA199" s="522">
        <f>SUM(AA195:AA198)</f>
      </c>
      <c r="AB199" s="522">
        <f>SUM(AB195:AB198)</f>
      </c>
      <c r="AC199" s="522">
        <f>SUM(AC195:AC198)</f>
      </c>
      <c r="AD199" s="522">
        <f>SUM(AD195:AD198)</f>
      </c>
      <c r="AE199" s="522">
        <f>SUM(AE195:AE198)</f>
      </c>
      <c r="AF199" s="522">
        <f>SUM(AF195:AF198)</f>
      </c>
      <c r="AG199" s="522">
        <f>SUM(AG195:AG198)</f>
      </c>
      <c r="AH199" s="522">
        <f>SUM(AH195:AH198)</f>
      </c>
    </row>
    <row r="200">
      <c r="A200" s="498"/>
      <c r="B200" s="499" t="s">
        <v>262</v>
      </c>
      <c r="C200" s="540" t="s">
        <v>269</v>
      </c>
      <c r="D200" s="541">
        <v>1577.48</v>
      </c>
      <c r="E200" s="542">
        <v>3</v>
      </c>
      <c r="F200" s="519">
        <v>1252</v>
      </c>
      <c r="G200" s="504">
        <f t="shared" si="50"/>
      </c>
      <c r="H200" s="505">
        <f t="shared" si="349"/>
      </c>
      <c r="I200" s="506">
        <f t="shared" si="285"/>
      </c>
      <c r="J200" s="507">
        <f t="shared" si="221"/>
      </c>
      <c r="K200" s="508">
        <f t="shared" si="614"/>
      </c>
      <c r="L200" s="505">
        <f t="shared" si="417"/>
      </c>
      <c r="M200" s="509">
        <f t="shared" si="488"/>
      </c>
      <c r="N200" s="509">
        <f t="shared" si="543"/>
      </c>
      <c r="O200" s="509">
        <f t="shared" si="448"/>
      </c>
      <c r="P200" s="509">
        <f t="shared" si="380"/>
      </c>
      <c r="Q200" s="505">
        <f t="shared" si="318"/>
      </c>
      <c r="R200" s="507">
        <f t="shared" si="254"/>
      </c>
      <c r="S200" s="509">
        <f t="shared" si="157"/>
      </c>
      <c r="T200" s="509">
        <f t="shared" si="87"/>
      </c>
      <c r="U200" s="509">
        <f t="shared" si="13"/>
      </c>
      <c r="V200" s="509">
        <f t="shared" si="574"/>
      </c>
      <c r="W200" s="520" t="s">
        <v>255</v>
      </c>
      <c r="X200" s="511" t="s">
        <v>267</v>
      </c>
      <c r="Y200" s="513">
        <v>334752</v>
      </c>
      <c r="Z200" s="513">
        <v>5774</v>
      </c>
      <c r="AA200" s="513">
        <v>332311</v>
      </c>
      <c r="AB200" s="513">
        <v>477</v>
      </c>
      <c r="AC200" s="513">
        <v>3</v>
      </c>
      <c r="AD200" s="513">
        <v>15131</v>
      </c>
      <c r="AE200" s="513">
        <v>135</v>
      </c>
      <c r="AF200" s="513">
        <v>186</v>
      </c>
      <c r="AG200" s="513">
        <v>8</v>
      </c>
      <c r="AH200" s="514">
        <v>0</v>
      </c>
    </row>
    <row r="201">
      <c r="A201" s="498"/>
      <c r="B201" s="499" t="s">
        <v>262</v>
      </c>
      <c r="C201" s="534" t="s">
        <v>270</v>
      </c>
      <c r="D201" s="541">
        <v>1334.16</v>
      </c>
      <c r="E201" s="542">
        <v>1</v>
      </c>
      <c r="F201" s="519">
        <v>196</v>
      </c>
      <c r="G201" s="504">
        <f t="shared" si="50"/>
      </c>
      <c r="H201" s="505">
        <f t="shared" si="349"/>
      </c>
      <c r="I201" s="506">
        <f t="shared" si="285"/>
      </c>
      <c r="J201" s="507">
        <f t="shared" si="221"/>
      </c>
      <c r="K201" s="508">
        <f t="shared" si="614"/>
      </c>
      <c r="L201" s="505">
        <f t="shared" si="417"/>
      </c>
      <c r="M201" s="509">
        <f t="shared" si="488"/>
      </c>
      <c r="N201" s="509">
        <f t="shared" si="543"/>
      </c>
      <c r="O201" s="509">
        <f t="shared" si="448"/>
      </c>
      <c r="P201" s="509">
        <f t="shared" si="380"/>
      </c>
      <c r="Q201" s="505">
        <f t="shared" si="318"/>
      </c>
      <c r="R201" s="507">
        <f t="shared" si="254"/>
      </c>
      <c r="S201" s="509">
        <f t="shared" si="157"/>
      </c>
      <c r="T201" s="509">
        <f t="shared" si="87"/>
      </c>
      <c r="U201" s="509">
        <f t="shared" si="13"/>
      </c>
      <c r="V201" s="509">
        <f t="shared" si="574"/>
      </c>
      <c r="W201" s="520" t="s">
        <v>255</v>
      </c>
      <c r="X201" s="511" t="s">
        <v>267</v>
      </c>
      <c r="Y201" s="513">
        <v>283697</v>
      </c>
      <c r="Z201" s="513">
        <v>3718</v>
      </c>
      <c r="AA201" s="513">
        <v>278016</v>
      </c>
      <c r="AB201" s="513">
        <v>386</v>
      </c>
      <c r="AC201" s="513">
        <v>1</v>
      </c>
      <c r="AD201" s="513">
        <v>12988</v>
      </c>
      <c r="AE201" s="513">
        <v>99</v>
      </c>
      <c r="AF201" s="513">
        <v>134</v>
      </c>
      <c r="AG201" s="513">
        <v>15</v>
      </c>
      <c r="AH201" s="514">
        <v>0</v>
      </c>
    </row>
    <row r="202">
      <c r="A202" s="498"/>
      <c r="B202" s="499" t="s">
        <v>262</v>
      </c>
      <c r="C202" s="534" t="s">
        <v>272</v>
      </c>
      <c r="D202" s="541">
        <v>1140.68</v>
      </c>
      <c r="E202" s="542">
        <v>0</v>
      </c>
      <c r="F202" s="519">
        <v>0</v>
      </c>
      <c r="G202" s="504">
        <f t="shared" si="50"/>
      </c>
      <c r="H202" s="505">
        <f t="shared" si="349"/>
      </c>
      <c r="I202" s="506">
        <f t="shared" si="285"/>
      </c>
      <c r="J202" s="507">
        <f t="shared" si="221"/>
      </c>
      <c r="K202" s="508">
        <f t="shared" si="614"/>
      </c>
      <c r="L202" s="505">
        <f t="shared" si="417"/>
      </c>
      <c r="M202" s="509">
        <f t="shared" si="488"/>
      </c>
      <c r="N202" s="509">
        <f t="shared" si="543"/>
      </c>
      <c r="O202" s="509">
        <f t="shared" si="448"/>
      </c>
      <c r="P202" s="509">
        <f t="shared" si="380"/>
      </c>
      <c r="Q202" s="505">
        <f t="shared" si="318"/>
      </c>
      <c r="R202" s="507">
        <f t="shared" si="254"/>
      </c>
      <c r="S202" s="509">
        <f t="shared" si="157"/>
      </c>
      <c r="T202" s="509">
        <f t="shared" si="87"/>
      </c>
      <c r="U202" s="509">
        <f t="shared" si="13"/>
      </c>
      <c r="V202" s="509">
        <f t="shared" si="574"/>
      </c>
      <c r="W202" s="520" t="s">
        <v>255</v>
      </c>
      <c r="X202" s="511" t="s">
        <v>267</v>
      </c>
      <c r="Y202" s="513">
        <v>236294</v>
      </c>
      <c r="Z202" s="513">
        <v>2626</v>
      </c>
      <c r="AA202" s="513">
        <v>226618</v>
      </c>
      <c r="AB202" s="513">
        <v>324</v>
      </c>
      <c r="AC202" s="513">
        <v>0</v>
      </c>
      <c r="AD202" s="513">
        <v>10025</v>
      </c>
      <c r="AE202" s="513">
        <v>84</v>
      </c>
      <c r="AF202" s="513">
        <v>105</v>
      </c>
      <c r="AG202" s="513">
        <v>8</v>
      </c>
      <c r="AH202" s="514">
        <v>0</v>
      </c>
    </row>
    <row r="203">
      <c r="A203" s="498"/>
      <c r="B203" s="538" t="s">
        <v>261</v>
      </c>
      <c r="C203" s="538"/>
      <c r="D203" s="522">
        <f>SUM(D200:D202)</f>
      </c>
      <c r="E203" s="522">
        <f>SUM(E200:E202)</f>
      </c>
      <c r="F203" s="522">
        <f>SUM(F200:F202)</f>
      </c>
      <c r="G203" s="522">
        <f t="shared" si="50"/>
      </c>
      <c r="H203" s="524">
        <f t="shared" si="349"/>
      </c>
      <c r="I203" s="525">
        <f t="shared" si="285"/>
      </c>
      <c r="J203" s="526">
        <f t="shared" si="221"/>
      </c>
      <c r="K203" s="527">
        <f t="shared" si="614"/>
      </c>
      <c r="L203" s="524">
        <f t="shared" si="417"/>
      </c>
      <c r="M203" s="528">
        <f t="shared" si="488"/>
      </c>
      <c r="N203" s="528">
        <f t="shared" si="543"/>
      </c>
      <c r="O203" s="528">
        <f t="shared" si="448"/>
      </c>
      <c r="P203" s="528">
        <f t="shared" si="380"/>
      </c>
      <c r="Q203" s="524">
        <f t="shared" si="318"/>
      </c>
      <c r="R203" s="526">
        <f t="shared" si="254"/>
      </c>
      <c r="S203" s="528">
        <f t="shared" si="157"/>
      </c>
      <c r="T203" s="528">
        <f t="shared" si="87"/>
      </c>
      <c r="U203" s="528">
        <f t="shared" si="13"/>
      </c>
      <c r="V203" s="528">
        <f t="shared" si="574"/>
      </c>
      <c r="W203" s="528"/>
      <c r="X203" s="529"/>
      <c r="Y203" s="522">
        <f>SUM(Y200:Y202)</f>
      </c>
      <c r="Z203" s="522">
        <f>SUM(Z200:Z202)</f>
      </c>
      <c r="AA203" s="522">
        <f>SUM(AA200:AA202)</f>
      </c>
      <c r="AB203" s="522">
        <f>SUM(AB200:AB202)</f>
      </c>
      <c r="AC203" s="522">
        <f>SUM(AC200:AC202)</f>
      </c>
      <c r="AD203" s="522">
        <f>SUM(AD200:AD202)</f>
      </c>
      <c r="AE203" s="522">
        <f>SUM(AE200:AE202)</f>
      </c>
      <c r="AF203" s="522">
        <f>SUM(AF200:AF202)</f>
      </c>
      <c r="AG203" s="522">
        <f>SUM(AG200:AG202)</f>
      </c>
      <c r="AH203" s="522">
        <f>SUM(AH200:AH202)</f>
      </c>
    </row>
    <row r="204">
      <c r="A204" s="498"/>
      <c r="B204" s="499" t="s">
        <v>268</v>
      </c>
      <c r="C204" s="537" t="s">
        <v>273</v>
      </c>
      <c r="D204" s="535">
        <v>1341.04</v>
      </c>
      <c r="E204" s="502">
        <v>5</v>
      </c>
      <c r="F204" s="503">
        <v>2269.5999999999985</v>
      </c>
      <c r="G204" s="504">
        <f t="shared" si="50"/>
      </c>
      <c r="H204" s="505">
        <f t="shared" si="349"/>
      </c>
      <c r="I204" s="560">
        <f t="shared" si="285"/>
      </c>
      <c r="J204" s="559">
        <f t="shared" si="221"/>
      </c>
      <c r="K204" s="556">
        <f t="shared" ref="K204:K206" si="126">D204/AB204</f>
      </c>
      <c r="L204" s="557">
        <f t="shared" si="417"/>
      </c>
      <c r="M204" s="558">
        <f t="shared" ref="M204:M206" si="188">AC204/AB204</f>
      </c>
      <c r="N204" s="558">
        <f t="shared" si="543"/>
      </c>
      <c r="O204" s="558">
        <f t="shared" si="448"/>
      </c>
      <c r="P204" s="558">
        <f t="shared" si="380"/>
      </c>
      <c r="Q204" s="557">
        <f t="shared" si="318"/>
      </c>
      <c r="R204" s="559">
        <f t="shared" si="254"/>
      </c>
      <c r="S204" s="558">
        <f t="shared" si="157"/>
      </c>
      <c r="T204" s="558">
        <f t="shared" si="87"/>
      </c>
      <c r="U204" s="558">
        <f t="shared" si="13"/>
      </c>
      <c r="V204" s="558">
        <f t="shared" si="574"/>
      </c>
      <c r="W204" s="520" t="s">
        <v>255</v>
      </c>
      <c r="X204" s="511" t="s">
        <v>267</v>
      </c>
      <c r="Y204" s="513">
        <v>309993</v>
      </c>
      <c r="Z204" s="513">
        <v>3286</v>
      </c>
      <c r="AA204" s="513">
        <v>301490</v>
      </c>
      <c r="AB204" s="536">
        <v>456</v>
      </c>
      <c r="AC204" s="536">
        <v>4</v>
      </c>
      <c r="AD204" s="536">
        <v>11938</v>
      </c>
      <c r="AE204" s="536">
        <v>103</v>
      </c>
      <c r="AF204" s="536">
        <v>119</v>
      </c>
      <c r="AG204" s="536">
        <v>9</v>
      </c>
      <c r="AH204" s="514">
        <v>1</v>
      </c>
    </row>
    <row r="205">
      <c r="A205" s="498"/>
      <c r="B205" s="499" t="s">
        <v>268</v>
      </c>
      <c r="C205" s="534" t="s">
        <v>274</v>
      </c>
      <c r="D205" s="535">
        <v>1144.3</v>
      </c>
      <c r="E205" s="502">
        <v>2</v>
      </c>
      <c r="F205" s="503">
        <v>1056</v>
      </c>
      <c r="G205" s="504">
        <f t="shared" si="50"/>
      </c>
      <c r="H205" s="505">
        <f t="shared" si="349"/>
      </c>
      <c r="I205" s="560">
        <f t="shared" si="285"/>
      </c>
      <c r="J205" s="559">
        <f t="shared" si="221"/>
      </c>
      <c r="K205" s="556">
        <f t="shared" si="126"/>
      </c>
      <c r="L205" s="557">
        <f t="shared" si="417"/>
      </c>
      <c r="M205" s="558">
        <f t="shared" si="188"/>
      </c>
      <c r="N205" s="558">
        <f t="shared" si="543"/>
      </c>
      <c r="O205" s="558">
        <f t="shared" si="448"/>
      </c>
      <c r="P205" s="558">
        <f t="shared" si="380"/>
      </c>
      <c r="Q205" s="557">
        <f t="shared" si="318"/>
      </c>
      <c r="R205" s="559">
        <f t="shared" si="254"/>
      </c>
      <c r="S205" s="558">
        <f t="shared" si="157"/>
      </c>
      <c r="T205" s="558">
        <f t="shared" si="87"/>
      </c>
      <c r="U205" s="558">
        <f t="shared" si="13"/>
      </c>
      <c r="V205" s="558">
        <f t="shared" si="574"/>
      </c>
      <c r="W205" s="520" t="s">
        <v>255</v>
      </c>
      <c r="X205" s="511" t="s">
        <v>267</v>
      </c>
      <c r="Y205" s="513">
        <v>261136</v>
      </c>
      <c r="Z205" s="513">
        <v>3365</v>
      </c>
      <c r="AA205" s="513">
        <v>248310</v>
      </c>
      <c r="AB205" s="536">
        <v>449</v>
      </c>
      <c r="AC205" s="536">
        <v>2</v>
      </c>
      <c r="AD205" s="536">
        <v>12516</v>
      </c>
      <c r="AE205" s="536">
        <v>164</v>
      </c>
      <c r="AF205" s="536">
        <v>143</v>
      </c>
      <c r="AG205" s="536">
        <v>10</v>
      </c>
      <c r="AH205" s="514">
        <v>0</v>
      </c>
    </row>
    <row r="206">
      <c r="A206" s="498"/>
      <c r="B206" s="499" t="s">
        <v>268</v>
      </c>
      <c r="C206" s="555" t="s">
        <v>275</v>
      </c>
      <c r="D206" s="541">
        <v>1199.94</v>
      </c>
      <c r="E206" s="542">
        <v>2</v>
      </c>
      <c r="F206" s="519">
        <v>1056</v>
      </c>
      <c r="G206" s="504">
        <f t="shared" si="50"/>
      </c>
      <c r="H206" s="505">
        <f t="shared" si="349"/>
      </c>
      <c r="I206" s="560">
        <f t="shared" si="285"/>
      </c>
      <c r="J206" s="559">
        <f t="shared" si="221"/>
      </c>
      <c r="K206" s="556">
        <f t="shared" si="126"/>
      </c>
      <c r="L206" s="557">
        <f t="shared" si="417"/>
      </c>
      <c r="M206" s="558">
        <f t="shared" si="188"/>
      </c>
      <c r="N206" s="558">
        <f t="shared" si="543"/>
      </c>
      <c r="O206" s="558">
        <f t="shared" si="448"/>
      </c>
      <c r="P206" s="558">
        <f t="shared" si="380"/>
      </c>
      <c r="Q206" s="557">
        <f t="shared" si="318"/>
      </c>
      <c r="R206" s="559">
        <f t="shared" si="254"/>
      </c>
      <c r="S206" s="558">
        <f t="shared" si="157"/>
      </c>
      <c r="T206" s="558">
        <f t="shared" si="87"/>
      </c>
      <c r="U206" s="558">
        <f t="shared" si="13"/>
      </c>
      <c r="V206" s="558">
        <f t="shared" si="574"/>
      </c>
      <c r="W206" s="520" t="s">
        <v>255</v>
      </c>
      <c r="X206" s="511" t="s">
        <v>267</v>
      </c>
      <c r="Y206" s="513">
        <v>266696</v>
      </c>
      <c r="Z206" s="513">
        <v>3129</v>
      </c>
      <c r="AA206" s="513">
        <v>252723</v>
      </c>
      <c r="AB206" s="513">
        <v>471</v>
      </c>
      <c r="AC206" s="513">
        <v>2</v>
      </c>
      <c r="AD206" s="513">
        <v>12249</v>
      </c>
      <c r="AE206" s="513">
        <v>134</v>
      </c>
      <c r="AF206" s="513">
        <v>132</v>
      </c>
      <c r="AG206" s="514">
        <v>10</v>
      </c>
      <c r="AH206" s="514">
        <v>0</v>
      </c>
    </row>
    <row r="207">
      <c r="A207" s="498"/>
      <c r="B207" s="538" t="s">
        <v>261</v>
      </c>
      <c r="C207" s="538"/>
      <c r="D207" s="522">
        <f>SUM(D204:D206)</f>
      </c>
      <c r="E207" s="522">
        <f>SUM(E204:E206)</f>
      </c>
      <c r="F207" s="522">
        <f>SUM(F204:F206)</f>
      </c>
      <c r="G207" s="522">
        <f t="shared" si="50"/>
      </c>
      <c r="H207" s="524">
        <f t="shared" si="349"/>
      </c>
      <c r="I207" s="525">
        <f t="shared" si="285"/>
      </c>
      <c r="J207" s="526">
        <f t="shared" si="221"/>
      </c>
      <c r="K207" s="527">
        <f t="shared" ref="K207:K208" si="615">D207/AA207</f>
      </c>
      <c r="L207" s="524">
        <f t="shared" si="417"/>
      </c>
      <c r="M207" s="528">
        <f t="shared" ref="M207:M208" si="489">AB207/AA207</f>
      </c>
      <c r="N207" s="528">
        <f t="shared" si="543"/>
      </c>
      <c r="O207" s="528">
        <f t="shared" si="448"/>
      </c>
      <c r="P207" s="528">
        <f t="shared" si="380"/>
      </c>
      <c r="Q207" s="524">
        <f t="shared" si="318"/>
      </c>
      <c r="R207" s="526">
        <f t="shared" si="254"/>
      </c>
      <c r="S207" s="528">
        <f t="shared" si="157"/>
      </c>
      <c r="T207" s="528">
        <f t="shared" si="87"/>
      </c>
      <c r="U207" s="528">
        <f t="shared" si="13"/>
      </c>
      <c r="V207" s="528">
        <f t="shared" si="574"/>
      </c>
      <c r="W207" s="528"/>
      <c r="X207" s="529"/>
      <c r="Y207" s="522">
        <f>SUM(Y204:Y206)</f>
      </c>
      <c r="Z207" s="522">
        <f>SUM(Z204:Z206)</f>
      </c>
      <c r="AA207" s="522">
        <f>SUM(AA204:AA206)</f>
      </c>
      <c r="AB207" s="522">
        <f>SUM(AB204:AB206)</f>
      </c>
      <c r="AC207" s="522">
        <f>SUM(AC204:AC206)</f>
      </c>
      <c r="AD207" s="522">
        <f>SUM(AD204:AD206)</f>
      </c>
      <c r="AE207" s="522">
        <f>SUM(AE204:AE206)</f>
      </c>
      <c r="AF207" s="522">
        <f>SUM(AF204:AF206)</f>
      </c>
      <c r="AG207" s="522">
        <f>SUM(AG204:AG206)</f>
      </c>
      <c r="AH207" s="522">
        <f>SUM(AH204:AH206)</f>
      </c>
    </row>
    <row r="208">
      <c r="A208" s="498"/>
      <c r="B208" s="543" t="s">
        <v>276</v>
      </c>
      <c r="C208" s="543"/>
      <c r="D208" s="554">
        <f>SUM(D194+D207+D203+D199)</f>
      </c>
      <c r="E208" s="554">
        <f>SUM(E194+E207+E203+E199)</f>
      </c>
      <c r="F208" s="554">
        <f>SUM(F194+F207+F203+F199)</f>
      </c>
      <c r="G208" s="544">
        <f t="shared" si="50"/>
      </c>
      <c r="H208" s="545">
        <f t="shared" si="349"/>
      </c>
      <c r="I208" s="546">
        <f t="shared" si="285"/>
      </c>
      <c r="J208" s="547">
        <f t="shared" si="221"/>
      </c>
      <c r="K208" s="548">
        <f t="shared" si="615"/>
      </c>
      <c r="L208" s="548">
        <f t="shared" si="417"/>
      </c>
      <c r="M208" s="550">
        <f t="shared" si="489"/>
      </c>
      <c r="N208" s="550">
        <f t="shared" si="543"/>
      </c>
      <c r="O208" s="550">
        <f t="shared" si="448"/>
      </c>
      <c r="P208" s="550">
        <f t="shared" si="380"/>
      </c>
      <c r="Q208" s="549">
        <f t="shared" si="318"/>
      </c>
      <c r="R208" s="551">
        <f t="shared" si="254"/>
      </c>
      <c r="S208" s="552">
        <f t="shared" si="157"/>
      </c>
      <c r="T208" s="552">
        <f t="shared" si="87"/>
      </c>
      <c r="U208" s="552">
        <f t="shared" si="13"/>
      </c>
      <c r="V208" s="552">
        <f t="shared" si="574"/>
      </c>
      <c r="W208" s="552"/>
      <c r="X208" s="553"/>
      <c r="Y208" s="544">
        <f>SUM(Y203+Y207+Y194+Y199)</f>
      </c>
      <c r="Z208" s="544">
        <f>SUM(Z203+Z207+Z194+Z199)</f>
      </c>
      <c r="AA208" s="544">
        <f>SUM(AA203+AA207+AA194+AA199)</f>
      </c>
      <c r="AB208" s="544">
        <f>SUM(AB203+AB207+AB194+AB199)</f>
      </c>
      <c r="AC208" s="544">
        <f>SUM(AC203+AC207+AC194+AC199)</f>
      </c>
      <c r="AD208" s="544">
        <f>SUM(AD203+AD207+AD194+AD199)</f>
      </c>
      <c r="AE208" s="544">
        <f>SUM(AE203+AE207+AE194+AE199)</f>
      </c>
      <c r="AF208" s="544">
        <f>SUM(AF203+AF207+AF194+AF199)</f>
      </c>
      <c r="AG208" s="544">
        <f>SUM(AG203+AG207+AG194+AG199)</f>
      </c>
      <c r="AH208" s="544">
        <f>SUM(AH203+AH207+AH194+AH199)</f>
      </c>
    </row>
    <row r="209">
      <c r="A209" s="485" t="s">
        <v>218</v>
      </c>
      <c r="B209" s="485" t="s">
        <v>219</v>
      </c>
      <c r="C209" s="486" t="s">
        <v>220</v>
      </c>
      <c r="D209" s="487" t="s">
        <v>221</v>
      </c>
      <c r="E209" s="488" t="s">
        <v>222</v>
      </c>
      <c r="F209" s="489" t="s">
        <v>223</v>
      </c>
      <c r="G209" s="489" t="s">
        <v>224</v>
      </c>
      <c r="H209" s="490" t="s">
        <v>225</v>
      </c>
      <c r="I209" s="490" t="s">
        <v>226</v>
      </c>
      <c r="J209" s="490" t="s">
        <v>227</v>
      </c>
      <c r="K209" s="491" t="s">
        <v>228</v>
      </c>
      <c r="L209" s="491" t="s">
        <v>229</v>
      </c>
      <c r="M209" s="491" t="s">
        <v>231</v>
      </c>
      <c r="N209" s="491" t="s">
        <v>232</v>
      </c>
      <c r="O209" s="491" t="s">
        <v>233</v>
      </c>
      <c r="P209" s="491" t="s">
        <v>234</v>
      </c>
      <c r="Q209" s="491" t="s">
        <v>235</v>
      </c>
      <c r="R209" s="491" t="s">
        <v>236</v>
      </c>
      <c r="S209" s="492" t="s">
        <v>237</v>
      </c>
      <c r="T209" s="492" t="s">
        <v>238</v>
      </c>
      <c r="U209" s="492" t="s">
        <v>239</v>
      </c>
      <c r="V209" s="492" t="s">
        <v>240</v>
      </c>
      <c r="W209" s="493" t="s">
        <v>241</v>
      </c>
      <c r="X209" s="493" t="s">
        <v>242</v>
      </c>
      <c r="Y209" s="494" t="s">
        <v>243</v>
      </c>
      <c r="Z209" s="494" t="s">
        <v>244</v>
      </c>
      <c r="AA209" s="494" t="s">
        <v>245</v>
      </c>
      <c r="AB209" s="495" t="s">
        <v>246</v>
      </c>
      <c r="AC209" s="495" t="s">
        <v>247</v>
      </c>
      <c r="AD209" s="496" t="s">
        <v>248</v>
      </c>
      <c r="AE209" s="495" t="s">
        <v>249</v>
      </c>
      <c r="AF209" s="495" t="s">
        <v>250</v>
      </c>
      <c r="AG209" s="497" t="s">
        <v>251</v>
      </c>
      <c r="AH209" s="495" t="s">
        <v>252</v>
      </c>
    </row>
    <row r="210">
      <c r="A210" s="498">
        <v>46214</v>
      </c>
      <c r="B210" s="530" t="s">
        <v>271</v>
      </c>
      <c r="C210" s="500" t="s">
        <v>254</v>
      </c>
      <c r="D210" s="501">
        <v>637.011</v>
      </c>
      <c r="E210" s="502">
        <v>2</v>
      </c>
      <c r="F210" s="503">
        <v>424</v>
      </c>
      <c r="G210" s="504">
        <f t="shared" ref="G210:G228" si="51">D210/AC210</f>
      </c>
      <c r="H210" s="505">
        <f t="shared" ref="H210:H228" si="350">F210/E210</f>
      </c>
      <c r="I210" s="506">
        <f t="shared" ref="I210:I228" si="286">D210/E210</f>
      </c>
      <c r="J210" s="507">
        <f t="shared" ref="J210:J228" si="222">F210/D210</f>
      </c>
      <c r="K210" s="508">
        <f t="shared" ref="K210:K224" si="616">D210/AA210</f>
      </c>
      <c r="L210" s="505">
        <f t="shared" ref="L210:L228" si="418">D210/AB210</f>
      </c>
      <c r="M210" s="509">
        <f t="shared" ref="M210:M224" si="490">AB210/AA210</f>
      </c>
      <c r="N210" s="509">
        <f t="shared" ref="N210:N228" si="544">AC210/AB210</f>
      </c>
      <c r="O210" s="509">
        <f t="shared" ref="O210:O228" si="449">Z210/Y210</f>
      </c>
      <c r="P210" s="509">
        <f t="shared" ref="P210:P228" si="381">AC210/Z210</f>
      </c>
      <c r="Q210" s="505">
        <f t="shared" ref="Q210:Q228" si="319">D210/Y210*1000</f>
      </c>
      <c r="R210" s="507">
        <f t="shared" ref="R210:R228" si="255">D210/Z210</f>
      </c>
      <c r="S210" s="509">
        <f t="shared" ref="S210:S228" si="158">AD210/AA210</f>
      </c>
      <c r="T210" s="509">
        <f t="shared" ref="T210:T228" si="88">AE210/AA210</f>
      </c>
      <c r="U210" s="509">
        <f t="shared" ref="U210:U228" si="14">AF210/AA210</f>
      </c>
      <c r="V210" s="509">
        <f t="shared" ref="V210:V228" si="575">AG210/AA210</f>
      </c>
      <c r="W210" s="510" t="s">
        <v>255</v>
      </c>
      <c r="X210" s="511" t="s">
        <v>282</v>
      </c>
      <c r="Y210" s="512">
        <v>97183</v>
      </c>
      <c r="Z210" s="512">
        <v>3006</v>
      </c>
      <c r="AA210" s="512">
        <v>78626</v>
      </c>
      <c r="AB210" s="512">
        <v>393</v>
      </c>
      <c r="AC210" s="514">
        <v>2</v>
      </c>
      <c r="AD210" s="512">
        <v>11632</v>
      </c>
      <c r="AE210" s="513">
        <v>129</v>
      </c>
      <c r="AF210" s="513">
        <v>115</v>
      </c>
      <c r="AG210" s="513">
        <v>7</v>
      </c>
      <c r="AH210" s="514">
        <v>0</v>
      </c>
    </row>
    <row r="211">
      <c r="A211" s="498"/>
      <c r="B211" s="530" t="s">
        <v>271</v>
      </c>
      <c r="C211" s="500" t="s">
        <v>257</v>
      </c>
      <c r="D211" s="501">
        <v>995.078</v>
      </c>
      <c r="E211" s="502">
        <v>2</v>
      </c>
      <c r="F211" s="503">
        <v>456</v>
      </c>
      <c r="G211" s="504">
        <f t="shared" si="51"/>
      </c>
      <c r="H211" s="505">
        <f t="shared" si="350"/>
      </c>
      <c r="I211" s="506">
        <f t="shared" si="286"/>
      </c>
      <c r="J211" s="507">
        <f t="shared" si="222"/>
      </c>
      <c r="K211" s="508">
        <f t="shared" si="616"/>
      </c>
      <c r="L211" s="505">
        <f t="shared" si="418"/>
      </c>
      <c r="M211" s="509">
        <f t="shared" si="490"/>
      </c>
      <c r="N211" s="509">
        <f t="shared" si="544"/>
      </c>
      <c r="O211" s="509">
        <f t="shared" si="449"/>
      </c>
      <c r="P211" s="509">
        <f t="shared" si="381"/>
      </c>
      <c r="Q211" s="505">
        <f t="shared" si="319"/>
      </c>
      <c r="R211" s="507">
        <f t="shared" si="255"/>
      </c>
      <c r="S211" s="509">
        <f t="shared" si="158"/>
      </c>
      <c r="T211" s="509">
        <f t="shared" si="88"/>
      </c>
      <c r="U211" s="509">
        <f t="shared" si="14"/>
      </c>
      <c r="V211" s="509">
        <f t="shared" si="575"/>
      </c>
      <c r="W211" s="510" t="s">
        <v>255</v>
      </c>
      <c r="X211" s="511" t="s">
        <v>282</v>
      </c>
      <c r="Y211" s="513">
        <v>150601</v>
      </c>
      <c r="Z211" s="512">
        <v>4363</v>
      </c>
      <c r="AA211" s="512">
        <v>127005</v>
      </c>
      <c r="AB211" s="512">
        <v>541</v>
      </c>
      <c r="AC211" s="513">
        <v>1</v>
      </c>
      <c r="AD211" s="512">
        <v>13849</v>
      </c>
      <c r="AE211" s="513">
        <v>206</v>
      </c>
      <c r="AF211" s="513">
        <v>139</v>
      </c>
      <c r="AG211" s="514">
        <v>14</v>
      </c>
      <c r="AH211" s="514">
        <v>0</v>
      </c>
    </row>
    <row r="212">
      <c r="A212" s="498"/>
      <c r="B212" s="530" t="s">
        <v>271</v>
      </c>
      <c r="C212" s="515" t="s">
        <v>258</v>
      </c>
      <c r="D212" s="501">
        <v>874.3589999999999</v>
      </c>
      <c r="E212" s="502">
        <v>5</v>
      </c>
      <c r="F212" s="503">
        <v>1140</v>
      </c>
      <c r="G212" s="504">
        <f t="shared" si="51"/>
      </c>
      <c r="H212" s="505">
        <f t="shared" si="350"/>
      </c>
      <c r="I212" s="506">
        <f t="shared" si="286"/>
      </c>
      <c r="J212" s="507">
        <f t="shared" si="222"/>
      </c>
      <c r="K212" s="508">
        <f t="shared" si="616"/>
      </c>
      <c r="L212" s="505">
        <f t="shared" si="418"/>
      </c>
      <c r="M212" s="509">
        <f t="shared" si="490"/>
      </c>
      <c r="N212" s="509">
        <f t="shared" si="544"/>
      </c>
      <c r="O212" s="509">
        <f t="shared" si="449"/>
      </c>
      <c r="P212" s="509">
        <f t="shared" si="381"/>
      </c>
      <c r="Q212" s="505">
        <f t="shared" si="319"/>
      </c>
      <c r="R212" s="507">
        <f t="shared" si="255"/>
      </c>
      <c r="S212" s="509">
        <f t="shared" si="158"/>
      </c>
      <c r="T212" s="509">
        <f t="shared" si="88"/>
      </c>
      <c r="U212" s="509">
        <f t="shared" si="14"/>
      </c>
      <c r="V212" s="509">
        <f t="shared" si="575"/>
      </c>
      <c r="W212" s="510" t="s">
        <v>255</v>
      </c>
      <c r="X212" s="511" t="s">
        <v>282</v>
      </c>
      <c r="Y212" s="513">
        <v>128787</v>
      </c>
      <c r="Z212" s="512">
        <v>3647</v>
      </c>
      <c r="AA212" s="512">
        <v>110888</v>
      </c>
      <c r="AB212" s="512">
        <v>477</v>
      </c>
      <c r="AC212" s="513">
        <v>6</v>
      </c>
      <c r="AD212" s="512">
        <v>10940</v>
      </c>
      <c r="AE212" s="513">
        <v>179</v>
      </c>
      <c r="AF212" s="513">
        <v>107</v>
      </c>
      <c r="AG212" s="513">
        <v>8</v>
      </c>
      <c r="AH212" s="514">
        <v>0</v>
      </c>
    </row>
    <row r="213">
      <c r="A213" s="498"/>
      <c r="B213" s="530" t="s">
        <v>271</v>
      </c>
      <c r="C213" s="516" t="s">
        <v>259</v>
      </c>
      <c r="D213" s="501">
        <v>1229.466</v>
      </c>
      <c r="E213" s="502">
        <v>2</v>
      </c>
      <c r="F213" s="503">
        <v>392</v>
      </c>
      <c r="G213" s="504">
        <f t="shared" si="51"/>
      </c>
      <c r="H213" s="505">
        <f t="shared" si="350"/>
      </c>
      <c r="I213" s="506">
        <f t="shared" si="286"/>
      </c>
      <c r="J213" s="507">
        <f t="shared" si="222"/>
      </c>
      <c r="K213" s="508">
        <f t="shared" si="616"/>
      </c>
      <c r="L213" s="505">
        <f t="shared" si="418"/>
      </c>
      <c r="M213" s="509">
        <f t="shared" si="490"/>
      </c>
      <c r="N213" s="509">
        <f t="shared" si="544"/>
      </c>
      <c r="O213" s="509">
        <f t="shared" si="449"/>
      </c>
      <c r="P213" s="509">
        <f t="shared" si="381"/>
      </c>
      <c r="Q213" s="505">
        <f t="shared" si="319"/>
      </c>
      <c r="R213" s="507">
        <f t="shared" si="255"/>
      </c>
      <c r="S213" s="509">
        <f t="shared" si="158"/>
      </c>
      <c r="T213" s="509">
        <f t="shared" si="88"/>
      </c>
      <c r="U213" s="509">
        <f t="shared" si="14"/>
      </c>
      <c r="V213" s="509">
        <f t="shared" si="575"/>
      </c>
      <c r="W213" s="504" t="s">
        <v>255</v>
      </c>
      <c r="X213" s="511" t="s">
        <v>282</v>
      </c>
      <c r="Y213" s="513">
        <v>199518</v>
      </c>
      <c r="Z213" s="513">
        <v>4627</v>
      </c>
      <c r="AA213" s="513">
        <v>185850</v>
      </c>
      <c r="AB213" s="513">
        <v>531</v>
      </c>
      <c r="AC213" s="513">
        <v>2</v>
      </c>
      <c r="AD213" s="513">
        <v>12892</v>
      </c>
      <c r="AE213" s="513">
        <v>153</v>
      </c>
      <c r="AF213" s="513">
        <v>151</v>
      </c>
      <c r="AG213" s="514">
        <v>16</v>
      </c>
      <c r="AH213" s="514">
        <v>0</v>
      </c>
    </row>
    <row r="214">
      <c r="A214" s="498"/>
      <c r="B214" s="530" t="s">
        <v>271</v>
      </c>
      <c r="C214" s="516" t="s">
        <v>260</v>
      </c>
      <c r="D214" s="517">
        <v>1134.363</v>
      </c>
      <c r="E214" s="518">
        <v>6</v>
      </c>
      <c r="F214" s="519">
        <v>2529.6000000000004</v>
      </c>
      <c r="G214" s="504">
        <f t="shared" si="51"/>
      </c>
      <c r="H214" s="505">
        <f t="shared" si="350"/>
      </c>
      <c r="I214" s="506">
        <f t="shared" si="286"/>
      </c>
      <c r="J214" s="507">
        <f t="shared" si="222"/>
      </c>
      <c r="K214" s="508">
        <f t="shared" si="616"/>
      </c>
      <c r="L214" s="505">
        <f t="shared" si="418"/>
      </c>
      <c r="M214" s="509">
        <f t="shared" si="490"/>
      </c>
      <c r="N214" s="509">
        <f t="shared" si="544"/>
      </c>
      <c r="O214" s="509">
        <f t="shared" si="449"/>
      </c>
      <c r="P214" s="509">
        <f t="shared" si="381"/>
      </c>
      <c r="Q214" s="505">
        <f t="shared" si="319"/>
      </c>
      <c r="R214" s="507">
        <f t="shared" si="255"/>
      </c>
      <c r="S214" s="509">
        <f t="shared" si="158"/>
      </c>
      <c r="T214" s="509">
        <f t="shared" si="88"/>
      </c>
      <c r="U214" s="509">
        <f t="shared" si="14"/>
      </c>
      <c r="V214" s="509">
        <f t="shared" si="575"/>
      </c>
      <c r="W214" s="520" t="s">
        <v>255</v>
      </c>
      <c r="X214" s="511" t="s">
        <v>282</v>
      </c>
      <c r="Y214" s="513">
        <v>206230</v>
      </c>
      <c r="Z214" s="513">
        <v>7829</v>
      </c>
      <c r="AA214" s="513">
        <v>191981</v>
      </c>
      <c r="AB214" s="513">
        <v>538</v>
      </c>
      <c r="AC214" s="513">
        <v>5</v>
      </c>
      <c r="AD214" s="513">
        <v>12791</v>
      </c>
      <c r="AE214" s="513">
        <v>177</v>
      </c>
      <c r="AF214" s="513">
        <v>184</v>
      </c>
      <c r="AG214" s="514">
        <v>13</v>
      </c>
      <c r="AH214" s="514">
        <v>1</v>
      </c>
    </row>
    <row r="215">
      <c r="A215" s="498"/>
      <c r="B215" s="521" t="s">
        <v>261</v>
      </c>
      <c r="C215" s="521"/>
      <c r="D215" s="522">
        <f>SUM(D210:D214)</f>
      </c>
      <c r="E215" s="523">
        <f>SUM(E210:E214)</f>
      </c>
      <c r="F215" s="522">
        <f>SUM(F210:F214)</f>
      </c>
      <c r="G215" s="522">
        <f t="shared" si="51"/>
      </c>
      <c r="H215" s="524">
        <f t="shared" si="350"/>
      </c>
      <c r="I215" s="525">
        <f t="shared" si="286"/>
      </c>
      <c r="J215" s="526">
        <f t="shared" si="222"/>
      </c>
      <c r="K215" s="527">
        <f t="shared" si="616"/>
      </c>
      <c r="L215" s="524">
        <f t="shared" si="418"/>
      </c>
      <c r="M215" s="528">
        <f t="shared" si="490"/>
      </c>
      <c r="N215" s="528">
        <f t="shared" si="544"/>
      </c>
      <c r="O215" s="528">
        <f t="shared" si="449"/>
      </c>
      <c r="P215" s="528">
        <f t="shared" si="381"/>
      </c>
      <c r="Q215" s="524">
        <f t="shared" si="319"/>
      </c>
      <c r="R215" s="526">
        <f t="shared" si="255"/>
      </c>
      <c r="S215" s="528">
        <f t="shared" si="158"/>
      </c>
      <c r="T215" s="528">
        <f t="shared" si="88"/>
      </c>
      <c r="U215" s="528">
        <f t="shared" si="14"/>
      </c>
      <c r="V215" s="528">
        <f t="shared" si="575"/>
      </c>
      <c r="W215" s="528"/>
      <c r="X215" s="529"/>
      <c r="Y215" s="522">
        <f>SUM(Y210:Y214)</f>
      </c>
      <c r="Z215" s="522">
        <f>SUM(Z210:Z214)</f>
      </c>
      <c r="AA215" s="522">
        <f>SUM(AA210:AA214)</f>
      </c>
      <c r="AB215" s="522">
        <f>SUM(AB210:AB214)</f>
      </c>
      <c r="AC215" s="522">
        <f>SUM(AC210:AC214)</f>
      </c>
      <c r="AD215" s="522">
        <f>SUM(AD210:AD214)</f>
      </c>
      <c r="AE215" s="522">
        <f>SUM(AE210:AE214)</f>
      </c>
      <c r="AF215" s="522">
        <f>SUM(AF210:AF214)</f>
      </c>
      <c r="AG215" s="522">
        <f>SUM(AG210:AG214)</f>
      </c>
      <c r="AH215" s="522">
        <f>SUM(AH210:AH214)</f>
      </c>
    </row>
    <row r="216">
      <c r="A216" s="498"/>
      <c r="B216" s="499" t="s">
        <v>268</v>
      </c>
      <c r="C216" s="531" t="s">
        <v>263</v>
      </c>
      <c r="D216" s="532">
        <v>1307.393</v>
      </c>
      <c r="E216" s="502">
        <v>4</v>
      </c>
      <c r="F216" s="503">
        <v>1480</v>
      </c>
      <c r="G216" s="504">
        <f t="shared" si="51"/>
      </c>
      <c r="H216" s="505">
        <f t="shared" si="350"/>
      </c>
      <c r="I216" s="506">
        <f t="shared" si="286"/>
      </c>
      <c r="J216" s="507">
        <f t="shared" si="222"/>
      </c>
      <c r="K216" s="508">
        <f t="shared" si="616"/>
      </c>
      <c r="L216" s="505">
        <f t="shared" si="418"/>
      </c>
      <c r="M216" s="509">
        <f t="shared" si="490"/>
      </c>
      <c r="N216" s="509">
        <f t="shared" si="544"/>
      </c>
      <c r="O216" s="509">
        <f t="shared" si="449"/>
      </c>
      <c r="P216" s="509">
        <f t="shared" si="381"/>
      </c>
      <c r="Q216" s="505">
        <f t="shared" si="319"/>
      </c>
      <c r="R216" s="507">
        <f t="shared" si="255"/>
      </c>
      <c r="S216" s="509">
        <f t="shared" si="158"/>
      </c>
      <c r="T216" s="509">
        <f t="shared" si="88"/>
      </c>
      <c r="U216" s="509">
        <f t="shared" si="14"/>
      </c>
      <c r="V216" s="509">
        <f t="shared" si="575"/>
      </c>
      <c r="W216" s="520" t="s">
        <v>255</v>
      </c>
      <c r="X216" s="511" t="s">
        <v>282</v>
      </c>
      <c r="Y216" s="512">
        <v>268716</v>
      </c>
      <c r="Z216" s="512">
        <v>5753</v>
      </c>
      <c r="AA216" s="512">
        <v>254502</v>
      </c>
      <c r="AB216" s="513">
        <v>424</v>
      </c>
      <c r="AC216" s="513">
        <v>5</v>
      </c>
      <c r="AD216" s="512">
        <v>9905</v>
      </c>
      <c r="AE216" s="513">
        <v>151</v>
      </c>
      <c r="AF216" s="513">
        <v>140</v>
      </c>
      <c r="AG216" s="513">
        <v>14</v>
      </c>
      <c r="AH216" s="514">
        <v>0</v>
      </c>
    </row>
    <row r="217">
      <c r="A217" s="498"/>
      <c r="B217" s="499" t="s">
        <v>268</v>
      </c>
      <c r="C217" s="533" t="s">
        <v>264</v>
      </c>
      <c r="D217" s="532">
        <v>1283.466</v>
      </c>
      <c r="E217" s="518">
        <v>10</v>
      </c>
      <c r="F217" s="519">
        <v>3954.800000000001</v>
      </c>
      <c r="G217" s="504">
        <f t="shared" si="51"/>
      </c>
      <c r="H217" s="505">
        <f t="shared" si="350"/>
      </c>
      <c r="I217" s="506">
        <f t="shared" si="286"/>
      </c>
      <c r="J217" s="507">
        <f t="shared" si="222"/>
      </c>
      <c r="K217" s="508">
        <f t="shared" si="616"/>
      </c>
      <c r="L217" s="505">
        <f t="shared" si="418"/>
      </c>
      <c r="M217" s="509">
        <f t="shared" si="490"/>
      </c>
      <c r="N217" s="509">
        <f t="shared" si="544"/>
      </c>
      <c r="O217" s="509">
        <f t="shared" si="449"/>
      </c>
      <c r="P217" s="509">
        <f t="shared" si="381"/>
      </c>
      <c r="Q217" s="505">
        <f t="shared" si="319"/>
      </c>
      <c r="R217" s="507">
        <f t="shared" si="255"/>
      </c>
      <c r="S217" s="509">
        <f t="shared" si="158"/>
      </c>
      <c r="T217" s="509">
        <f t="shared" si="88"/>
      </c>
      <c r="U217" s="509">
        <f t="shared" si="14"/>
      </c>
      <c r="V217" s="509">
        <f t="shared" si="575"/>
      </c>
      <c r="W217" s="520" t="s">
        <v>255</v>
      </c>
      <c r="X217" s="511" t="s">
        <v>282</v>
      </c>
      <c r="Y217" s="513">
        <v>267533</v>
      </c>
      <c r="Z217" s="513">
        <v>5731</v>
      </c>
      <c r="AA217" s="513">
        <v>254326</v>
      </c>
      <c r="AB217" s="513">
        <v>424</v>
      </c>
      <c r="AC217" s="513">
        <v>7</v>
      </c>
      <c r="AD217" s="513">
        <v>10193</v>
      </c>
      <c r="AE217" s="513">
        <v>131</v>
      </c>
      <c r="AF217" s="513">
        <v>125</v>
      </c>
      <c r="AG217" s="513">
        <v>19</v>
      </c>
      <c r="AH217" s="514">
        <v>1</v>
      </c>
    </row>
    <row r="218">
      <c r="A218" s="498"/>
      <c r="B218" s="499" t="s">
        <v>268</v>
      </c>
      <c r="C218" s="534" t="s">
        <v>265</v>
      </c>
      <c r="D218" s="532">
        <v>2039.069</v>
      </c>
      <c r="E218" s="518">
        <v>6</v>
      </c>
      <c r="F218" s="519">
        <v>6592</v>
      </c>
      <c r="G218" s="504">
        <f t="shared" si="51"/>
      </c>
      <c r="H218" s="505">
        <f t="shared" si="350"/>
      </c>
      <c r="I218" s="506">
        <f t="shared" si="286"/>
      </c>
      <c r="J218" s="507">
        <f t="shared" si="222"/>
      </c>
      <c r="K218" s="508">
        <f t="shared" si="616"/>
      </c>
      <c r="L218" s="505">
        <f t="shared" si="418"/>
      </c>
      <c r="M218" s="509">
        <f t="shared" si="490"/>
      </c>
      <c r="N218" s="509">
        <f t="shared" si="544"/>
      </c>
      <c r="O218" s="509">
        <f t="shared" si="449"/>
      </c>
      <c r="P218" s="509">
        <f t="shared" si="381"/>
      </c>
      <c r="Q218" s="505">
        <f t="shared" si="319"/>
      </c>
      <c r="R218" s="507">
        <f t="shared" si="255"/>
      </c>
      <c r="S218" s="509">
        <f t="shared" si="158"/>
      </c>
      <c r="T218" s="509">
        <f t="shared" si="88"/>
      </c>
      <c r="U218" s="509">
        <f t="shared" si="14"/>
      </c>
      <c r="V218" s="509">
        <f t="shared" si="575"/>
      </c>
      <c r="W218" s="520" t="s">
        <v>255</v>
      </c>
      <c r="X218" s="511" t="s">
        <v>282</v>
      </c>
      <c r="Y218" s="513">
        <v>465789</v>
      </c>
      <c r="Z218" s="513">
        <v>6947</v>
      </c>
      <c r="AA218" s="513">
        <v>450474</v>
      </c>
      <c r="AB218" s="513">
        <v>468</v>
      </c>
      <c r="AC218" s="513">
        <v>4</v>
      </c>
      <c r="AD218" s="513">
        <v>11109</v>
      </c>
      <c r="AE218" s="513">
        <v>116</v>
      </c>
      <c r="AF218" s="513">
        <v>143</v>
      </c>
      <c r="AG218" s="513">
        <v>16</v>
      </c>
      <c r="AH218" s="514">
        <v>1</v>
      </c>
    </row>
    <row customHeight="true" ht="16.071428571428573" r="219">
      <c r="A219" s="498"/>
      <c r="B219" s="499" t="s">
        <v>268</v>
      </c>
      <c r="C219" s="537" t="s">
        <v>266</v>
      </c>
      <c r="D219" s="532">
        <v>1944.918</v>
      </c>
      <c r="E219" s="518">
        <v>2</v>
      </c>
      <c r="F219" s="519">
        <v>392</v>
      </c>
      <c r="G219" s="504">
        <f t="shared" si="51"/>
      </c>
      <c r="H219" s="505">
        <f t="shared" si="350"/>
      </c>
      <c r="I219" s="506">
        <f t="shared" si="286"/>
      </c>
      <c r="J219" s="507">
        <f t="shared" si="222"/>
      </c>
      <c r="K219" s="508">
        <f t="shared" si="616"/>
      </c>
      <c r="L219" s="505">
        <f t="shared" si="418"/>
      </c>
      <c r="M219" s="509">
        <f t="shared" si="490"/>
      </c>
      <c r="N219" s="509">
        <f t="shared" si="544"/>
      </c>
      <c r="O219" s="509">
        <f t="shared" si="449"/>
      </c>
      <c r="P219" s="509">
        <f t="shared" si="381"/>
      </c>
      <c r="Q219" s="505">
        <f t="shared" si="319"/>
      </c>
      <c r="R219" s="507">
        <f t="shared" si="255"/>
      </c>
      <c r="S219" s="509">
        <f t="shared" si="158"/>
      </c>
      <c r="T219" s="509">
        <f t="shared" si="88"/>
      </c>
      <c r="U219" s="509">
        <f t="shared" si="14"/>
      </c>
      <c r="V219" s="509">
        <f t="shared" si="575"/>
      </c>
      <c r="W219" s="520" t="s">
        <v>255</v>
      </c>
      <c r="X219" s="511" t="s">
        <v>284</v>
      </c>
      <c r="Y219" s="513">
        <v>479556</v>
      </c>
      <c r="Z219" s="513">
        <v>12471</v>
      </c>
      <c r="AA219" s="513">
        <v>468810</v>
      </c>
      <c r="AB219" s="513">
        <v>542</v>
      </c>
      <c r="AC219" s="513">
        <v>2</v>
      </c>
      <c r="AD219" s="513">
        <v>16363</v>
      </c>
      <c r="AE219" s="513">
        <v>181</v>
      </c>
      <c r="AF219" s="513">
        <v>215</v>
      </c>
      <c r="AG219" s="513">
        <v>17</v>
      </c>
      <c r="AH219" s="514">
        <v>0</v>
      </c>
    </row>
    <row r="220">
      <c r="A220" s="498"/>
      <c r="B220" s="499" t="s">
        <v>268</v>
      </c>
      <c r="C220" s="540" t="s">
        <v>269</v>
      </c>
      <c r="D220" s="532">
        <v>1455.427</v>
      </c>
      <c r="E220" s="518">
        <v>9</v>
      </c>
      <c r="F220" s="519">
        <v>2869.2000000000044</v>
      </c>
      <c r="G220" s="504">
        <f t="shared" si="51"/>
      </c>
      <c r="H220" s="505">
        <f t="shared" si="350"/>
      </c>
      <c r="I220" s="506">
        <f t="shared" si="286"/>
      </c>
      <c r="J220" s="507">
        <f t="shared" si="222"/>
      </c>
      <c r="K220" s="508">
        <f t="shared" si="616"/>
      </c>
      <c r="L220" s="505">
        <f t="shared" si="418"/>
      </c>
      <c r="M220" s="509">
        <f t="shared" si="490"/>
      </c>
      <c r="N220" s="509">
        <f t="shared" si="544"/>
      </c>
      <c r="O220" s="509">
        <f t="shared" si="449"/>
      </c>
      <c r="P220" s="509">
        <f t="shared" si="381"/>
      </c>
      <c r="Q220" s="505">
        <f t="shared" si="319"/>
      </c>
      <c r="R220" s="507">
        <f t="shared" si="255"/>
      </c>
      <c r="S220" s="509">
        <f t="shared" si="158"/>
      </c>
      <c r="T220" s="509">
        <f t="shared" si="88"/>
      </c>
      <c r="U220" s="509">
        <f t="shared" si="14"/>
      </c>
      <c r="V220" s="509">
        <f t="shared" si="575"/>
      </c>
      <c r="W220" s="520" t="s">
        <v>255</v>
      </c>
      <c r="X220" s="511" t="s">
        <v>284</v>
      </c>
      <c r="Y220" s="513">
        <v>329581</v>
      </c>
      <c r="Z220" s="513">
        <v>10511</v>
      </c>
      <c r="AA220" s="513">
        <v>313458</v>
      </c>
      <c r="AB220" s="513">
        <v>435</v>
      </c>
      <c r="AC220" s="513">
        <v>6</v>
      </c>
      <c r="AD220" s="513">
        <v>12834</v>
      </c>
      <c r="AE220" s="513">
        <v>182</v>
      </c>
      <c r="AF220" s="513">
        <v>149</v>
      </c>
      <c r="AG220" s="513">
        <v>8</v>
      </c>
      <c r="AH220" s="514">
        <v>1</v>
      </c>
    </row>
    <row r="221">
      <c r="A221" s="498"/>
      <c r="B221" s="521" t="s">
        <v>261</v>
      </c>
      <c r="C221" s="521"/>
      <c r="D221" s="522">
        <f>SUM(D216:D220)</f>
      </c>
      <c r="E221" s="522">
        <f>SUM(E216:E220)</f>
      </c>
      <c r="F221" s="522">
        <f>SUM(F216:F220)</f>
      </c>
      <c r="G221" s="522">
        <f t="shared" si="51"/>
      </c>
      <c r="H221" s="524">
        <f t="shared" si="350"/>
      </c>
      <c r="I221" s="525">
        <f t="shared" si="286"/>
      </c>
      <c r="J221" s="526">
        <f t="shared" si="222"/>
      </c>
      <c r="K221" s="527">
        <f t="shared" si="616"/>
      </c>
      <c r="L221" s="524">
        <f t="shared" si="418"/>
      </c>
      <c r="M221" s="528">
        <f t="shared" si="490"/>
      </c>
      <c r="N221" s="528">
        <f t="shared" si="544"/>
      </c>
      <c r="O221" s="528">
        <f t="shared" si="449"/>
      </c>
      <c r="P221" s="528">
        <f t="shared" si="381"/>
      </c>
      <c r="Q221" s="524">
        <f t="shared" si="319"/>
      </c>
      <c r="R221" s="526">
        <f t="shared" si="255"/>
      </c>
      <c r="S221" s="528">
        <f t="shared" si="158"/>
      </c>
      <c r="T221" s="528">
        <f t="shared" si="88"/>
      </c>
      <c r="U221" s="528">
        <f t="shared" si="14"/>
      </c>
      <c r="V221" s="528">
        <f t="shared" si="575"/>
      </c>
      <c r="W221" s="528"/>
      <c r="X221" s="529"/>
      <c r="Y221" s="522">
        <f>SUM(Y216:Y220)</f>
      </c>
      <c r="Z221" s="522">
        <f>SUM(Z216:Z220)</f>
      </c>
      <c r="AA221" s="522">
        <f>SUM(AA216:AA220)</f>
      </c>
      <c r="AB221" s="522">
        <f>SUM(AB216:AB220)</f>
      </c>
      <c r="AC221" s="522">
        <f>SUM(AC216:AC220)</f>
      </c>
      <c r="AD221" s="522">
        <f>SUM(AD216:AD220)</f>
      </c>
      <c r="AE221" s="522">
        <f>SUM(AE216:AE220)</f>
      </c>
      <c r="AF221" s="522">
        <f>SUM(AF216:AF220)</f>
      </c>
      <c r="AG221" s="522">
        <f>SUM(AG216:AG220)</f>
      </c>
      <c r="AH221" s="522">
        <f>SUM(AH216:AH220)</f>
      </c>
    </row>
    <row r="222">
      <c r="A222" s="498"/>
      <c r="B222" s="499" t="s">
        <v>253</v>
      </c>
      <c r="C222" s="534" t="s">
        <v>270</v>
      </c>
      <c r="D222" s="541">
        <v>2198.5240000000003</v>
      </c>
      <c r="E222" s="542">
        <v>2</v>
      </c>
      <c r="F222" s="519">
        <v>423.9999999999927</v>
      </c>
      <c r="G222" s="504">
        <f t="shared" si="51"/>
      </c>
      <c r="H222" s="505">
        <f t="shared" si="350"/>
      </c>
      <c r="I222" s="506">
        <f t="shared" si="286"/>
      </c>
      <c r="J222" s="507">
        <f t="shared" si="222"/>
      </c>
      <c r="K222" s="508">
        <f t="shared" si="616"/>
      </c>
      <c r="L222" s="505">
        <f t="shared" si="418"/>
      </c>
      <c r="M222" s="509">
        <f t="shared" si="490"/>
      </c>
      <c r="N222" s="509">
        <f t="shared" si="544"/>
      </c>
      <c r="O222" s="509">
        <f t="shared" si="449"/>
      </c>
      <c r="P222" s="509">
        <f t="shared" si="381"/>
      </c>
      <c r="Q222" s="505">
        <f t="shared" si="319"/>
      </c>
      <c r="R222" s="507">
        <f t="shared" si="255"/>
      </c>
      <c r="S222" s="509">
        <f t="shared" si="158"/>
      </c>
      <c r="T222" s="509">
        <f t="shared" si="88"/>
      </c>
      <c r="U222" s="509">
        <f t="shared" si="14"/>
      </c>
      <c r="V222" s="509">
        <f t="shared" si="575"/>
      </c>
      <c r="W222" s="520" t="s">
        <v>255</v>
      </c>
      <c r="X222" s="511" t="s">
        <v>284</v>
      </c>
      <c r="Y222" s="513">
        <v>503913</v>
      </c>
      <c r="Z222" s="513">
        <v>9978</v>
      </c>
      <c r="AA222" s="513">
        <v>429172</v>
      </c>
      <c r="AB222" s="513">
        <v>618</v>
      </c>
      <c r="AC222" s="513">
        <v>4</v>
      </c>
      <c r="AD222" s="513">
        <v>12468</v>
      </c>
      <c r="AE222" s="513">
        <v>164</v>
      </c>
      <c r="AF222" s="513">
        <v>200</v>
      </c>
      <c r="AG222" s="513">
        <v>13</v>
      </c>
      <c r="AH222" s="514">
        <v>0</v>
      </c>
    </row>
    <row r="223">
      <c r="A223" s="498"/>
      <c r="B223" s="499" t="s">
        <v>253</v>
      </c>
      <c r="C223" s="534" t="s">
        <v>272</v>
      </c>
      <c r="D223" s="541">
        <v>1774.241</v>
      </c>
      <c r="E223" s="542">
        <v>4</v>
      </c>
      <c r="F223" s="519">
        <v>2048</v>
      </c>
      <c r="G223" s="504">
        <f t="shared" si="51"/>
      </c>
      <c r="H223" s="505">
        <f t="shared" si="350"/>
      </c>
      <c r="I223" s="506">
        <f t="shared" si="286"/>
      </c>
      <c r="J223" s="507">
        <f t="shared" si="222"/>
      </c>
      <c r="K223" s="508">
        <f t="shared" si="616"/>
      </c>
      <c r="L223" s="505">
        <f t="shared" si="418"/>
      </c>
      <c r="M223" s="509">
        <f t="shared" si="490"/>
      </c>
      <c r="N223" s="509">
        <f t="shared" si="544"/>
      </c>
      <c r="O223" s="509">
        <f t="shared" si="449"/>
      </c>
      <c r="P223" s="509">
        <f t="shared" si="381"/>
      </c>
      <c r="Q223" s="505">
        <f t="shared" si="319"/>
      </c>
      <c r="R223" s="507">
        <f t="shared" si="255"/>
      </c>
      <c r="S223" s="509">
        <f t="shared" si="158"/>
      </c>
      <c r="T223" s="509">
        <f t="shared" si="88"/>
      </c>
      <c r="U223" s="509">
        <f t="shared" si="14"/>
      </c>
      <c r="V223" s="509">
        <f t="shared" si="575"/>
      </c>
      <c r="W223" s="520" t="s">
        <v>255</v>
      </c>
      <c r="X223" s="511" t="s">
        <v>284</v>
      </c>
      <c r="Y223" s="513">
        <v>380087</v>
      </c>
      <c r="Z223" s="513">
        <v>7762</v>
      </c>
      <c r="AA223" s="513">
        <v>313900</v>
      </c>
      <c r="AB223" s="513">
        <v>585</v>
      </c>
      <c r="AC223" s="513">
        <v>4</v>
      </c>
      <c r="AD223" s="513">
        <v>9038</v>
      </c>
      <c r="AE223" s="513">
        <v>118</v>
      </c>
      <c r="AF223" s="513">
        <v>146</v>
      </c>
      <c r="AG223" s="513">
        <v>8</v>
      </c>
      <c r="AH223" s="514">
        <v>0</v>
      </c>
    </row>
    <row r="224">
      <c r="A224" s="498"/>
      <c r="B224" s="499" t="s">
        <v>253</v>
      </c>
      <c r="C224" s="537" t="s">
        <v>273</v>
      </c>
      <c r="D224" s="541">
        <v>2329.742</v>
      </c>
      <c r="E224" s="542">
        <v>8</v>
      </c>
      <c r="F224" s="519">
        <v>4688.200000000001</v>
      </c>
      <c r="G224" s="504">
        <f t="shared" si="51"/>
      </c>
      <c r="H224" s="505">
        <f t="shared" si="350"/>
      </c>
      <c r="I224" s="506">
        <f t="shared" si="286"/>
      </c>
      <c r="J224" s="507">
        <f t="shared" si="222"/>
      </c>
      <c r="K224" s="508">
        <f t="shared" si="616"/>
      </c>
      <c r="L224" s="505">
        <f t="shared" si="418"/>
      </c>
      <c r="M224" s="509">
        <f t="shared" si="490"/>
      </c>
      <c r="N224" s="509">
        <f t="shared" si="544"/>
      </c>
      <c r="O224" s="509">
        <f t="shared" si="449"/>
      </c>
      <c r="P224" s="509">
        <f t="shared" si="381"/>
      </c>
      <c r="Q224" s="505">
        <f t="shared" si="319"/>
      </c>
      <c r="R224" s="507">
        <f t="shared" si="255"/>
      </c>
      <c r="S224" s="509">
        <f t="shared" si="158"/>
      </c>
      <c r="T224" s="509">
        <f t="shared" si="88"/>
      </c>
      <c r="U224" s="509">
        <f t="shared" si="14"/>
      </c>
      <c r="V224" s="509">
        <f t="shared" si="575"/>
      </c>
      <c r="W224" s="520" t="s">
        <v>255</v>
      </c>
      <c r="X224" s="511" t="s">
        <v>284</v>
      </c>
      <c r="Y224" s="513">
        <v>513754</v>
      </c>
      <c r="Z224" s="513">
        <v>10876</v>
      </c>
      <c r="AA224" s="513">
        <v>408754</v>
      </c>
      <c r="AB224" s="513">
        <v>747</v>
      </c>
      <c r="AC224" s="513">
        <v>8</v>
      </c>
      <c r="AD224" s="513">
        <v>13113</v>
      </c>
      <c r="AE224" s="513">
        <v>214</v>
      </c>
      <c r="AF224" s="513">
        <v>218</v>
      </c>
      <c r="AG224" s="513">
        <v>17</v>
      </c>
      <c r="AH224" s="514">
        <v>1</v>
      </c>
    </row>
    <row r="225">
      <c r="A225" s="498"/>
      <c r="B225" s="499" t="s">
        <v>253</v>
      </c>
      <c r="C225" s="534" t="s">
        <v>274</v>
      </c>
      <c r="D225" s="535">
        <v>2012.3180000000002</v>
      </c>
      <c r="E225" s="502">
        <v>2</v>
      </c>
      <c r="F225" s="503">
        <v>424</v>
      </c>
      <c r="G225" s="504">
        <f t="shared" si="51"/>
      </c>
      <c r="H225" s="505">
        <f t="shared" si="350"/>
      </c>
      <c r="I225" s="560">
        <f t="shared" si="286"/>
      </c>
      <c r="J225" s="559">
        <f t="shared" si="222"/>
      </c>
      <c r="K225" s="556">
        <f t="shared" ref="K225:K226" si="127">D225/AB225</f>
      </c>
      <c r="L225" s="557">
        <f t="shared" si="418"/>
      </c>
      <c r="M225" s="558">
        <f t="shared" ref="M225:M226" si="189">AC225/AB225</f>
      </c>
      <c r="N225" s="558">
        <f t="shared" si="544"/>
      </c>
      <c r="O225" s="558">
        <f t="shared" si="449"/>
      </c>
      <c r="P225" s="558">
        <f t="shared" si="381"/>
      </c>
      <c r="Q225" s="557">
        <f t="shared" si="319"/>
      </c>
      <c r="R225" s="559">
        <f t="shared" si="255"/>
      </c>
      <c r="S225" s="558">
        <f t="shared" si="158"/>
      </c>
      <c r="T225" s="558">
        <f t="shared" si="88"/>
      </c>
      <c r="U225" s="558">
        <f t="shared" si="14"/>
      </c>
      <c r="V225" s="558">
        <f t="shared" si="575"/>
      </c>
      <c r="W225" s="520" t="s">
        <v>255</v>
      </c>
      <c r="X225" s="511" t="s">
        <v>284</v>
      </c>
      <c r="Y225" s="513">
        <v>440059</v>
      </c>
      <c r="Z225" s="513">
        <v>9825</v>
      </c>
      <c r="AA225" s="513">
        <v>372303</v>
      </c>
      <c r="AB225" s="536">
        <v>690</v>
      </c>
      <c r="AC225" s="536">
        <v>2</v>
      </c>
      <c r="AD225" s="536">
        <v>12629</v>
      </c>
      <c r="AE225" s="536">
        <v>190</v>
      </c>
      <c r="AF225" s="536">
        <v>201</v>
      </c>
      <c r="AG225" s="536">
        <v>25</v>
      </c>
      <c r="AH225" s="514">
        <v>0</v>
      </c>
    </row>
    <row r="226">
      <c r="A226" s="498"/>
      <c r="B226" s="499" t="s">
        <v>253</v>
      </c>
      <c r="C226" s="555" t="s">
        <v>275</v>
      </c>
      <c r="D226" s="541">
        <v>1990.644</v>
      </c>
      <c r="E226" s="542">
        <v>7</v>
      </c>
      <c r="F226" s="519">
        <v>3300</v>
      </c>
      <c r="G226" s="504">
        <f t="shared" si="51"/>
      </c>
      <c r="H226" s="505">
        <f t="shared" si="350"/>
      </c>
      <c r="I226" s="560">
        <f t="shared" si="286"/>
      </c>
      <c r="J226" s="559">
        <f t="shared" si="222"/>
      </c>
      <c r="K226" s="556">
        <f t="shared" si="127"/>
      </c>
      <c r="L226" s="557">
        <f t="shared" si="418"/>
      </c>
      <c r="M226" s="558">
        <f t="shared" si="189"/>
      </c>
      <c r="N226" s="558">
        <f t="shared" si="544"/>
      </c>
      <c r="O226" s="558">
        <f t="shared" si="449"/>
      </c>
      <c r="P226" s="558">
        <f t="shared" si="381"/>
      </c>
      <c r="Q226" s="557">
        <f t="shared" si="319"/>
      </c>
      <c r="R226" s="559">
        <f t="shared" si="255"/>
      </c>
      <c r="S226" s="558">
        <f t="shared" si="158"/>
      </c>
      <c r="T226" s="558">
        <f t="shared" si="88"/>
      </c>
      <c r="U226" s="558">
        <f t="shared" si="14"/>
      </c>
      <c r="V226" s="558">
        <f t="shared" si="575"/>
      </c>
      <c r="W226" s="520" t="s">
        <v>255</v>
      </c>
      <c r="X226" s="511" t="s">
        <v>284</v>
      </c>
      <c r="Y226" s="513">
        <v>412708</v>
      </c>
      <c r="Z226" s="513">
        <v>8821</v>
      </c>
      <c r="AA226" s="513">
        <v>383515</v>
      </c>
      <c r="AB226" s="513">
        <v>832</v>
      </c>
      <c r="AC226" s="513">
        <v>7</v>
      </c>
      <c r="AD226" s="513">
        <v>13021</v>
      </c>
      <c r="AE226" s="513">
        <v>168</v>
      </c>
      <c r="AF226" s="513">
        <v>174</v>
      </c>
      <c r="AG226" s="514">
        <v>24</v>
      </c>
      <c r="AH226" s="514">
        <v>0</v>
      </c>
    </row>
    <row r="227">
      <c r="A227" s="498"/>
      <c r="B227" s="538" t="s">
        <v>261</v>
      </c>
      <c r="C227" s="538"/>
      <c r="D227" s="522">
        <f>SUM(D222:D226)</f>
      </c>
      <c r="E227" s="522">
        <f>SUM(E222:E226)</f>
      </c>
      <c r="F227" s="522">
        <f>SUM(F222:F226)</f>
      </c>
      <c r="G227" s="522">
        <f t="shared" si="51"/>
      </c>
      <c r="H227" s="524">
        <f t="shared" si="350"/>
      </c>
      <c r="I227" s="525">
        <f t="shared" si="286"/>
      </c>
      <c r="J227" s="526">
        <f t="shared" si="222"/>
      </c>
      <c r="K227" s="527">
        <f t="shared" ref="K227:K228" si="617">D227/AA227</f>
      </c>
      <c r="L227" s="524">
        <f t="shared" si="418"/>
      </c>
      <c r="M227" s="528">
        <f t="shared" ref="M227:M228" si="491">AB227/AA227</f>
      </c>
      <c r="N227" s="528">
        <f t="shared" si="544"/>
      </c>
      <c r="O227" s="528">
        <f t="shared" si="449"/>
      </c>
      <c r="P227" s="528">
        <f t="shared" si="381"/>
      </c>
      <c r="Q227" s="524">
        <f t="shared" si="319"/>
      </c>
      <c r="R227" s="526">
        <f t="shared" si="255"/>
      </c>
      <c r="S227" s="528">
        <f t="shared" si="158"/>
      </c>
      <c r="T227" s="528">
        <f t="shared" si="88"/>
      </c>
      <c r="U227" s="528">
        <f t="shared" si="14"/>
      </c>
      <c r="V227" s="528">
        <f t="shared" si="575"/>
      </c>
      <c r="W227" s="528"/>
      <c r="X227" s="529"/>
      <c r="Y227" s="522">
        <f>SUM(Y222:Y226)</f>
      </c>
      <c r="Z227" s="522">
        <f>SUM(Z222:Z226)</f>
      </c>
      <c r="AA227" s="522">
        <f>SUM(AA222:AA226)</f>
      </c>
      <c r="AB227" s="522">
        <f>SUM(AB222:AB226)</f>
      </c>
      <c r="AC227" s="522">
        <f>SUM(AC222:AC226)</f>
      </c>
      <c r="AD227" s="522">
        <f>SUM(AD222:AD226)</f>
      </c>
      <c r="AE227" s="522">
        <f>SUM(AE222:AE226)</f>
      </c>
      <c r="AF227" s="522">
        <f>SUM(AF222:AF226)</f>
      </c>
      <c r="AG227" s="522">
        <f>SUM(AG222:AG226)</f>
      </c>
      <c r="AH227" s="522">
        <f>SUM(AH222:AH226)</f>
      </c>
    </row>
    <row r="228">
      <c r="A228" s="498"/>
      <c r="B228" s="543" t="s">
        <v>276</v>
      </c>
      <c r="C228" s="543"/>
      <c r="D228" s="554">
        <f>SUM(D215+D227+D221)</f>
      </c>
      <c r="E228" s="554">
        <f>SUM(E215+E227+E221)</f>
      </c>
      <c r="F228" s="554">
        <f>SUM(F215+F227+F221)</f>
      </c>
      <c r="G228" s="544">
        <f t="shared" si="51"/>
      </c>
      <c r="H228" s="545">
        <f t="shared" si="350"/>
      </c>
      <c r="I228" s="546">
        <f t="shared" si="286"/>
      </c>
      <c r="J228" s="547">
        <f t="shared" si="222"/>
      </c>
      <c r="K228" s="548">
        <f t="shared" si="617"/>
      </c>
      <c r="L228" s="548">
        <f t="shared" si="418"/>
      </c>
      <c r="M228" s="550">
        <f t="shared" si="491"/>
      </c>
      <c r="N228" s="550">
        <f t="shared" si="544"/>
      </c>
      <c r="O228" s="550">
        <f t="shared" si="449"/>
      </c>
      <c r="P228" s="550">
        <f t="shared" si="381"/>
      </c>
      <c r="Q228" s="549">
        <f t="shared" si="319"/>
      </c>
      <c r="R228" s="551">
        <f t="shared" si="255"/>
      </c>
      <c r="S228" s="552">
        <f t="shared" si="158"/>
      </c>
      <c r="T228" s="552">
        <f t="shared" si="88"/>
      </c>
      <c r="U228" s="552">
        <f t="shared" si="14"/>
      </c>
      <c r="V228" s="552">
        <f t="shared" si="575"/>
      </c>
      <c r="W228" s="552"/>
      <c r="X228" s="553"/>
      <c r="Y228" s="544">
        <f>SUM(Y227+Y215+Y221)</f>
      </c>
      <c r="Z228" s="544">
        <f>SUM(Z227+Z215+Z221)</f>
      </c>
      <c r="AA228" s="544">
        <f>SUM(AA227+AA215+AA221)</f>
      </c>
      <c r="AB228" s="544">
        <f>SUM(AB227+AB215+AB221)</f>
      </c>
      <c r="AC228" s="544">
        <f>SUM(AC227+AC215+AC221)</f>
      </c>
      <c r="AD228" s="544">
        <f>SUM(AD227+AD215+AD221)</f>
      </c>
      <c r="AE228" s="544">
        <f>SUM(AE227+AE215+AE221)</f>
      </c>
      <c r="AF228" s="544">
        <f>SUM(AF227+AF215+AF221)</f>
      </c>
      <c r="AG228" s="544">
        <f>SUM(AG227+AG215+AG221)</f>
      </c>
      <c r="AH228" s="544">
        <f>SUM(AH227+AH215+AH221)</f>
      </c>
    </row>
    <row r="229">
      <c r="A229" s="485" t="s">
        <v>218</v>
      </c>
      <c r="B229" s="485" t="s">
        <v>219</v>
      </c>
      <c r="C229" s="486" t="s">
        <v>220</v>
      </c>
      <c r="D229" s="487" t="s">
        <v>221</v>
      </c>
      <c r="E229" s="488" t="s">
        <v>222</v>
      </c>
      <c r="F229" s="489" t="s">
        <v>223</v>
      </c>
      <c r="G229" s="489" t="s">
        <v>224</v>
      </c>
      <c r="H229" s="490" t="s">
        <v>225</v>
      </c>
      <c r="I229" s="490" t="s">
        <v>226</v>
      </c>
      <c r="J229" s="490" t="s">
        <v>227</v>
      </c>
      <c r="K229" s="491" t="s">
        <v>228</v>
      </c>
      <c r="L229" s="491" t="s">
        <v>229</v>
      </c>
      <c r="M229" s="491" t="s">
        <v>231</v>
      </c>
      <c r="N229" s="491" t="s">
        <v>232</v>
      </c>
      <c r="O229" s="491" t="s">
        <v>233</v>
      </c>
      <c r="P229" s="491" t="s">
        <v>234</v>
      </c>
      <c r="Q229" s="491" t="s">
        <v>235</v>
      </c>
      <c r="R229" s="491" t="s">
        <v>236</v>
      </c>
      <c r="S229" s="492" t="s">
        <v>237</v>
      </c>
      <c r="T229" s="492" t="s">
        <v>238</v>
      </c>
      <c r="U229" s="492" t="s">
        <v>239</v>
      </c>
      <c r="V229" s="492" t="s">
        <v>240</v>
      </c>
      <c r="W229" s="493" t="s">
        <v>241</v>
      </c>
      <c r="X229" s="493" t="s">
        <v>242</v>
      </c>
      <c r="Y229" s="494" t="s">
        <v>243</v>
      </c>
      <c r="Z229" s="494" t="s">
        <v>244</v>
      </c>
      <c r="AA229" s="494" t="s">
        <v>245</v>
      </c>
      <c r="AB229" s="495" t="s">
        <v>246</v>
      </c>
      <c r="AC229" s="495" t="s">
        <v>247</v>
      </c>
      <c r="AD229" s="496" t="s">
        <v>248</v>
      </c>
      <c r="AE229" s="495" t="s">
        <v>249</v>
      </c>
      <c r="AF229" s="495" t="s">
        <v>250</v>
      </c>
      <c r="AG229" s="497" t="s">
        <v>251</v>
      </c>
      <c r="AH229" s="495" t="s">
        <v>252</v>
      </c>
    </row>
    <row r="230">
      <c r="A230" s="498">
        <v>46215</v>
      </c>
      <c r="B230" s="530" t="s">
        <v>277</v>
      </c>
      <c r="C230" s="500" t="s">
        <v>254</v>
      </c>
      <c r="D230" s="501">
        <v>826.8109999999999</v>
      </c>
      <c r="E230" s="502">
        <v>1</v>
      </c>
      <c r="F230" s="503">
        <v>228</v>
      </c>
      <c r="G230" s="504">
        <f t="shared" ref="G230:G248" si="52">D230/AC230</f>
      </c>
      <c r="H230" s="505">
        <f t="shared" ref="H230:H248" si="351">F230/E230</f>
      </c>
      <c r="I230" s="506">
        <f t="shared" ref="I230:I248" si="287">D230/E230</f>
      </c>
      <c r="J230" s="507">
        <f t="shared" ref="J230:J248" si="223">F230/D230</f>
      </c>
      <c r="K230" s="508">
        <f t="shared" ref="K230:K244" si="618">D230/AA230</f>
      </c>
      <c r="L230" s="505">
        <f t="shared" ref="L230:L248" si="419">D230/AB230</f>
      </c>
      <c r="M230" s="509">
        <f t="shared" ref="M230:M244" si="492">AB230/AA230</f>
      </c>
      <c r="N230" s="509">
        <f t="shared" ref="N230:N248" si="545">AC230/AB230</f>
      </c>
      <c r="O230" s="509">
        <f t="shared" ref="O230:O248" si="450">Z230/Y230</f>
      </c>
      <c r="P230" s="509">
        <f t="shared" ref="P230:P248" si="382">AC230/Z230</f>
      </c>
      <c r="Q230" s="505">
        <f t="shared" ref="Q230:Q248" si="320">D230/Y230*1000</f>
      </c>
      <c r="R230" s="507">
        <f t="shared" ref="R230:R248" si="256">D230/Z230</f>
      </c>
      <c r="S230" s="509">
        <f t="shared" ref="S230:S248" si="159">AD230/AA230</f>
      </c>
      <c r="T230" s="509">
        <f t="shared" ref="T230:T248" si="89">AE230/AA230</f>
      </c>
      <c r="U230" s="509">
        <f t="shared" ref="U230:U248" si="15">AF230/AA230</f>
      </c>
      <c r="V230" s="509">
        <f t="shared" ref="V230:V248" si="576">AG230/AA230</f>
      </c>
      <c r="W230" s="510" t="s">
        <v>255</v>
      </c>
      <c r="X230" s="511" t="s">
        <v>279</v>
      </c>
      <c r="Y230" s="512">
        <v>97335</v>
      </c>
      <c r="Z230" s="512">
        <v>2650</v>
      </c>
      <c r="AA230" s="512">
        <v>78620</v>
      </c>
      <c r="AB230" s="512">
        <v>309</v>
      </c>
      <c r="AC230" s="514">
        <v>1</v>
      </c>
      <c r="AD230" s="512">
        <v>7446</v>
      </c>
      <c r="AE230" s="513">
        <v>96</v>
      </c>
      <c r="AF230" s="513">
        <v>70</v>
      </c>
      <c r="AG230" s="513">
        <v>5</v>
      </c>
      <c r="AH230" s="514">
        <v>0</v>
      </c>
    </row>
    <row r="231">
      <c r="A231" s="498"/>
      <c r="B231" s="530" t="s">
        <v>277</v>
      </c>
      <c r="C231" s="500" t="s">
        <v>257</v>
      </c>
      <c r="D231" s="501">
        <v>1387.403</v>
      </c>
      <c r="E231" s="502">
        <v>6</v>
      </c>
      <c r="F231" s="503">
        <v>2747.2</v>
      </c>
      <c r="G231" s="504">
        <f t="shared" si="52"/>
      </c>
      <c r="H231" s="505">
        <f t="shared" si="351"/>
      </c>
      <c r="I231" s="506">
        <f t="shared" si="287"/>
      </c>
      <c r="J231" s="507">
        <f t="shared" si="223"/>
      </c>
      <c r="K231" s="508">
        <f t="shared" si="618"/>
      </c>
      <c r="L231" s="505">
        <f t="shared" si="419"/>
      </c>
      <c r="M231" s="509">
        <f t="shared" si="492"/>
      </c>
      <c r="N231" s="509">
        <f t="shared" si="545"/>
      </c>
      <c r="O231" s="509">
        <f t="shared" si="450"/>
      </c>
      <c r="P231" s="509">
        <f t="shared" si="382"/>
      </c>
      <c r="Q231" s="505">
        <f t="shared" si="320"/>
      </c>
      <c r="R231" s="507">
        <f t="shared" si="256"/>
      </c>
      <c r="S231" s="509">
        <f t="shared" si="159"/>
      </c>
      <c r="T231" s="509">
        <f t="shared" si="89"/>
      </c>
      <c r="U231" s="509">
        <f t="shared" si="15"/>
      </c>
      <c r="V231" s="509">
        <f t="shared" si="576"/>
      </c>
      <c r="W231" s="510" t="s">
        <v>255</v>
      </c>
      <c r="X231" s="511" t="s">
        <v>279</v>
      </c>
      <c r="Y231" s="513">
        <v>178025</v>
      </c>
      <c r="Z231" s="512">
        <v>3788</v>
      </c>
      <c r="AA231" s="512">
        <v>154645</v>
      </c>
      <c r="AB231" s="512">
        <v>559</v>
      </c>
      <c r="AC231" s="513">
        <v>5</v>
      </c>
      <c r="AD231" s="512">
        <v>12674</v>
      </c>
      <c r="AE231" s="513">
        <v>245</v>
      </c>
      <c r="AF231" s="513">
        <v>118</v>
      </c>
      <c r="AG231" s="514">
        <v>18</v>
      </c>
      <c r="AH231" s="514">
        <v>0</v>
      </c>
    </row>
    <row r="232">
      <c r="A232" s="498"/>
      <c r="B232" s="530" t="s">
        <v>277</v>
      </c>
      <c r="C232" s="515" t="s">
        <v>258</v>
      </c>
      <c r="D232" s="501">
        <v>1812.966</v>
      </c>
      <c r="E232" s="502">
        <v>4</v>
      </c>
      <c r="F232" s="503">
        <v>912</v>
      </c>
      <c r="G232" s="504">
        <f t="shared" si="52"/>
      </c>
      <c r="H232" s="505">
        <f t="shared" si="351"/>
      </c>
      <c r="I232" s="506">
        <f t="shared" si="287"/>
      </c>
      <c r="J232" s="507">
        <f t="shared" si="223"/>
      </c>
      <c r="K232" s="508">
        <f t="shared" si="618"/>
      </c>
      <c r="L232" s="505">
        <f t="shared" si="419"/>
      </c>
      <c r="M232" s="509">
        <f t="shared" si="492"/>
      </c>
      <c r="N232" s="509">
        <f t="shared" si="545"/>
      </c>
      <c r="O232" s="509">
        <f t="shared" si="450"/>
      </c>
      <c r="P232" s="509">
        <f t="shared" si="382"/>
      </c>
      <c r="Q232" s="505">
        <f t="shared" si="320"/>
      </c>
      <c r="R232" s="507">
        <f t="shared" si="256"/>
      </c>
      <c r="S232" s="509">
        <f t="shared" si="159"/>
      </c>
      <c r="T232" s="509">
        <f t="shared" si="89"/>
      </c>
      <c r="U232" s="509">
        <f t="shared" si="15"/>
      </c>
      <c r="V232" s="509">
        <f t="shared" si="576"/>
      </c>
      <c r="W232" s="510" t="s">
        <v>255</v>
      </c>
      <c r="X232" s="511" t="s">
        <v>279</v>
      </c>
      <c r="Y232" s="513">
        <v>317698</v>
      </c>
      <c r="Z232" s="512">
        <v>5351</v>
      </c>
      <c r="AA232" s="512">
        <v>297612</v>
      </c>
      <c r="AB232" s="512">
        <v>555</v>
      </c>
      <c r="AC232" s="513">
        <v>4</v>
      </c>
      <c r="AD232" s="512">
        <v>14228</v>
      </c>
      <c r="AE232" s="513">
        <v>227</v>
      </c>
      <c r="AF232" s="513">
        <v>165</v>
      </c>
      <c r="AG232" s="513">
        <v>7</v>
      </c>
      <c r="AH232" s="514">
        <v>0</v>
      </c>
    </row>
    <row r="233">
      <c r="A233" s="498"/>
      <c r="B233" s="530" t="s">
        <v>277</v>
      </c>
      <c r="C233" s="516" t="s">
        <v>259</v>
      </c>
      <c r="D233" s="501">
        <v>1707.218</v>
      </c>
      <c r="E233" s="502">
        <v>7</v>
      </c>
      <c r="F233" s="503">
        <v>2636</v>
      </c>
      <c r="G233" s="504">
        <f t="shared" si="52"/>
      </c>
      <c r="H233" s="505">
        <f t="shared" si="351"/>
      </c>
      <c r="I233" s="506">
        <f t="shared" si="287"/>
      </c>
      <c r="J233" s="507">
        <f t="shared" si="223"/>
      </c>
      <c r="K233" s="508">
        <f t="shared" si="618"/>
      </c>
      <c r="L233" s="505">
        <f t="shared" si="419"/>
      </c>
      <c r="M233" s="509">
        <f t="shared" si="492"/>
      </c>
      <c r="N233" s="509">
        <f t="shared" si="545"/>
      </c>
      <c r="O233" s="509">
        <f t="shared" si="450"/>
      </c>
      <c r="P233" s="509">
        <f t="shared" si="382"/>
      </c>
      <c r="Q233" s="505">
        <f t="shared" si="320"/>
      </c>
      <c r="R233" s="507">
        <f t="shared" si="256"/>
      </c>
      <c r="S233" s="509">
        <f t="shared" si="159"/>
      </c>
      <c r="T233" s="509">
        <f t="shared" si="89"/>
      </c>
      <c r="U233" s="509">
        <f t="shared" si="15"/>
      </c>
      <c r="V233" s="509">
        <f t="shared" si="576"/>
      </c>
      <c r="W233" s="504" t="s">
        <v>255</v>
      </c>
      <c r="X233" s="511" t="s">
        <v>279</v>
      </c>
      <c r="Y233" s="513">
        <v>328939</v>
      </c>
      <c r="Z233" s="513">
        <v>5824</v>
      </c>
      <c r="AA233" s="513">
        <v>298853</v>
      </c>
      <c r="AB233" s="513">
        <v>564</v>
      </c>
      <c r="AC233" s="513">
        <v>7</v>
      </c>
      <c r="AD233" s="513">
        <v>13222</v>
      </c>
      <c r="AE233" s="513">
        <v>174</v>
      </c>
      <c r="AF233" s="513">
        <v>132</v>
      </c>
      <c r="AG233" s="514">
        <v>22</v>
      </c>
      <c r="AH233" s="514">
        <v>0</v>
      </c>
    </row>
    <row r="234">
      <c r="A234" s="498"/>
      <c r="B234" s="530" t="s">
        <v>277</v>
      </c>
      <c r="C234" s="516" t="s">
        <v>260</v>
      </c>
      <c r="D234" s="517">
        <v>1844.101</v>
      </c>
      <c r="E234" s="518">
        <v>4</v>
      </c>
      <c r="F234" s="519">
        <v>848.6999999999998</v>
      </c>
      <c r="G234" s="504">
        <f t="shared" si="52"/>
      </c>
      <c r="H234" s="505">
        <f t="shared" si="351"/>
      </c>
      <c r="I234" s="506">
        <f t="shared" si="287"/>
      </c>
      <c r="J234" s="507">
        <f t="shared" si="223"/>
      </c>
      <c r="K234" s="508">
        <f t="shared" si="618"/>
      </c>
      <c r="L234" s="505">
        <f t="shared" si="419"/>
      </c>
      <c r="M234" s="509">
        <f t="shared" si="492"/>
      </c>
      <c r="N234" s="509">
        <f t="shared" si="545"/>
      </c>
      <c r="O234" s="509">
        <f t="shared" si="450"/>
      </c>
      <c r="P234" s="509">
        <f t="shared" si="382"/>
      </c>
      <c r="Q234" s="505">
        <f t="shared" si="320"/>
      </c>
      <c r="R234" s="507">
        <f t="shared" si="256"/>
      </c>
      <c r="S234" s="509">
        <f t="shared" si="159"/>
      </c>
      <c r="T234" s="509">
        <f t="shared" si="89"/>
      </c>
      <c r="U234" s="509">
        <f t="shared" si="15"/>
      </c>
      <c r="V234" s="509">
        <f t="shared" si="576"/>
      </c>
      <c r="W234" s="520" t="s">
        <v>255</v>
      </c>
      <c r="X234" s="511" t="s">
        <v>279</v>
      </c>
      <c r="Y234" s="513">
        <v>390061</v>
      </c>
      <c r="Z234" s="513">
        <v>9106</v>
      </c>
      <c r="AA234" s="513">
        <v>359743</v>
      </c>
      <c r="AB234" s="513">
        <v>659</v>
      </c>
      <c r="AC234" s="513">
        <v>4</v>
      </c>
      <c r="AD234" s="513">
        <v>14882</v>
      </c>
      <c r="AE234" s="513">
        <v>224</v>
      </c>
      <c r="AF234" s="513">
        <v>208</v>
      </c>
      <c r="AG234" s="514">
        <v>22</v>
      </c>
      <c r="AH234" s="514">
        <v>2</v>
      </c>
    </row>
    <row r="235">
      <c r="A235" s="498"/>
      <c r="B235" s="521" t="s">
        <v>261</v>
      </c>
      <c r="C235" s="521"/>
      <c r="D235" s="522">
        <f>SUM(D230:D234)</f>
      </c>
      <c r="E235" s="523">
        <f>SUM(E230:E234)</f>
      </c>
      <c r="F235" s="522">
        <f>SUM(F230:F234)</f>
      </c>
      <c r="G235" s="522">
        <f t="shared" si="52"/>
      </c>
      <c r="H235" s="524">
        <f t="shared" si="351"/>
      </c>
      <c r="I235" s="525">
        <f t="shared" si="287"/>
      </c>
      <c r="J235" s="526">
        <f t="shared" si="223"/>
      </c>
      <c r="K235" s="527">
        <f t="shared" si="618"/>
      </c>
      <c r="L235" s="524">
        <f t="shared" si="419"/>
      </c>
      <c r="M235" s="528">
        <f t="shared" si="492"/>
      </c>
      <c r="N235" s="528">
        <f t="shared" si="545"/>
      </c>
      <c r="O235" s="528">
        <f t="shared" si="450"/>
      </c>
      <c r="P235" s="528">
        <f t="shared" si="382"/>
      </c>
      <c r="Q235" s="524">
        <f t="shared" si="320"/>
      </c>
      <c r="R235" s="526">
        <f t="shared" si="256"/>
      </c>
      <c r="S235" s="528">
        <f t="shared" si="159"/>
      </c>
      <c r="T235" s="528">
        <f t="shared" si="89"/>
      </c>
      <c r="U235" s="528">
        <f t="shared" si="15"/>
      </c>
      <c r="V235" s="528">
        <f t="shared" si="576"/>
      </c>
      <c r="W235" s="528"/>
      <c r="X235" s="529"/>
      <c r="Y235" s="522">
        <f>SUM(Y230:Y234)</f>
      </c>
      <c r="Z235" s="522">
        <f>SUM(Z230:Z234)</f>
      </c>
      <c r="AA235" s="522">
        <f>SUM(AA230:AA234)</f>
      </c>
      <c r="AB235" s="522">
        <f>SUM(AB230:AB234)</f>
      </c>
      <c r="AC235" s="522">
        <f>SUM(AC230:AC234)</f>
      </c>
      <c r="AD235" s="522">
        <f>SUM(AD230:AD234)</f>
      </c>
      <c r="AE235" s="522">
        <f>SUM(AE230:AE234)</f>
      </c>
      <c r="AF235" s="522">
        <f>SUM(AF230:AF234)</f>
      </c>
      <c r="AG235" s="522">
        <f>SUM(AG230:AG234)</f>
      </c>
      <c r="AH235" s="522">
        <f>SUM(AH230:AH234)</f>
      </c>
    </row>
    <row r="236">
      <c r="A236" s="498"/>
      <c r="B236" s="530" t="s">
        <v>271</v>
      </c>
      <c r="C236" s="531" t="s">
        <v>263</v>
      </c>
      <c r="D236" s="532">
        <v>1660.984</v>
      </c>
      <c r="E236" s="502">
        <v>7</v>
      </c>
      <c r="F236" s="503">
        <v>2068.800000000001</v>
      </c>
      <c r="G236" s="504">
        <f t="shared" si="52"/>
      </c>
      <c r="H236" s="505">
        <f t="shared" si="351"/>
      </c>
      <c r="I236" s="506">
        <f t="shared" si="287"/>
      </c>
      <c r="J236" s="507">
        <f t="shared" si="223"/>
      </c>
      <c r="K236" s="508">
        <f t="shared" si="618"/>
      </c>
      <c r="L236" s="505">
        <f t="shared" si="419"/>
      </c>
      <c r="M236" s="509">
        <f t="shared" si="492"/>
      </c>
      <c r="N236" s="509">
        <f t="shared" si="545"/>
      </c>
      <c r="O236" s="509">
        <f t="shared" si="450"/>
      </c>
      <c r="P236" s="509">
        <f t="shared" si="382"/>
      </c>
      <c r="Q236" s="505">
        <f t="shared" si="320"/>
      </c>
      <c r="R236" s="507">
        <f t="shared" si="256"/>
      </c>
      <c r="S236" s="509">
        <f t="shared" si="159"/>
      </c>
      <c r="T236" s="509">
        <f t="shared" si="89"/>
      </c>
      <c r="U236" s="509">
        <f t="shared" si="15"/>
      </c>
      <c r="V236" s="509">
        <f t="shared" si="576"/>
      </c>
      <c r="W236" s="520" t="s">
        <v>255</v>
      </c>
      <c r="X236" s="511" t="s">
        <v>279</v>
      </c>
      <c r="Y236" s="512">
        <v>303842</v>
      </c>
      <c r="Z236" s="512">
        <v>8778</v>
      </c>
      <c r="AA236" s="512">
        <v>236938</v>
      </c>
      <c r="AB236" s="513">
        <v>656</v>
      </c>
      <c r="AC236" s="513">
        <v>5</v>
      </c>
      <c r="AD236" s="512">
        <v>10952</v>
      </c>
      <c r="AE236" s="513">
        <v>172</v>
      </c>
      <c r="AF236" s="513">
        <v>155</v>
      </c>
      <c r="AG236" s="513">
        <v>22</v>
      </c>
      <c r="AH236" s="514">
        <v>5</v>
      </c>
    </row>
    <row r="237">
      <c r="A237" s="498"/>
      <c r="B237" s="530" t="s">
        <v>271</v>
      </c>
      <c r="C237" s="533" t="s">
        <v>264</v>
      </c>
      <c r="D237" s="532">
        <v>1498.888</v>
      </c>
      <c r="E237" s="518">
        <v>7</v>
      </c>
      <c r="F237" s="519">
        <v>2038.699999999999</v>
      </c>
      <c r="G237" s="504">
        <f t="shared" si="52"/>
      </c>
      <c r="H237" s="505">
        <f t="shared" si="351"/>
      </c>
      <c r="I237" s="506">
        <f t="shared" si="287"/>
      </c>
      <c r="J237" s="507">
        <f t="shared" si="223"/>
      </c>
      <c r="K237" s="508">
        <f t="shared" si="618"/>
      </c>
      <c r="L237" s="505">
        <f t="shared" si="419"/>
      </c>
      <c r="M237" s="509">
        <f t="shared" si="492"/>
      </c>
      <c r="N237" s="509">
        <f t="shared" si="545"/>
      </c>
      <c r="O237" s="509">
        <f t="shared" si="450"/>
      </c>
      <c r="P237" s="509">
        <f t="shared" si="382"/>
      </c>
      <c r="Q237" s="505">
        <f t="shared" si="320"/>
      </c>
      <c r="R237" s="507">
        <f t="shared" si="256"/>
      </c>
      <c r="S237" s="509">
        <f t="shared" si="159"/>
      </c>
      <c r="T237" s="509">
        <f t="shared" si="89"/>
      </c>
      <c r="U237" s="509">
        <f t="shared" si="15"/>
      </c>
      <c r="V237" s="509">
        <f t="shared" si="576"/>
      </c>
      <c r="W237" s="520" t="s">
        <v>255</v>
      </c>
      <c r="X237" s="511" t="s">
        <v>279</v>
      </c>
      <c r="Y237" s="513">
        <v>282942</v>
      </c>
      <c r="Z237" s="513">
        <v>9016</v>
      </c>
      <c r="AA237" s="513">
        <v>233756</v>
      </c>
      <c r="AB237" s="513">
        <v>606</v>
      </c>
      <c r="AC237" s="513">
        <v>5</v>
      </c>
      <c r="AD237" s="513">
        <v>11110</v>
      </c>
      <c r="AE237" s="513">
        <v>147</v>
      </c>
      <c r="AF237" s="513">
        <v>172</v>
      </c>
      <c r="AG237" s="513">
        <v>19</v>
      </c>
      <c r="AH237" s="514">
        <v>2</v>
      </c>
    </row>
    <row r="238">
      <c r="A238" s="498"/>
      <c r="B238" s="530" t="s">
        <v>271</v>
      </c>
      <c r="C238" s="534" t="s">
        <v>265</v>
      </c>
      <c r="D238" s="532">
        <v>1706.0459999999998</v>
      </c>
      <c r="E238" s="518">
        <v>2</v>
      </c>
      <c r="F238" s="519">
        <v>456</v>
      </c>
      <c r="G238" s="504">
        <f t="shared" si="52"/>
      </c>
      <c r="H238" s="505">
        <f t="shared" si="351"/>
      </c>
      <c r="I238" s="506">
        <f t="shared" si="287"/>
      </c>
      <c r="J238" s="507">
        <f t="shared" si="223"/>
      </c>
      <c r="K238" s="508">
        <f t="shared" si="618"/>
      </c>
      <c r="L238" s="505">
        <f t="shared" si="419"/>
      </c>
      <c r="M238" s="509">
        <f t="shared" si="492"/>
      </c>
      <c r="N238" s="509">
        <f t="shared" si="545"/>
      </c>
      <c r="O238" s="509">
        <f t="shared" si="450"/>
      </c>
      <c r="P238" s="509">
        <f t="shared" si="382"/>
      </c>
      <c r="Q238" s="505">
        <f t="shared" si="320"/>
      </c>
      <c r="R238" s="507">
        <f t="shared" si="256"/>
      </c>
      <c r="S238" s="509">
        <f t="shared" si="159"/>
      </c>
      <c r="T238" s="509">
        <f t="shared" si="89"/>
      </c>
      <c r="U238" s="509">
        <f t="shared" si="15"/>
      </c>
      <c r="V238" s="509">
        <f t="shared" si="576"/>
      </c>
      <c r="W238" s="520" t="s">
        <v>255</v>
      </c>
      <c r="X238" s="511" t="s">
        <v>279</v>
      </c>
      <c r="Y238" s="513">
        <v>331008</v>
      </c>
      <c r="Z238" s="513">
        <v>8278</v>
      </c>
      <c r="AA238" s="513">
        <v>257022</v>
      </c>
      <c r="AB238" s="513">
        <v>708</v>
      </c>
      <c r="AC238" s="513">
        <v>2</v>
      </c>
      <c r="AD238" s="513">
        <v>10427</v>
      </c>
      <c r="AE238" s="513">
        <v>139</v>
      </c>
      <c r="AF238" s="513">
        <v>135</v>
      </c>
      <c r="AG238" s="513">
        <v>14</v>
      </c>
      <c r="AH238" s="514">
        <v>0</v>
      </c>
    </row>
    <row r="239">
      <c r="A239" s="498"/>
      <c r="B239" s="530" t="s">
        <v>271</v>
      </c>
      <c r="C239" s="537" t="s">
        <v>266</v>
      </c>
      <c r="D239" s="532">
        <v>1556.882</v>
      </c>
      <c r="E239" s="518">
        <v>5</v>
      </c>
      <c r="F239" s="519">
        <v>2806.300000000001</v>
      </c>
      <c r="G239" s="504">
        <f t="shared" si="52"/>
      </c>
      <c r="H239" s="505">
        <f t="shared" si="351"/>
      </c>
      <c r="I239" s="506">
        <f t="shared" si="287"/>
      </c>
      <c r="J239" s="507">
        <f t="shared" si="223"/>
      </c>
      <c r="K239" s="508">
        <f t="shared" si="618"/>
      </c>
      <c r="L239" s="505">
        <f t="shared" si="419"/>
      </c>
      <c r="M239" s="509">
        <f t="shared" si="492"/>
      </c>
      <c r="N239" s="509">
        <f t="shared" si="545"/>
      </c>
      <c r="O239" s="509">
        <f t="shared" si="450"/>
      </c>
      <c r="P239" s="509">
        <f t="shared" si="382"/>
      </c>
      <c r="Q239" s="505">
        <f t="shared" si="320"/>
      </c>
      <c r="R239" s="507">
        <f t="shared" si="256"/>
      </c>
      <c r="S239" s="509">
        <f t="shared" si="159"/>
      </c>
      <c r="T239" s="509">
        <f t="shared" si="89"/>
      </c>
      <c r="U239" s="509">
        <f t="shared" si="15"/>
      </c>
      <c r="V239" s="509">
        <f t="shared" si="576"/>
      </c>
      <c r="W239" s="520" t="s">
        <v>255</v>
      </c>
      <c r="X239" s="511" t="s">
        <v>284</v>
      </c>
      <c r="Y239" s="513">
        <v>296918</v>
      </c>
      <c r="Z239" s="513">
        <v>10330</v>
      </c>
      <c r="AA239" s="513">
        <v>260667</v>
      </c>
      <c r="AB239" s="513">
        <v>631</v>
      </c>
      <c r="AC239" s="513">
        <v>4</v>
      </c>
      <c r="AD239" s="513">
        <v>11793</v>
      </c>
      <c r="AE239" s="513">
        <v>179</v>
      </c>
      <c r="AF239" s="513">
        <v>168</v>
      </c>
      <c r="AG239" s="513">
        <v>14</v>
      </c>
      <c r="AH239" s="514">
        <v>1</v>
      </c>
    </row>
    <row r="240">
      <c r="A240" s="498"/>
      <c r="B240" s="530" t="s">
        <v>271</v>
      </c>
      <c r="C240" s="540" t="s">
        <v>269</v>
      </c>
      <c r="D240" s="532">
        <v>1588.2309999999998</v>
      </c>
      <c r="E240" s="518">
        <v>7</v>
      </c>
      <c r="F240" s="519">
        <v>2121.2000000000007</v>
      </c>
      <c r="G240" s="504">
        <f t="shared" si="52"/>
      </c>
      <c r="H240" s="505">
        <f t="shared" si="351"/>
      </c>
      <c r="I240" s="506">
        <f t="shared" si="287"/>
      </c>
      <c r="J240" s="507">
        <f t="shared" si="223"/>
      </c>
      <c r="K240" s="508">
        <f t="shared" si="618"/>
      </c>
      <c r="L240" s="505">
        <f t="shared" si="419"/>
      </c>
      <c r="M240" s="509">
        <f t="shared" si="492"/>
      </c>
      <c r="N240" s="509">
        <f t="shared" si="545"/>
      </c>
      <c r="O240" s="509">
        <f t="shared" si="450"/>
      </c>
      <c r="P240" s="509">
        <f t="shared" si="382"/>
      </c>
      <c r="Q240" s="505">
        <f t="shared" si="320"/>
      </c>
      <c r="R240" s="507">
        <f t="shared" si="256"/>
      </c>
      <c r="S240" s="509">
        <f t="shared" si="159"/>
      </c>
      <c r="T240" s="509">
        <f t="shared" si="89"/>
      </c>
      <c r="U240" s="509">
        <f t="shared" si="15"/>
      </c>
      <c r="V240" s="509">
        <f t="shared" si="576"/>
      </c>
      <c r="W240" s="520" t="s">
        <v>255</v>
      </c>
      <c r="X240" s="511" t="s">
        <v>284</v>
      </c>
      <c r="Y240" s="513">
        <v>304297</v>
      </c>
      <c r="Z240" s="513">
        <v>9616</v>
      </c>
      <c r="AA240" s="513">
        <v>274742</v>
      </c>
      <c r="AB240" s="513">
        <v>540</v>
      </c>
      <c r="AC240" s="513">
        <v>6</v>
      </c>
      <c r="AD240" s="513">
        <v>12504</v>
      </c>
      <c r="AE240" s="513">
        <v>146</v>
      </c>
      <c r="AF240" s="513">
        <v>204</v>
      </c>
      <c r="AG240" s="513">
        <v>10</v>
      </c>
      <c r="AH240" s="514">
        <v>1</v>
      </c>
    </row>
    <row r="241">
      <c r="A241" s="498"/>
      <c r="B241" s="521" t="s">
        <v>261</v>
      </c>
      <c r="C241" s="521"/>
      <c r="D241" s="522">
        <f>SUM(D236:D240)</f>
      </c>
      <c r="E241" s="522">
        <f>SUM(E236:E240)</f>
      </c>
      <c r="F241" s="522">
        <f>SUM(F236:F240)</f>
      </c>
      <c r="G241" s="522">
        <f t="shared" si="52"/>
      </c>
      <c r="H241" s="524">
        <f t="shared" si="351"/>
      </c>
      <c r="I241" s="525">
        <f t="shared" si="287"/>
      </c>
      <c r="J241" s="526">
        <f t="shared" si="223"/>
      </c>
      <c r="K241" s="527">
        <f t="shared" si="618"/>
      </c>
      <c r="L241" s="524">
        <f t="shared" si="419"/>
      </c>
      <c r="M241" s="528">
        <f t="shared" si="492"/>
      </c>
      <c r="N241" s="528">
        <f t="shared" si="545"/>
      </c>
      <c r="O241" s="528">
        <f t="shared" si="450"/>
      </c>
      <c r="P241" s="528">
        <f t="shared" si="382"/>
      </c>
      <c r="Q241" s="524">
        <f t="shared" si="320"/>
      </c>
      <c r="R241" s="526">
        <f t="shared" si="256"/>
      </c>
      <c r="S241" s="528">
        <f t="shared" si="159"/>
      </c>
      <c r="T241" s="528">
        <f t="shared" si="89"/>
      </c>
      <c r="U241" s="528">
        <f t="shared" si="15"/>
      </c>
      <c r="V241" s="528">
        <f t="shared" si="576"/>
      </c>
      <c r="W241" s="528"/>
      <c r="X241" s="529"/>
      <c r="Y241" s="522">
        <f>SUM(Y236:Y240)</f>
      </c>
      <c r="Z241" s="522">
        <f>SUM(Z236:Z240)</f>
      </c>
      <c r="AA241" s="522">
        <f>SUM(AA236:AA240)</f>
      </c>
      <c r="AB241" s="522">
        <f>SUM(AB236:AB240)</f>
      </c>
      <c r="AC241" s="522">
        <f>SUM(AC236:AC240)</f>
      </c>
      <c r="AD241" s="522">
        <f>SUM(AD236:AD240)</f>
      </c>
      <c r="AE241" s="522">
        <f>SUM(AE236:AE240)</f>
      </c>
      <c r="AF241" s="522">
        <f>SUM(AF236:AF240)</f>
      </c>
      <c r="AG241" s="522">
        <f>SUM(AG236:AG240)</f>
      </c>
      <c r="AH241" s="522">
        <f>SUM(AH236:AH240)</f>
      </c>
    </row>
    <row r="242">
      <c r="A242" s="498"/>
      <c r="B242" s="499" t="s">
        <v>268</v>
      </c>
      <c r="C242" s="534" t="s">
        <v>270</v>
      </c>
      <c r="D242" s="541">
        <v>1610.464</v>
      </c>
      <c r="E242" s="542">
        <v>2</v>
      </c>
      <c r="F242" s="519">
        <v>855.5999999999985</v>
      </c>
      <c r="G242" s="504">
        <f t="shared" si="52"/>
      </c>
      <c r="H242" s="505">
        <f t="shared" si="351"/>
      </c>
      <c r="I242" s="506">
        <f t="shared" si="287"/>
      </c>
      <c r="J242" s="507">
        <f t="shared" si="223"/>
      </c>
      <c r="K242" s="508">
        <f t="shared" si="618"/>
      </c>
      <c r="L242" s="505">
        <f t="shared" si="419"/>
      </c>
      <c r="M242" s="509">
        <f t="shared" si="492"/>
      </c>
      <c r="N242" s="509">
        <f t="shared" si="545"/>
      </c>
      <c r="O242" s="509">
        <f t="shared" si="450"/>
      </c>
      <c r="P242" s="509">
        <f t="shared" si="382"/>
      </c>
      <c r="Q242" s="505">
        <f t="shared" si="320"/>
      </c>
      <c r="R242" s="507">
        <f t="shared" si="256"/>
      </c>
      <c r="S242" s="509">
        <f t="shared" si="159"/>
      </c>
      <c r="T242" s="509">
        <f t="shared" si="89"/>
      </c>
      <c r="U242" s="509">
        <f t="shared" si="15"/>
      </c>
      <c r="V242" s="509">
        <f t="shared" si="576"/>
      </c>
      <c r="W242" s="520" t="s">
        <v>255</v>
      </c>
      <c r="X242" s="511" t="s">
        <v>284</v>
      </c>
      <c r="Y242" s="513">
        <v>310932</v>
      </c>
      <c r="Z242" s="513">
        <v>7157</v>
      </c>
      <c r="AA242" s="513">
        <v>277856</v>
      </c>
      <c r="AB242" s="513">
        <v>529</v>
      </c>
      <c r="AC242" s="513">
        <v>2</v>
      </c>
      <c r="AD242" s="513">
        <v>11510</v>
      </c>
      <c r="AE242" s="513">
        <v>181</v>
      </c>
      <c r="AF242" s="513">
        <v>144</v>
      </c>
      <c r="AG242" s="513">
        <v>10</v>
      </c>
      <c r="AH242" s="514">
        <v>0</v>
      </c>
    </row>
    <row r="243">
      <c r="A243" s="498"/>
      <c r="B243" s="499" t="s">
        <v>268</v>
      </c>
      <c r="C243" s="534" t="s">
        <v>272</v>
      </c>
      <c r="D243" s="541">
        <v>1564.6970000000001</v>
      </c>
      <c r="E243" s="542">
        <v>5</v>
      </c>
      <c r="F243" s="519">
        <v>1708</v>
      </c>
      <c r="G243" s="504">
        <f t="shared" si="52"/>
      </c>
      <c r="H243" s="505">
        <f t="shared" si="351"/>
      </c>
      <c r="I243" s="506">
        <f t="shared" si="287"/>
      </c>
      <c r="J243" s="507">
        <f t="shared" si="223"/>
      </c>
      <c r="K243" s="508">
        <f t="shared" si="618"/>
      </c>
      <c r="L243" s="505">
        <f t="shared" si="419"/>
      </c>
      <c r="M243" s="509">
        <f t="shared" si="492"/>
      </c>
      <c r="N243" s="509">
        <f t="shared" si="545"/>
      </c>
      <c r="O243" s="509">
        <f t="shared" si="450"/>
      </c>
      <c r="P243" s="509">
        <f t="shared" si="382"/>
      </c>
      <c r="Q243" s="505">
        <f t="shared" si="320"/>
      </c>
      <c r="R243" s="507">
        <f t="shared" si="256"/>
      </c>
      <c r="S243" s="509">
        <f t="shared" si="159"/>
      </c>
      <c r="T243" s="509">
        <f t="shared" si="89"/>
      </c>
      <c r="U243" s="509">
        <f t="shared" si="15"/>
      </c>
      <c r="V243" s="509">
        <f t="shared" si="576"/>
      </c>
      <c r="W243" s="520" t="s">
        <v>255</v>
      </c>
      <c r="X243" s="511" t="s">
        <v>284</v>
      </c>
      <c r="Y243" s="513">
        <v>340016</v>
      </c>
      <c r="Z243" s="513">
        <v>3748</v>
      </c>
      <c r="AA243" s="513">
        <v>304315</v>
      </c>
      <c r="AB243" s="513">
        <v>530</v>
      </c>
      <c r="AC243" s="513">
        <v>5</v>
      </c>
      <c r="AD243" s="513">
        <v>13728</v>
      </c>
      <c r="AE243" s="513">
        <v>170</v>
      </c>
      <c r="AF243" s="513">
        <v>124</v>
      </c>
      <c r="AG243" s="513">
        <v>8</v>
      </c>
      <c r="AH243" s="514">
        <v>0</v>
      </c>
    </row>
    <row r="244">
      <c r="A244" s="498"/>
      <c r="B244" s="499" t="s">
        <v>268</v>
      </c>
      <c r="C244" s="537" t="s">
        <v>273</v>
      </c>
      <c r="D244" s="541">
        <v>1563.401</v>
      </c>
      <c r="E244" s="542">
        <v>1</v>
      </c>
      <c r="F244" s="519">
        <v>228</v>
      </c>
      <c r="G244" s="504">
        <f t="shared" si="52"/>
      </c>
      <c r="H244" s="505">
        <f t="shared" si="351"/>
      </c>
      <c r="I244" s="506">
        <f t="shared" si="287"/>
      </c>
      <c r="J244" s="507">
        <f t="shared" si="223"/>
      </c>
      <c r="K244" s="508">
        <f t="shared" si="618"/>
      </c>
      <c r="L244" s="505">
        <f t="shared" si="419"/>
      </c>
      <c r="M244" s="509">
        <f t="shared" si="492"/>
      </c>
      <c r="N244" s="509">
        <f t="shared" si="545"/>
      </c>
      <c r="O244" s="509">
        <f t="shared" si="450"/>
      </c>
      <c r="P244" s="509">
        <f t="shared" si="382"/>
      </c>
      <c r="Q244" s="505">
        <f t="shared" si="320"/>
      </c>
      <c r="R244" s="507">
        <f t="shared" si="256"/>
      </c>
      <c r="S244" s="509">
        <f t="shared" si="159"/>
      </c>
      <c r="T244" s="509">
        <f t="shared" si="89"/>
      </c>
      <c r="U244" s="509">
        <f t="shared" si="15"/>
      </c>
      <c r="V244" s="509">
        <f t="shared" si="576"/>
      </c>
      <c r="W244" s="520" t="s">
        <v>255</v>
      </c>
      <c r="X244" s="511" t="s">
        <v>284</v>
      </c>
      <c r="Y244" s="513">
        <v>341806</v>
      </c>
      <c r="Z244" s="513">
        <v>3190</v>
      </c>
      <c r="AA244" s="513">
        <v>293488</v>
      </c>
      <c r="AB244" s="513">
        <v>554</v>
      </c>
      <c r="AC244" s="513">
        <v>1</v>
      </c>
      <c r="AD244" s="513">
        <v>10831</v>
      </c>
      <c r="AE244" s="513">
        <v>107</v>
      </c>
      <c r="AF244" s="513">
        <v>92</v>
      </c>
      <c r="AG244" s="513">
        <v>20</v>
      </c>
      <c r="AH244" s="514">
        <v>0</v>
      </c>
    </row>
    <row r="245">
      <c r="A245" s="498"/>
      <c r="B245" s="499" t="s">
        <v>268</v>
      </c>
      <c r="C245" s="534" t="s">
        <v>274</v>
      </c>
      <c r="D245" s="535">
        <v>1740.154</v>
      </c>
      <c r="E245" s="502">
        <v>4</v>
      </c>
      <c r="F245" s="503">
        <v>1438.2999999999993</v>
      </c>
      <c r="G245" s="504">
        <f t="shared" si="52"/>
      </c>
      <c r="H245" s="505">
        <f t="shared" si="351"/>
      </c>
      <c r="I245" s="560">
        <f t="shared" si="287"/>
      </c>
      <c r="J245" s="559">
        <f t="shared" si="223"/>
      </c>
      <c r="K245" s="556">
        <f t="shared" ref="K245:K246" si="128">D245/AB245</f>
      </c>
      <c r="L245" s="557">
        <f t="shared" si="419"/>
      </c>
      <c r="M245" s="558">
        <f t="shared" ref="M245:M246" si="190">AC245/AB245</f>
      </c>
      <c r="N245" s="558">
        <f t="shared" si="545"/>
      </c>
      <c r="O245" s="558">
        <f t="shared" si="450"/>
      </c>
      <c r="P245" s="558">
        <f t="shared" si="382"/>
      </c>
      <c r="Q245" s="557">
        <f t="shared" si="320"/>
      </c>
      <c r="R245" s="559">
        <f t="shared" si="256"/>
      </c>
      <c r="S245" s="558">
        <f t="shared" si="159"/>
      </c>
      <c r="T245" s="558">
        <f t="shared" si="89"/>
      </c>
      <c r="U245" s="558">
        <f t="shared" si="15"/>
      </c>
      <c r="V245" s="558">
        <f t="shared" si="576"/>
      </c>
      <c r="W245" s="520" t="s">
        <v>255</v>
      </c>
      <c r="X245" s="511" t="s">
        <v>284</v>
      </c>
      <c r="Y245" s="513">
        <v>381808</v>
      </c>
      <c r="Z245" s="513">
        <v>3655</v>
      </c>
      <c r="AA245" s="513">
        <v>323790</v>
      </c>
      <c r="AB245" s="536">
        <v>710</v>
      </c>
      <c r="AC245" s="536">
        <v>3</v>
      </c>
      <c r="AD245" s="536">
        <v>14416</v>
      </c>
      <c r="AE245" s="536">
        <v>212</v>
      </c>
      <c r="AF245" s="536">
        <v>157</v>
      </c>
      <c r="AG245" s="536">
        <v>16</v>
      </c>
      <c r="AH245" s="514">
        <v>1</v>
      </c>
    </row>
    <row r="246">
      <c r="A246" s="498"/>
      <c r="B246" s="499" t="s">
        <v>268</v>
      </c>
      <c r="C246" s="555" t="s">
        <v>275</v>
      </c>
      <c r="D246" s="541">
        <v>1754.43</v>
      </c>
      <c r="E246" s="542">
        <v>6</v>
      </c>
      <c r="F246" s="519">
        <v>1936</v>
      </c>
      <c r="G246" s="504">
        <f t="shared" si="52"/>
      </c>
      <c r="H246" s="505">
        <f t="shared" si="351"/>
      </c>
      <c r="I246" s="560">
        <f t="shared" si="287"/>
      </c>
      <c r="J246" s="559">
        <f t="shared" si="223"/>
      </c>
      <c r="K246" s="556">
        <f t="shared" si="128"/>
      </c>
      <c r="L246" s="557">
        <f t="shared" si="419"/>
      </c>
      <c r="M246" s="558">
        <f t="shared" si="190"/>
      </c>
      <c r="N246" s="558">
        <f t="shared" si="545"/>
      </c>
      <c r="O246" s="558">
        <f t="shared" si="450"/>
      </c>
      <c r="P246" s="558">
        <f t="shared" si="382"/>
      </c>
      <c r="Q246" s="557">
        <f t="shared" si="320"/>
      </c>
      <c r="R246" s="559">
        <f t="shared" si="256"/>
      </c>
      <c r="S246" s="558">
        <f t="shared" si="159"/>
      </c>
      <c r="T246" s="558">
        <f t="shared" si="89"/>
      </c>
      <c r="U246" s="558">
        <f t="shared" si="15"/>
      </c>
      <c r="V246" s="558">
        <f t="shared" si="576"/>
      </c>
      <c r="W246" s="520" t="s">
        <v>255</v>
      </c>
      <c r="X246" s="511" t="s">
        <v>284</v>
      </c>
      <c r="Y246" s="513">
        <v>374822</v>
      </c>
      <c r="Z246" s="513">
        <v>3468</v>
      </c>
      <c r="AA246" s="513">
        <v>309956</v>
      </c>
      <c r="AB246" s="513">
        <v>755</v>
      </c>
      <c r="AC246" s="513">
        <v>6</v>
      </c>
      <c r="AD246" s="513">
        <v>12565</v>
      </c>
      <c r="AE246" s="513">
        <v>160</v>
      </c>
      <c r="AF246" s="513">
        <v>129</v>
      </c>
      <c r="AG246" s="514">
        <v>20</v>
      </c>
      <c r="AH246" s="514">
        <v>0</v>
      </c>
    </row>
    <row r="247">
      <c r="A247" s="498"/>
      <c r="B247" s="538" t="s">
        <v>261</v>
      </c>
      <c r="C247" s="538"/>
      <c r="D247" s="522">
        <f>SUM(D242:D246)</f>
      </c>
      <c r="E247" s="522">
        <f>SUM(E242:E246)</f>
      </c>
      <c r="F247" s="522">
        <f>SUM(F242:F246)</f>
      </c>
      <c r="G247" s="522">
        <f t="shared" si="52"/>
      </c>
      <c r="H247" s="524">
        <f t="shared" si="351"/>
      </c>
      <c r="I247" s="525">
        <f t="shared" si="287"/>
      </c>
      <c r="J247" s="526">
        <f t="shared" si="223"/>
      </c>
      <c r="K247" s="527">
        <f t="shared" ref="K247:K248" si="619">D247/AA247</f>
      </c>
      <c r="L247" s="524">
        <f t="shared" si="419"/>
      </c>
      <c r="M247" s="528">
        <f t="shared" ref="M247:M248" si="493">AB247/AA247</f>
      </c>
      <c r="N247" s="528">
        <f t="shared" si="545"/>
      </c>
      <c r="O247" s="528">
        <f t="shared" si="450"/>
      </c>
      <c r="P247" s="528">
        <f t="shared" si="382"/>
      </c>
      <c r="Q247" s="524">
        <f t="shared" si="320"/>
      </c>
      <c r="R247" s="526">
        <f t="shared" si="256"/>
      </c>
      <c r="S247" s="528">
        <f t="shared" si="159"/>
      </c>
      <c r="T247" s="528">
        <f t="shared" si="89"/>
      </c>
      <c r="U247" s="528">
        <f t="shared" si="15"/>
      </c>
      <c r="V247" s="528">
        <f t="shared" si="576"/>
      </c>
      <c r="W247" s="528"/>
      <c r="X247" s="529"/>
      <c r="Y247" s="522">
        <f>SUM(Y242:Y246)</f>
      </c>
      <c r="Z247" s="522">
        <f>SUM(Z242:Z246)</f>
      </c>
      <c r="AA247" s="522">
        <f>SUM(AA242:AA246)</f>
      </c>
      <c r="AB247" s="522">
        <f>SUM(AB242:AB246)</f>
      </c>
      <c r="AC247" s="522">
        <f>SUM(AC242:AC246)</f>
      </c>
      <c r="AD247" s="522">
        <f>SUM(AD242:AD246)</f>
      </c>
      <c r="AE247" s="522">
        <f>SUM(AE242:AE246)</f>
      </c>
      <c r="AF247" s="522">
        <f>SUM(AF242:AF246)</f>
      </c>
      <c r="AG247" s="522">
        <f>SUM(AG242:AG246)</f>
      </c>
      <c r="AH247" s="522">
        <f>SUM(AH242:AH246)</f>
      </c>
    </row>
    <row r="248">
      <c r="A248" s="498"/>
      <c r="B248" s="543" t="s">
        <v>276</v>
      </c>
      <c r="C248" s="543"/>
      <c r="D248" s="554">
        <f>SUM(D235+D247+D241)</f>
      </c>
      <c r="E248" s="554">
        <f>SUM(E235+E247+E241)</f>
      </c>
      <c r="F248" s="554">
        <f>SUM(F235+F247+F241)</f>
      </c>
      <c r="G248" s="544">
        <f t="shared" si="52"/>
      </c>
      <c r="H248" s="545">
        <f t="shared" si="351"/>
      </c>
      <c r="I248" s="546">
        <f t="shared" si="287"/>
      </c>
      <c r="J248" s="547">
        <f t="shared" si="223"/>
      </c>
      <c r="K248" s="548">
        <f t="shared" si="619"/>
      </c>
      <c r="L248" s="548">
        <f t="shared" si="419"/>
      </c>
      <c r="M248" s="550">
        <f t="shared" si="493"/>
      </c>
      <c r="N248" s="550">
        <f t="shared" si="545"/>
      </c>
      <c r="O248" s="550">
        <f t="shared" si="450"/>
      </c>
      <c r="P248" s="550">
        <f t="shared" si="382"/>
      </c>
      <c r="Q248" s="549">
        <f t="shared" si="320"/>
      </c>
      <c r="R248" s="551">
        <f t="shared" si="256"/>
      </c>
      <c r="S248" s="552">
        <f t="shared" si="159"/>
      </c>
      <c r="T248" s="552">
        <f t="shared" si="89"/>
      </c>
      <c r="U248" s="552">
        <f t="shared" si="15"/>
      </c>
      <c r="V248" s="552">
        <f t="shared" si="576"/>
      </c>
      <c r="W248" s="552"/>
      <c r="X248" s="553"/>
      <c r="Y248" s="544">
        <f>SUM(Y247+Y235+Y241)</f>
      </c>
      <c r="Z248" s="544">
        <f>SUM(Z247+Z235+Z241)</f>
      </c>
      <c r="AA248" s="544">
        <f>SUM(AA247+AA235+AA241)</f>
      </c>
      <c r="AB248" s="544">
        <f>SUM(AB247+AB235+AB241)</f>
      </c>
      <c r="AC248" s="544">
        <f>SUM(AC247+AC235+AC241)</f>
      </c>
      <c r="AD248" s="544">
        <f>SUM(AD247+AD235+AD241)</f>
      </c>
      <c r="AE248" s="544">
        <f>SUM(AE247+AE235+AE241)</f>
      </c>
      <c r="AF248" s="544">
        <f>SUM(AF247+AF235+AF241)</f>
      </c>
      <c r="AG248" s="544">
        <f>SUM(AG247+AG235+AG241)</f>
      </c>
      <c r="AH248" s="544">
        <f>SUM(AH247+AH235+AH241)</f>
      </c>
    </row>
    <row r="249">
      <c r="A249" s="485" t="s">
        <v>218</v>
      </c>
      <c r="B249" s="485" t="s">
        <v>219</v>
      </c>
      <c r="C249" s="486" t="s">
        <v>220</v>
      </c>
      <c r="D249" s="487" t="s">
        <v>221</v>
      </c>
      <c r="E249" s="488" t="s">
        <v>222</v>
      </c>
      <c r="F249" s="489" t="s">
        <v>223</v>
      </c>
      <c r="G249" s="489" t="s">
        <v>224</v>
      </c>
      <c r="H249" s="490" t="s">
        <v>225</v>
      </c>
      <c r="I249" s="490" t="s">
        <v>226</v>
      </c>
      <c r="J249" s="490" t="s">
        <v>227</v>
      </c>
      <c r="K249" s="491" t="s">
        <v>228</v>
      </c>
      <c r="L249" s="491" t="s">
        <v>229</v>
      </c>
      <c r="M249" s="491" t="s">
        <v>231</v>
      </c>
      <c r="N249" s="491" t="s">
        <v>232</v>
      </c>
      <c r="O249" s="491" t="s">
        <v>233</v>
      </c>
      <c r="P249" s="491" t="s">
        <v>234</v>
      </c>
      <c r="Q249" s="491" t="s">
        <v>235</v>
      </c>
      <c r="R249" s="491" t="s">
        <v>236</v>
      </c>
      <c r="S249" s="492" t="s">
        <v>237</v>
      </c>
      <c r="T249" s="492" t="s">
        <v>238</v>
      </c>
      <c r="U249" s="492" t="s">
        <v>239</v>
      </c>
      <c r="V249" s="492" t="s">
        <v>240</v>
      </c>
      <c r="W249" s="493" t="s">
        <v>241</v>
      </c>
      <c r="X249" s="493" t="s">
        <v>242</v>
      </c>
      <c r="Y249" s="494" t="s">
        <v>243</v>
      </c>
      <c r="Z249" s="494" t="s">
        <v>244</v>
      </c>
      <c r="AA249" s="494" t="s">
        <v>245</v>
      </c>
      <c r="AB249" s="495" t="s">
        <v>246</v>
      </c>
      <c r="AC249" s="495" t="s">
        <v>247</v>
      </c>
      <c r="AD249" s="496" t="s">
        <v>248</v>
      </c>
      <c r="AE249" s="495" t="s">
        <v>249</v>
      </c>
      <c r="AF249" s="495" t="s">
        <v>250</v>
      </c>
      <c r="AG249" s="497" t="s">
        <v>251</v>
      </c>
      <c r="AH249" s="495" t="s">
        <v>252</v>
      </c>
    </row>
    <row r="250">
      <c r="A250" s="498">
        <v>46216</v>
      </c>
      <c r="B250" s="530" t="s">
        <v>277</v>
      </c>
      <c r="C250" s="500" t="s">
        <v>254</v>
      </c>
      <c r="D250" s="501">
        <v>1218.984</v>
      </c>
      <c r="E250" s="502">
        <v>1</v>
      </c>
      <c r="F250" s="503">
        <v>828</v>
      </c>
      <c r="G250" s="504">
        <f t="shared" ref="G250:G268" si="53">D250/AC250</f>
      </c>
      <c r="H250" s="505">
        <f t="shared" ref="H250:H268" si="352">F250/E250</f>
      </c>
      <c r="I250" s="506">
        <f t="shared" ref="I250:I268" si="288">D250/E250</f>
      </c>
      <c r="J250" s="507">
        <f t="shared" ref="J250:J268" si="224">F250/D250</f>
      </c>
      <c r="K250" s="508">
        <f t="shared" ref="K250:K264" si="620">D250/AA250</f>
      </c>
      <c r="L250" s="505">
        <f t="shared" ref="L250:L268" si="420">D250/AB250</f>
      </c>
      <c r="M250" s="509">
        <f t="shared" ref="M250:M264" si="494">AB250/AA250</f>
      </c>
      <c r="N250" s="509">
        <f t="shared" ref="N250:N268" si="546">AC250/AB250</f>
      </c>
      <c r="O250" s="509">
        <f t="shared" ref="O250:O268" si="451">Z250/Y250</f>
      </c>
      <c r="P250" s="509">
        <f t="shared" ref="P250:P268" si="383">AC250/Z250</f>
      </c>
      <c r="Q250" s="505">
        <f t="shared" ref="Q250:Q268" si="321">D250/Y250*1000</f>
      </c>
      <c r="R250" s="507">
        <f t="shared" ref="R250:R268" si="257">D250/Z250</f>
      </c>
      <c r="S250" s="509">
        <f t="shared" ref="S250:S268" si="160">AD250/AA250</f>
      </c>
      <c r="T250" s="509">
        <f t="shared" ref="T250:T268" si="90">AE250/AA250</f>
      </c>
      <c r="U250" s="509">
        <f t="shared" ref="U250:U268" si="16">AF250/AA250</f>
      </c>
      <c r="V250" s="509">
        <f t="shared" ref="V250:V268" si="577">AG250/AA250</f>
      </c>
      <c r="W250" s="510" t="s">
        <v>255</v>
      </c>
      <c r="X250" s="511" t="s">
        <v>282</v>
      </c>
      <c r="Y250" s="512">
        <v>171675</v>
      </c>
      <c r="Z250" s="512">
        <v>3340</v>
      </c>
      <c r="AA250" s="512">
        <v>133407</v>
      </c>
      <c r="AB250" s="512">
        <v>556</v>
      </c>
      <c r="AC250" s="514">
        <v>1</v>
      </c>
      <c r="AD250" s="512">
        <v>14805</v>
      </c>
      <c r="AE250" s="513">
        <v>214</v>
      </c>
      <c r="AF250" s="513">
        <v>118</v>
      </c>
      <c r="AG250" s="513">
        <v>12</v>
      </c>
      <c r="AH250" s="514">
        <v>0</v>
      </c>
    </row>
    <row r="251">
      <c r="A251" s="498"/>
      <c r="B251" s="530" t="s">
        <v>277</v>
      </c>
      <c r="C251" s="500" t="s">
        <v>257</v>
      </c>
      <c r="D251" s="501">
        <v>1689.811</v>
      </c>
      <c r="E251" s="502">
        <v>3</v>
      </c>
      <c r="F251" s="503">
        <v>1245.6000000000004</v>
      </c>
      <c r="G251" s="504">
        <f t="shared" si="53"/>
      </c>
      <c r="H251" s="505">
        <f t="shared" si="352"/>
      </c>
      <c r="I251" s="506">
        <f t="shared" si="288"/>
      </c>
      <c r="J251" s="507">
        <f t="shared" si="224"/>
      </c>
      <c r="K251" s="508">
        <f t="shared" si="620"/>
      </c>
      <c r="L251" s="505">
        <f t="shared" si="420"/>
      </c>
      <c r="M251" s="509">
        <f t="shared" si="494"/>
      </c>
      <c r="N251" s="509">
        <f t="shared" si="546"/>
      </c>
      <c r="O251" s="509">
        <f t="shared" si="451"/>
      </c>
      <c r="P251" s="509">
        <f t="shared" si="383"/>
      </c>
      <c r="Q251" s="505">
        <f t="shared" si="321"/>
      </c>
      <c r="R251" s="507">
        <f t="shared" si="257"/>
      </c>
      <c r="S251" s="509">
        <f t="shared" si="160"/>
      </c>
      <c r="T251" s="509">
        <f t="shared" si="90"/>
      </c>
      <c r="U251" s="509">
        <f t="shared" si="16"/>
      </c>
      <c r="V251" s="509">
        <f t="shared" si="577"/>
      </c>
      <c r="W251" s="510" t="s">
        <v>255</v>
      </c>
      <c r="X251" s="511" t="s">
        <v>282</v>
      </c>
      <c r="Y251" s="513">
        <v>218369</v>
      </c>
      <c r="Z251" s="512">
        <v>5422</v>
      </c>
      <c r="AA251" s="512">
        <v>170114</v>
      </c>
      <c r="AB251" s="512">
        <v>870</v>
      </c>
      <c r="AC251" s="513">
        <v>3</v>
      </c>
      <c r="AD251" s="512">
        <v>20844</v>
      </c>
      <c r="AE251" s="513">
        <v>276</v>
      </c>
      <c r="AF251" s="513">
        <v>229</v>
      </c>
      <c r="AG251" s="514">
        <v>24</v>
      </c>
      <c r="AH251" s="514">
        <v>1</v>
      </c>
    </row>
    <row r="252">
      <c r="A252" s="498"/>
      <c r="B252" s="530" t="s">
        <v>277</v>
      </c>
      <c r="C252" s="515" t="s">
        <v>258</v>
      </c>
      <c r="D252" s="501">
        <v>1615.254</v>
      </c>
      <c r="E252" s="502">
        <v>7</v>
      </c>
      <c r="F252" s="503">
        <v>2164</v>
      </c>
      <c r="G252" s="504">
        <f t="shared" si="53"/>
      </c>
      <c r="H252" s="505">
        <f t="shared" si="352"/>
      </c>
      <c r="I252" s="506">
        <f t="shared" si="288"/>
      </c>
      <c r="J252" s="507">
        <f t="shared" si="224"/>
      </c>
      <c r="K252" s="508">
        <f t="shared" si="620"/>
      </c>
      <c r="L252" s="505">
        <f t="shared" si="420"/>
      </c>
      <c r="M252" s="509">
        <f t="shared" si="494"/>
      </c>
      <c r="N252" s="509">
        <f t="shared" si="546"/>
      </c>
      <c r="O252" s="509">
        <f t="shared" si="451"/>
      </c>
      <c r="P252" s="509">
        <f t="shared" si="383"/>
      </c>
      <c r="Q252" s="505">
        <f t="shared" si="321"/>
      </c>
      <c r="R252" s="507">
        <f t="shared" si="257"/>
      </c>
      <c r="S252" s="509">
        <f t="shared" si="160"/>
      </c>
      <c r="T252" s="509">
        <f t="shared" si="90"/>
      </c>
      <c r="U252" s="509">
        <f t="shared" si="16"/>
      </c>
      <c r="V252" s="509">
        <f t="shared" si="577"/>
      </c>
      <c r="W252" s="510" t="s">
        <v>255</v>
      </c>
      <c r="X252" s="511" t="s">
        <v>282</v>
      </c>
      <c r="Y252" s="513">
        <v>230515</v>
      </c>
      <c r="Z252" s="512">
        <v>4816</v>
      </c>
      <c r="AA252" s="512">
        <v>181784</v>
      </c>
      <c r="AB252" s="512">
        <v>645</v>
      </c>
      <c r="AC252" s="513">
        <v>7</v>
      </c>
      <c r="AD252" s="512">
        <v>14810</v>
      </c>
      <c r="AE252" s="513">
        <v>297</v>
      </c>
      <c r="AF252" s="513">
        <v>163</v>
      </c>
      <c r="AG252" s="513">
        <v>23</v>
      </c>
      <c r="AH252" s="514">
        <v>0</v>
      </c>
    </row>
    <row r="253">
      <c r="A253" s="498"/>
      <c r="B253" s="530" t="s">
        <v>277</v>
      </c>
      <c r="C253" s="516" t="s">
        <v>259</v>
      </c>
      <c r="D253" s="501">
        <v>1592.661</v>
      </c>
      <c r="E253" s="502">
        <v>5</v>
      </c>
      <c r="F253" s="503">
        <v>1140</v>
      </c>
      <c r="G253" s="504">
        <f t="shared" si="53"/>
      </c>
      <c r="H253" s="505">
        <f t="shared" si="352"/>
      </c>
      <c r="I253" s="506">
        <f t="shared" si="288"/>
      </c>
      <c r="J253" s="507">
        <f t="shared" si="224"/>
      </c>
      <c r="K253" s="508">
        <f t="shared" si="620"/>
      </c>
      <c r="L253" s="505">
        <f t="shared" si="420"/>
      </c>
      <c r="M253" s="509">
        <f t="shared" si="494"/>
      </c>
      <c r="N253" s="509">
        <f t="shared" si="546"/>
      </c>
      <c r="O253" s="509">
        <f t="shared" si="451"/>
      </c>
      <c r="P253" s="509">
        <f t="shared" si="383"/>
      </c>
      <c r="Q253" s="505">
        <f t="shared" si="321"/>
      </c>
      <c r="R253" s="507">
        <f t="shared" si="257"/>
      </c>
      <c r="S253" s="509">
        <f t="shared" si="160"/>
      </c>
      <c r="T253" s="509">
        <f t="shared" si="90"/>
      </c>
      <c r="U253" s="509">
        <f t="shared" si="16"/>
      </c>
      <c r="V253" s="509">
        <f t="shared" si="577"/>
      </c>
      <c r="W253" s="504" t="s">
        <v>255</v>
      </c>
      <c r="X253" s="511" t="s">
        <v>282</v>
      </c>
      <c r="Y253" s="513">
        <v>286783</v>
      </c>
      <c r="Z253" s="513">
        <v>6159</v>
      </c>
      <c r="AA253" s="513">
        <v>220147</v>
      </c>
      <c r="AB253" s="513">
        <v>689</v>
      </c>
      <c r="AC253" s="513">
        <v>5</v>
      </c>
      <c r="AD253" s="513">
        <v>12477</v>
      </c>
      <c r="AE253" s="513">
        <v>172</v>
      </c>
      <c r="AF253" s="513">
        <v>142</v>
      </c>
      <c r="AG253" s="514">
        <v>17</v>
      </c>
      <c r="AH253" s="514">
        <v>0</v>
      </c>
    </row>
    <row r="254">
      <c r="A254" s="498"/>
      <c r="B254" s="530" t="s">
        <v>277</v>
      </c>
      <c r="C254" s="516" t="s">
        <v>260</v>
      </c>
      <c r="D254" s="517">
        <v>1588.636</v>
      </c>
      <c r="E254" s="518">
        <v>4</v>
      </c>
      <c r="F254" s="519">
        <v>880</v>
      </c>
      <c r="G254" s="504">
        <f t="shared" si="53"/>
      </c>
      <c r="H254" s="505">
        <f t="shared" si="352"/>
      </c>
      <c r="I254" s="506">
        <f t="shared" si="288"/>
      </c>
      <c r="J254" s="507">
        <f t="shared" si="224"/>
      </c>
      <c r="K254" s="508">
        <f t="shared" si="620"/>
      </c>
      <c r="L254" s="505">
        <f t="shared" si="420"/>
      </c>
      <c r="M254" s="509">
        <f t="shared" si="494"/>
      </c>
      <c r="N254" s="509">
        <f t="shared" si="546"/>
      </c>
      <c r="O254" s="509">
        <f t="shared" si="451"/>
      </c>
      <c r="P254" s="509">
        <f t="shared" si="383"/>
      </c>
      <c r="Q254" s="505">
        <f t="shared" si="321"/>
      </c>
      <c r="R254" s="507">
        <f t="shared" si="257"/>
      </c>
      <c r="S254" s="509">
        <f t="shared" si="160"/>
      </c>
      <c r="T254" s="509">
        <f t="shared" si="90"/>
      </c>
      <c r="U254" s="509">
        <f t="shared" si="16"/>
      </c>
      <c r="V254" s="509">
        <f t="shared" si="577"/>
      </c>
      <c r="W254" s="520" t="s">
        <v>255</v>
      </c>
      <c r="X254" s="511" t="s">
        <v>282</v>
      </c>
      <c r="Y254" s="513">
        <v>336642</v>
      </c>
      <c r="Z254" s="513">
        <v>8633</v>
      </c>
      <c r="AA254" s="513">
        <v>252782</v>
      </c>
      <c r="AB254" s="513">
        <v>739</v>
      </c>
      <c r="AC254" s="513">
        <v>4</v>
      </c>
      <c r="AD254" s="513">
        <v>14609</v>
      </c>
      <c r="AE254" s="513">
        <v>251</v>
      </c>
      <c r="AF254" s="513">
        <v>169</v>
      </c>
      <c r="AG254" s="514">
        <v>20</v>
      </c>
      <c r="AH254" s="514">
        <v>0</v>
      </c>
    </row>
    <row r="255">
      <c r="A255" s="498"/>
      <c r="B255" s="521" t="s">
        <v>261</v>
      </c>
      <c r="C255" s="521"/>
      <c r="D255" s="522">
        <f>SUM(D250:D254)</f>
      </c>
      <c r="E255" s="523">
        <f>SUM(E250:E254)</f>
      </c>
      <c r="F255" s="522">
        <f>SUM(F250:F254)</f>
      </c>
      <c r="G255" s="522">
        <f t="shared" si="53"/>
      </c>
      <c r="H255" s="524">
        <f t="shared" si="352"/>
      </c>
      <c r="I255" s="525">
        <f t="shared" si="288"/>
      </c>
      <c r="J255" s="526">
        <f t="shared" si="224"/>
      </c>
      <c r="K255" s="527">
        <f t="shared" si="620"/>
      </c>
      <c r="L255" s="524">
        <f t="shared" si="420"/>
      </c>
      <c r="M255" s="528">
        <f t="shared" si="494"/>
      </c>
      <c r="N255" s="528">
        <f t="shared" si="546"/>
      </c>
      <c r="O255" s="528">
        <f t="shared" si="451"/>
      </c>
      <c r="P255" s="528">
        <f t="shared" si="383"/>
      </c>
      <c r="Q255" s="524">
        <f t="shared" si="321"/>
      </c>
      <c r="R255" s="526">
        <f t="shared" si="257"/>
      </c>
      <c r="S255" s="528">
        <f t="shared" si="160"/>
      </c>
      <c r="T255" s="528">
        <f t="shared" si="90"/>
      </c>
      <c r="U255" s="528">
        <f t="shared" si="16"/>
      </c>
      <c r="V255" s="528">
        <f t="shared" si="577"/>
      </c>
      <c r="W255" s="528"/>
      <c r="X255" s="529"/>
      <c r="Y255" s="522">
        <f>SUM(Y250:Y254)</f>
      </c>
      <c r="Z255" s="522">
        <f>SUM(Z250:Z254)</f>
      </c>
      <c r="AA255" s="522">
        <f>SUM(AA250:AA254)</f>
      </c>
      <c r="AB255" s="522">
        <f>SUM(AB250:AB254)</f>
      </c>
      <c r="AC255" s="522">
        <f>SUM(AC250:AC254)</f>
      </c>
      <c r="AD255" s="522">
        <f>SUM(AD250:AD254)</f>
      </c>
      <c r="AE255" s="522">
        <f>SUM(AE250:AE254)</f>
      </c>
      <c r="AF255" s="522">
        <f>SUM(AF250:AF254)</f>
      </c>
      <c r="AG255" s="522">
        <f>SUM(AG250:AG254)</f>
      </c>
      <c r="AH255" s="522">
        <f>SUM(AH250:AH254)</f>
      </c>
    </row>
    <row r="256">
      <c r="A256" s="498"/>
      <c r="B256" s="530" t="s">
        <v>253</v>
      </c>
      <c r="C256" s="531" t="s">
        <v>263</v>
      </c>
      <c r="D256" s="532">
        <v>1689.895</v>
      </c>
      <c r="E256" s="502">
        <v>8</v>
      </c>
      <c r="F256" s="503">
        <v>2317.199999999999</v>
      </c>
      <c r="G256" s="504">
        <f t="shared" si="53"/>
      </c>
      <c r="H256" s="505">
        <f t="shared" si="352"/>
      </c>
      <c r="I256" s="506">
        <f t="shared" si="288"/>
      </c>
      <c r="J256" s="507">
        <f t="shared" si="224"/>
      </c>
      <c r="K256" s="508">
        <f t="shared" si="620"/>
      </c>
      <c r="L256" s="505">
        <f t="shared" si="420"/>
      </c>
      <c r="M256" s="509">
        <f t="shared" si="494"/>
      </c>
      <c r="N256" s="509">
        <f t="shared" si="546"/>
      </c>
      <c r="O256" s="509">
        <f t="shared" si="451"/>
      </c>
      <c r="P256" s="509">
        <f t="shared" si="383"/>
      </c>
      <c r="Q256" s="505">
        <f t="shared" si="321"/>
      </c>
      <c r="R256" s="507">
        <f t="shared" si="257"/>
      </c>
      <c r="S256" s="509">
        <f t="shared" si="160"/>
      </c>
      <c r="T256" s="509">
        <f t="shared" si="90"/>
      </c>
      <c r="U256" s="509">
        <f t="shared" si="16"/>
      </c>
      <c r="V256" s="509">
        <f t="shared" si="577"/>
      </c>
      <c r="W256" s="520" t="s">
        <v>255</v>
      </c>
      <c r="X256" s="511" t="s">
        <v>282</v>
      </c>
      <c r="Y256" s="512">
        <v>353827</v>
      </c>
      <c r="Z256" s="512">
        <v>8294</v>
      </c>
      <c r="AA256" s="512">
        <v>294251</v>
      </c>
      <c r="AB256" s="513">
        <v>726</v>
      </c>
      <c r="AC256" s="513">
        <v>6</v>
      </c>
      <c r="AD256" s="512">
        <v>13053</v>
      </c>
      <c r="AE256" s="513">
        <v>118</v>
      </c>
      <c r="AF256" s="513">
        <v>175</v>
      </c>
      <c r="AG256" s="513">
        <v>18</v>
      </c>
      <c r="AH256" s="514">
        <v>1</v>
      </c>
    </row>
    <row r="257">
      <c r="A257" s="498"/>
      <c r="B257" s="530" t="s">
        <v>253</v>
      </c>
      <c r="C257" s="533" t="s">
        <v>264</v>
      </c>
      <c r="D257" s="532">
        <v>1556.77</v>
      </c>
      <c r="E257" s="518">
        <v>4</v>
      </c>
      <c r="F257" s="519">
        <v>1480</v>
      </c>
      <c r="G257" s="504">
        <f t="shared" si="53"/>
      </c>
      <c r="H257" s="505">
        <f t="shared" si="352"/>
      </c>
      <c r="I257" s="506">
        <f t="shared" si="288"/>
      </c>
      <c r="J257" s="507">
        <f t="shared" si="224"/>
      </c>
      <c r="K257" s="508">
        <f t="shared" si="620"/>
      </c>
      <c r="L257" s="505">
        <f t="shared" si="420"/>
      </c>
      <c r="M257" s="509">
        <f t="shared" si="494"/>
      </c>
      <c r="N257" s="509">
        <f t="shared" si="546"/>
      </c>
      <c r="O257" s="509">
        <f t="shared" si="451"/>
      </c>
      <c r="P257" s="509">
        <f t="shared" si="383"/>
      </c>
      <c r="Q257" s="505">
        <f t="shared" si="321"/>
      </c>
      <c r="R257" s="507">
        <f t="shared" si="257"/>
      </c>
      <c r="S257" s="509">
        <f t="shared" si="160"/>
      </c>
      <c r="T257" s="509">
        <f t="shared" si="90"/>
      </c>
      <c r="U257" s="509">
        <f t="shared" si="16"/>
      </c>
      <c r="V257" s="509">
        <f t="shared" si="577"/>
      </c>
      <c r="W257" s="520" t="s">
        <v>255</v>
      </c>
      <c r="X257" s="511" t="s">
        <v>282</v>
      </c>
      <c r="Y257" s="513">
        <v>338361</v>
      </c>
      <c r="Z257" s="513">
        <v>8512</v>
      </c>
      <c r="AA257" s="513">
        <v>228460</v>
      </c>
      <c r="AB257" s="513">
        <v>800</v>
      </c>
      <c r="AC257" s="513">
        <v>5</v>
      </c>
      <c r="AD257" s="513">
        <v>12331</v>
      </c>
      <c r="AE257" s="513">
        <v>115</v>
      </c>
      <c r="AF257" s="513">
        <v>158</v>
      </c>
      <c r="AG257" s="513">
        <v>20</v>
      </c>
      <c r="AH257" s="514">
        <v>0</v>
      </c>
    </row>
    <row r="258">
      <c r="A258" s="498"/>
      <c r="B258" s="530" t="s">
        <v>253</v>
      </c>
      <c r="C258" s="534" t="s">
        <v>265</v>
      </c>
      <c r="D258" s="532">
        <v>1228.527</v>
      </c>
      <c r="E258" s="518">
        <v>3</v>
      </c>
      <c r="F258" s="519">
        <v>652.0000000000018</v>
      </c>
      <c r="G258" s="504">
        <f t="shared" si="53"/>
      </c>
      <c r="H258" s="505">
        <f t="shared" si="352"/>
      </c>
      <c r="I258" s="506">
        <f t="shared" si="288"/>
      </c>
      <c r="J258" s="507">
        <f t="shared" si="224"/>
      </c>
      <c r="K258" s="508">
        <f t="shared" si="620"/>
      </c>
      <c r="L258" s="505">
        <f t="shared" si="420"/>
      </c>
      <c r="M258" s="509">
        <f t="shared" si="494"/>
      </c>
      <c r="N258" s="509">
        <f t="shared" si="546"/>
      </c>
      <c r="O258" s="509">
        <f t="shared" si="451"/>
      </c>
      <c r="P258" s="509">
        <f t="shared" si="383"/>
      </c>
      <c r="Q258" s="505">
        <f t="shared" si="321"/>
      </c>
      <c r="R258" s="507">
        <f t="shared" si="257"/>
      </c>
      <c r="S258" s="509">
        <f t="shared" si="160"/>
      </c>
      <c r="T258" s="509">
        <f t="shared" si="90"/>
      </c>
      <c r="U258" s="509">
        <f t="shared" si="16"/>
      </c>
      <c r="V258" s="509">
        <f t="shared" si="577"/>
      </c>
      <c r="W258" s="520" t="s">
        <v>255</v>
      </c>
      <c r="X258" s="511" t="s">
        <v>282</v>
      </c>
      <c r="Y258" s="513">
        <v>256385</v>
      </c>
      <c r="Z258" s="513">
        <v>5858</v>
      </c>
      <c r="AA258" s="513">
        <v>170074</v>
      </c>
      <c r="AB258" s="513">
        <v>576</v>
      </c>
      <c r="AC258" s="513">
        <v>3</v>
      </c>
      <c r="AD258" s="513">
        <v>8978</v>
      </c>
      <c r="AE258" s="513">
        <v>142</v>
      </c>
      <c r="AF258" s="513">
        <v>96</v>
      </c>
      <c r="AG258" s="513">
        <v>16</v>
      </c>
      <c r="AH258" s="514">
        <v>0</v>
      </c>
    </row>
    <row r="259">
      <c r="A259" s="498"/>
      <c r="B259" s="530" t="s">
        <v>253</v>
      </c>
      <c r="C259" s="537" t="s">
        <v>266</v>
      </c>
      <c r="D259" s="532">
        <v>1248.662</v>
      </c>
      <c r="E259" s="518">
        <v>7</v>
      </c>
      <c r="F259" s="519">
        <v>2715.8999999999996</v>
      </c>
      <c r="G259" s="504">
        <f t="shared" si="53"/>
      </c>
      <c r="H259" s="505">
        <f t="shared" si="352"/>
      </c>
      <c r="I259" s="506">
        <f t="shared" si="288"/>
      </c>
      <c r="J259" s="507">
        <f t="shared" si="224"/>
      </c>
      <c r="K259" s="508">
        <f t="shared" si="620"/>
      </c>
      <c r="L259" s="505">
        <f t="shared" si="420"/>
      </c>
      <c r="M259" s="509">
        <f t="shared" si="494"/>
      </c>
      <c r="N259" s="509">
        <f t="shared" si="546"/>
      </c>
      <c r="O259" s="509">
        <f t="shared" si="451"/>
      </c>
      <c r="P259" s="509">
        <f t="shared" si="383"/>
      </c>
      <c r="Q259" s="505">
        <f t="shared" si="321"/>
      </c>
      <c r="R259" s="507">
        <f t="shared" si="257"/>
      </c>
      <c r="S259" s="509">
        <f t="shared" si="160"/>
      </c>
      <c r="T259" s="509">
        <f t="shared" si="90"/>
      </c>
      <c r="U259" s="509">
        <f t="shared" si="16"/>
      </c>
      <c r="V259" s="509">
        <f t="shared" si="577"/>
      </c>
      <c r="W259" s="520" t="s">
        <v>255</v>
      </c>
      <c r="X259" s="511" t="s">
        <v>267</v>
      </c>
      <c r="Y259" s="513">
        <v>251470</v>
      </c>
      <c r="Z259" s="513">
        <v>7084</v>
      </c>
      <c r="AA259" s="513">
        <v>179980</v>
      </c>
      <c r="AB259" s="513">
        <v>576</v>
      </c>
      <c r="AC259" s="513">
        <v>7</v>
      </c>
      <c r="AD259" s="513">
        <v>10090</v>
      </c>
      <c r="AE259" s="513">
        <v>126</v>
      </c>
      <c r="AF259" s="513">
        <v>126</v>
      </c>
      <c r="AG259" s="513">
        <v>16</v>
      </c>
      <c r="AH259" s="514">
        <v>1</v>
      </c>
    </row>
    <row r="260">
      <c r="A260" s="498"/>
      <c r="B260" s="530" t="s">
        <v>253</v>
      </c>
      <c r="C260" s="540" t="s">
        <v>269</v>
      </c>
      <c r="D260" s="532">
        <v>1222.786</v>
      </c>
      <c r="E260" s="518">
        <v>1</v>
      </c>
      <c r="F260" s="519">
        <v>228</v>
      </c>
      <c r="G260" s="504">
        <f t="shared" si="53"/>
      </c>
      <c r="H260" s="505">
        <f t="shared" si="352"/>
      </c>
      <c r="I260" s="506">
        <f t="shared" si="288"/>
      </c>
      <c r="J260" s="507">
        <f t="shared" si="224"/>
      </c>
      <c r="K260" s="508">
        <f t="shared" si="620"/>
      </c>
      <c r="L260" s="505">
        <f t="shared" si="420"/>
      </c>
      <c r="M260" s="509">
        <f t="shared" si="494"/>
      </c>
      <c r="N260" s="509">
        <f t="shared" si="546"/>
      </c>
      <c r="O260" s="509">
        <f t="shared" si="451"/>
      </c>
      <c r="P260" s="509">
        <f t="shared" si="383"/>
      </c>
      <c r="Q260" s="505">
        <f t="shared" si="321"/>
      </c>
      <c r="R260" s="507">
        <f t="shared" si="257"/>
      </c>
      <c r="S260" s="509">
        <f t="shared" si="160"/>
      </c>
      <c r="T260" s="509">
        <f t="shared" si="90"/>
      </c>
      <c r="U260" s="509">
        <f t="shared" si="16"/>
      </c>
      <c r="V260" s="509">
        <f t="shared" si="577"/>
      </c>
      <c r="W260" s="520" t="s">
        <v>255</v>
      </c>
      <c r="X260" s="511" t="s">
        <v>267</v>
      </c>
      <c r="Y260" s="513">
        <v>251524</v>
      </c>
      <c r="Z260" s="513">
        <v>6885</v>
      </c>
      <c r="AA260" s="513">
        <v>193361</v>
      </c>
      <c r="AB260" s="513">
        <v>540</v>
      </c>
      <c r="AC260" s="513">
        <v>0</v>
      </c>
      <c r="AD260" s="513">
        <v>10079</v>
      </c>
      <c r="AE260" s="513">
        <v>98</v>
      </c>
      <c r="AF260" s="513">
        <v>134</v>
      </c>
      <c r="AG260" s="513">
        <v>9</v>
      </c>
      <c r="AH260" s="514">
        <v>1</v>
      </c>
    </row>
    <row r="261">
      <c r="A261" s="498"/>
      <c r="B261" s="521" t="s">
        <v>261</v>
      </c>
      <c r="C261" s="521"/>
      <c r="D261" s="522">
        <f>SUM(D256:D260)</f>
      </c>
      <c r="E261" s="522">
        <f>SUM(E256:E260)</f>
      </c>
      <c r="F261" s="522">
        <f>SUM(F256:F260)</f>
      </c>
      <c r="G261" s="522">
        <f t="shared" si="53"/>
      </c>
      <c r="H261" s="524">
        <f t="shared" si="352"/>
      </c>
      <c r="I261" s="525">
        <f t="shared" si="288"/>
      </c>
      <c r="J261" s="526">
        <f t="shared" si="224"/>
      </c>
      <c r="K261" s="527">
        <f t="shared" si="620"/>
      </c>
      <c r="L261" s="524">
        <f t="shared" si="420"/>
      </c>
      <c r="M261" s="528">
        <f t="shared" si="494"/>
      </c>
      <c r="N261" s="528">
        <f t="shared" si="546"/>
      </c>
      <c r="O261" s="528">
        <f t="shared" si="451"/>
      </c>
      <c r="P261" s="528">
        <f t="shared" si="383"/>
      </c>
      <c r="Q261" s="524">
        <f t="shared" si="321"/>
      </c>
      <c r="R261" s="526">
        <f t="shared" si="257"/>
      </c>
      <c r="S261" s="528">
        <f t="shared" si="160"/>
      </c>
      <c r="T261" s="528">
        <f t="shared" si="90"/>
      </c>
      <c r="U261" s="528">
        <f t="shared" si="16"/>
      </c>
      <c r="V261" s="528">
        <f t="shared" si="577"/>
      </c>
      <c r="W261" s="528"/>
      <c r="X261" s="529"/>
      <c r="Y261" s="522">
        <f>SUM(Y256:Y260)</f>
      </c>
      <c r="Z261" s="522">
        <f>SUM(Z256:Z260)</f>
      </c>
      <c r="AA261" s="522">
        <f>SUM(AA256:AA260)</f>
      </c>
      <c r="AB261" s="522">
        <f>SUM(AB256:AB260)</f>
      </c>
      <c r="AC261" s="522">
        <f>SUM(AC256:AC260)</f>
      </c>
      <c r="AD261" s="522">
        <f>SUM(AD256:AD260)</f>
      </c>
      <c r="AE261" s="522">
        <f>SUM(AE256:AE260)</f>
      </c>
      <c r="AF261" s="522">
        <f>SUM(AF256:AF260)</f>
      </c>
      <c r="AG261" s="522">
        <f>SUM(AG256:AG260)</f>
      </c>
      <c r="AH261" s="522">
        <f>SUM(AH256:AH260)</f>
      </c>
    </row>
    <row r="262">
      <c r="A262" s="498"/>
      <c r="B262" s="499" t="s">
        <v>268</v>
      </c>
      <c r="C262" s="534" t="s">
        <v>270</v>
      </c>
      <c r="D262" s="541">
        <v>1469.33</v>
      </c>
      <c r="E262" s="542">
        <v>5</v>
      </c>
      <c r="F262" s="519">
        <v>2266.300000000001</v>
      </c>
      <c r="G262" s="504">
        <f t="shared" si="53"/>
      </c>
      <c r="H262" s="505">
        <f t="shared" si="352"/>
      </c>
      <c r="I262" s="506">
        <f t="shared" si="288"/>
      </c>
      <c r="J262" s="507">
        <f t="shared" si="224"/>
      </c>
      <c r="K262" s="508">
        <f t="shared" si="620"/>
      </c>
      <c r="L262" s="505">
        <f t="shared" si="420"/>
      </c>
      <c r="M262" s="509">
        <f t="shared" si="494"/>
      </c>
      <c r="N262" s="509">
        <f t="shared" si="546"/>
      </c>
      <c r="O262" s="509">
        <f t="shared" si="451"/>
      </c>
      <c r="P262" s="509">
        <f t="shared" si="383"/>
      </c>
      <c r="Q262" s="505">
        <f t="shared" si="321"/>
      </c>
      <c r="R262" s="507">
        <f t="shared" si="257"/>
      </c>
      <c r="S262" s="509">
        <f t="shared" si="160"/>
      </c>
      <c r="T262" s="509">
        <f t="shared" si="90"/>
      </c>
      <c r="U262" s="509">
        <f t="shared" si="16"/>
      </c>
      <c r="V262" s="509">
        <f t="shared" si="577"/>
      </c>
      <c r="W262" s="520" t="s">
        <v>255</v>
      </c>
      <c r="X262" s="511" t="s">
        <v>267</v>
      </c>
      <c r="Y262" s="513">
        <v>326851</v>
      </c>
      <c r="Z262" s="513">
        <v>9446</v>
      </c>
      <c r="AA262" s="513">
        <v>245398</v>
      </c>
      <c r="AB262" s="513">
        <v>620</v>
      </c>
      <c r="AC262" s="513">
        <v>5</v>
      </c>
      <c r="AD262" s="513">
        <v>12537</v>
      </c>
      <c r="AE262" s="513">
        <v>168</v>
      </c>
      <c r="AF262" s="513">
        <v>157</v>
      </c>
      <c r="AG262" s="513">
        <v>2</v>
      </c>
      <c r="AH262" s="514">
        <v>1</v>
      </c>
    </row>
    <row r="263">
      <c r="A263" s="498"/>
      <c r="B263" s="499" t="s">
        <v>268</v>
      </c>
      <c r="C263" s="534" t="s">
        <v>272</v>
      </c>
      <c r="D263" s="541">
        <v>1930.3870000000002</v>
      </c>
      <c r="E263" s="542">
        <v>15</v>
      </c>
      <c r="F263" s="519">
        <v>6092.800000000001</v>
      </c>
      <c r="G263" s="504">
        <f t="shared" si="53"/>
      </c>
      <c r="H263" s="505">
        <f t="shared" si="352"/>
      </c>
      <c r="I263" s="506">
        <f t="shared" si="288"/>
      </c>
      <c r="J263" s="507">
        <f t="shared" si="224"/>
      </c>
      <c r="K263" s="508">
        <f t="shared" si="620"/>
      </c>
      <c r="L263" s="505">
        <f t="shared" si="420"/>
      </c>
      <c r="M263" s="509">
        <f t="shared" si="494"/>
      </c>
      <c r="N263" s="509">
        <f t="shared" si="546"/>
      </c>
      <c r="O263" s="509">
        <f t="shared" si="451"/>
      </c>
      <c r="P263" s="509">
        <f t="shared" si="383"/>
      </c>
      <c r="Q263" s="505">
        <f t="shared" si="321"/>
      </c>
      <c r="R263" s="507">
        <f t="shared" si="257"/>
      </c>
      <c r="S263" s="509">
        <f t="shared" si="160"/>
      </c>
      <c r="T263" s="509">
        <f t="shared" si="90"/>
      </c>
      <c r="U263" s="509">
        <f t="shared" si="16"/>
      </c>
      <c r="V263" s="509">
        <f t="shared" si="577"/>
      </c>
      <c r="W263" s="520" t="s">
        <v>255</v>
      </c>
      <c r="X263" s="511" t="s">
        <v>267</v>
      </c>
      <c r="Y263" s="513">
        <v>459093</v>
      </c>
      <c r="Z263" s="513">
        <v>9627</v>
      </c>
      <c r="AA263" s="513">
        <v>328835</v>
      </c>
      <c r="AB263" s="513">
        <v>765</v>
      </c>
      <c r="AC263" s="513">
        <v>11</v>
      </c>
      <c r="AD263" s="513">
        <v>12884</v>
      </c>
      <c r="AE263" s="513">
        <v>150</v>
      </c>
      <c r="AF263" s="513">
        <v>157</v>
      </c>
      <c r="AG263" s="513">
        <v>8</v>
      </c>
      <c r="AH263" s="514">
        <v>2</v>
      </c>
    </row>
    <row r="264">
      <c r="A264" s="498"/>
      <c r="B264" s="499" t="s">
        <v>268</v>
      </c>
      <c r="C264" s="537" t="s">
        <v>273</v>
      </c>
      <c r="D264" s="541">
        <v>1582.9989999999998</v>
      </c>
      <c r="E264" s="542">
        <v>7</v>
      </c>
      <c r="F264" s="519">
        <v>1510.4000000000015</v>
      </c>
      <c r="G264" s="504">
        <f t="shared" si="53"/>
      </c>
      <c r="H264" s="505">
        <f t="shared" si="352"/>
      </c>
      <c r="I264" s="506">
        <f t="shared" si="288"/>
      </c>
      <c r="J264" s="507">
        <f t="shared" si="224"/>
      </c>
      <c r="K264" s="508">
        <f t="shared" si="620"/>
      </c>
      <c r="L264" s="505">
        <f t="shared" si="420"/>
      </c>
      <c r="M264" s="509">
        <f t="shared" si="494"/>
      </c>
      <c r="N264" s="509">
        <f t="shared" si="546"/>
      </c>
      <c r="O264" s="509">
        <f t="shared" si="451"/>
      </c>
      <c r="P264" s="509">
        <f t="shared" si="383"/>
      </c>
      <c r="Q264" s="505">
        <f t="shared" si="321"/>
      </c>
      <c r="R264" s="507">
        <f t="shared" si="257"/>
      </c>
      <c r="S264" s="509">
        <f t="shared" si="160"/>
      </c>
      <c r="T264" s="509">
        <f t="shared" si="90"/>
      </c>
      <c r="U264" s="509">
        <f t="shared" si="16"/>
      </c>
      <c r="V264" s="509">
        <f t="shared" si="577"/>
      </c>
      <c r="W264" s="520" t="s">
        <v>255</v>
      </c>
      <c r="X264" s="511" t="s">
        <v>267</v>
      </c>
      <c r="Y264" s="513">
        <v>376399</v>
      </c>
      <c r="Z264" s="513">
        <v>8590</v>
      </c>
      <c r="AA264" s="513">
        <v>221790</v>
      </c>
      <c r="AB264" s="513">
        <v>858</v>
      </c>
      <c r="AC264" s="513">
        <v>6</v>
      </c>
      <c r="AD264" s="513">
        <v>12286</v>
      </c>
      <c r="AE264" s="513">
        <v>161</v>
      </c>
      <c r="AF264" s="513">
        <v>166</v>
      </c>
      <c r="AG264" s="513">
        <v>12</v>
      </c>
      <c r="AH264" s="514">
        <v>1</v>
      </c>
    </row>
    <row r="265">
      <c r="A265" s="498"/>
      <c r="B265" s="499" t="s">
        <v>268</v>
      </c>
      <c r="C265" s="534" t="s">
        <v>274</v>
      </c>
      <c r="D265" s="535">
        <v>2118.493</v>
      </c>
      <c r="E265" s="502">
        <v>3</v>
      </c>
      <c r="F265" s="503">
        <v>652</v>
      </c>
      <c r="G265" s="504">
        <f t="shared" si="53"/>
      </c>
      <c r="H265" s="505">
        <f t="shared" si="352"/>
      </c>
      <c r="I265" s="560">
        <f t="shared" si="288"/>
      </c>
      <c r="J265" s="559">
        <f t="shared" si="224"/>
      </c>
      <c r="K265" s="556">
        <f t="shared" ref="K265:K266" si="129">D265/AB265</f>
      </c>
      <c r="L265" s="557">
        <f t="shared" si="420"/>
      </c>
      <c r="M265" s="558">
        <f t="shared" ref="M265:M266" si="191">AC265/AB265</f>
      </c>
      <c r="N265" s="558">
        <f t="shared" si="546"/>
      </c>
      <c r="O265" s="558">
        <f t="shared" si="451"/>
      </c>
      <c r="P265" s="558">
        <f t="shared" si="383"/>
      </c>
      <c r="Q265" s="557">
        <f t="shared" si="321"/>
      </c>
      <c r="R265" s="559">
        <f t="shared" si="257"/>
      </c>
      <c r="S265" s="558">
        <f t="shared" si="160"/>
      </c>
      <c r="T265" s="558">
        <f t="shared" si="90"/>
      </c>
      <c r="U265" s="558">
        <f t="shared" si="16"/>
      </c>
      <c r="V265" s="558">
        <f t="shared" si="577"/>
      </c>
      <c r="W265" s="520" t="s">
        <v>255</v>
      </c>
      <c r="X265" s="511" t="s">
        <v>267</v>
      </c>
      <c r="Y265" s="513">
        <v>528841</v>
      </c>
      <c r="Z265" s="513">
        <v>9870</v>
      </c>
      <c r="AA265" s="513">
        <v>273975</v>
      </c>
      <c r="AB265" s="536">
        <v>1120</v>
      </c>
      <c r="AC265" s="536">
        <v>3</v>
      </c>
      <c r="AD265" s="536">
        <v>12954</v>
      </c>
      <c r="AE265" s="536">
        <v>203</v>
      </c>
      <c r="AF265" s="536">
        <v>195</v>
      </c>
      <c r="AG265" s="536">
        <v>27</v>
      </c>
      <c r="AH265" s="514">
        <v>0</v>
      </c>
    </row>
    <row r="266">
      <c r="A266" s="498"/>
      <c r="B266" s="499" t="s">
        <v>268</v>
      </c>
      <c r="C266" s="555" t="s">
        <v>275</v>
      </c>
      <c r="D266" s="541">
        <v>2683.814</v>
      </c>
      <c r="E266" s="542">
        <v>10</v>
      </c>
      <c r="F266" s="519">
        <v>2540.340000000004</v>
      </c>
      <c r="G266" s="504">
        <f t="shared" si="53"/>
      </c>
      <c r="H266" s="505">
        <f t="shared" si="352"/>
      </c>
      <c r="I266" s="560">
        <f t="shared" si="288"/>
      </c>
      <c r="J266" s="559">
        <f t="shared" si="224"/>
      </c>
      <c r="K266" s="556">
        <f t="shared" si="129"/>
      </c>
      <c r="L266" s="557">
        <f t="shared" si="420"/>
      </c>
      <c r="M266" s="558">
        <f t="shared" si="191"/>
      </c>
      <c r="N266" s="558">
        <f t="shared" si="546"/>
      </c>
      <c r="O266" s="558">
        <f t="shared" si="451"/>
      </c>
      <c r="P266" s="558">
        <f t="shared" si="383"/>
      </c>
      <c r="Q266" s="557">
        <f t="shared" si="321"/>
      </c>
      <c r="R266" s="559">
        <f t="shared" si="257"/>
      </c>
      <c r="S266" s="558">
        <f t="shared" si="160"/>
      </c>
      <c r="T266" s="558">
        <f t="shared" si="90"/>
      </c>
      <c r="U266" s="558">
        <f t="shared" si="16"/>
      </c>
      <c r="V266" s="558">
        <f t="shared" si="577"/>
      </c>
      <c r="W266" s="520" t="s">
        <v>255</v>
      </c>
      <c r="X266" s="511" t="s">
        <v>267</v>
      </c>
      <c r="Y266" s="513">
        <v>670958</v>
      </c>
      <c r="Z266" s="513">
        <v>10984</v>
      </c>
      <c r="AA266" s="513">
        <v>348964</v>
      </c>
      <c r="AB266" s="513">
        <v>1493</v>
      </c>
      <c r="AC266" s="513">
        <v>9</v>
      </c>
      <c r="AD266" s="513">
        <v>13276</v>
      </c>
      <c r="AE266" s="513">
        <v>224</v>
      </c>
      <c r="AF266" s="513">
        <v>207</v>
      </c>
      <c r="AG266" s="514">
        <v>32</v>
      </c>
      <c r="AH266" s="514">
        <v>2</v>
      </c>
    </row>
    <row r="267">
      <c r="A267" s="498"/>
      <c r="B267" s="538" t="s">
        <v>261</v>
      </c>
      <c r="C267" s="538"/>
      <c r="D267" s="522">
        <f>SUM(D262:D266)</f>
      </c>
      <c r="E267" s="522">
        <f>SUM(E262:E266)</f>
      </c>
      <c r="F267" s="522">
        <f>SUM(F262:F266)</f>
      </c>
      <c r="G267" s="522">
        <f t="shared" si="53"/>
      </c>
      <c r="H267" s="524">
        <f t="shared" si="352"/>
      </c>
      <c r="I267" s="525">
        <f t="shared" si="288"/>
      </c>
      <c r="J267" s="526">
        <f t="shared" si="224"/>
      </c>
      <c r="K267" s="527">
        <f t="shared" ref="K267:K268" si="621">D267/AA267</f>
      </c>
      <c r="L267" s="524">
        <f t="shared" si="420"/>
      </c>
      <c r="M267" s="528">
        <f t="shared" ref="M267:M268" si="495">AB267/AA267</f>
      </c>
      <c r="N267" s="528">
        <f t="shared" si="546"/>
      </c>
      <c r="O267" s="528">
        <f t="shared" si="451"/>
      </c>
      <c r="P267" s="528">
        <f t="shared" si="383"/>
      </c>
      <c r="Q267" s="524">
        <f t="shared" si="321"/>
      </c>
      <c r="R267" s="526">
        <f t="shared" si="257"/>
      </c>
      <c r="S267" s="528">
        <f t="shared" si="160"/>
      </c>
      <c r="T267" s="528">
        <f t="shared" si="90"/>
      </c>
      <c r="U267" s="528">
        <f t="shared" si="16"/>
      </c>
      <c r="V267" s="528">
        <f t="shared" si="577"/>
      </c>
      <c r="W267" s="528"/>
      <c r="X267" s="529"/>
      <c r="Y267" s="522">
        <f>SUM(Y262:Y266)</f>
      </c>
      <c r="Z267" s="522">
        <f>SUM(Z262:Z266)</f>
      </c>
      <c r="AA267" s="522">
        <f>SUM(AA262:AA266)</f>
      </c>
      <c r="AB267" s="522">
        <f>SUM(AB262:AB266)</f>
      </c>
      <c r="AC267" s="522">
        <f>SUM(AC262:AC266)</f>
      </c>
      <c r="AD267" s="522">
        <f>SUM(AD262:AD266)</f>
      </c>
      <c r="AE267" s="522">
        <f>SUM(AE262:AE266)</f>
      </c>
      <c r="AF267" s="522">
        <f>SUM(AF262:AF266)</f>
      </c>
      <c r="AG267" s="522">
        <f>SUM(AG262:AG266)</f>
      </c>
      <c r="AH267" s="522">
        <f>SUM(AH262:AH266)</f>
      </c>
    </row>
    <row r="268">
      <c r="A268" s="498"/>
      <c r="B268" s="543" t="s">
        <v>276</v>
      </c>
      <c r="C268" s="543"/>
      <c r="D268" s="554">
        <f>SUM(D255+D267+D261)</f>
      </c>
      <c r="E268" s="554">
        <f>SUM(E255+E267+E261)</f>
      </c>
      <c r="F268" s="554">
        <f>SUM(F255+F267+F261)</f>
      </c>
      <c r="G268" s="544">
        <f t="shared" si="53"/>
      </c>
      <c r="H268" s="545">
        <f t="shared" si="352"/>
      </c>
      <c r="I268" s="546">
        <f t="shared" si="288"/>
      </c>
      <c r="J268" s="547">
        <f t="shared" si="224"/>
      </c>
      <c r="K268" s="548">
        <f t="shared" si="621"/>
      </c>
      <c r="L268" s="548">
        <f t="shared" si="420"/>
      </c>
      <c r="M268" s="550">
        <f t="shared" si="495"/>
      </c>
      <c r="N268" s="550">
        <f t="shared" si="546"/>
      </c>
      <c r="O268" s="550">
        <f t="shared" si="451"/>
      </c>
      <c r="P268" s="550">
        <f t="shared" si="383"/>
      </c>
      <c r="Q268" s="549">
        <f t="shared" si="321"/>
      </c>
      <c r="R268" s="551">
        <f t="shared" si="257"/>
      </c>
      <c r="S268" s="552">
        <f t="shared" si="160"/>
      </c>
      <c r="T268" s="552">
        <f t="shared" si="90"/>
      </c>
      <c r="U268" s="552">
        <f t="shared" si="16"/>
      </c>
      <c r="V268" s="552">
        <f t="shared" si="577"/>
      </c>
      <c r="W268" s="552"/>
      <c r="X268" s="553"/>
      <c r="Y268" s="544">
        <f>SUM(Y267+Y255+Y261)</f>
      </c>
      <c r="Z268" s="544">
        <f>SUM(Z267+Z255+Z261)</f>
      </c>
      <c r="AA268" s="544">
        <f>SUM(AA267+AA255+AA261)</f>
      </c>
      <c r="AB268" s="544">
        <f>SUM(AB267+AB255+AB261)</f>
      </c>
      <c r="AC268" s="544">
        <f>SUM(AC267+AC255+AC261)</f>
      </c>
      <c r="AD268" s="544">
        <f>SUM(AD267+AD255+AD261)</f>
      </c>
      <c r="AE268" s="544">
        <f>SUM(AE267+AE255+AE261)</f>
      </c>
      <c r="AF268" s="544">
        <f>SUM(AF267+AF255+AF261)</f>
      </c>
      <c r="AG268" s="544">
        <f>SUM(AG267+AG255+AG261)</f>
      </c>
      <c r="AH268" s="544">
        <f>SUM(AH267+AH255+AH261)</f>
      </c>
    </row>
    <row r="269">
      <c r="A269" s="485" t="s">
        <v>218</v>
      </c>
      <c r="B269" s="485" t="s">
        <v>219</v>
      </c>
      <c r="C269" s="486" t="s">
        <v>220</v>
      </c>
      <c r="D269" s="487" t="s">
        <v>221</v>
      </c>
      <c r="E269" s="488" t="s">
        <v>222</v>
      </c>
      <c r="F269" s="489" t="s">
        <v>223</v>
      </c>
      <c r="G269" s="489" t="s">
        <v>224</v>
      </c>
      <c r="H269" s="490" t="s">
        <v>225</v>
      </c>
      <c r="I269" s="490" t="s">
        <v>226</v>
      </c>
      <c r="J269" s="490" t="s">
        <v>227</v>
      </c>
      <c r="K269" s="491" t="s">
        <v>228</v>
      </c>
      <c r="L269" s="491" t="s">
        <v>229</v>
      </c>
      <c r="M269" s="491" t="s">
        <v>231</v>
      </c>
      <c r="N269" s="491" t="s">
        <v>232</v>
      </c>
      <c r="O269" s="491" t="s">
        <v>233</v>
      </c>
      <c r="P269" s="491" t="s">
        <v>234</v>
      </c>
      <c r="Q269" s="491" t="s">
        <v>235</v>
      </c>
      <c r="R269" s="491" t="s">
        <v>236</v>
      </c>
      <c r="S269" s="492" t="s">
        <v>237</v>
      </c>
      <c r="T269" s="492" t="s">
        <v>238</v>
      </c>
      <c r="U269" s="492" t="s">
        <v>239</v>
      </c>
      <c r="V269" s="492" t="s">
        <v>240</v>
      </c>
      <c r="W269" s="493" t="s">
        <v>241</v>
      </c>
      <c r="X269" s="493" t="s">
        <v>242</v>
      </c>
      <c r="Y269" s="494" t="s">
        <v>243</v>
      </c>
      <c r="Z269" s="494" t="s">
        <v>244</v>
      </c>
      <c r="AA269" s="494" t="s">
        <v>245</v>
      </c>
      <c r="AB269" s="495" t="s">
        <v>246</v>
      </c>
      <c r="AC269" s="495" t="s">
        <v>247</v>
      </c>
      <c r="AD269" s="496" t="s">
        <v>248</v>
      </c>
      <c r="AE269" s="495" t="s">
        <v>249</v>
      </c>
      <c r="AF269" s="495" t="s">
        <v>250</v>
      </c>
      <c r="AG269" s="497" t="s">
        <v>251</v>
      </c>
      <c r="AH269" s="495" t="s">
        <v>252</v>
      </c>
    </row>
    <row r="270">
      <c r="A270" s="498">
        <v>46217</v>
      </c>
      <c r="B270" s="530" t="s">
        <v>277</v>
      </c>
      <c r="C270" s="500" t="s">
        <v>254</v>
      </c>
      <c r="D270" s="501">
        <v>1137.243</v>
      </c>
      <c r="E270" s="502">
        <v>2</v>
      </c>
      <c r="F270" s="503">
        <v>382.3</v>
      </c>
      <c r="G270" s="504">
        <f t="shared" ref="G270:G288" si="54">D270/AC270</f>
      </c>
      <c r="H270" s="505">
        <f t="shared" ref="H270:H288" si="353">F270/E270</f>
      </c>
      <c r="I270" s="506">
        <f t="shared" ref="I270:I288" si="289">D270/E270</f>
      </c>
      <c r="J270" s="507">
        <f t="shared" ref="J270:J288" si="225">F270/D270</f>
      </c>
      <c r="K270" s="508">
        <f t="shared" ref="K270:K284" si="622">D270/AA270</f>
      </c>
      <c r="L270" s="505">
        <f t="shared" ref="L270:L288" si="421">D270/AB270</f>
      </c>
      <c r="M270" s="509">
        <f t="shared" ref="M270:M284" si="496">AB270/AA270</f>
      </c>
      <c r="N270" s="509">
        <f t="shared" ref="N270:N288" si="547">AC270/AB270</f>
      </c>
      <c r="O270" s="509">
        <f t="shared" ref="O270:O288" si="452">Z270/Y270</f>
      </c>
      <c r="P270" s="509">
        <f t="shared" ref="P270:P288" si="384">AC270/Z270</f>
      </c>
      <c r="Q270" s="505">
        <f t="shared" ref="Q270:Q288" si="322">D270/Y270*1000</f>
      </c>
      <c r="R270" s="507">
        <f t="shared" ref="R270:R288" si="258">D270/Z270</f>
      </c>
      <c r="S270" s="509">
        <f t="shared" ref="S270:S288" si="161">AD270/AA270</f>
      </c>
      <c r="T270" s="509">
        <f t="shared" ref="T270:T288" si="91">AE270/AA270</f>
      </c>
      <c r="U270" s="509">
        <f t="shared" ref="U270:U288" si="17">AF270/AA270</f>
      </c>
      <c r="V270" s="509">
        <f t="shared" ref="V270:V288" si="578">AG270/AA270</f>
      </c>
      <c r="W270" s="510" t="s">
        <v>255</v>
      </c>
      <c r="X270" s="511" t="s">
        <v>282</v>
      </c>
      <c r="Y270" s="512">
        <v>201560</v>
      </c>
      <c r="Z270" s="512">
        <v>4015</v>
      </c>
      <c r="AA270" s="512">
        <v>85456</v>
      </c>
      <c r="AB270" s="512">
        <v>673</v>
      </c>
      <c r="AC270" s="514">
        <v>2</v>
      </c>
      <c r="AD270" s="512">
        <v>10562</v>
      </c>
      <c r="AE270" s="513">
        <v>146</v>
      </c>
      <c r="AF270" s="513">
        <v>105</v>
      </c>
      <c r="AG270" s="513">
        <v>9</v>
      </c>
      <c r="AH270" s="514">
        <v>1</v>
      </c>
    </row>
    <row r="271">
      <c r="A271" s="498"/>
      <c r="B271" s="530" t="s">
        <v>277</v>
      </c>
      <c r="C271" s="500" t="s">
        <v>257</v>
      </c>
      <c r="D271" s="501">
        <v>1020.3140000000001</v>
      </c>
      <c r="E271" s="502">
        <v>1</v>
      </c>
      <c r="F271" s="503">
        <v>195.99999999999994</v>
      </c>
      <c r="G271" s="504">
        <f t="shared" si="54"/>
      </c>
      <c r="H271" s="505">
        <f t="shared" si="353"/>
      </c>
      <c r="I271" s="506">
        <f t="shared" si="289"/>
      </c>
      <c r="J271" s="507">
        <f t="shared" si="225"/>
      </c>
      <c r="K271" s="508">
        <f t="shared" si="622"/>
      </c>
      <c r="L271" s="505">
        <f t="shared" si="421"/>
      </c>
      <c r="M271" s="509">
        <f t="shared" si="496"/>
      </c>
      <c r="N271" s="509">
        <f t="shared" si="547"/>
      </c>
      <c r="O271" s="509">
        <f t="shared" si="452"/>
      </c>
      <c r="P271" s="509">
        <f t="shared" si="384"/>
      </c>
      <c r="Q271" s="505">
        <f t="shared" si="322"/>
      </c>
      <c r="R271" s="507">
        <f t="shared" si="258"/>
      </c>
      <c r="S271" s="509">
        <f t="shared" si="161"/>
      </c>
      <c r="T271" s="509">
        <f t="shared" si="91"/>
      </c>
      <c r="U271" s="509">
        <f t="shared" si="17"/>
      </c>
      <c r="V271" s="509">
        <f t="shared" si="578"/>
      </c>
      <c r="W271" s="510" t="s">
        <v>255</v>
      </c>
      <c r="X271" s="511" t="s">
        <v>282</v>
      </c>
      <c r="Y271" s="513">
        <v>161782</v>
      </c>
      <c r="Z271" s="512">
        <v>3546</v>
      </c>
      <c r="AA271" s="512">
        <v>85174</v>
      </c>
      <c r="AB271" s="512">
        <v>720</v>
      </c>
      <c r="AC271" s="513">
        <v>1</v>
      </c>
      <c r="AD271" s="512">
        <v>9909</v>
      </c>
      <c r="AE271" s="513">
        <v>190</v>
      </c>
      <c r="AF271" s="513">
        <v>105</v>
      </c>
      <c r="AG271" s="514">
        <v>20</v>
      </c>
      <c r="AH271" s="514">
        <v>0</v>
      </c>
    </row>
    <row r="272">
      <c r="A272" s="498"/>
      <c r="B272" s="530" t="s">
        <v>277</v>
      </c>
      <c r="C272" s="515" t="s">
        <v>258</v>
      </c>
      <c r="D272" s="501">
        <v>767.42</v>
      </c>
      <c r="E272" s="502">
        <v>1</v>
      </c>
      <c r="F272" s="503">
        <v>228</v>
      </c>
      <c r="G272" s="504">
        <f t="shared" si="54"/>
      </c>
      <c r="H272" s="505">
        <f t="shared" si="353"/>
      </c>
      <c r="I272" s="506">
        <f t="shared" si="289"/>
      </c>
      <c r="J272" s="507">
        <f t="shared" si="225"/>
      </c>
      <c r="K272" s="508">
        <f t="shared" si="622"/>
      </c>
      <c r="L272" s="505">
        <f t="shared" si="421"/>
      </c>
      <c r="M272" s="509">
        <f t="shared" si="496"/>
      </c>
      <c r="N272" s="509">
        <f t="shared" si="547"/>
      </c>
      <c r="O272" s="509">
        <f t="shared" si="452"/>
      </c>
      <c r="P272" s="509">
        <f t="shared" si="384"/>
      </c>
      <c r="Q272" s="505">
        <f t="shared" si="322"/>
      </c>
      <c r="R272" s="507">
        <f t="shared" si="258"/>
      </c>
      <c r="S272" s="509">
        <f t="shared" si="161"/>
      </c>
      <c r="T272" s="509">
        <f t="shared" si="91"/>
      </c>
      <c r="U272" s="509">
        <f t="shared" si="17"/>
      </c>
      <c r="V272" s="509">
        <f t="shared" si="578"/>
      </c>
      <c r="W272" s="510" t="s">
        <v>255</v>
      </c>
      <c r="X272" s="511" t="s">
        <v>282</v>
      </c>
      <c r="Y272" s="513">
        <v>126320</v>
      </c>
      <c r="Z272" s="512">
        <v>2887</v>
      </c>
      <c r="AA272" s="512">
        <v>72391</v>
      </c>
      <c r="AB272" s="512">
        <v>510</v>
      </c>
      <c r="AC272" s="513">
        <v>1</v>
      </c>
      <c r="AD272" s="512">
        <v>6713</v>
      </c>
      <c r="AE272" s="513">
        <v>148</v>
      </c>
      <c r="AF272" s="513">
        <v>73</v>
      </c>
      <c r="AG272" s="513">
        <v>10</v>
      </c>
      <c r="AH272" s="514">
        <v>0</v>
      </c>
    </row>
    <row r="273">
      <c r="A273" s="498"/>
      <c r="B273" s="530" t="s">
        <v>277</v>
      </c>
      <c r="C273" s="516" t="s">
        <v>259</v>
      </c>
      <c r="D273" s="501">
        <v>577.887</v>
      </c>
      <c r="E273" s="502">
        <v>1</v>
      </c>
      <c r="F273" s="503">
        <v>196</v>
      </c>
      <c r="G273" s="504">
        <f t="shared" si="54"/>
      </c>
      <c r="H273" s="505">
        <f t="shared" si="353"/>
      </c>
      <c r="I273" s="506">
        <f t="shared" si="289"/>
      </c>
      <c r="J273" s="507">
        <f t="shared" si="225"/>
      </c>
      <c r="K273" s="508">
        <f t="shared" si="622"/>
      </c>
      <c r="L273" s="505">
        <f t="shared" si="421"/>
      </c>
      <c r="M273" s="509">
        <f t="shared" si="496"/>
      </c>
      <c r="N273" s="509">
        <f t="shared" si="547"/>
      </c>
      <c r="O273" s="509">
        <f t="shared" si="452"/>
      </c>
      <c r="P273" s="509">
        <f t="shared" si="384"/>
      </c>
      <c r="Q273" s="505">
        <f t="shared" si="322"/>
      </c>
      <c r="R273" s="507">
        <f t="shared" si="258"/>
      </c>
      <c r="S273" s="509">
        <f t="shared" si="161"/>
      </c>
      <c r="T273" s="509">
        <f t="shared" si="91"/>
      </c>
      <c r="U273" s="509">
        <f t="shared" si="17"/>
      </c>
      <c r="V273" s="509">
        <f t="shared" si="578"/>
      </c>
      <c r="W273" s="504" t="s">
        <v>255</v>
      </c>
      <c r="X273" s="511" t="s">
        <v>282</v>
      </c>
      <c r="Y273" s="513">
        <v>81777</v>
      </c>
      <c r="Z273" s="513">
        <v>2996</v>
      </c>
      <c r="AA273" s="513">
        <v>60099</v>
      </c>
      <c r="AB273" s="513">
        <v>345</v>
      </c>
      <c r="AC273" s="513">
        <v>1</v>
      </c>
      <c r="AD273" s="513">
        <v>7069</v>
      </c>
      <c r="AE273" s="513">
        <v>104</v>
      </c>
      <c r="AF273" s="513">
        <v>76</v>
      </c>
      <c r="AG273" s="514">
        <v>7</v>
      </c>
      <c r="AH273" s="514">
        <v>0</v>
      </c>
    </row>
    <row r="274">
      <c r="A274" s="498"/>
      <c r="B274" s="530" t="s">
        <v>277</v>
      </c>
      <c r="C274" s="516" t="s">
        <v>260</v>
      </c>
      <c r="D274" s="517">
        <v>967.481</v>
      </c>
      <c r="E274" s="518">
        <v>6</v>
      </c>
      <c r="F274" s="519">
        <v>2494.3</v>
      </c>
      <c r="G274" s="504">
        <f t="shared" si="54"/>
      </c>
      <c r="H274" s="505">
        <f t="shared" si="353"/>
      </c>
      <c r="I274" s="506">
        <f t="shared" si="289"/>
      </c>
      <c r="J274" s="507">
        <f t="shared" si="225"/>
      </c>
      <c r="K274" s="508">
        <f t="shared" si="622"/>
      </c>
      <c r="L274" s="505">
        <f t="shared" si="421"/>
      </c>
      <c r="M274" s="509">
        <f t="shared" si="496"/>
      </c>
      <c r="N274" s="509">
        <f t="shared" si="547"/>
      </c>
      <c r="O274" s="509">
        <f t="shared" si="452"/>
      </c>
      <c r="P274" s="509">
        <f t="shared" si="384"/>
      </c>
      <c r="Q274" s="505">
        <f t="shared" si="322"/>
      </c>
      <c r="R274" s="507">
        <f t="shared" si="258"/>
      </c>
      <c r="S274" s="509">
        <f t="shared" si="161"/>
      </c>
      <c r="T274" s="509">
        <f t="shared" si="91"/>
      </c>
      <c r="U274" s="509">
        <f t="shared" si="17"/>
      </c>
      <c r="V274" s="509">
        <f t="shared" si="578"/>
      </c>
      <c r="W274" s="520" t="s">
        <v>255</v>
      </c>
      <c r="X274" s="511" t="s">
        <v>282</v>
      </c>
      <c r="Y274" s="513">
        <v>154523</v>
      </c>
      <c r="Z274" s="513">
        <v>3842</v>
      </c>
      <c r="AA274" s="513">
        <v>123704</v>
      </c>
      <c r="AB274" s="513">
        <v>473</v>
      </c>
      <c r="AC274" s="513">
        <v>5</v>
      </c>
      <c r="AD274" s="513">
        <v>9329</v>
      </c>
      <c r="AE274" s="513">
        <v>138</v>
      </c>
      <c r="AF274" s="513">
        <v>113</v>
      </c>
      <c r="AG274" s="514">
        <v>9</v>
      </c>
      <c r="AH274" s="514">
        <v>1</v>
      </c>
    </row>
    <row r="275">
      <c r="A275" s="498"/>
      <c r="B275" s="521" t="s">
        <v>261</v>
      </c>
      <c r="C275" s="521"/>
      <c r="D275" s="522">
        <f>SUM(D270:D274)</f>
      </c>
      <c r="E275" s="523">
        <f>SUM(E270:E274)</f>
      </c>
      <c r="F275" s="522">
        <f>SUM(F270:F274)</f>
      </c>
      <c r="G275" s="522">
        <f t="shared" si="54"/>
      </c>
      <c r="H275" s="524">
        <f t="shared" si="353"/>
      </c>
      <c r="I275" s="525">
        <f t="shared" si="289"/>
      </c>
      <c r="J275" s="526">
        <f t="shared" si="225"/>
      </c>
      <c r="K275" s="527">
        <f t="shared" si="622"/>
      </c>
      <c r="L275" s="524">
        <f t="shared" si="421"/>
      </c>
      <c r="M275" s="528">
        <f t="shared" si="496"/>
      </c>
      <c r="N275" s="528">
        <f t="shared" si="547"/>
      </c>
      <c r="O275" s="528">
        <f t="shared" si="452"/>
      </c>
      <c r="P275" s="528">
        <f t="shared" si="384"/>
      </c>
      <c r="Q275" s="524">
        <f t="shared" si="322"/>
      </c>
      <c r="R275" s="526">
        <f t="shared" si="258"/>
      </c>
      <c r="S275" s="528">
        <f t="shared" si="161"/>
      </c>
      <c r="T275" s="528">
        <f t="shared" si="91"/>
      </c>
      <c r="U275" s="528">
        <f t="shared" si="17"/>
      </c>
      <c r="V275" s="528">
        <f t="shared" si="578"/>
      </c>
      <c r="W275" s="528"/>
      <c r="X275" s="529"/>
      <c r="Y275" s="522">
        <f>SUM(Y270:Y274)</f>
      </c>
      <c r="Z275" s="522">
        <f>SUM(Z270:Z274)</f>
      </c>
      <c r="AA275" s="522">
        <f>SUM(AA270:AA274)</f>
      </c>
      <c r="AB275" s="522">
        <f>SUM(AB270:AB274)</f>
      </c>
      <c r="AC275" s="522">
        <f>SUM(AC270:AC274)</f>
      </c>
      <c r="AD275" s="522">
        <f>SUM(AD270:AD274)</f>
      </c>
      <c r="AE275" s="522">
        <f>SUM(AE270:AE274)</f>
      </c>
      <c r="AF275" s="522">
        <f>SUM(AF270:AF274)</f>
      </c>
      <c r="AG275" s="522">
        <f>SUM(AG270:AG274)</f>
      </c>
      <c r="AH275" s="522">
        <f>SUM(AH270:AH274)</f>
      </c>
    </row>
    <row r="276">
      <c r="A276" s="498"/>
      <c r="B276" s="530" t="s">
        <v>253</v>
      </c>
      <c r="C276" s="531" t="s">
        <v>263</v>
      </c>
      <c r="D276" s="532">
        <v>1136.3760000000002</v>
      </c>
      <c r="E276" s="502">
        <v>2</v>
      </c>
      <c r="F276" s="503">
        <v>423.99999999999955</v>
      </c>
      <c r="G276" s="504">
        <f t="shared" si="54"/>
      </c>
      <c r="H276" s="505">
        <f t="shared" si="353"/>
      </c>
      <c r="I276" s="506">
        <f t="shared" si="289"/>
      </c>
      <c r="J276" s="507">
        <f t="shared" si="225"/>
      </c>
      <c r="K276" s="508">
        <f t="shared" si="622"/>
      </c>
      <c r="L276" s="505">
        <f t="shared" si="421"/>
      </c>
      <c r="M276" s="509">
        <f t="shared" si="496"/>
      </c>
      <c r="N276" s="509">
        <f t="shared" si="547"/>
      </c>
      <c r="O276" s="509">
        <f t="shared" si="452"/>
      </c>
      <c r="P276" s="509">
        <f t="shared" si="384"/>
      </c>
      <c r="Q276" s="505">
        <f t="shared" si="322"/>
      </c>
      <c r="R276" s="507">
        <f t="shared" si="258"/>
      </c>
      <c r="S276" s="509">
        <f t="shared" si="161"/>
      </c>
      <c r="T276" s="509">
        <f t="shared" si="91"/>
      </c>
      <c r="U276" s="509">
        <f t="shared" si="17"/>
      </c>
      <c r="V276" s="509">
        <f t="shared" si="578"/>
      </c>
      <c r="W276" s="520" t="s">
        <v>255</v>
      </c>
      <c r="X276" s="511" t="s">
        <v>282</v>
      </c>
      <c r="Y276" s="512">
        <v>197888</v>
      </c>
      <c r="Z276" s="512">
        <v>5157</v>
      </c>
      <c r="AA276" s="512">
        <v>166539</v>
      </c>
      <c r="AB276" s="513">
        <v>489</v>
      </c>
      <c r="AC276" s="513">
        <v>1</v>
      </c>
      <c r="AD276" s="512">
        <v>9700</v>
      </c>
      <c r="AE276" s="513">
        <v>142</v>
      </c>
      <c r="AF276" s="513">
        <v>118</v>
      </c>
      <c r="AG276" s="513">
        <v>13</v>
      </c>
      <c r="AH276" s="514">
        <v>0</v>
      </c>
    </row>
    <row r="277">
      <c r="A277" s="498"/>
      <c r="B277" s="530" t="s">
        <v>253</v>
      </c>
      <c r="C277" s="533" t="s">
        <v>264</v>
      </c>
      <c r="D277" s="532">
        <v>1162.089</v>
      </c>
      <c r="E277" s="518">
        <v>3</v>
      </c>
      <c r="F277" s="519">
        <v>1252.0000000000005</v>
      </c>
      <c r="G277" s="504">
        <f t="shared" si="54"/>
      </c>
      <c r="H277" s="505">
        <f t="shared" si="353"/>
      </c>
      <c r="I277" s="506">
        <f t="shared" si="289"/>
      </c>
      <c r="J277" s="507">
        <f t="shared" si="225"/>
      </c>
      <c r="K277" s="508">
        <f t="shared" si="622"/>
      </c>
      <c r="L277" s="505">
        <f t="shared" si="421"/>
      </c>
      <c r="M277" s="509">
        <f t="shared" si="496"/>
      </c>
      <c r="N277" s="509">
        <f t="shared" si="547"/>
      </c>
      <c r="O277" s="509">
        <f t="shared" si="452"/>
      </c>
      <c r="P277" s="509">
        <f t="shared" si="384"/>
      </c>
      <c r="Q277" s="505">
        <f t="shared" si="322"/>
      </c>
      <c r="R277" s="507">
        <f t="shared" si="258"/>
      </c>
      <c r="S277" s="509">
        <f t="shared" si="161"/>
      </c>
      <c r="T277" s="509">
        <f t="shared" si="91"/>
      </c>
      <c r="U277" s="509">
        <f t="shared" si="17"/>
      </c>
      <c r="V277" s="509">
        <f t="shared" si="578"/>
      </c>
      <c r="W277" s="520" t="s">
        <v>255</v>
      </c>
      <c r="X277" s="511" t="s">
        <v>282</v>
      </c>
      <c r="Y277" s="513">
        <v>198346</v>
      </c>
      <c r="Z277" s="513">
        <v>5733</v>
      </c>
      <c r="AA277" s="513">
        <v>150070</v>
      </c>
      <c r="AB277" s="513">
        <v>562</v>
      </c>
      <c r="AC277" s="513">
        <v>3</v>
      </c>
      <c r="AD277" s="513">
        <v>8346</v>
      </c>
      <c r="AE277" s="513">
        <v>172</v>
      </c>
      <c r="AF277" s="513">
        <v>90</v>
      </c>
      <c r="AG277" s="513">
        <v>16</v>
      </c>
      <c r="AH277" s="514">
        <v>0</v>
      </c>
    </row>
    <row r="278">
      <c r="A278" s="498"/>
      <c r="B278" s="530" t="s">
        <v>253</v>
      </c>
      <c r="C278" s="534" t="s">
        <v>265</v>
      </c>
      <c r="D278" s="532">
        <v>953.737</v>
      </c>
      <c r="E278" s="518">
        <v>10</v>
      </c>
      <c r="F278" s="519">
        <v>3172.5999999999985</v>
      </c>
      <c r="G278" s="504">
        <f t="shared" si="54"/>
      </c>
      <c r="H278" s="505">
        <f t="shared" si="353"/>
      </c>
      <c r="I278" s="506">
        <f t="shared" si="289"/>
      </c>
      <c r="J278" s="507">
        <f t="shared" si="225"/>
      </c>
      <c r="K278" s="508">
        <f t="shared" si="622"/>
      </c>
      <c r="L278" s="505">
        <f t="shared" si="421"/>
      </c>
      <c r="M278" s="509">
        <f t="shared" si="496"/>
      </c>
      <c r="N278" s="509">
        <f t="shared" si="547"/>
      </c>
      <c r="O278" s="509">
        <f t="shared" si="452"/>
      </c>
      <c r="P278" s="509">
        <f t="shared" si="384"/>
      </c>
      <c r="Q278" s="505">
        <f t="shared" si="322"/>
      </c>
      <c r="R278" s="507">
        <f t="shared" si="258"/>
      </c>
      <c r="S278" s="509">
        <f t="shared" si="161"/>
      </c>
      <c r="T278" s="509">
        <f t="shared" si="91"/>
      </c>
      <c r="U278" s="509">
        <f t="shared" si="17"/>
      </c>
      <c r="V278" s="509">
        <f t="shared" si="578"/>
      </c>
      <c r="W278" s="520" t="s">
        <v>255</v>
      </c>
      <c r="X278" s="511" t="s">
        <v>282</v>
      </c>
      <c r="Y278" s="513">
        <v>167856</v>
      </c>
      <c r="Z278" s="513">
        <v>6973</v>
      </c>
      <c r="AA278" s="513">
        <v>131254</v>
      </c>
      <c r="AB278" s="513">
        <v>488</v>
      </c>
      <c r="AC278" s="513">
        <v>4</v>
      </c>
      <c r="AD278" s="513">
        <v>9044</v>
      </c>
      <c r="AE278" s="513">
        <v>152</v>
      </c>
      <c r="AF278" s="513">
        <v>107</v>
      </c>
      <c r="AG278" s="513">
        <v>17</v>
      </c>
      <c r="AH278" s="514">
        <v>3</v>
      </c>
    </row>
    <row r="279">
      <c r="A279" s="498"/>
      <c r="B279" s="530" t="s">
        <v>253</v>
      </c>
      <c r="C279" s="537" t="s">
        <v>266</v>
      </c>
      <c r="D279" s="532">
        <v>755.133</v>
      </c>
      <c r="E279" s="518">
        <v>3</v>
      </c>
      <c r="F279" s="519">
        <v>1192</v>
      </c>
      <c r="G279" s="504">
        <f t="shared" si="54"/>
      </c>
      <c r="H279" s="505">
        <f t="shared" si="353"/>
      </c>
      <c r="I279" s="506">
        <f t="shared" si="289"/>
      </c>
      <c r="J279" s="507">
        <f t="shared" si="225"/>
      </c>
      <c r="K279" s="508">
        <f t="shared" si="622"/>
      </c>
      <c r="L279" s="505">
        <f t="shared" si="421"/>
      </c>
      <c r="M279" s="509">
        <f t="shared" si="496"/>
      </c>
      <c r="N279" s="509">
        <f t="shared" si="547"/>
      </c>
      <c r="O279" s="509">
        <f t="shared" si="452"/>
      </c>
      <c r="P279" s="509">
        <f t="shared" si="384"/>
      </c>
      <c r="Q279" s="505">
        <f t="shared" si="322"/>
      </c>
      <c r="R279" s="507">
        <f t="shared" si="258"/>
      </c>
      <c r="S279" s="509">
        <f t="shared" si="161"/>
      </c>
      <c r="T279" s="509">
        <f t="shared" si="91"/>
      </c>
      <c r="U279" s="509">
        <f t="shared" si="17"/>
      </c>
      <c r="V279" s="509">
        <f t="shared" si="578"/>
      </c>
      <c r="W279" s="520" t="s">
        <v>255</v>
      </c>
      <c r="X279" s="511" t="s">
        <v>267</v>
      </c>
      <c r="Y279" s="513">
        <v>170241</v>
      </c>
      <c r="Z279" s="513">
        <v>6469</v>
      </c>
      <c r="AA279" s="513">
        <v>133545</v>
      </c>
      <c r="AB279" s="513">
        <v>324</v>
      </c>
      <c r="AC279" s="513">
        <v>1</v>
      </c>
      <c r="AD279" s="513">
        <v>6986</v>
      </c>
      <c r="AE279" s="513">
        <v>94</v>
      </c>
      <c r="AF279" s="513">
        <v>83</v>
      </c>
      <c r="AG279" s="513">
        <v>6</v>
      </c>
      <c r="AH279" s="514">
        <v>0</v>
      </c>
    </row>
    <row r="280">
      <c r="A280" s="498"/>
      <c r="B280" s="530" t="s">
        <v>253</v>
      </c>
      <c r="C280" s="540" t="s">
        <v>269</v>
      </c>
      <c r="D280" s="532">
        <v>905.6940000000001</v>
      </c>
      <c r="E280" s="518">
        <v>1</v>
      </c>
      <c r="F280" s="519">
        <v>828</v>
      </c>
      <c r="G280" s="504">
        <f t="shared" si="54"/>
      </c>
      <c r="H280" s="505">
        <f t="shared" si="353"/>
      </c>
      <c r="I280" s="506">
        <f t="shared" si="289"/>
      </c>
      <c r="J280" s="507">
        <f t="shared" si="225"/>
      </c>
      <c r="K280" s="508">
        <f t="shared" si="622"/>
      </c>
      <c r="L280" s="505">
        <f t="shared" si="421"/>
      </c>
      <c r="M280" s="509">
        <f t="shared" si="496"/>
      </c>
      <c r="N280" s="509">
        <f t="shared" si="547"/>
      </c>
      <c r="O280" s="509">
        <f t="shared" si="452"/>
      </c>
      <c r="P280" s="509">
        <f t="shared" si="384"/>
      </c>
      <c r="Q280" s="505">
        <f t="shared" si="322"/>
      </c>
      <c r="R280" s="507">
        <f t="shared" si="258"/>
      </c>
      <c r="S280" s="509">
        <f t="shared" si="161"/>
      </c>
      <c r="T280" s="509">
        <f t="shared" si="91"/>
      </c>
      <c r="U280" s="509">
        <f t="shared" si="17"/>
      </c>
      <c r="V280" s="509">
        <f t="shared" si="578"/>
      </c>
      <c r="W280" s="520" t="s">
        <v>255</v>
      </c>
      <c r="X280" s="511" t="s">
        <v>267</v>
      </c>
      <c r="Y280" s="513">
        <v>192167</v>
      </c>
      <c r="Z280" s="513">
        <v>6451</v>
      </c>
      <c r="AA280" s="513">
        <v>150698</v>
      </c>
      <c r="AB280" s="513">
        <v>341</v>
      </c>
      <c r="AC280" s="513">
        <v>1</v>
      </c>
      <c r="AD280" s="513">
        <v>7604</v>
      </c>
      <c r="AE280" s="513">
        <v>78</v>
      </c>
      <c r="AF280" s="513">
        <v>86</v>
      </c>
      <c r="AG280" s="513">
        <v>6</v>
      </c>
      <c r="AH280" s="514">
        <v>0</v>
      </c>
    </row>
    <row r="281">
      <c r="A281" s="498"/>
      <c r="B281" s="521" t="s">
        <v>261</v>
      </c>
      <c r="C281" s="521"/>
      <c r="D281" s="522">
        <f>SUM(D276:D280)</f>
      </c>
      <c r="E281" s="522">
        <f>SUM(E276:E280)</f>
      </c>
      <c r="F281" s="522">
        <f>SUM(F276:F280)</f>
      </c>
      <c r="G281" s="522">
        <f t="shared" si="54"/>
      </c>
      <c r="H281" s="524">
        <f t="shared" si="353"/>
      </c>
      <c r="I281" s="525">
        <f t="shared" si="289"/>
      </c>
      <c r="J281" s="526">
        <f t="shared" si="225"/>
      </c>
      <c r="K281" s="527">
        <f t="shared" si="622"/>
      </c>
      <c r="L281" s="524">
        <f t="shared" si="421"/>
      </c>
      <c r="M281" s="528">
        <f t="shared" si="496"/>
      </c>
      <c r="N281" s="528">
        <f t="shared" si="547"/>
      </c>
      <c r="O281" s="528">
        <f t="shared" si="452"/>
      </c>
      <c r="P281" s="528">
        <f t="shared" si="384"/>
      </c>
      <c r="Q281" s="524">
        <f t="shared" si="322"/>
      </c>
      <c r="R281" s="526">
        <f t="shared" si="258"/>
      </c>
      <c r="S281" s="528">
        <f t="shared" si="161"/>
      </c>
      <c r="T281" s="528">
        <f t="shared" si="91"/>
      </c>
      <c r="U281" s="528">
        <f t="shared" si="17"/>
      </c>
      <c r="V281" s="528">
        <f t="shared" si="578"/>
      </c>
      <c r="W281" s="528"/>
      <c r="X281" s="529"/>
      <c r="Y281" s="522">
        <f>SUM(Y276:Y280)</f>
      </c>
      <c r="Z281" s="522">
        <f>SUM(Z276:Z280)</f>
      </c>
      <c r="AA281" s="522">
        <f>SUM(AA276:AA280)</f>
      </c>
      <c r="AB281" s="522">
        <f>SUM(AB276:AB280)</f>
      </c>
      <c r="AC281" s="522">
        <f>SUM(AC276:AC280)</f>
      </c>
      <c r="AD281" s="522">
        <f>SUM(AD276:AD280)</f>
      </c>
      <c r="AE281" s="522">
        <f>SUM(AE276:AE280)</f>
      </c>
      <c r="AF281" s="522">
        <f>SUM(AF276:AF280)</f>
      </c>
      <c r="AG281" s="522">
        <f>SUM(AG276:AG280)</f>
      </c>
      <c r="AH281" s="522">
        <f>SUM(AH276:AH280)</f>
      </c>
    </row>
    <row r="282">
      <c r="A282" s="498"/>
      <c r="B282" s="499" t="s">
        <v>271</v>
      </c>
      <c r="C282" s="534" t="s">
        <v>270</v>
      </c>
      <c r="D282" s="541">
        <v>1194.413</v>
      </c>
      <c r="E282" s="542">
        <v>1</v>
      </c>
      <c r="F282" s="519">
        <v>228</v>
      </c>
      <c r="G282" s="504">
        <f t="shared" si="54"/>
      </c>
      <c r="H282" s="505">
        <f t="shared" si="353"/>
      </c>
      <c r="I282" s="506">
        <f t="shared" si="289"/>
      </c>
      <c r="J282" s="507">
        <f t="shared" si="225"/>
      </c>
      <c r="K282" s="508">
        <f t="shared" si="622"/>
      </c>
      <c r="L282" s="505">
        <f t="shared" si="421"/>
      </c>
      <c r="M282" s="509">
        <f t="shared" si="496"/>
      </c>
      <c r="N282" s="509">
        <f t="shared" si="547"/>
      </c>
      <c r="O282" s="509">
        <f t="shared" si="452"/>
      </c>
      <c r="P282" s="509">
        <f t="shared" si="384"/>
      </c>
      <c r="Q282" s="505">
        <f t="shared" si="322"/>
      </c>
      <c r="R282" s="507">
        <f t="shared" si="258"/>
      </c>
      <c r="S282" s="509">
        <f t="shared" si="161"/>
      </c>
      <c r="T282" s="509">
        <f t="shared" si="91"/>
      </c>
      <c r="U282" s="509">
        <f t="shared" si="17"/>
      </c>
      <c r="V282" s="509">
        <f t="shared" si="578"/>
      </c>
      <c r="W282" s="520" t="s">
        <v>255</v>
      </c>
      <c r="X282" s="511" t="s">
        <v>267</v>
      </c>
      <c r="Y282" s="513">
        <v>273937</v>
      </c>
      <c r="Z282" s="513">
        <v>7217</v>
      </c>
      <c r="AA282" s="513">
        <v>220209</v>
      </c>
      <c r="AB282" s="513">
        <v>409</v>
      </c>
      <c r="AC282" s="513">
        <v>1</v>
      </c>
      <c r="AD282" s="513">
        <v>9500</v>
      </c>
      <c r="AE282" s="513">
        <v>104</v>
      </c>
      <c r="AF282" s="513">
        <v>123</v>
      </c>
      <c r="AG282" s="513">
        <v>9</v>
      </c>
      <c r="AH282" s="514">
        <v>0</v>
      </c>
    </row>
    <row r="283">
      <c r="A283" s="498"/>
      <c r="B283" s="499" t="s">
        <v>271</v>
      </c>
      <c r="C283" s="534" t="s">
        <v>272</v>
      </c>
      <c r="D283" s="541">
        <v>1285.511</v>
      </c>
      <c r="E283" s="542">
        <v>6</v>
      </c>
      <c r="F283" s="519">
        <v>1282.4000000000015</v>
      </c>
      <c r="G283" s="504">
        <f t="shared" si="54"/>
      </c>
      <c r="H283" s="505">
        <f t="shared" si="353"/>
      </c>
      <c r="I283" s="506">
        <f t="shared" si="289"/>
      </c>
      <c r="J283" s="507">
        <f t="shared" si="225"/>
      </c>
      <c r="K283" s="508">
        <f t="shared" si="622"/>
      </c>
      <c r="L283" s="505">
        <f t="shared" si="421"/>
      </c>
      <c r="M283" s="509">
        <f t="shared" si="496"/>
      </c>
      <c r="N283" s="509">
        <f t="shared" si="547"/>
      </c>
      <c r="O283" s="509">
        <f t="shared" si="452"/>
      </c>
      <c r="P283" s="509">
        <f t="shared" si="384"/>
      </c>
      <c r="Q283" s="505">
        <f t="shared" si="322"/>
      </c>
      <c r="R283" s="507">
        <f t="shared" si="258"/>
      </c>
      <c r="S283" s="509">
        <f t="shared" si="161"/>
      </c>
      <c r="T283" s="509">
        <f t="shared" si="91"/>
      </c>
      <c r="U283" s="509">
        <f t="shared" si="17"/>
      </c>
      <c r="V283" s="509">
        <f t="shared" si="578"/>
      </c>
      <c r="W283" s="520" t="s">
        <v>255</v>
      </c>
      <c r="X283" s="511" t="s">
        <v>267</v>
      </c>
      <c r="Y283" s="513">
        <v>298371</v>
      </c>
      <c r="Z283" s="513">
        <v>8119</v>
      </c>
      <c r="AA283" s="513">
        <v>223648</v>
      </c>
      <c r="AB283" s="513">
        <v>552</v>
      </c>
      <c r="AC283" s="513">
        <v>4</v>
      </c>
      <c r="AD283" s="513">
        <v>9815</v>
      </c>
      <c r="AE283" s="513">
        <v>129</v>
      </c>
      <c r="AF283" s="513">
        <v>129</v>
      </c>
      <c r="AG283" s="513">
        <v>5</v>
      </c>
      <c r="AH283" s="514">
        <v>2</v>
      </c>
    </row>
    <row r="284">
      <c r="A284" s="498"/>
      <c r="B284" s="499" t="s">
        <v>271</v>
      </c>
      <c r="C284" s="537" t="s">
        <v>273</v>
      </c>
      <c r="D284" s="541">
        <v>1533.1460000000002</v>
      </c>
      <c r="E284" s="542">
        <v>7</v>
      </c>
      <c r="F284" s="519">
        <v>1532</v>
      </c>
      <c r="G284" s="504">
        <f t="shared" si="54"/>
      </c>
      <c r="H284" s="505">
        <f t="shared" si="353"/>
      </c>
      <c r="I284" s="506">
        <f t="shared" si="289"/>
      </c>
      <c r="J284" s="507">
        <f t="shared" si="225"/>
      </c>
      <c r="K284" s="508">
        <f t="shared" si="622"/>
      </c>
      <c r="L284" s="505">
        <f t="shared" si="421"/>
      </c>
      <c r="M284" s="509">
        <f t="shared" si="496"/>
      </c>
      <c r="N284" s="509">
        <f t="shared" si="547"/>
      </c>
      <c r="O284" s="509">
        <f t="shared" si="452"/>
      </c>
      <c r="P284" s="509">
        <f t="shared" si="384"/>
      </c>
      <c r="Q284" s="505">
        <f t="shared" si="322"/>
      </c>
      <c r="R284" s="507">
        <f t="shared" si="258"/>
      </c>
      <c r="S284" s="509">
        <f t="shared" si="161"/>
      </c>
      <c r="T284" s="509">
        <f t="shared" si="91"/>
      </c>
      <c r="U284" s="509">
        <f t="shared" si="17"/>
      </c>
      <c r="V284" s="509">
        <f t="shared" si="578"/>
      </c>
      <c r="W284" s="520" t="s">
        <v>255</v>
      </c>
      <c r="X284" s="511" t="s">
        <v>267</v>
      </c>
      <c r="Y284" s="513">
        <v>377758</v>
      </c>
      <c r="Z284" s="513">
        <v>9551</v>
      </c>
      <c r="AA284" s="513">
        <v>211850</v>
      </c>
      <c r="AB284" s="513">
        <v>744</v>
      </c>
      <c r="AC284" s="513">
        <v>6</v>
      </c>
      <c r="AD284" s="513">
        <v>10394</v>
      </c>
      <c r="AE284" s="513">
        <v>179</v>
      </c>
      <c r="AF284" s="513">
        <v>152</v>
      </c>
      <c r="AG284" s="513">
        <v>15</v>
      </c>
      <c r="AH284" s="514">
        <v>0</v>
      </c>
    </row>
    <row r="285">
      <c r="A285" s="498"/>
      <c r="B285" s="499" t="s">
        <v>271</v>
      </c>
      <c r="C285" s="534" t="s">
        <v>274</v>
      </c>
      <c r="D285" s="535">
        <v>2175.264</v>
      </c>
      <c r="E285" s="502">
        <v>5</v>
      </c>
      <c r="F285" s="503">
        <v>1075.5999999999985</v>
      </c>
      <c r="G285" s="504">
        <f t="shared" si="54"/>
      </c>
      <c r="H285" s="505">
        <f t="shared" si="353"/>
      </c>
      <c r="I285" s="560">
        <f t="shared" si="289"/>
      </c>
      <c r="J285" s="559">
        <f t="shared" si="225"/>
      </c>
      <c r="K285" s="556">
        <f t="shared" ref="K285:K286" si="130">D285/AB285</f>
      </c>
      <c r="L285" s="557">
        <f t="shared" si="421"/>
      </c>
      <c r="M285" s="558">
        <f t="shared" ref="M285:M286" si="192">AC285/AB285</f>
      </c>
      <c r="N285" s="558">
        <f t="shared" si="547"/>
      </c>
      <c r="O285" s="558">
        <f t="shared" si="452"/>
      </c>
      <c r="P285" s="558">
        <f t="shared" si="384"/>
      </c>
      <c r="Q285" s="557">
        <f t="shared" si="322"/>
      </c>
      <c r="R285" s="559">
        <f t="shared" si="258"/>
      </c>
      <c r="S285" s="558">
        <f t="shared" si="161"/>
      </c>
      <c r="T285" s="558">
        <f t="shared" si="91"/>
      </c>
      <c r="U285" s="558">
        <f t="shared" si="17"/>
      </c>
      <c r="V285" s="558">
        <f t="shared" si="578"/>
      </c>
      <c r="W285" s="520" t="s">
        <v>255</v>
      </c>
      <c r="X285" s="511" t="s">
        <v>267</v>
      </c>
      <c r="Y285" s="513">
        <v>576785</v>
      </c>
      <c r="Z285" s="513">
        <v>10362</v>
      </c>
      <c r="AA285" s="513">
        <v>325629</v>
      </c>
      <c r="AB285" s="536">
        <v>1027</v>
      </c>
      <c r="AC285" s="536">
        <v>4</v>
      </c>
      <c r="AD285" s="536">
        <v>11610</v>
      </c>
      <c r="AE285" s="536">
        <v>186</v>
      </c>
      <c r="AF285" s="536">
        <v>149</v>
      </c>
      <c r="AG285" s="536">
        <v>19</v>
      </c>
      <c r="AH285" s="514">
        <v>1</v>
      </c>
    </row>
    <row r="286">
      <c r="A286" s="498"/>
      <c r="B286" s="499" t="s">
        <v>271</v>
      </c>
      <c r="C286" s="555" t="s">
        <v>275</v>
      </c>
      <c r="D286" s="541">
        <v>3143.71</v>
      </c>
      <c r="E286" s="542">
        <v>11</v>
      </c>
      <c r="F286" s="519">
        <v>2475.6000000000004</v>
      </c>
      <c r="G286" s="504">
        <f t="shared" si="54"/>
      </c>
      <c r="H286" s="505">
        <f t="shared" si="353"/>
      </c>
      <c r="I286" s="560">
        <f t="shared" si="289"/>
      </c>
      <c r="J286" s="559">
        <f t="shared" si="225"/>
      </c>
      <c r="K286" s="556">
        <f t="shared" si="130"/>
      </c>
      <c r="L286" s="557">
        <f t="shared" si="421"/>
      </c>
      <c r="M286" s="558">
        <f t="shared" si="192"/>
      </c>
      <c r="N286" s="558">
        <f t="shared" si="547"/>
      </c>
      <c r="O286" s="558">
        <f t="shared" si="452"/>
      </c>
      <c r="P286" s="558">
        <f t="shared" si="384"/>
      </c>
      <c r="Q286" s="557">
        <f t="shared" si="322"/>
      </c>
      <c r="R286" s="559">
        <f t="shared" si="258"/>
      </c>
      <c r="S286" s="558">
        <f t="shared" si="161"/>
      </c>
      <c r="T286" s="558">
        <f t="shared" si="91"/>
      </c>
      <c r="U286" s="558">
        <f t="shared" si="17"/>
      </c>
      <c r="V286" s="558">
        <f t="shared" si="578"/>
      </c>
      <c r="W286" s="520" t="s">
        <v>255</v>
      </c>
      <c r="X286" s="511" t="s">
        <v>267</v>
      </c>
      <c r="Y286" s="513">
        <v>828319</v>
      </c>
      <c r="Z286" s="513">
        <v>12963</v>
      </c>
      <c r="AA286" s="513">
        <v>381972</v>
      </c>
      <c r="AB286" s="513">
        <v>1660</v>
      </c>
      <c r="AC286" s="513">
        <v>8</v>
      </c>
      <c r="AD286" s="513">
        <v>12047</v>
      </c>
      <c r="AE286" s="513">
        <v>180</v>
      </c>
      <c r="AF286" s="513">
        <v>175</v>
      </c>
      <c r="AG286" s="514">
        <v>26</v>
      </c>
      <c r="AH286" s="514">
        <v>1</v>
      </c>
    </row>
    <row r="287">
      <c r="A287" s="498"/>
      <c r="B287" s="538" t="s">
        <v>261</v>
      </c>
      <c r="C287" s="538"/>
      <c r="D287" s="522">
        <f>SUM(D282:D286)</f>
      </c>
      <c r="E287" s="522">
        <f>SUM(E282:E286)</f>
      </c>
      <c r="F287" s="522">
        <f>SUM(F282:F286)</f>
      </c>
      <c r="G287" s="522">
        <f t="shared" si="54"/>
      </c>
      <c r="H287" s="524">
        <f t="shared" si="353"/>
      </c>
      <c r="I287" s="525">
        <f t="shared" si="289"/>
      </c>
      <c r="J287" s="526">
        <f t="shared" si="225"/>
      </c>
      <c r="K287" s="527">
        <f t="shared" ref="K287:K288" si="623">D287/AA287</f>
      </c>
      <c r="L287" s="524">
        <f t="shared" si="421"/>
      </c>
      <c r="M287" s="528">
        <f t="shared" ref="M287:M288" si="497">AB287/AA287</f>
      </c>
      <c r="N287" s="528">
        <f t="shared" si="547"/>
      </c>
      <c r="O287" s="528">
        <f t="shared" si="452"/>
      </c>
      <c r="P287" s="528">
        <f t="shared" si="384"/>
      </c>
      <c r="Q287" s="524">
        <f t="shared" si="322"/>
      </c>
      <c r="R287" s="526">
        <f t="shared" si="258"/>
      </c>
      <c r="S287" s="528">
        <f t="shared" si="161"/>
      </c>
      <c r="T287" s="528">
        <f t="shared" si="91"/>
      </c>
      <c r="U287" s="528">
        <f t="shared" si="17"/>
      </c>
      <c r="V287" s="528">
        <f t="shared" si="578"/>
      </c>
      <c r="W287" s="528"/>
      <c r="X287" s="529"/>
      <c r="Y287" s="522">
        <f>SUM(Y282:Y286)</f>
      </c>
      <c r="Z287" s="522">
        <f>SUM(Z282:Z286)</f>
      </c>
      <c r="AA287" s="522">
        <f>SUM(AA282:AA286)</f>
      </c>
      <c r="AB287" s="522">
        <f>SUM(AB282:AB286)</f>
      </c>
      <c r="AC287" s="522">
        <f>SUM(AC282:AC286)</f>
      </c>
      <c r="AD287" s="522">
        <f>SUM(AD282:AD286)</f>
      </c>
      <c r="AE287" s="522">
        <f>SUM(AE282:AE286)</f>
      </c>
      <c r="AF287" s="522">
        <f>SUM(AF282:AF286)</f>
      </c>
      <c r="AG287" s="522">
        <f>SUM(AG282:AG286)</f>
      </c>
      <c r="AH287" s="522">
        <f>SUM(AH282:AH286)</f>
      </c>
    </row>
    <row r="288">
      <c r="A288" s="498"/>
      <c r="B288" s="543" t="s">
        <v>276</v>
      </c>
      <c r="C288" s="543"/>
      <c r="D288" s="554">
        <f>SUM(D275+D287+D281)</f>
      </c>
      <c r="E288" s="554">
        <f>SUM(E275+E287+E281)</f>
      </c>
      <c r="F288" s="554">
        <f>SUM(F275+F287+F281)</f>
      </c>
      <c r="G288" s="544">
        <f t="shared" si="54"/>
      </c>
      <c r="H288" s="545">
        <f t="shared" si="353"/>
      </c>
      <c r="I288" s="546">
        <f t="shared" si="289"/>
      </c>
      <c r="J288" s="547">
        <f t="shared" si="225"/>
      </c>
      <c r="K288" s="548">
        <f t="shared" si="623"/>
      </c>
      <c r="L288" s="548">
        <f t="shared" si="421"/>
      </c>
      <c r="M288" s="550">
        <f t="shared" si="497"/>
      </c>
      <c r="N288" s="550">
        <f t="shared" si="547"/>
      </c>
      <c r="O288" s="550">
        <f t="shared" si="452"/>
      </c>
      <c r="P288" s="550">
        <f t="shared" si="384"/>
      </c>
      <c r="Q288" s="549">
        <f t="shared" si="322"/>
      </c>
      <c r="R288" s="551">
        <f t="shared" si="258"/>
      </c>
      <c r="S288" s="552">
        <f t="shared" si="161"/>
      </c>
      <c r="T288" s="552">
        <f t="shared" si="91"/>
      </c>
      <c r="U288" s="552">
        <f t="shared" si="17"/>
      </c>
      <c r="V288" s="552">
        <f t="shared" si="578"/>
      </c>
      <c r="W288" s="552"/>
      <c r="X288" s="553"/>
      <c r="Y288" s="544">
        <f>SUM(Y287+Y275+Y281)</f>
      </c>
      <c r="Z288" s="544">
        <f>SUM(Z287+Z275+Z281)</f>
      </c>
      <c r="AA288" s="544">
        <f>SUM(AA287+AA275+AA281)</f>
      </c>
      <c r="AB288" s="544">
        <f>SUM(AB287+AB275+AB281)</f>
      </c>
      <c r="AC288" s="544">
        <f>SUM(AC287+AC275+AC281)</f>
      </c>
      <c r="AD288" s="544">
        <f>SUM(AD287+AD275+AD281)</f>
      </c>
      <c r="AE288" s="544">
        <f>SUM(AE287+AE275+AE281)</f>
      </c>
      <c r="AF288" s="544">
        <f>SUM(AF287+AF275+AF281)</f>
      </c>
      <c r="AG288" s="544">
        <f>SUM(AG287+AG275+AG281)</f>
      </c>
      <c r="AH288" s="544">
        <f>SUM(AH287+AH275+AH281)</f>
      </c>
    </row>
    <row r="289">
      <c r="A289" s="485" t="s">
        <v>218</v>
      </c>
      <c r="B289" s="485" t="s">
        <v>219</v>
      </c>
      <c r="C289" s="486" t="s">
        <v>220</v>
      </c>
      <c r="D289" s="487" t="s">
        <v>221</v>
      </c>
      <c r="E289" s="488" t="s">
        <v>222</v>
      </c>
      <c r="F289" s="489" t="s">
        <v>223</v>
      </c>
      <c r="G289" s="489" t="s">
        <v>224</v>
      </c>
      <c r="H289" s="490" t="s">
        <v>225</v>
      </c>
      <c r="I289" s="490" t="s">
        <v>226</v>
      </c>
      <c r="J289" s="490" t="s">
        <v>227</v>
      </c>
      <c r="K289" s="491" t="s">
        <v>228</v>
      </c>
      <c r="L289" s="491" t="s">
        <v>229</v>
      </c>
      <c r="M289" s="491" t="s">
        <v>231</v>
      </c>
      <c r="N289" s="491" t="s">
        <v>232</v>
      </c>
      <c r="O289" s="491" t="s">
        <v>233</v>
      </c>
      <c r="P289" s="491" t="s">
        <v>234</v>
      </c>
      <c r="Q289" s="491" t="s">
        <v>235</v>
      </c>
      <c r="R289" s="491" t="s">
        <v>236</v>
      </c>
      <c r="S289" s="492" t="s">
        <v>237</v>
      </c>
      <c r="T289" s="492" t="s">
        <v>238</v>
      </c>
      <c r="U289" s="492" t="s">
        <v>239</v>
      </c>
      <c r="V289" s="492" t="s">
        <v>240</v>
      </c>
      <c r="W289" s="493" t="s">
        <v>241</v>
      </c>
      <c r="X289" s="493" t="s">
        <v>242</v>
      </c>
      <c r="Y289" s="494" t="s">
        <v>243</v>
      </c>
      <c r="Z289" s="494" t="s">
        <v>244</v>
      </c>
      <c r="AA289" s="494" t="s">
        <v>245</v>
      </c>
      <c r="AB289" s="495" t="s">
        <v>246</v>
      </c>
      <c r="AC289" s="495" t="s">
        <v>247</v>
      </c>
      <c r="AD289" s="496" t="s">
        <v>248</v>
      </c>
      <c r="AE289" s="495" t="s">
        <v>249</v>
      </c>
      <c r="AF289" s="495" t="s">
        <v>250</v>
      </c>
      <c r="AG289" s="497" t="s">
        <v>251</v>
      </c>
      <c r="AH289" s="495" t="s">
        <v>252</v>
      </c>
    </row>
    <row r="290">
      <c r="A290" s="498">
        <v>46218</v>
      </c>
      <c r="B290" s="530" t="s">
        <v>271</v>
      </c>
      <c r="C290" s="500" t="s">
        <v>254</v>
      </c>
      <c r="D290" s="501">
        <v>0.019</v>
      </c>
      <c r="E290" s="502">
        <v>0</v>
      </c>
      <c r="F290" s="503">
        <v>0</v>
      </c>
      <c r="G290" s="504">
        <f t="shared" ref="G290:G308" si="55">D290/AC290</f>
      </c>
      <c r="H290" s="505">
        <f t="shared" ref="H290:H308" si="354">F290/E290</f>
      </c>
      <c r="I290" s="506">
        <f t="shared" ref="I290:I308" si="290">D290/E290</f>
      </c>
      <c r="J290" s="507">
        <f t="shared" ref="J290:J308" si="226">F290/D290</f>
      </c>
      <c r="K290" s="508">
        <f t="shared" ref="K290:K304" si="624">D290/AA290</f>
      </c>
      <c r="L290" s="505">
        <f t="shared" ref="L290:L308" si="422">D290/AB290</f>
      </c>
      <c r="M290" s="509">
        <f t="shared" ref="M290:M304" si="498">AB290/AA290</f>
      </c>
      <c r="N290" s="509">
        <f t="shared" ref="N290:N308" si="548">AC290/AB290</f>
      </c>
      <c r="O290" s="509">
        <f t="shared" ref="O290:O308" si="453">Z290/Y290</f>
      </c>
      <c r="P290" s="509">
        <f t="shared" ref="P290:P308" si="385">AC290/Z290</f>
      </c>
      <c r="Q290" s="505">
        <f t="shared" ref="Q290:Q308" si="323">D290/Y290*1000</f>
      </c>
      <c r="R290" s="507">
        <f t="shared" ref="R290:R308" si="259">D290/Z290</f>
      </c>
      <c r="S290" s="509">
        <f t="shared" ref="S290:S308" si="162">AD290/AA290</f>
      </c>
      <c r="T290" s="509">
        <f t="shared" ref="T290:T308" si="92">AE290/AA290</f>
      </c>
      <c r="U290" s="509">
        <f t="shared" ref="U290:U308" si="18">AF290/AA290</f>
      </c>
      <c r="V290" s="509">
        <f t="shared" ref="V290:V308" si="579">AG290/AA290</f>
      </c>
      <c r="W290" s="510" t="s">
        <v>255</v>
      </c>
      <c r="X290" s="511" t="s">
        <v>282</v>
      </c>
      <c r="Y290" s="512">
        <v>317</v>
      </c>
      <c r="Z290" s="512">
        <v>7</v>
      </c>
      <c r="AA290" s="512">
        <v>54</v>
      </c>
      <c r="AB290" s="512">
        <v>0</v>
      </c>
      <c r="AC290" s="514">
        <v>0</v>
      </c>
      <c r="AD290" s="512">
        <v>5</v>
      </c>
      <c r="AE290" s="513">
        <v>0</v>
      </c>
      <c r="AF290" s="513">
        <v>0</v>
      </c>
      <c r="AG290" s="513">
        <v>0</v>
      </c>
      <c r="AH290" s="514">
        <v>0</v>
      </c>
    </row>
    <row r="291">
      <c r="A291" s="498"/>
      <c r="B291" s="530" t="s">
        <v>271</v>
      </c>
      <c r="C291" s="500" t="s">
        <v>257</v>
      </c>
      <c r="D291" s="501">
        <v>1174.985</v>
      </c>
      <c r="E291" s="502">
        <v>0</v>
      </c>
      <c r="F291" s="503">
        <v>0</v>
      </c>
      <c r="G291" s="504">
        <f t="shared" si="55"/>
      </c>
      <c r="H291" s="505">
        <f t="shared" si="354"/>
      </c>
      <c r="I291" s="506">
        <f t="shared" si="290"/>
      </c>
      <c r="J291" s="507">
        <f t="shared" si="226"/>
      </c>
      <c r="K291" s="508">
        <f t="shared" si="624"/>
      </c>
      <c r="L291" s="505">
        <f t="shared" si="422"/>
      </c>
      <c r="M291" s="509">
        <f t="shared" si="498"/>
      </c>
      <c r="N291" s="509">
        <f t="shared" si="548"/>
      </c>
      <c r="O291" s="509">
        <f t="shared" si="453"/>
      </c>
      <c r="P291" s="509">
        <f t="shared" si="385"/>
      </c>
      <c r="Q291" s="505">
        <f t="shared" si="323"/>
      </c>
      <c r="R291" s="507">
        <f t="shared" si="259"/>
      </c>
      <c r="S291" s="509">
        <f t="shared" si="162"/>
      </c>
      <c r="T291" s="509">
        <f t="shared" si="92"/>
      </c>
      <c r="U291" s="509">
        <f t="shared" si="18"/>
      </c>
      <c r="V291" s="509">
        <f t="shared" si="579"/>
      </c>
      <c r="W291" s="510" t="s">
        <v>255</v>
      </c>
      <c r="X291" s="511" t="s">
        <v>282</v>
      </c>
      <c r="Y291" s="513">
        <v>250912</v>
      </c>
      <c r="Z291" s="512">
        <v>3767</v>
      </c>
      <c r="AA291" s="512">
        <v>56131</v>
      </c>
      <c r="AB291" s="512">
        <v>683</v>
      </c>
      <c r="AC291" s="513">
        <v>0</v>
      </c>
      <c r="AD291" s="512">
        <v>5577</v>
      </c>
      <c r="AE291" s="513">
        <v>103</v>
      </c>
      <c r="AF291" s="513">
        <v>67</v>
      </c>
      <c r="AG291" s="514">
        <v>3</v>
      </c>
      <c r="AH291" s="514">
        <v>0</v>
      </c>
    </row>
    <row r="292">
      <c r="A292" s="498"/>
      <c r="B292" s="530" t="s">
        <v>271</v>
      </c>
      <c r="C292" s="515" t="s">
        <v>258</v>
      </c>
      <c r="D292" s="501">
        <v>1607.924</v>
      </c>
      <c r="E292" s="502">
        <v>6</v>
      </c>
      <c r="F292" s="503">
        <v>1799.8999999999999</v>
      </c>
      <c r="G292" s="504">
        <f t="shared" si="55"/>
      </c>
      <c r="H292" s="505">
        <f t="shared" si="354"/>
      </c>
      <c r="I292" s="506">
        <f t="shared" si="290"/>
      </c>
      <c r="J292" s="507">
        <f t="shared" si="226"/>
      </c>
      <c r="K292" s="508">
        <f t="shared" si="624"/>
      </c>
      <c r="L292" s="505">
        <f t="shared" si="422"/>
      </c>
      <c r="M292" s="509">
        <f t="shared" si="498"/>
      </c>
      <c r="N292" s="509">
        <f t="shared" si="548"/>
      </c>
      <c r="O292" s="509">
        <f t="shared" si="453"/>
      </c>
      <c r="P292" s="509">
        <f t="shared" si="385"/>
      </c>
      <c r="Q292" s="505">
        <f t="shared" si="323"/>
      </c>
      <c r="R292" s="507">
        <f t="shared" si="259"/>
      </c>
      <c r="S292" s="509">
        <f t="shared" si="162"/>
      </c>
      <c r="T292" s="509">
        <f t="shared" si="92"/>
      </c>
      <c r="U292" s="509">
        <f t="shared" si="18"/>
      </c>
      <c r="V292" s="509">
        <f t="shared" si="579"/>
      </c>
      <c r="W292" s="510" t="s">
        <v>255</v>
      </c>
      <c r="X292" s="511" t="s">
        <v>282</v>
      </c>
      <c r="Y292" s="513">
        <v>346968</v>
      </c>
      <c r="Z292" s="512">
        <v>4531</v>
      </c>
      <c r="AA292" s="512">
        <v>207500</v>
      </c>
      <c r="AB292" s="512">
        <v>770</v>
      </c>
      <c r="AC292" s="513">
        <v>3</v>
      </c>
      <c r="AD292" s="512">
        <v>9577</v>
      </c>
      <c r="AE292" s="513">
        <v>139</v>
      </c>
      <c r="AF292" s="513">
        <v>83</v>
      </c>
      <c r="AG292" s="513">
        <v>12</v>
      </c>
      <c r="AH292" s="514">
        <v>0</v>
      </c>
    </row>
    <row r="293">
      <c r="A293" s="498"/>
      <c r="B293" s="530" t="s">
        <v>271</v>
      </c>
      <c r="C293" s="516" t="s">
        <v>259</v>
      </c>
      <c r="D293" s="501">
        <v>1318.98</v>
      </c>
      <c r="E293" s="502">
        <v>4</v>
      </c>
      <c r="F293" s="503">
        <v>847.9999999999998</v>
      </c>
      <c r="G293" s="504">
        <f t="shared" si="55"/>
      </c>
      <c r="H293" s="505">
        <f t="shared" si="354"/>
      </c>
      <c r="I293" s="506">
        <f t="shared" si="290"/>
      </c>
      <c r="J293" s="507">
        <f t="shared" si="226"/>
      </c>
      <c r="K293" s="508">
        <f t="shared" si="624"/>
      </c>
      <c r="L293" s="505">
        <f t="shared" si="422"/>
      </c>
      <c r="M293" s="509">
        <f t="shared" si="498"/>
      </c>
      <c r="N293" s="509">
        <f t="shared" si="548"/>
      </c>
      <c r="O293" s="509">
        <f t="shared" si="453"/>
      </c>
      <c r="P293" s="509">
        <f t="shared" si="385"/>
      </c>
      <c r="Q293" s="505">
        <f t="shared" si="323"/>
      </c>
      <c r="R293" s="507">
        <f t="shared" si="259"/>
      </c>
      <c r="S293" s="509">
        <f t="shared" si="162"/>
      </c>
      <c r="T293" s="509">
        <f t="shared" si="92"/>
      </c>
      <c r="U293" s="509">
        <f t="shared" si="18"/>
      </c>
      <c r="V293" s="509">
        <f t="shared" si="579"/>
      </c>
      <c r="W293" s="504" t="s">
        <v>255</v>
      </c>
      <c r="X293" s="511" t="s">
        <v>282</v>
      </c>
      <c r="Y293" s="513">
        <v>288937</v>
      </c>
      <c r="Z293" s="513">
        <v>4835</v>
      </c>
      <c r="AA293" s="513">
        <v>180565</v>
      </c>
      <c r="AB293" s="513">
        <v>610</v>
      </c>
      <c r="AC293" s="513">
        <v>4</v>
      </c>
      <c r="AD293" s="513">
        <v>9690</v>
      </c>
      <c r="AE293" s="513">
        <v>124</v>
      </c>
      <c r="AF293" s="513">
        <v>102</v>
      </c>
      <c r="AG293" s="514">
        <v>9</v>
      </c>
      <c r="AH293" s="514">
        <v>0</v>
      </c>
    </row>
    <row r="294">
      <c r="A294" s="498"/>
      <c r="B294" s="530" t="s">
        <v>271</v>
      </c>
      <c r="C294" s="516" t="s">
        <v>260</v>
      </c>
      <c r="D294" s="517">
        <v>1208.811</v>
      </c>
      <c r="E294" s="518">
        <v>6</v>
      </c>
      <c r="F294" s="519">
        <v>1304</v>
      </c>
      <c r="G294" s="504">
        <f t="shared" si="55"/>
      </c>
      <c r="H294" s="505">
        <f t="shared" si="354"/>
      </c>
      <c r="I294" s="506">
        <f t="shared" si="290"/>
      </c>
      <c r="J294" s="507">
        <f t="shared" si="226"/>
      </c>
      <c r="K294" s="508">
        <f t="shared" si="624"/>
      </c>
      <c r="L294" s="505">
        <f t="shared" si="422"/>
      </c>
      <c r="M294" s="509">
        <f t="shared" si="498"/>
      </c>
      <c r="N294" s="509">
        <f t="shared" si="548"/>
      </c>
      <c r="O294" s="509">
        <f t="shared" si="453"/>
      </c>
      <c r="P294" s="509">
        <f t="shared" si="385"/>
      </c>
      <c r="Q294" s="505">
        <f t="shared" si="323"/>
      </c>
      <c r="R294" s="507">
        <f t="shared" si="259"/>
      </c>
      <c r="S294" s="509">
        <f t="shared" si="162"/>
      </c>
      <c r="T294" s="509">
        <f t="shared" si="92"/>
      </c>
      <c r="U294" s="509">
        <f t="shared" si="18"/>
      </c>
      <c r="V294" s="509">
        <f t="shared" si="579"/>
      </c>
      <c r="W294" s="520" t="s">
        <v>255</v>
      </c>
      <c r="X294" s="511" t="s">
        <v>282</v>
      </c>
      <c r="Y294" s="513">
        <v>286357</v>
      </c>
      <c r="Z294" s="513">
        <v>4426</v>
      </c>
      <c r="AA294" s="513">
        <v>163451</v>
      </c>
      <c r="AB294" s="513">
        <v>595</v>
      </c>
      <c r="AC294" s="513">
        <v>4</v>
      </c>
      <c r="AD294" s="513">
        <v>8091</v>
      </c>
      <c r="AE294" s="513">
        <v>85</v>
      </c>
      <c r="AF294" s="513">
        <v>83</v>
      </c>
      <c r="AG294" s="514">
        <v>15</v>
      </c>
      <c r="AH294" s="514">
        <v>0</v>
      </c>
    </row>
    <row r="295">
      <c r="A295" s="498"/>
      <c r="B295" s="521" t="s">
        <v>261</v>
      </c>
      <c r="C295" s="521"/>
      <c r="D295" s="522">
        <f>SUM(D290:D294)</f>
      </c>
      <c r="E295" s="523">
        <f>SUM(E290:E294)</f>
      </c>
      <c r="F295" s="522">
        <f>SUM(F290:F294)</f>
      </c>
      <c r="G295" s="522">
        <f t="shared" si="55"/>
      </c>
      <c r="H295" s="524">
        <f t="shared" si="354"/>
      </c>
      <c r="I295" s="525">
        <f t="shared" si="290"/>
      </c>
      <c r="J295" s="526">
        <f t="shared" si="226"/>
      </c>
      <c r="K295" s="527">
        <f t="shared" si="624"/>
      </c>
      <c r="L295" s="524">
        <f t="shared" si="422"/>
      </c>
      <c r="M295" s="528">
        <f t="shared" si="498"/>
      </c>
      <c r="N295" s="528">
        <f t="shared" si="548"/>
      </c>
      <c r="O295" s="528">
        <f t="shared" si="453"/>
      </c>
      <c r="P295" s="528">
        <f t="shared" si="385"/>
      </c>
      <c r="Q295" s="524">
        <f t="shared" si="323"/>
      </c>
      <c r="R295" s="526">
        <f t="shared" si="259"/>
      </c>
      <c r="S295" s="528">
        <f t="shared" si="162"/>
      </c>
      <c r="T295" s="528">
        <f t="shared" si="92"/>
      </c>
      <c r="U295" s="528">
        <f t="shared" si="18"/>
      </c>
      <c r="V295" s="528">
        <f t="shared" si="579"/>
      </c>
      <c r="W295" s="528"/>
      <c r="X295" s="529"/>
      <c r="Y295" s="522">
        <f>SUM(Y290:Y294)</f>
      </c>
      <c r="Z295" s="522">
        <f>SUM(Z290:Z294)</f>
      </c>
      <c r="AA295" s="522">
        <f>SUM(AA290:AA294)</f>
      </c>
      <c r="AB295" s="522">
        <f>SUM(AB290:AB294)</f>
      </c>
      <c r="AC295" s="522">
        <f>SUM(AC290:AC294)</f>
      </c>
      <c r="AD295" s="522">
        <f>SUM(AD290:AD294)</f>
      </c>
      <c r="AE295" s="522">
        <f>SUM(AE290:AE294)</f>
      </c>
      <c r="AF295" s="522">
        <f>SUM(AF290:AF294)</f>
      </c>
      <c r="AG295" s="522">
        <f>SUM(AG290:AG294)</f>
      </c>
      <c r="AH295" s="522">
        <f>SUM(AH290:AH294)</f>
      </c>
    </row>
    <row r="296">
      <c r="A296" s="498"/>
      <c r="B296" s="530" t="s">
        <v>268</v>
      </c>
      <c r="C296" s="531" t="s">
        <v>263</v>
      </c>
      <c r="D296" s="532">
        <v>1083.21</v>
      </c>
      <c r="E296" s="502">
        <v>1</v>
      </c>
      <c r="F296" s="503">
        <v>196</v>
      </c>
      <c r="G296" s="504">
        <f t="shared" si="55"/>
      </c>
      <c r="H296" s="505">
        <f t="shared" si="354"/>
      </c>
      <c r="I296" s="506">
        <f t="shared" si="290"/>
      </c>
      <c r="J296" s="507">
        <f t="shared" si="226"/>
      </c>
      <c r="K296" s="508">
        <f t="shared" si="624"/>
      </c>
      <c r="L296" s="505">
        <f t="shared" si="422"/>
      </c>
      <c r="M296" s="509">
        <f t="shared" si="498"/>
      </c>
      <c r="N296" s="509">
        <f t="shared" si="548"/>
      </c>
      <c r="O296" s="509">
        <f t="shared" si="453"/>
      </c>
      <c r="P296" s="509">
        <f t="shared" si="385"/>
      </c>
      <c r="Q296" s="505">
        <f t="shared" si="323"/>
      </c>
      <c r="R296" s="507">
        <f t="shared" si="259"/>
      </c>
      <c r="S296" s="509">
        <f t="shared" si="162"/>
      </c>
      <c r="T296" s="509">
        <f t="shared" si="92"/>
      </c>
      <c r="U296" s="509">
        <f t="shared" si="18"/>
      </c>
      <c r="V296" s="509">
        <f t="shared" si="579"/>
      </c>
      <c r="W296" s="520" t="s">
        <v>255</v>
      </c>
      <c r="X296" s="511" t="s">
        <v>282</v>
      </c>
      <c r="Y296" s="512">
        <v>234968</v>
      </c>
      <c r="Z296" s="512">
        <v>4450</v>
      </c>
      <c r="AA296" s="512">
        <v>153358</v>
      </c>
      <c r="AB296" s="513">
        <v>505</v>
      </c>
      <c r="AC296" s="513">
        <v>3</v>
      </c>
      <c r="AD296" s="512">
        <v>7722</v>
      </c>
      <c r="AE296" s="513">
        <v>113</v>
      </c>
      <c r="AF296" s="513">
        <v>98</v>
      </c>
      <c r="AG296" s="513">
        <v>10</v>
      </c>
      <c r="AH296" s="514">
        <v>0</v>
      </c>
    </row>
    <row r="297">
      <c r="A297" s="498"/>
      <c r="B297" s="530" t="s">
        <v>268</v>
      </c>
      <c r="C297" s="533" t="s">
        <v>264</v>
      </c>
      <c r="D297" s="532">
        <v>1214.635</v>
      </c>
      <c r="E297" s="518">
        <v>4</v>
      </c>
      <c r="F297" s="519">
        <v>2080</v>
      </c>
      <c r="G297" s="504">
        <f t="shared" si="55"/>
      </c>
      <c r="H297" s="505">
        <f t="shared" si="354"/>
      </c>
      <c r="I297" s="506">
        <f t="shared" si="290"/>
      </c>
      <c r="J297" s="507">
        <f t="shared" si="226"/>
      </c>
      <c r="K297" s="508">
        <f t="shared" si="624"/>
      </c>
      <c r="L297" s="505">
        <f t="shared" si="422"/>
      </c>
      <c r="M297" s="509">
        <f t="shared" si="498"/>
      </c>
      <c r="N297" s="509">
        <f t="shared" si="548"/>
      </c>
      <c r="O297" s="509">
        <f t="shared" si="453"/>
      </c>
      <c r="P297" s="509">
        <f t="shared" si="385"/>
      </c>
      <c r="Q297" s="505">
        <f t="shared" si="323"/>
      </c>
      <c r="R297" s="507">
        <f t="shared" si="259"/>
      </c>
      <c r="S297" s="509">
        <f t="shared" si="162"/>
      </c>
      <c r="T297" s="509">
        <f t="shared" si="92"/>
      </c>
      <c r="U297" s="509">
        <f t="shared" si="18"/>
      </c>
      <c r="V297" s="509">
        <f t="shared" si="579"/>
      </c>
      <c r="W297" s="520" t="s">
        <v>255</v>
      </c>
      <c r="X297" s="511" t="s">
        <v>282</v>
      </c>
      <c r="Y297" s="513">
        <v>267018</v>
      </c>
      <c r="Z297" s="513">
        <v>5477</v>
      </c>
      <c r="AA297" s="513">
        <v>154213</v>
      </c>
      <c r="AB297" s="513">
        <v>528</v>
      </c>
      <c r="AC297" s="513">
        <v>4</v>
      </c>
      <c r="AD297" s="513">
        <v>6582</v>
      </c>
      <c r="AE297" s="513">
        <v>70</v>
      </c>
      <c r="AF297" s="513">
        <v>56</v>
      </c>
      <c r="AG297" s="513">
        <v>10</v>
      </c>
      <c r="AH297" s="514">
        <v>0</v>
      </c>
    </row>
    <row r="298">
      <c r="A298" s="498"/>
      <c r="B298" s="530" t="s">
        <v>268</v>
      </c>
      <c r="C298" s="534" t="s">
        <v>265</v>
      </c>
      <c r="D298" s="532">
        <v>1388.691</v>
      </c>
      <c r="E298" s="518">
        <v>4</v>
      </c>
      <c r="F298" s="519">
        <v>2069.2000000000007</v>
      </c>
      <c r="G298" s="504">
        <f t="shared" si="55"/>
      </c>
      <c r="H298" s="505">
        <f t="shared" si="354"/>
      </c>
      <c r="I298" s="506">
        <f t="shared" si="290"/>
      </c>
      <c r="J298" s="507">
        <f t="shared" si="226"/>
      </c>
      <c r="K298" s="508">
        <f t="shared" si="624"/>
      </c>
      <c r="L298" s="505">
        <f t="shared" si="422"/>
      </c>
      <c r="M298" s="509">
        <f t="shared" si="498"/>
      </c>
      <c r="N298" s="509">
        <f t="shared" si="548"/>
      </c>
      <c r="O298" s="509">
        <f t="shared" si="453"/>
      </c>
      <c r="P298" s="509">
        <f t="shared" si="385"/>
      </c>
      <c r="Q298" s="505">
        <f t="shared" si="323"/>
      </c>
      <c r="R298" s="507">
        <f t="shared" si="259"/>
      </c>
      <c r="S298" s="509">
        <f t="shared" si="162"/>
      </c>
      <c r="T298" s="509">
        <f t="shared" si="92"/>
      </c>
      <c r="U298" s="509">
        <f t="shared" si="18"/>
      </c>
      <c r="V298" s="509">
        <f t="shared" si="579"/>
      </c>
      <c r="W298" s="520" t="s">
        <v>255</v>
      </c>
      <c r="X298" s="511" t="s">
        <v>282</v>
      </c>
      <c r="Y298" s="513">
        <v>296810</v>
      </c>
      <c r="Z298" s="513">
        <v>6117</v>
      </c>
      <c r="AA298" s="513">
        <v>193763</v>
      </c>
      <c r="AB298" s="513">
        <v>523</v>
      </c>
      <c r="AC298" s="513">
        <v>3</v>
      </c>
      <c r="AD298" s="513">
        <v>7622</v>
      </c>
      <c r="AE298" s="513">
        <v>103</v>
      </c>
      <c r="AF298" s="513">
        <v>86</v>
      </c>
      <c r="AG298" s="513">
        <v>6</v>
      </c>
      <c r="AH298" s="514">
        <v>1</v>
      </c>
    </row>
    <row r="299">
      <c r="A299" s="498"/>
      <c r="B299" s="530" t="s">
        <v>268</v>
      </c>
      <c r="C299" s="537" t="s">
        <v>266</v>
      </c>
      <c r="D299" s="532">
        <v>1586.957</v>
      </c>
      <c r="E299" s="518">
        <v>8</v>
      </c>
      <c r="F299" s="519">
        <v>1760</v>
      </c>
      <c r="G299" s="504">
        <f t="shared" si="55"/>
      </c>
      <c r="H299" s="505">
        <f t="shared" si="354"/>
      </c>
      <c r="I299" s="506">
        <f t="shared" si="290"/>
      </c>
      <c r="J299" s="507">
        <f t="shared" si="226"/>
      </c>
      <c r="K299" s="508">
        <f t="shared" si="624"/>
      </c>
      <c r="L299" s="505">
        <f t="shared" si="422"/>
      </c>
      <c r="M299" s="509">
        <f t="shared" si="498"/>
      </c>
      <c r="N299" s="509">
        <f t="shared" si="548"/>
      </c>
      <c r="O299" s="509">
        <f t="shared" si="453"/>
      </c>
      <c r="P299" s="509">
        <f t="shared" si="385"/>
      </c>
      <c r="Q299" s="505">
        <f t="shared" si="323"/>
      </c>
      <c r="R299" s="507">
        <f t="shared" si="259"/>
      </c>
      <c r="S299" s="509">
        <f t="shared" si="162"/>
      </c>
      <c r="T299" s="509">
        <f t="shared" si="92"/>
      </c>
      <c r="U299" s="509">
        <f t="shared" si="18"/>
      </c>
      <c r="V299" s="509">
        <f t="shared" si="579"/>
      </c>
      <c r="W299" s="520" t="s">
        <v>255</v>
      </c>
      <c r="X299" s="511" t="s">
        <v>267</v>
      </c>
      <c r="Y299" s="513">
        <v>351023</v>
      </c>
      <c r="Z299" s="513">
        <v>8055</v>
      </c>
      <c r="AA299" s="513">
        <v>248930</v>
      </c>
      <c r="AB299" s="513">
        <v>595</v>
      </c>
      <c r="AC299" s="513">
        <v>8</v>
      </c>
      <c r="AD299" s="513">
        <v>9646</v>
      </c>
      <c r="AE299" s="513">
        <v>163</v>
      </c>
      <c r="AF299" s="513">
        <v>106</v>
      </c>
      <c r="AG299" s="513">
        <v>8</v>
      </c>
      <c r="AH299" s="514">
        <v>0</v>
      </c>
    </row>
    <row r="300">
      <c r="A300" s="498"/>
      <c r="B300" s="530" t="s">
        <v>268</v>
      </c>
      <c r="C300" s="540" t="s">
        <v>269</v>
      </c>
      <c r="D300" s="532">
        <v>1882.368</v>
      </c>
      <c r="E300" s="518">
        <v>8</v>
      </c>
      <c r="F300" s="519">
        <v>3489.2000000000007</v>
      </c>
      <c r="G300" s="504">
        <f t="shared" si="55"/>
      </c>
      <c r="H300" s="505">
        <f t="shared" si="354"/>
      </c>
      <c r="I300" s="506">
        <f t="shared" si="290"/>
      </c>
      <c r="J300" s="507">
        <f t="shared" si="226"/>
      </c>
      <c r="K300" s="508">
        <f t="shared" si="624"/>
      </c>
      <c r="L300" s="505">
        <f t="shared" si="422"/>
      </c>
      <c r="M300" s="509">
        <f t="shared" si="498"/>
      </c>
      <c r="N300" s="509">
        <f t="shared" si="548"/>
      </c>
      <c r="O300" s="509">
        <f t="shared" si="453"/>
      </c>
      <c r="P300" s="509">
        <f t="shared" si="385"/>
      </c>
      <c r="Q300" s="505">
        <f t="shared" si="323"/>
      </c>
      <c r="R300" s="507">
        <f t="shared" si="259"/>
      </c>
      <c r="S300" s="509">
        <f t="shared" si="162"/>
      </c>
      <c r="T300" s="509">
        <f t="shared" si="92"/>
      </c>
      <c r="U300" s="509">
        <f t="shared" si="18"/>
      </c>
      <c r="V300" s="509">
        <f t="shared" si="579"/>
      </c>
      <c r="W300" s="520" t="s">
        <v>255</v>
      </c>
      <c r="X300" s="511" t="s">
        <v>267</v>
      </c>
      <c r="Y300" s="513">
        <v>435506</v>
      </c>
      <c r="Z300" s="513">
        <v>8311</v>
      </c>
      <c r="AA300" s="513">
        <v>329342</v>
      </c>
      <c r="AB300" s="513">
        <v>536</v>
      </c>
      <c r="AC300" s="513">
        <v>6</v>
      </c>
      <c r="AD300" s="513">
        <v>10508</v>
      </c>
      <c r="AE300" s="513">
        <v>150</v>
      </c>
      <c r="AF300" s="513">
        <v>112</v>
      </c>
      <c r="AG300" s="513">
        <v>6</v>
      </c>
      <c r="AH300" s="514">
        <v>2</v>
      </c>
    </row>
    <row r="301">
      <c r="A301" s="498"/>
      <c r="B301" s="521" t="s">
        <v>261</v>
      </c>
      <c r="C301" s="521"/>
      <c r="D301" s="522">
        <f>SUM(D296:D300)</f>
      </c>
      <c r="E301" s="522">
        <f>SUM(E296:E300)</f>
      </c>
      <c r="F301" s="522">
        <f>SUM(F296:F300)</f>
      </c>
      <c r="G301" s="522">
        <f t="shared" si="55"/>
      </c>
      <c r="H301" s="524">
        <f t="shared" si="354"/>
      </c>
      <c r="I301" s="525">
        <f t="shared" si="290"/>
      </c>
      <c r="J301" s="526">
        <f t="shared" si="226"/>
      </c>
      <c r="K301" s="527">
        <f t="shared" si="624"/>
      </c>
      <c r="L301" s="524">
        <f t="shared" si="422"/>
      </c>
      <c r="M301" s="528">
        <f t="shared" si="498"/>
      </c>
      <c r="N301" s="528">
        <f t="shared" si="548"/>
      </c>
      <c r="O301" s="528">
        <f t="shared" si="453"/>
      </c>
      <c r="P301" s="528">
        <f t="shared" si="385"/>
      </c>
      <c r="Q301" s="524">
        <f t="shared" si="323"/>
      </c>
      <c r="R301" s="526">
        <f t="shared" si="259"/>
      </c>
      <c r="S301" s="528">
        <f t="shared" si="162"/>
      </c>
      <c r="T301" s="528">
        <f t="shared" si="92"/>
      </c>
      <c r="U301" s="528">
        <f t="shared" si="18"/>
      </c>
      <c r="V301" s="528">
        <f t="shared" si="579"/>
      </c>
      <c r="W301" s="528"/>
      <c r="X301" s="529"/>
      <c r="Y301" s="522">
        <f>SUM(Y296:Y300)</f>
      </c>
      <c r="Z301" s="522">
        <f>SUM(Z296:Z300)</f>
      </c>
      <c r="AA301" s="522">
        <f>SUM(AA296:AA300)</f>
      </c>
      <c r="AB301" s="522">
        <f>SUM(AB296:AB300)</f>
      </c>
      <c r="AC301" s="522">
        <f>SUM(AC296:AC300)</f>
      </c>
      <c r="AD301" s="522">
        <f>SUM(AD296:AD300)</f>
      </c>
      <c r="AE301" s="522">
        <f>SUM(AE296:AE300)</f>
      </c>
      <c r="AF301" s="522">
        <f>SUM(AF296:AF300)</f>
      </c>
      <c r="AG301" s="522">
        <f>SUM(AG296:AG300)</f>
      </c>
      <c r="AH301" s="522">
        <f>SUM(AH296:AH300)</f>
      </c>
    </row>
    <row r="302">
      <c r="A302" s="498"/>
      <c r="B302" s="499" t="s">
        <v>253</v>
      </c>
      <c r="C302" s="534" t="s">
        <v>270</v>
      </c>
      <c r="D302" s="541">
        <v>1269.179</v>
      </c>
      <c r="E302" s="542">
        <v>5</v>
      </c>
      <c r="F302" s="519">
        <v>1076</v>
      </c>
      <c r="G302" s="504">
        <f t="shared" si="55"/>
      </c>
      <c r="H302" s="505">
        <f t="shared" si="354"/>
      </c>
      <c r="I302" s="506">
        <f t="shared" si="290"/>
      </c>
      <c r="J302" s="507">
        <f t="shared" si="226"/>
      </c>
      <c r="K302" s="508">
        <f t="shared" si="624"/>
      </c>
      <c r="L302" s="505">
        <f t="shared" si="422"/>
      </c>
      <c r="M302" s="509">
        <f t="shared" si="498"/>
      </c>
      <c r="N302" s="509">
        <f t="shared" si="548"/>
      </c>
      <c r="O302" s="509">
        <f t="shared" si="453"/>
      </c>
      <c r="P302" s="509">
        <f t="shared" si="385"/>
      </c>
      <c r="Q302" s="505">
        <f t="shared" si="323"/>
      </c>
      <c r="R302" s="507">
        <f t="shared" si="259"/>
      </c>
      <c r="S302" s="509">
        <f t="shared" si="162"/>
      </c>
      <c r="T302" s="509">
        <f t="shared" si="92"/>
      </c>
      <c r="U302" s="509">
        <f t="shared" si="18"/>
      </c>
      <c r="V302" s="509">
        <f t="shared" si="579"/>
      </c>
      <c r="W302" s="520" t="s">
        <v>255</v>
      </c>
      <c r="X302" s="511" t="s">
        <v>267</v>
      </c>
      <c r="Y302" s="513">
        <v>282580</v>
      </c>
      <c r="Z302" s="513">
        <v>8837</v>
      </c>
      <c r="AA302" s="513">
        <v>208808</v>
      </c>
      <c r="AB302" s="513">
        <v>515</v>
      </c>
      <c r="AC302" s="513">
        <v>4</v>
      </c>
      <c r="AD302" s="513">
        <v>10543</v>
      </c>
      <c r="AE302" s="513">
        <v>117</v>
      </c>
      <c r="AF302" s="513">
        <v>168</v>
      </c>
      <c r="AG302" s="513">
        <v>7</v>
      </c>
      <c r="AH302" s="514">
        <v>0</v>
      </c>
    </row>
    <row r="303">
      <c r="A303" s="498"/>
      <c r="B303" s="499" t="s">
        <v>253</v>
      </c>
      <c r="C303" s="534" t="s">
        <v>272</v>
      </c>
      <c r="D303" s="541">
        <v>1514.051</v>
      </c>
      <c r="E303" s="542">
        <v>5</v>
      </c>
      <c r="F303" s="519">
        <v>1108</v>
      </c>
      <c r="G303" s="504">
        <f t="shared" si="55"/>
      </c>
      <c r="H303" s="505">
        <f t="shared" si="354"/>
      </c>
      <c r="I303" s="506">
        <f t="shared" si="290"/>
      </c>
      <c r="J303" s="507">
        <f t="shared" si="226"/>
      </c>
      <c r="K303" s="508">
        <f t="shared" si="624"/>
      </c>
      <c r="L303" s="505">
        <f t="shared" si="422"/>
      </c>
      <c r="M303" s="509">
        <f t="shared" si="498"/>
      </c>
      <c r="N303" s="509">
        <f t="shared" si="548"/>
      </c>
      <c r="O303" s="509">
        <f t="shared" si="453"/>
      </c>
      <c r="P303" s="509">
        <f t="shared" si="385"/>
      </c>
      <c r="Q303" s="505">
        <f t="shared" si="323"/>
      </c>
      <c r="R303" s="507">
        <f t="shared" si="259"/>
      </c>
      <c r="S303" s="509">
        <f t="shared" si="162"/>
      </c>
      <c r="T303" s="509">
        <f t="shared" si="92"/>
      </c>
      <c r="U303" s="509">
        <f t="shared" si="18"/>
      </c>
      <c r="V303" s="509">
        <f t="shared" si="579"/>
      </c>
      <c r="W303" s="520" t="s">
        <v>255</v>
      </c>
      <c r="X303" s="511" t="s">
        <v>267</v>
      </c>
      <c r="Y303" s="513">
        <v>349108</v>
      </c>
      <c r="Z303" s="513">
        <v>9063</v>
      </c>
      <c r="AA303" s="513">
        <v>282782</v>
      </c>
      <c r="AB303" s="513">
        <v>513</v>
      </c>
      <c r="AC303" s="513">
        <v>4</v>
      </c>
      <c r="AD303" s="513">
        <v>10896</v>
      </c>
      <c r="AE303" s="513">
        <v>118</v>
      </c>
      <c r="AF303" s="513">
        <v>150</v>
      </c>
      <c r="AG303" s="513">
        <v>7</v>
      </c>
      <c r="AH303" s="514">
        <v>0</v>
      </c>
    </row>
    <row r="304">
      <c r="A304" s="498"/>
      <c r="B304" s="499" t="s">
        <v>253</v>
      </c>
      <c r="C304" s="537" t="s">
        <v>273</v>
      </c>
      <c r="D304" s="541">
        <v>1794.922</v>
      </c>
      <c r="E304" s="542">
        <v>3</v>
      </c>
      <c r="F304" s="519">
        <v>1252.0000000000018</v>
      </c>
      <c r="G304" s="504">
        <f t="shared" si="55"/>
      </c>
      <c r="H304" s="505">
        <f t="shared" si="354"/>
      </c>
      <c r="I304" s="506">
        <f t="shared" si="290"/>
      </c>
      <c r="J304" s="507">
        <f t="shared" si="226"/>
      </c>
      <c r="K304" s="508">
        <f t="shared" si="624"/>
      </c>
      <c r="L304" s="505">
        <f t="shared" si="422"/>
      </c>
      <c r="M304" s="509">
        <f t="shared" si="498"/>
      </c>
      <c r="N304" s="509">
        <f t="shared" si="548"/>
      </c>
      <c r="O304" s="509">
        <f t="shared" si="453"/>
      </c>
      <c r="P304" s="509">
        <f t="shared" si="385"/>
      </c>
      <c r="Q304" s="505">
        <f t="shared" si="323"/>
      </c>
      <c r="R304" s="507">
        <f t="shared" si="259"/>
      </c>
      <c r="S304" s="509">
        <f t="shared" si="162"/>
      </c>
      <c r="T304" s="509">
        <f t="shared" si="92"/>
      </c>
      <c r="U304" s="509">
        <f t="shared" si="18"/>
      </c>
      <c r="V304" s="509">
        <f t="shared" si="579"/>
      </c>
      <c r="W304" s="520" t="s">
        <v>255</v>
      </c>
      <c r="X304" s="511" t="s">
        <v>267</v>
      </c>
      <c r="Y304" s="513">
        <v>423638</v>
      </c>
      <c r="Z304" s="513">
        <v>5348</v>
      </c>
      <c r="AA304" s="513">
        <v>295489</v>
      </c>
      <c r="AB304" s="513">
        <v>619</v>
      </c>
      <c r="AC304" s="513">
        <v>5</v>
      </c>
      <c r="AD304" s="513">
        <v>9700</v>
      </c>
      <c r="AE304" s="513">
        <v>119</v>
      </c>
      <c r="AF304" s="513">
        <v>96</v>
      </c>
      <c r="AG304" s="513">
        <v>8</v>
      </c>
      <c r="AH304" s="514">
        <v>0</v>
      </c>
    </row>
    <row r="305">
      <c r="A305" s="498"/>
      <c r="B305" s="499" t="s">
        <v>253</v>
      </c>
      <c r="C305" s="534" t="s">
        <v>274</v>
      </c>
      <c r="D305" s="535">
        <v>2632.6000000000004</v>
      </c>
      <c r="E305" s="502">
        <v>4</v>
      </c>
      <c r="F305" s="503">
        <v>1480</v>
      </c>
      <c r="G305" s="504">
        <f t="shared" si="55"/>
      </c>
      <c r="H305" s="505">
        <f t="shared" si="354"/>
      </c>
      <c r="I305" s="560">
        <f t="shared" si="290"/>
      </c>
      <c r="J305" s="559">
        <f t="shared" si="226"/>
      </c>
      <c r="K305" s="556">
        <f t="shared" ref="K305:K306" si="131">D305/AB305</f>
      </c>
      <c r="L305" s="557">
        <f t="shared" si="422"/>
      </c>
      <c r="M305" s="558">
        <f t="shared" ref="M305:M306" si="193">AC305/AB305</f>
      </c>
      <c r="N305" s="558">
        <f t="shared" si="548"/>
      </c>
      <c r="O305" s="558">
        <f t="shared" si="453"/>
      </c>
      <c r="P305" s="558">
        <f t="shared" si="385"/>
      </c>
      <c r="Q305" s="557">
        <f t="shared" si="323"/>
      </c>
      <c r="R305" s="559">
        <f t="shared" si="259"/>
      </c>
      <c r="S305" s="558">
        <f t="shared" si="162"/>
      </c>
      <c r="T305" s="558">
        <f t="shared" si="92"/>
      </c>
      <c r="U305" s="558">
        <f t="shared" si="18"/>
      </c>
      <c r="V305" s="558">
        <f t="shared" si="579"/>
      </c>
      <c r="W305" s="520" t="s">
        <v>255</v>
      </c>
      <c r="X305" s="511" t="s">
        <v>267</v>
      </c>
      <c r="Y305" s="513">
        <v>701091</v>
      </c>
      <c r="Z305" s="513">
        <v>6464</v>
      </c>
      <c r="AA305" s="513">
        <v>480058</v>
      </c>
      <c r="AB305" s="536">
        <v>926</v>
      </c>
      <c r="AC305" s="536">
        <v>4</v>
      </c>
      <c r="AD305" s="536">
        <v>13216</v>
      </c>
      <c r="AE305" s="536">
        <v>132</v>
      </c>
      <c r="AF305" s="536">
        <v>101</v>
      </c>
      <c r="AG305" s="536">
        <v>17</v>
      </c>
      <c r="AH305" s="514">
        <v>0</v>
      </c>
    </row>
    <row r="306">
      <c r="A306" s="498"/>
      <c r="B306" s="499" t="s">
        <v>253</v>
      </c>
      <c r="C306" s="555" t="s">
        <v>275</v>
      </c>
      <c r="D306" s="541">
        <v>2169.3970000000004</v>
      </c>
      <c r="E306" s="542">
        <v>7</v>
      </c>
      <c r="F306" s="519">
        <v>2508</v>
      </c>
      <c r="G306" s="504">
        <f t="shared" si="55"/>
      </c>
      <c r="H306" s="505">
        <f t="shared" si="354"/>
      </c>
      <c r="I306" s="560">
        <f t="shared" si="290"/>
      </c>
      <c r="J306" s="559">
        <f t="shared" si="226"/>
      </c>
      <c r="K306" s="556">
        <f t="shared" si="131"/>
      </c>
      <c r="L306" s="557">
        <f t="shared" si="422"/>
      </c>
      <c r="M306" s="558">
        <f t="shared" si="193"/>
      </c>
      <c r="N306" s="558">
        <f t="shared" si="548"/>
      </c>
      <c r="O306" s="558">
        <f t="shared" si="453"/>
      </c>
      <c r="P306" s="558">
        <f t="shared" si="385"/>
      </c>
      <c r="Q306" s="557">
        <f t="shared" si="323"/>
      </c>
      <c r="R306" s="559">
        <f t="shared" si="259"/>
      </c>
      <c r="S306" s="558">
        <f t="shared" si="162"/>
      </c>
      <c r="T306" s="558">
        <f t="shared" si="92"/>
      </c>
      <c r="U306" s="558">
        <f t="shared" si="18"/>
      </c>
      <c r="V306" s="558">
        <f t="shared" si="579"/>
      </c>
      <c r="W306" s="520" t="s">
        <v>255</v>
      </c>
      <c r="X306" s="511" t="s">
        <v>267</v>
      </c>
      <c r="Y306" s="513">
        <v>551441</v>
      </c>
      <c r="Z306" s="513">
        <v>7669</v>
      </c>
      <c r="AA306" s="513">
        <v>372720</v>
      </c>
      <c r="AB306" s="513">
        <v>900</v>
      </c>
      <c r="AC306" s="513">
        <v>3</v>
      </c>
      <c r="AD306" s="513">
        <v>11408</v>
      </c>
      <c r="AE306" s="513">
        <v>164</v>
      </c>
      <c r="AF306" s="513">
        <v>140</v>
      </c>
      <c r="AG306" s="514">
        <v>16</v>
      </c>
      <c r="AH306" s="514">
        <v>1</v>
      </c>
    </row>
    <row r="307">
      <c r="A307" s="498"/>
      <c r="B307" s="538" t="s">
        <v>261</v>
      </c>
      <c r="C307" s="538"/>
      <c r="D307" s="522">
        <f>SUM(D302:D306)</f>
      </c>
      <c r="E307" s="522">
        <f>SUM(E302:E306)</f>
      </c>
      <c r="F307" s="522">
        <f>SUM(F302:F306)</f>
      </c>
      <c r="G307" s="522">
        <f t="shared" si="55"/>
      </c>
      <c r="H307" s="524">
        <f t="shared" si="354"/>
      </c>
      <c r="I307" s="525">
        <f t="shared" si="290"/>
      </c>
      <c r="J307" s="526">
        <f t="shared" si="226"/>
      </c>
      <c r="K307" s="527">
        <f t="shared" ref="K307:K308" si="625">D307/AA307</f>
      </c>
      <c r="L307" s="524">
        <f t="shared" si="422"/>
      </c>
      <c r="M307" s="528">
        <f t="shared" ref="M307:M308" si="499">AB307/AA307</f>
      </c>
      <c r="N307" s="528">
        <f t="shared" si="548"/>
      </c>
      <c r="O307" s="528">
        <f t="shared" si="453"/>
      </c>
      <c r="P307" s="528">
        <f t="shared" si="385"/>
      </c>
      <c r="Q307" s="524">
        <f t="shared" si="323"/>
      </c>
      <c r="R307" s="526">
        <f t="shared" si="259"/>
      </c>
      <c r="S307" s="528">
        <f t="shared" si="162"/>
      </c>
      <c r="T307" s="528">
        <f t="shared" si="92"/>
      </c>
      <c r="U307" s="528">
        <f t="shared" si="18"/>
      </c>
      <c r="V307" s="528">
        <f t="shared" si="579"/>
      </c>
      <c r="W307" s="528"/>
      <c r="X307" s="529"/>
      <c r="Y307" s="522">
        <f>SUM(Y302:Y306)</f>
      </c>
      <c r="Z307" s="522">
        <f>SUM(Z302:Z306)</f>
      </c>
      <c r="AA307" s="522">
        <f>SUM(AA302:AA306)</f>
      </c>
      <c r="AB307" s="522">
        <f>SUM(AB302:AB306)</f>
      </c>
      <c r="AC307" s="522">
        <f>SUM(AC302:AC306)</f>
      </c>
      <c r="AD307" s="522">
        <f>SUM(AD302:AD306)</f>
      </c>
      <c r="AE307" s="522">
        <f>SUM(AE302:AE306)</f>
      </c>
      <c r="AF307" s="522">
        <f>SUM(AF302:AF306)</f>
      </c>
      <c r="AG307" s="522">
        <f>SUM(AG302:AG306)</f>
      </c>
      <c r="AH307" s="522">
        <f>SUM(AH302:AH306)</f>
      </c>
    </row>
    <row r="308">
      <c r="A308" s="498"/>
      <c r="B308" s="543" t="s">
        <v>276</v>
      </c>
      <c r="C308" s="543"/>
      <c r="D308" s="554">
        <f>SUM(D295+D307+D301)</f>
      </c>
      <c r="E308" s="554">
        <f>SUM(E295+E307+E301)</f>
      </c>
      <c r="F308" s="554">
        <f>SUM(F295+F307+F301)</f>
      </c>
      <c r="G308" s="544">
        <f t="shared" si="55"/>
      </c>
      <c r="H308" s="545">
        <f t="shared" si="354"/>
      </c>
      <c r="I308" s="546">
        <f t="shared" si="290"/>
      </c>
      <c r="J308" s="547">
        <f t="shared" si="226"/>
      </c>
      <c r="K308" s="548">
        <f t="shared" si="625"/>
      </c>
      <c r="L308" s="548">
        <f t="shared" si="422"/>
      </c>
      <c r="M308" s="550">
        <f t="shared" si="499"/>
      </c>
      <c r="N308" s="550">
        <f t="shared" si="548"/>
      </c>
      <c r="O308" s="550">
        <f t="shared" si="453"/>
      </c>
      <c r="P308" s="550">
        <f t="shared" si="385"/>
      </c>
      <c r="Q308" s="549">
        <f t="shared" si="323"/>
      </c>
      <c r="R308" s="551">
        <f t="shared" si="259"/>
      </c>
      <c r="S308" s="552">
        <f t="shared" si="162"/>
      </c>
      <c r="T308" s="552">
        <f t="shared" si="92"/>
      </c>
      <c r="U308" s="552">
        <f t="shared" si="18"/>
      </c>
      <c r="V308" s="552">
        <f t="shared" si="579"/>
      </c>
      <c r="W308" s="552"/>
      <c r="X308" s="553"/>
      <c r="Y308" s="544">
        <f>SUM(Y307+Y295+Y301)</f>
      </c>
      <c r="Z308" s="544">
        <f>SUM(Z307+Z295+Z301)</f>
      </c>
      <c r="AA308" s="544">
        <f>SUM(AA307+AA295+AA301)</f>
      </c>
      <c r="AB308" s="544">
        <f>SUM(AB307+AB295+AB301)</f>
      </c>
      <c r="AC308" s="544">
        <f>SUM(AC307+AC295+AC301)</f>
      </c>
      <c r="AD308" s="544">
        <f>SUM(AD307+AD295+AD301)</f>
      </c>
      <c r="AE308" s="544">
        <f>SUM(AE307+AE295+AE301)</f>
      </c>
      <c r="AF308" s="544">
        <f>SUM(AF307+AF295+AF301)</f>
      </c>
      <c r="AG308" s="544">
        <f>SUM(AG307+AG295+AG301)</f>
      </c>
      <c r="AH308" s="544">
        <f>SUM(AH307+AH295+AH301)</f>
      </c>
    </row>
    <row r="309">
      <c r="A309" s="485" t="s">
        <v>218</v>
      </c>
      <c r="B309" s="485" t="s">
        <v>219</v>
      </c>
      <c r="C309" s="486" t="s">
        <v>220</v>
      </c>
      <c r="D309" s="487" t="s">
        <v>221</v>
      </c>
      <c r="E309" s="488" t="s">
        <v>222</v>
      </c>
      <c r="F309" s="489" t="s">
        <v>223</v>
      </c>
      <c r="G309" s="489" t="s">
        <v>224</v>
      </c>
      <c r="H309" s="490" t="s">
        <v>225</v>
      </c>
      <c r="I309" s="490" t="s">
        <v>226</v>
      </c>
      <c r="J309" s="490" t="s">
        <v>227</v>
      </c>
      <c r="K309" s="491" t="s">
        <v>228</v>
      </c>
      <c r="L309" s="491" t="s">
        <v>229</v>
      </c>
      <c r="M309" s="491" t="s">
        <v>231</v>
      </c>
      <c r="N309" s="491" t="s">
        <v>232</v>
      </c>
      <c r="O309" s="491" t="s">
        <v>233</v>
      </c>
      <c r="P309" s="491" t="s">
        <v>234</v>
      </c>
      <c r="Q309" s="491" t="s">
        <v>235</v>
      </c>
      <c r="R309" s="491" t="s">
        <v>236</v>
      </c>
      <c r="S309" s="492" t="s">
        <v>237</v>
      </c>
      <c r="T309" s="492" t="s">
        <v>238</v>
      </c>
      <c r="U309" s="492" t="s">
        <v>239</v>
      </c>
      <c r="V309" s="492" t="s">
        <v>240</v>
      </c>
      <c r="W309" s="493" t="s">
        <v>241</v>
      </c>
      <c r="X309" s="493" t="s">
        <v>242</v>
      </c>
      <c r="Y309" s="494" t="s">
        <v>243</v>
      </c>
      <c r="Z309" s="494" t="s">
        <v>244</v>
      </c>
      <c r="AA309" s="494" t="s">
        <v>245</v>
      </c>
      <c r="AB309" s="495" t="s">
        <v>246</v>
      </c>
      <c r="AC309" s="495" t="s">
        <v>247</v>
      </c>
      <c r="AD309" s="496" t="s">
        <v>248</v>
      </c>
      <c r="AE309" s="495" t="s">
        <v>249</v>
      </c>
      <c r="AF309" s="495" t="s">
        <v>250</v>
      </c>
      <c r="AG309" s="497" t="s">
        <v>251</v>
      </c>
      <c r="AH309" s="495" t="s">
        <v>252</v>
      </c>
    </row>
    <row r="310">
      <c r="A310" s="498">
        <v>46219</v>
      </c>
      <c r="B310" s="530" t="s">
        <v>277</v>
      </c>
      <c r="C310" s="500" t="s">
        <v>254</v>
      </c>
      <c r="D310" s="501">
        <v>1390.673</v>
      </c>
      <c r="E310" s="502">
        <v>1</v>
      </c>
      <c r="F310" s="503">
        <v>228</v>
      </c>
      <c r="G310" s="504">
        <f t="shared" ref="G310:G328" si="56">D310/AC310</f>
      </c>
      <c r="H310" s="505">
        <f t="shared" ref="H310:H328" si="355">F310/E310</f>
      </c>
      <c r="I310" s="506">
        <f t="shared" ref="I310:I328" si="291">D310/E310</f>
      </c>
      <c r="J310" s="507">
        <f t="shared" ref="J310:J328" si="227">F310/D310</f>
      </c>
      <c r="K310" s="508">
        <f t="shared" ref="K310:K324" si="626">D310/AA310</f>
      </c>
      <c r="L310" s="505">
        <f t="shared" ref="L310:L328" si="423">D310/AB310</f>
      </c>
      <c r="M310" s="509">
        <f t="shared" ref="M310:M324" si="500">AB310/AA310</f>
      </c>
      <c r="N310" s="509">
        <f t="shared" ref="N310:N328" si="549">AC310/AB310</f>
      </c>
      <c r="O310" s="509">
        <f t="shared" ref="O310:O328" si="454">Z310/Y310</f>
      </c>
      <c r="P310" s="509">
        <f t="shared" ref="P310:P328" si="386">AC310/Z310</f>
      </c>
      <c r="Q310" s="505">
        <f t="shared" ref="Q310:Q328" si="324">D310/Y310*1000</f>
      </c>
      <c r="R310" s="507">
        <f t="shared" ref="R310:R328" si="260">D310/Z310</f>
      </c>
      <c r="S310" s="509">
        <f t="shared" ref="S310:S328" si="163">AD310/AA310</f>
      </c>
      <c r="T310" s="509">
        <f t="shared" ref="T310:T328" si="93">AE310/AA310</f>
      </c>
      <c r="U310" s="509">
        <f t="shared" ref="U310:U328" si="19">AF310/AA310</f>
      </c>
      <c r="V310" s="509">
        <f t="shared" ref="V310:V328" si="580">AG310/AA310</f>
      </c>
      <c r="W310" s="510" t="s">
        <v>255</v>
      </c>
      <c r="X310" s="511" t="s">
        <v>282</v>
      </c>
      <c r="Y310" s="512">
        <v>246731</v>
      </c>
      <c r="Z310" s="512">
        <v>3524</v>
      </c>
      <c r="AA310" s="512">
        <v>150928</v>
      </c>
      <c r="AB310" s="512">
        <v>601</v>
      </c>
      <c r="AC310" s="514">
        <v>3</v>
      </c>
      <c r="AD310" s="512">
        <v>13988</v>
      </c>
      <c r="AE310" s="513">
        <v>134</v>
      </c>
      <c r="AF310" s="513">
        <v>116</v>
      </c>
      <c r="AG310" s="513">
        <v>15</v>
      </c>
      <c r="AH310" s="514">
        <v>0</v>
      </c>
    </row>
    <row r="311">
      <c r="A311" s="498"/>
      <c r="B311" s="530" t="s">
        <v>277</v>
      </c>
      <c r="C311" s="500" t="s">
        <v>257</v>
      </c>
      <c r="D311" s="501">
        <v>1608.556</v>
      </c>
      <c r="E311" s="502">
        <v>7</v>
      </c>
      <c r="F311" s="503">
        <v>1532</v>
      </c>
      <c r="G311" s="504">
        <f t="shared" si="56"/>
      </c>
      <c r="H311" s="505">
        <f t="shared" si="355"/>
      </c>
      <c r="I311" s="506">
        <f t="shared" si="291"/>
      </c>
      <c r="J311" s="507">
        <f t="shared" si="227"/>
      </c>
      <c r="K311" s="508">
        <f t="shared" si="626"/>
      </c>
      <c r="L311" s="505">
        <f t="shared" si="423"/>
      </c>
      <c r="M311" s="509">
        <f t="shared" si="500"/>
      </c>
      <c r="N311" s="509">
        <f t="shared" si="549"/>
      </c>
      <c r="O311" s="509">
        <f t="shared" si="454"/>
      </c>
      <c r="P311" s="509">
        <f t="shared" si="386"/>
      </c>
      <c r="Q311" s="505">
        <f t="shared" si="324"/>
      </c>
      <c r="R311" s="507">
        <f t="shared" si="260"/>
      </c>
      <c r="S311" s="509">
        <f t="shared" si="163"/>
      </c>
      <c r="T311" s="509">
        <f t="shared" si="93"/>
      </c>
      <c r="U311" s="509">
        <f t="shared" si="19"/>
      </c>
      <c r="V311" s="509">
        <f t="shared" si="580"/>
      </c>
      <c r="W311" s="510" t="s">
        <v>255</v>
      </c>
      <c r="X311" s="511" t="s">
        <v>282</v>
      </c>
      <c r="Y311" s="513">
        <v>293289</v>
      </c>
      <c r="Z311" s="512">
        <v>4927</v>
      </c>
      <c r="AA311" s="512">
        <v>216068</v>
      </c>
      <c r="AB311" s="512">
        <v>669</v>
      </c>
      <c r="AC311" s="513">
        <v>7</v>
      </c>
      <c r="AD311" s="512">
        <v>19597</v>
      </c>
      <c r="AE311" s="513">
        <v>292</v>
      </c>
      <c r="AF311" s="513">
        <v>160</v>
      </c>
      <c r="AG311" s="514">
        <v>27</v>
      </c>
      <c r="AH311" s="514">
        <v>0</v>
      </c>
    </row>
    <row r="312">
      <c r="A312" s="498"/>
      <c r="B312" s="530" t="s">
        <v>277</v>
      </c>
      <c r="C312" s="515" t="s">
        <v>258</v>
      </c>
      <c r="D312" s="501">
        <v>1285.038</v>
      </c>
      <c r="E312" s="502">
        <v>7</v>
      </c>
      <c r="F312" s="503">
        <v>1438.6999999999998</v>
      </c>
      <c r="G312" s="504">
        <f t="shared" si="56"/>
      </c>
      <c r="H312" s="505">
        <f t="shared" si="355"/>
      </c>
      <c r="I312" s="506">
        <f t="shared" si="291"/>
      </c>
      <c r="J312" s="507">
        <f t="shared" si="227"/>
      </c>
      <c r="K312" s="508">
        <f t="shared" si="626"/>
      </c>
      <c r="L312" s="505">
        <f t="shared" si="423"/>
      </c>
      <c r="M312" s="509">
        <f t="shared" si="500"/>
      </c>
      <c r="N312" s="509">
        <f t="shared" si="549"/>
      </c>
      <c r="O312" s="509">
        <f t="shared" si="454"/>
      </c>
      <c r="P312" s="509">
        <f t="shared" si="386"/>
      </c>
      <c r="Q312" s="505">
        <f t="shared" si="324"/>
      </c>
      <c r="R312" s="507">
        <f t="shared" si="260"/>
      </c>
      <c r="S312" s="509">
        <f t="shared" si="163"/>
      </c>
      <c r="T312" s="509">
        <f t="shared" si="93"/>
      </c>
      <c r="U312" s="509">
        <f t="shared" si="19"/>
      </c>
      <c r="V312" s="509">
        <f t="shared" si="580"/>
      </c>
      <c r="W312" s="510" t="s">
        <v>255</v>
      </c>
      <c r="X312" s="511" t="s">
        <v>282</v>
      </c>
      <c r="Y312" s="513">
        <v>229201</v>
      </c>
      <c r="Z312" s="512">
        <v>3572</v>
      </c>
      <c r="AA312" s="512">
        <v>158119</v>
      </c>
      <c r="AB312" s="512">
        <v>577</v>
      </c>
      <c r="AC312" s="513">
        <v>5</v>
      </c>
      <c r="AD312" s="512">
        <v>12625</v>
      </c>
      <c r="AE312" s="513">
        <v>179</v>
      </c>
      <c r="AF312" s="513">
        <v>119</v>
      </c>
      <c r="AG312" s="513">
        <v>12</v>
      </c>
      <c r="AH312" s="514">
        <v>1</v>
      </c>
    </row>
    <row r="313">
      <c r="A313" s="498"/>
      <c r="B313" s="530" t="s">
        <v>277</v>
      </c>
      <c r="C313" s="516" t="s">
        <v>259</v>
      </c>
      <c r="D313" s="501">
        <v>1260.853</v>
      </c>
      <c r="E313" s="502">
        <v>1</v>
      </c>
      <c r="F313" s="503">
        <v>196</v>
      </c>
      <c r="G313" s="504">
        <f t="shared" si="56"/>
      </c>
      <c r="H313" s="505">
        <f t="shared" si="355"/>
      </c>
      <c r="I313" s="506">
        <f t="shared" si="291"/>
      </c>
      <c r="J313" s="507">
        <f t="shared" si="227"/>
      </c>
      <c r="K313" s="508">
        <f t="shared" si="626"/>
      </c>
      <c r="L313" s="505">
        <f t="shared" si="423"/>
      </c>
      <c r="M313" s="509">
        <f t="shared" si="500"/>
      </c>
      <c r="N313" s="509">
        <f t="shared" si="549"/>
      </c>
      <c r="O313" s="509">
        <f t="shared" si="454"/>
      </c>
      <c r="P313" s="509">
        <f t="shared" si="386"/>
      </c>
      <c r="Q313" s="505">
        <f t="shared" si="324"/>
      </c>
      <c r="R313" s="507">
        <f t="shared" si="260"/>
      </c>
      <c r="S313" s="509">
        <f t="shared" si="163"/>
      </c>
      <c r="T313" s="509">
        <f t="shared" si="93"/>
      </c>
      <c r="U313" s="509">
        <f t="shared" si="19"/>
      </c>
      <c r="V313" s="509">
        <f t="shared" si="580"/>
      </c>
      <c r="W313" s="504" t="s">
        <v>255</v>
      </c>
      <c r="X313" s="511" t="s">
        <v>282</v>
      </c>
      <c r="Y313" s="513">
        <v>241647</v>
      </c>
      <c r="Z313" s="513">
        <v>3721</v>
      </c>
      <c r="AA313" s="513">
        <v>176460</v>
      </c>
      <c r="AB313" s="513">
        <v>491</v>
      </c>
      <c r="AC313" s="513">
        <v>1</v>
      </c>
      <c r="AD313" s="513">
        <v>10848</v>
      </c>
      <c r="AE313" s="513">
        <v>105</v>
      </c>
      <c r="AF313" s="513">
        <v>123</v>
      </c>
      <c r="AG313" s="514">
        <v>13</v>
      </c>
      <c r="AH313" s="514">
        <v>0</v>
      </c>
    </row>
    <row r="314">
      <c r="A314" s="498"/>
      <c r="B314" s="530" t="s">
        <v>277</v>
      </c>
      <c r="C314" s="516" t="s">
        <v>260</v>
      </c>
      <c r="D314" s="517">
        <v>1484.709</v>
      </c>
      <c r="E314" s="518">
        <v>4</v>
      </c>
      <c r="F314" s="519">
        <v>912</v>
      </c>
      <c r="G314" s="504">
        <f t="shared" si="56"/>
      </c>
      <c r="H314" s="505">
        <f t="shared" si="355"/>
      </c>
      <c r="I314" s="506">
        <f t="shared" si="291"/>
      </c>
      <c r="J314" s="507">
        <f t="shared" si="227"/>
      </c>
      <c r="K314" s="508">
        <f t="shared" si="626"/>
      </c>
      <c r="L314" s="505">
        <f t="shared" si="423"/>
      </c>
      <c r="M314" s="509">
        <f t="shared" si="500"/>
      </c>
      <c r="N314" s="509">
        <f t="shared" si="549"/>
      </c>
      <c r="O314" s="509">
        <f t="shared" si="454"/>
      </c>
      <c r="P314" s="509">
        <f t="shared" si="386"/>
      </c>
      <c r="Q314" s="505">
        <f t="shared" si="324"/>
      </c>
      <c r="R314" s="507">
        <f t="shared" si="260"/>
      </c>
      <c r="S314" s="509">
        <f t="shared" si="163"/>
      </c>
      <c r="T314" s="509">
        <f t="shared" si="93"/>
      </c>
      <c r="U314" s="509">
        <f t="shared" si="19"/>
      </c>
      <c r="V314" s="509">
        <f t="shared" si="580"/>
      </c>
      <c r="W314" s="520" t="s">
        <v>255</v>
      </c>
      <c r="X314" s="511" t="s">
        <v>282</v>
      </c>
      <c r="Y314" s="513">
        <v>308587</v>
      </c>
      <c r="Z314" s="513">
        <v>5416</v>
      </c>
      <c r="AA314" s="513">
        <v>212269</v>
      </c>
      <c r="AB314" s="513">
        <v>624</v>
      </c>
      <c r="AC314" s="513">
        <v>4</v>
      </c>
      <c r="AD314" s="513">
        <v>10220</v>
      </c>
      <c r="AE314" s="513">
        <v>135</v>
      </c>
      <c r="AF314" s="513">
        <v>99</v>
      </c>
      <c r="AG314" s="514">
        <v>23</v>
      </c>
      <c r="AH314" s="514">
        <v>0</v>
      </c>
    </row>
    <row r="315">
      <c r="A315" s="498"/>
      <c r="B315" s="521" t="s">
        <v>261</v>
      </c>
      <c r="C315" s="521"/>
      <c r="D315" s="522">
        <f>SUM(D310:D314)</f>
      </c>
      <c r="E315" s="523">
        <f>SUM(E310:E314)</f>
      </c>
      <c r="F315" s="522">
        <f>SUM(F310:F314)</f>
      </c>
      <c r="G315" s="522">
        <f t="shared" si="56"/>
      </c>
      <c r="H315" s="524">
        <f t="shared" si="355"/>
      </c>
      <c r="I315" s="525">
        <f t="shared" si="291"/>
      </c>
      <c r="J315" s="526">
        <f t="shared" si="227"/>
      </c>
      <c r="K315" s="527">
        <f t="shared" si="626"/>
      </c>
      <c r="L315" s="524">
        <f t="shared" si="423"/>
      </c>
      <c r="M315" s="528">
        <f t="shared" si="500"/>
      </c>
      <c r="N315" s="528">
        <f t="shared" si="549"/>
      </c>
      <c r="O315" s="528">
        <f t="shared" si="454"/>
      </c>
      <c r="P315" s="528">
        <f t="shared" si="386"/>
      </c>
      <c r="Q315" s="524">
        <f t="shared" si="324"/>
      </c>
      <c r="R315" s="526">
        <f t="shared" si="260"/>
      </c>
      <c r="S315" s="528">
        <f t="shared" si="163"/>
      </c>
      <c r="T315" s="528">
        <f t="shared" si="93"/>
      </c>
      <c r="U315" s="528">
        <f t="shared" si="19"/>
      </c>
      <c r="V315" s="528">
        <f t="shared" si="580"/>
      </c>
      <c r="W315" s="528"/>
      <c r="X315" s="529"/>
      <c r="Y315" s="522">
        <f>SUM(Y310:Y314)</f>
      </c>
      <c r="Z315" s="522">
        <f>SUM(Z310:Z314)</f>
      </c>
      <c r="AA315" s="522">
        <f>SUM(AA310:AA314)</f>
      </c>
      <c r="AB315" s="522">
        <f>SUM(AB310:AB314)</f>
      </c>
      <c r="AC315" s="522">
        <f>SUM(AC310:AC314)</f>
      </c>
      <c r="AD315" s="522">
        <f>SUM(AD310:AD314)</f>
      </c>
      <c r="AE315" s="522">
        <f>SUM(AE310:AE314)</f>
      </c>
      <c r="AF315" s="522">
        <f>SUM(AF310:AF314)</f>
      </c>
      <c r="AG315" s="522">
        <f>SUM(AG310:AG314)</f>
      </c>
      <c r="AH315" s="522">
        <f>SUM(AH310:AH314)</f>
      </c>
    </row>
    <row r="316">
      <c r="A316" s="498"/>
      <c r="B316" s="530" t="s">
        <v>271</v>
      </c>
      <c r="C316" s="531" t="s">
        <v>263</v>
      </c>
      <c r="D316" s="532">
        <v>1360.844</v>
      </c>
      <c r="E316" s="502">
        <v>2</v>
      </c>
      <c r="F316" s="503">
        <v>1056</v>
      </c>
      <c r="G316" s="504">
        <f t="shared" si="56"/>
      </c>
      <c r="H316" s="505">
        <f t="shared" si="355"/>
      </c>
      <c r="I316" s="506">
        <f t="shared" si="291"/>
      </c>
      <c r="J316" s="507">
        <f t="shared" si="227"/>
      </c>
      <c r="K316" s="508">
        <f t="shared" si="626"/>
      </c>
      <c r="L316" s="505">
        <f t="shared" si="423"/>
      </c>
      <c r="M316" s="509">
        <f t="shared" si="500"/>
      </c>
      <c r="N316" s="509">
        <f t="shared" si="549"/>
      </c>
      <c r="O316" s="509">
        <f t="shared" si="454"/>
      </c>
      <c r="P316" s="509">
        <f t="shared" si="386"/>
      </c>
      <c r="Q316" s="505">
        <f t="shared" si="324"/>
      </c>
      <c r="R316" s="507">
        <f t="shared" si="260"/>
      </c>
      <c r="S316" s="509">
        <f t="shared" si="163"/>
      </c>
      <c r="T316" s="509">
        <f t="shared" si="93"/>
      </c>
      <c r="U316" s="509">
        <f t="shared" si="19"/>
      </c>
      <c r="V316" s="509">
        <f t="shared" si="580"/>
      </c>
      <c r="W316" s="520" t="s">
        <v>255</v>
      </c>
      <c r="X316" s="511" t="s">
        <v>282</v>
      </c>
      <c r="Y316" s="512">
        <v>293236</v>
      </c>
      <c r="Z316" s="512">
        <v>7347</v>
      </c>
      <c r="AA316" s="512">
        <v>227740</v>
      </c>
      <c r="AB316" s="513">
        <v>565</v>
      </c>
      <c r="AC316" s="513">
        <v>2</v>
      </c>
      <c r="AD316" s="512">
        <v>11162</v>
      </c>
      <c r="AE316" s="513">
        <v>175</v>
      </c>
      <c r="AF316" s="513">
        <v>151</v>
      </c>
      <c r="AG316" s="513">
        <v>18</v>
      </c>
      <c r="AH316" s="514">
        <v>0</v>
      </c>
    </row>
    <row r="317">
      <c r="A317" s="498"/>
      <c r="B317" s="530" t="s">
        <v>271</v>
      </c>
      <c r="C317" s="533" t="s">
        <v>264</v>
      </c>
      <c r="D317" s="532">
        <v>1241.805</v>
      </c>
      <c r="E317" s="518">
        <v>6</v>
      </c>
      <c r="F317" s="519">
        <v>1862.3000000000002</v>
      </c>
      <c r="G317" s="504">
        <f t="shared" si="56"/>
      </c>
      <c r="H317" s="505">
        <f t="shared" si="355"/>
      </c>
      <c r="I317" s="506">
        <f t="shared" si="291"/>
      </c>
      <c r="J317" s="507">
        <f t="shared" si="227"/>
      </c>
      <c r="K317" s="508">
        <f t="shared" si="626"/>
      </c>
      <c r="L317" s="505">
        <f t="shared" si="423"/>
      </c>
      <c r="M317" s="509">
        <f t="shared" si="500"/>
      </c>
      <c r="N317" s="509">
        <f t="shared" si="549"/>
      </c>
      <c r="O317" s="509">
        <f t="shared" si="454"/>
      </c>
      <c r="P317" s="509">
        <f t="shared" si="386"/>
      </c>
      <c r="Q317" s="505">
        <f t="shared" si="324"/>
      </c>
      <c r="R317" s="507">
        <f t="shared" si="260"/>
      </c>
      <c r="S317" s="509">
        <f t="shared" si="163"/>
      </c>
      <c r="T317" s="509">
        <f t="shared" si="93"/>
      </c>
      <c r="U317" s="509">
        <f t="shared" si="19"/>
      </c>
      <c r="V317" s="509">
        <f t="shared" si="580"/>
      </c>
      <c r="W317" s="520" t="s">
        <v>255</v>
      </c>
      <c r="X317" s="511" t="s">
        <v>282</v>
      </c>
      <c r="Y317" s="513">
        <v>257944</v>
      </c>
      <c r="Z317" s="513">
        <v>5027</v>
      </c>
      <c r="AA317" s="513">
        <v>188511</v>
      </c>
      <c r="AB317" s="513">
        <v>462</v>
      </c>
      <c r="AC317" s="513">
        <v>6</v>
      </c>
      <c r="AD317" s="513">
        <v>7056</v>
      </c>
      <c r="AE317" s="513">
        <v>101</v>
      </c>
      <c r="AF317" s="513">
        <v>84</v>
      </c>
      <c r="AG317" s="513">
        <v>12</v>
      </c>
      <c r="AH317" s="514">
        <v>1</v>
      </c>
    </row>
    <row r="318">
      <c r="A318" s="498"/>
      <c r="B318" s="530" t="s">
        <v>271</v>
      </c>
      <c r="C318" s="534" t="s">
        <v>265</v>
      </c>
      <c r="D318" s="532">
        <v>1064.136</v>
      </c>
      <c r="E318" s="518">
        <v>1</v>
      </c>
      <c r="F318" s="519">
        <v>228</v>
      </c>
      <c r="G318" s="504">
        <f t="shared" si="56"/>
      </c>
      <c r="H318" s="505">
        <f t="shared" si="355"/>
      </c>
      <c r="I318" s="506">
        <f t="shared" si="291"/>
      </c>
      <c r="J318" s="507">
        <f t="shared" si="227"/>
      </c>
      <c r="K318" s="508">
        <f t="shared" si="626"/>
      </c>
      <c r="L318" s="505">
        <f t="shared" si="423"/>
      </c>
      <c r="M318" s="509">
        <f t="shared" si="500"/>
      </c>
      <c r="N318" s="509">
        <f t="shared" si="549"/>
      </c>
      <c r="O318" s="509">
        <f t="shared" si="454"/>
      </c>
      <c r="P318" s="509">
        <f t="shared" si="386"/>
      </c>
      <c r="Q318" s="505">
        <f t="shared" si="324"/>
      </c>
      <c r="R318" s="507">
        <f t="shared" si="260"/>
      </c>
      <c r="S318" s="509">
        <f t="shared" si="163"/>
      </c>
      <c r="T318" s="509">
        <f t="shared" si="93"/>
      </c>
      <c r="U318" s="509">
        <f t="shared" si="19"/>
      </c>
      <c r="V318" s="509">
        <f t="shared" si="580"/>
      </c>
      <c r="W318" s="520" t="s">
        <v>255</v>
      </c>
      <c r="X318" s="511" t="s">
        <v>282</v>
      </c>
      <c r="Y318" s="513">
        <v>217532</v>
      </c>
      <c r="Z318" s="513">
        <v>6540</v>
      </c>
      <c r="AA318" s="513">
        <v>155929</v>
      </c>
      <c r="AB318" s="513">
        <v>427</v>
      </c>
      <c r="AC318" s="513">
        <v>1</v>
      </c>
      <c r="AD318" s="513">
        <v>7167</v>
      </c>
      <c r="AE318" s="513">
        <v>109</v>
      </c>
      <c r="AF318" s="513">
        <v>100</v>
      </c>
      <c r="AG318" s="513">
        <v>7</v>
      </c>
      <c r="AH318" s="514">
        <v>0</v>
      </c>
    </row>
    <row r="319">
      <c r="A319" s="498"/>
      <c r="B319" s="530" t="s">
        <v>271</v>
      </c>
      <c r="C319" s="537" t="s">
        <v>266</v>
      </c>
      <c r="D319" s="532">
        <v>914.649</v>
      </c>
      <c r="E319" s="518">
        <v>3</v>
      </c>
      <c r="F319" s="519">
        <v>1284</v>
      </c>
      <c r="G319" s="504">
        <f t="shared" si="56"/>
      </c>
      <c r="H319" s="505">
        <f t="shared" si="355"/>
      </c>
      <c r="I319" s="506">
        <f t="shared" si="291"/>
      </c>
      <c r="J319" s="507">
        <f t="shared" si="227"/>
      </c>
      <c r="K319" s="508">
        <f t="shared" si="626"/>
      </c>
      <c r="L319" s="505">
        <f t="shared" si="423"/>
      </c>
      <c r="M319" s="509">
        <f t="shared" si="500"/>
      </c>
      <c r="N319" s="509">
        <f t="shared" si="549"/>
      </c>
      <c r="O319" s="509">
        <f t="shared" si="454"/>
      </c>
      <c r="P319" s="509">
        <f t="shared" si="386"/>
      </c>
      <c r="Q319" s="505">
        <f t="shared" si="324"/>
      </c>
      <c r="R319" s="507">
        <f t="shared" si="260"/>
      </c>
      <c r="S319" s="509">
        <f t="shared" si="163"/>
      </c>
      <c r="T319" s="509">
        <f t="shared" si="93"/>
      </c>
      <c r="U319" s="509">
        <f t="shared" si="19"/>
      </c>
      <c r="V319" s="509">
        <f t="shared" si="580"/>
      </c>
      <c r="W319" s="520" t="s">
        <v>255</v>
      </c>
      <c r="X319" s="511" t="s">
        <v>267</v>
      </c>
      <c r="Y319" s="513">
        <v>183975</v>
      </c>
      <c r="Z319" s="513">
        <v>6232</v>
      </c>
      <c r="AA319" s="513">
        <v>136343</v>
      </c>
      <c r="AB319" s="513">
        <v>354</v>
      </c>
      <c r="AC319" s="513">
        <v>3</v>
      </c>
      <c r="AD319" s="513">
        <v>7647</v>
      </c>
      <c r="AE319" s="513">
        <v>103</v>
      </c>
      <c r="AF319" s="513">
        <v>80</v>
      </c>
      <c r="AG319" s="513">
        <v>9</v>
      </c>
      <c r="AH319" s="514">
        <v>0</v>
      </c>
    </row>
    <row r="320">
      <c r="A320" s="498"/>
      <c r="B320" s="530" t="s">
        <v>271</v>
      </c>
      <c r="C320" s="540" t="s">
        <v>269</v>
      </c>
      <c r="D320" s="532">
        <v>1326.0410000000002</v>
      </c>
      <c r="E320" s="518">
        <v>3</v>
      </c>
      <c r="F320" s="519">
        <v>1284</v>
      </c>
      <c r="G320" s="504">
        <f t="shared" si="56"/>
      </c>
      <c r="H320" s="505">
        <f t="shared" si="355"/>
      </c>
      <c r="I320" s="506">
        <f t="shared" si="291"/>
      </c>
      <c r="J320" s="507">
        <f t="shared" si="227"/>
      </c>
      <c r="K320" s="508">
        <f t="shared" si="626"/>
      </c>
      <c r="L320" s="505">
        <f t="shared" si="423"/>
      </c>
      <c r="M320" s="509">
        <f t="shared" si="500"/>
      </c>
      <c r="N320" s="509">
        <f t="shared" si="549"/>
      </c>
      <c r="O320" s="509">
        <f t="shared" si="454"/>
      </c>
      <c r="P320" s="509">
        <f t="shared" si="386"/>
      </c>
      <c r="Q320" s="505">
        <f t="shared" si="324"/>
      </c>
      <c r="R320" s="507">
        <f t="shared" si="260"/>
      </c>
      <c r="S320" s="509">
        <f t="shared" si="163"/>
      </c>
      <c r="T320" s="509">
        <f t="shared" si="93"/>
      </c>
      <c r="U320" s="509">
        <f t="shared" si="19"/>
      </c>
      <c r="V320" s="509">
        <f t="shared" si="580"/>
      </c>
      <c r="W320" s="520" t="s">
        <v>255</v>
      </c>
      <c r="X320" s="511" t="s">
        <v>267</v>
      </c>
      <c r="Y320" s="513">
        <v>284563</v>
      </c>
      <c r="Z320" s="513">
        <v>7820</v>
      </c>
      <c r="AA320" s="513">
        <v>232444</v>
      </c>
      <c r="AB320" s="513">
        <v>427</v>
      </c>
      <c r="AC320" s="513">
        <v>3</v>
      </c>
      <c r="AD320" s="513">
        <v>10123</v>
      </c>
      <c r="AE320" s="513">
        <v>89</v>
      </c>
      <c r="AF320" s="513">
        <v>108</v>
      </c>
      <c r="AG320" s="513">
        <v>9</v>
      </c>
      <c r="AH320" s="514">
        <v>0</v>
      </c>
    </row>
    <row r="321">
      <c r="A321" s="498"/>
      <c r="B321" s="521" t="s">
        <v>261</v>
      </c>
      <c r="C321" s="521"/>
      <c r="D321" s="522">
        <f>SUM(D316:D320)</f>
      </c>
      <c r="E321" s="522">
        <f>SUM(E316:E320)</f>
      </c>
      <c r="F321" s="522">
        <f>SUM(F316:F320)</f>
      </c>
      <c r="G321" s="522">
        <f t="shared" si="56"/>
      </c>
      <c r="H321" s="524">
        <f t="shared" si="355"/>
      </c>
      <c r="I321" s="525">
        <f t="shared" si="291"/>
      </c>
      <c r="J321" s="526">
        <f t="shared" si="227"/>
      </c>
      <c r="K321" s="527">
        <f t="shared" si="626"/>
      </c>
      <c r="L321" s="524">
        <f t="shared" si="423"/>
      </c>
      <c r="M321" s="528">
        <f t="shared" si="500"/>
      </c>
      <c r="N321" s="528">
        <f t="shared" si="549"/>
      </c>
      <c r="O321" s="528">
        <f t="shared" si="454"/>
      </c>
      <c r="P321" s="528">
        <f t="shared" si="386"/>
      </c>
      <c r="Q321" s="524">
        <f t="shared" si="324"/>
      </c>
      <c r="R321" s="526">
        <f t="shared" si="260"/>
      </c>
      <c r="S321" s="528">
        <f t="shared" si="163"/>
      </c>
      <c r="T321" s="528">
        <f t="shared" si="93"/>
      </c>
      <c r="U321" s="528">
        <f t="shared" si="19"/>
      </c>
      <c r="V321" s="528">
        <f t="shared" si="580"/>
      </c>
      <c r="W321" s="528"/>
      <c r="X321" s="529"/>
      <c r="Y321" s="522">
        <f>SUM(Y316:Y320)</f>
      </c>
      <c r="Z321" s="522">
        <f>SUM(Z316:Z320)</f>
      </c>
      <c r="AA321" s="522">
        <f>SUM(AA316:AA320)</f>
      </c>
      <c r="AB321" s="522">
        <f>SUM(AB316:AB320)</f>
      </c>
      <c r="AC321" s="522">
        <f>SUM(AC316:AC320)</f>
      </c>
      <c r="AD321" s="522">
        <f>SUM(AD316:AD320)</f>
      </c>
      <c r="AE321" s="522">
        <f>SUM(AE316:AE320)</f>
      </c>
      <c r="AF321" s="522">
        <f>SUM(AF316:AF320)</f>
      </c>
      <c r="AG321" s="522">
        <f>SUM(AG316:AG320)</f>
      </c>
      <c r="AH321" s="522">
        <f>SUM(AH316:AH320)</f>
      </c>
    </row>
    <row r="322">
      <c r="A322" s="498"/>
      <c r="B322" s="499" t="s">
        <v>268</v>
      </c>
      <c r="C322" s="534" t="s">
        <v>270</v>
      </c>
      <c r="D322" s="541">
        <v>1224.367</v>
      </c>
      <c r="E322" s="542">
        <v>2</v>
      </c>
      <c r="F322" s="519">
        <v>456</v>
      </c>
      <c r="G322" s="504">
        <f t="shared" si="56"/>
      </c>
      <c r="H322" s="505">
        <f t="shared" si="355"/>
      </c>
      <c r="I322" s="506">
        <f t="shared" si="291"/>
      </c>
      <c r="J322" s="507">
        <f t="shared" si="227"/>
      </c>
      <c r="K322" s="508">
        <f t="shared" si="626"/>
      </c>
      <c r="L322" s="505">
        <f t="shared" si="423"/>
      </c>
      <c r="M322" s="509">
        <f t="shared" si="500"/>
      </c>
      <c r="N322" s="509">
        <f t="shared" si="549"/>
      </c>
      <c r="O322" s="509">
        <f t="shared" si="454"/>
      </c>
      <c r="P322" s="509">
        <f t="shared" si="386"/>
      </c>
      <c r="Q322" s="505">
        <f t="shared" si="324"/>
      </c>
      <c r="R322" s="507">
        <f t="shared" si="260"/>
      </c>
      <c r="S322" s="509">
        <f t="shared" si="163"/>
      </c>
      <c r="T322" s="509">
        <f t="shared" si="93"/>
      </c>
      <c r="U322" s="509">
        <f t="shared" si="19"/>
      </c>
      <c r="V322" s="509">
        <f t="shared" si="580"/>
      </c>
      <c r="W322" s="520" t="s">
        <v>255</v>
      </c>
      <c r="X322" s="511" t="s">
        <v>267</v>
      </c>
      <c r="Y322" s="513">
        <v>275803</v>
      </c>
      <c r="Z322" s="513">
        <v>4483</v>
      </c>
      <c r="AA322" s="513">
        <v>233765</v>
      </c>
      <c r="AB322" s="513">
        <v>392</v>
      </c>
      <c r="AC322" s="513">
        <v>3</v>
      </c>
      <c r="AD322" s="513">
        <v>9853</v>
      </c>
      <c r="AE322" s="513">
        <v>111</v>
      </c>
      <c r="AF322" s="513">
        <v>83</v>
      </c>
      <c r="AG322" s="513">
        <v>12</v>
      </c>
      <c r="AH322" s="514">
        <v>0</v>
      </c>
    </row>
    <row r="323">
      <c r="A323" s="498"/>
      <c r="B323" s="499" t="s">
        <v>268</v>
      </c>
      <c r="C323" s="534" t="s">
        <v>272</v>
      </c>
      <c r="D323" s="541">
        <v>1582.8220000000001</v>
      </c>
      <c r="E323" s="542">
        <v>5</v>
      </c>
      <c r="F323" s="519">
        <v>1708</v>
      </c>
      <c r="G323" s="504">
        <f t="shared" si="56"/>
      </c>
      <c r="H323" s="505">
        <f t="shared" si="355"/>
      </c>
      <c r="I323" s="506">
        <f t="shared" si="291"/>
      </c>
      <c r="J323" s="507">
        <f t="shared" si="227"/>
      </c>
      <c r="K323" s="508">
        <f t="shared" si="626"/>
      </c>
      <c r="L323" s="505">
        <f t="shared" si="423"/>
      </c>
      <c r="M323" s="509">
        <f t="shared" si="500"/>
      </c>
      <c r="N323" s="509">
        <f t="shared" si="549"/>
      </c>
      <c r="O323" s="509">
        <f t="shared" si="454"/>
      </c>
      <c r="P323" s="509">
        <f t="shared" si="386"/>
      </c>
      <c r="Q323" s="505">
        <f t="shared" si="324"/>
      </c>
      <c r="R323" s="507">
        <f t="shared" si="260"/>
      </c>
      <c r="S323" s="509">
        <f t="shared" si="163"/>
      </c>
      <c r="T323" s="509">
        <f t="shared" si="93"/>
      </c>
      <c r="U323" s="509">
        <f t="shared" si="19"/>
      </c>
      <c r="V323" s="509">
        <f t="shared" si="580"/>
      </c>
      <c r="W323" s="520" t="s">
        <v>255</v>
      </c>
      <c r="X323" s="511" t="s">
        <v>267</v>
      </c>
      <c r="Y323" s="513">
        <v>370520</v>
      </c>
      <c r="Z323" s="513">
        <v>3607</v>
      </c>
      <c r="AA323" s="513">
        <v>284895</v>
      </c>
      <c r="AB323" s="513">
        <v>472</v>
      </c>
      <c r="AC323" s="513">
        <v>4</v>
      </c>
      <c r="AD323" s="513">
        <v>10416</v>
      </c>
      <c r="AE323" s="513">
        <v>99</v>
      </c>
      <c r="AF323" s="513">
        <v>90</v>
      </c>
      <c r="AG323" s="513">
        <v>8</v>
      </c>
      <c r="AH323" s="514">
        <v>0</v>
      </c>
    </row>
    <row r="324">
      <c r="A324" s="498"/>
      <c r="B324" s="499" t="s">
        <v>268</v>
      </c>
      <c r="C324" s="537" t="s">
        <v>273</v>
      </c>
      <c r="D324" s="541">
        <v>2793.0750000000003</v>
      </c>
      <c r="E324" s="542">
        <v>5</v>
      </c>
      <c r="F324" s="519">
        <v>1708</v>
      </c>
      <c r="G324" s="504">
        <f t="shared" si="56"/>
      </c>
      <c r="H324" s="505">
        <f t="shared" si="355"/>
      </c>
      <c r="I324" s="506">
        <f t="shared" si="291"/>
      </c>
      <c r="J324" s="507">
        <f t="shared" si="227"/>
      </c>
      <c r="K324" s="508">
        <f t="shared" si="626"/>
      </c>
      <c r="L324" s="505">
        <f t="shared" si="423"/>
      </c>
      <c r="M324" s="509">
        <f t="shared" si="500"/>
      </c>
      <c r="N324" s="509">
        <f t="shared" si="549"/>
      </c>
      <c r="O324" s="509">
        <f t="shared" si="454"/>
      </c>
      <c r="P324" s="509">
        <f t="shared" si="386"/>
      </c>
      <c r="Q324" s="505">
        <f t="shared" si="324"/>
      </c>
      <c r="R324" s="507">
        <f t="shared" si="260"/>
      </c>
      <c r="S324" s="509">
        <f t="shared" si="163"/>
      </c>
      <c r="T324" s="509">
        <f t="shared" si="93"/>
      </c>
      <c r="U324" s="509">
        <f t="shared" si="19"/>
      </c>
      <c r="V324" s="509">
        <f t="shared" si="580"/>
      </c>
      <c r="W324" s="520" t="s">
        <v>255</v>
      </c>
      <c r="X324" s="511" t="s">
        <v>267</v>
      </c>
      <c r="Y324" s="513">
        <v>715701</v>
      </c>
      <c r="Z324" s="513">
        <v>8985</v>
      </c>
      <c r="AA324" s="513">
        <v>527250</v>
      </c>
      <c r="AB324" s="513">
        <v>812</v>
      </c>
      <c r="AC324" s="513">
        <v>5</v>
      </c>
      <c r="AD324" s="513">
        <v>12647</v>
      </c>
      <c r="AE324" s="513">
        <v>172</v>
      </c>
      <c r="AF324" s="513">
        <v>117</v>
      </c>
      <c r="AG324" s="513">
        <v>11</v>
      </c>
      <c r="AH324" s="514">
        <v>0</v>
      </c>
    </row>
    <row r="325">
      <c r="A325" s="498"/>
      <c r="B325" s="499" t="s">
        <v>268</v>
      </c>
      <c r="C325" s="534" t="s">
        <v>274</v>
      </c>
      <c r="D325" s="535">
        <v>3142.628</v>
      </c>
      <c r="E325" s="502">
        <v>10</v>
      </c>
      <c r="F325" s="503">
        <v>2858.4000000000015</v>
      </c>
      <c r="G325" s="504">
        <f t="shared" si="56"/>
      </c>
      <c r="H325" s="505">
        <f t="shared" si="355"/>
      </c>
      <c r="I325" s="560">
        <f t="shared" si="291"/>
      </c>
      <c r="J325" s="559">
        <f t="shared" si="227"/>
      </c>
      <c r="K325" s="556">
        <f t="shared" ref="K325:K326" si="132">D325/AB325</f>
      </c>
      <c r="L325" s="557">
        <f t="shared" si="423"/>
      </c>
      <c r="M325" s="558">
        <f t="shared" ref="M325:M326" si="194">AC325/AB325</f>
      </c>
      <c r="N325" s="558">
        <f t="shared" si="549"/>
      </c>
      <c r="O325" s="558">
        <f t="shared" si="454"/>
      </c>
      <c r="P325" s="558">
        <f t="shared" si="386"/>
      </c>
      <c r="Q325" s="557">
        <f t="shared" si="324"/>
      </c>
      <c r="R325" s="559">
        <f t="shared" si="260"/>
      </c>
      <c r="S325" s="558">
        <f t="shared" si="163"/>
      </c>
      <c r="T325" s="558">
        <f t="shared" si="93"/>
      </c>
      <c r="U325" s="558">
        <f t="shared" si="19"/>
      </c>
      <c r="V325" s="558">
        <f t="shared" si="580"/>
      </c>
      <c r="W325" s="520" t="s">
        <v>255</v>
      </c>
      <c r="X325" s="511" t="s">
        <v>267</v>
      </c>
      <c r="Y325" s="513">
        <v>847512</v>
      </c>
      <c r="Z325" s="513">
        <v>13035</v>
      </c>
      <c r="AA325" s="513">
        <v>586950</v>
      </c>
      <c r="AB325" s="536">
        <v>1273</v>
      </c>
      <c r="AC325" s="536">
        <v>8</v>
      </c>
      <c r="AD325" s="536">
        <v>16681</v>
      </c>
      <c r="AE325" s="536">
        <v>228</v>
      </c>
      <c r="AF325" s="536">
        <v>202</v>
      </c>
      <c r="AG325" s="536">
        <v>19</v>
      </c>
      <c r="AH325" s="514">
        <v>2</v>
      </c>
    </row>
    <row r="326">
      <c r="A326" s="498"/>
      <c r="B326" s="499" t="s">
        <v>268</v>
      </c>
      <c r="C326" s="555" t="s">
        <v>275</v>
      </c>
      <c r="D326" s="541">
        <v>3694.6440000000002</v>
      </c>
      <c r="E326" s="542">
        <v>7</v>
      </c>
      <c r="F326" s="519">
        <v>2753.2000000000007</v>
      </c>
      <c r="G326" s="504">
        <f t="shared" si="56"/>
      </c>
      <c r="H326" s="505">
        <f t="shared" si="355"/>
      </c>
      <c r="I326" s="560">
        <f t="shared" si="291"/>
      </c>
      <c r="J326" s="559">
        <f t="shared" si="227"/>
      </c>
      <c r="K326" s="556">
        <f t="shared" si="132"/>
      </c>
      <c r="L326" s="557">
        <f t="shared" si="423"/>
      </c>
      <c r="M326" s="558">
        <f t="shared" si="194"/>
      </c>
      <c r="N326" s="558">
        <f t="shared" si="549"/>
      </c>
      <c r="O326" s="558">
        <f t="shared" si="454"/>
      </c>
      <c r="P326" s="558">
        <f t="shared" si="386"/>
      </c>
      <c r="Q326" s="557">
        <f t="shared" si="324"/>
      </c>
      <c r="R326" s="559">
        <f t="shared" si="260"/>
      </c>
      <c r="S326" s="558">
        <f t="shared" si="163"/>
      </c>
      <c r="T326" s="558">
        <f t="shared" si="93"/>
      </c>
      <c r="U326" s="558">
        <f t="shared" si="19"/>
      </c>
      <c r="V326" s="558">
        <f t="shared" si="580"/>
      </c>
      <c r="W326" s="520" t="s">
        <v>255</v>
      </c>
      <c r="X326" s="511" t="s">
        <v>267</v>
      </c>
      <c r="Y326" s="513">
        <v>960510</v>
      </c>
      <c r="Z326" s="513">
        <v>12143</v>
      </c>
      <c r="AA326" s="513">
        <v>703597</v>
      </c>
      <c r="AB326" s="513">
        <v>1354</v>
      </c>
      <c r="AC326" s="513">
        <v>6</v>
      </c>
      <c r="AD326" s="513">
        <v>16782</v>
      </c>
      <c r="AE326" s="513">
        <v>196</v>
      </c>
      <c r="AF326" s="513">
        <v>178</v>
      </c>
      <c r="AG326" s="514">
        <v>22</v>
      </c>
      <c r="AH326" s="514">
        <v>1</v>
      </c>
    </row>
    <row r="327">
      <c r="A327" s="498"/>
      <c r="B327" s="538" t="s">
        <v>261</v>
      </c>
      <c r="C327" s="538"/>
      <c r="D327" s="522">
        <f>SUM(D322:D326)</f>
      </c>
      <c r="E327" s="522">
        <f>SUM(E322:E326)</f>
      </c>
      <c r="F327" s="522">
        <f>SUM(F322:F326)</f>
      </c>
      <c r="G327" s="522">
        <f t="shared" si="56"/>
      </c>
      <c r="H327" s="524">
        <f t="shared" si="355"/>
      </c>
      <c r="I327" s="525">
        <f t="shared" si="291"/>
      </c>
      <c r="J327" s="526">
        <f t="shared" si="227"/>
      </c>
      <c r="K327" s="527">
        <f t="shared" ref="K327:K328" si="627">D327/AA327</f>
      </c>
      <c r="L327" s="524">
        <f t="shared" si="423"/>
      </c>
      <c r="M327" s="528">
        <f t="shared" ref="M327:M328" si="501">AB327/AA327</f>
      </c>
      <c r="N327" s="528">
        <f t="shared" si="549"/>
      </c>
      <c r="O327" s="528">
        <f t="shared" si="454"/>
      </c>
      <c r="P327" s="528">
        <f t="shared" si="386"/>
      </c>
      <c r="Q327" s="524">
        <f t="shared" si="324"/>
      </c>
      <c r="R327" s="526">
        <f t="shared" si="260"/>
      </c>
      <c r="S327" s="528">
        <f t="shared" si="163"/>
      </c>
      <c r="T327" s="528">
        <f t="shared" si="93"/>
      </c>
      <c r="U327" s="528">
        <f t="shared" si="19"/>
      </c>
      <c r="V327" s="528">
        <f t="shared" si="580"/>
      </c>
      <c r="W327" s="528"/>
      <c r="X327" s="529"/>
      <c r="Y327" s="522">
        <f>SUM(Y322:Y326)</f>
      </c>
      <c r="Z327" s="522">
        <f>SUM(Z322:Z326)</f>
      </c>
      <c r="AA327" s="522">
        <f>SUM(AA322:AA326)</f>
      </c>
      <c r="AB327" s="522">
        <f>SUM(AB322:AB326)</f>
      </c>
      <c r="AC327" s="522">
        <f>SUM(AC322:AC326)</f>
      </c>
      <c r="AD327" s="522">
        <f>SUM(AD322:AD326)</f>
      </c>
      <c r="AE327" s="522">
        <f>SUM(AE322:AE326)</f>
      </c>
      <c r="AF327" s="522">
        <f>SUM(AF322:AF326)</f>
      </c>
      <c r="AG327" s="522">
        <f>SUM(AG322:AG326)</f>
      </c>
      <c r="AH327" s="522">
        <f>SUM(AH322:AH326)</f>
      </c>
    </row>
    <row r="328">
      <c r="A328" s="498"/>
      <c r="B328" s="543" t="s">
        <v>276</v>
      </c>
      <c r="C328" s="543"/>
      <c r="D328" s="554">
        <f>SUM(D315+D327+D321)</f>
      </c>
      <c r="E328" s="554">
        <f>SUM(E315+E327+E321)</f>
      </c>
      <c r="F328" s="554">
        <f>SUM(F315+F327+F321)</f>
      </c>
      <c r="G328" s="544">
        <f t="shared" si="56"/>
      </c>
      <c r="H328" s="545">
        <f t="shared" si="355"/>
      </c>
      <c r="I328" s="546">
        <f t="shared" si="291"/>
      </c>
      <c r="J328" s="547">
        <f t="shared" si="227"/>
      </c>
      <c r="K328" s="548">
        <f t="shared" si="627"/>
      </c>
      <c r="L328" s="548">
        <f t="shared" si="423"/>
      </c>
      <c r="M328" s="550">
        <f t="shared" si="501"/>
      </c>
      <c r="N328" s="550">
        <f t="shared" si="549"/>
      </c>
      <c r="O328" s="550">
        <f t="shared" si="454"/>
      </c>
      <c r="P328" s="550">
        <f t="shared" si="386"/>
      </c>
      <c r="Q328" s="549">
        <f t="shared" si="324"/>
      </c>
      <c r="R328" s="551">
        <f t="shared" si="260"/>
      </c>
      <c r="S328" s="552">
        <f t="shared" si="163"/>
      </c>
      <c r="T328" s="552">
        <f t="shared" si="93"/>
      </c>
      <c r="U328" s="552">
        <f t="shared" si="19"/>
      </c>
      <c r="V328" s="552">
        <f t="shared" si="580"/>
      </c>
      <c r="W328" s="552"/>
      <c r="X328" s="553"/>
      <c r="Y328" s="544">
        <f>SUM(Y327+Y315+Y321)</f>
      </c>
      <c r="Z328" s="544">
        <f>SUM(Z327+Z315+Z321)</f>
      </c>
      <c r="AA328" s="544">
        <f>SUM(AA327+AA315+AA321)</f>
      </c>
      <c r="AB328" s="544">
        <f>SUM(AB327+AB315+AB321)</f>
      </c>
      <c r="AC328" s="544">
        <f>SUM(AC327+AC315+AC321)</f>
      </c>
      <c r="AD328" s="544">
        <f>SUM(AD327+AD315+AD321)</f>
      </c>
      <c r="AE328" s="544">
        <f>SUM(AE327+AE315+AE321)</f>
      </c>
      <c r="AF328" s="544">
        <f>SUM(AF327+AF315+AF321)</f>
      </c>
      <c r="AG328" s="544">
        <f>SUM(AG327+AG315+AG321)</f>
      </c>
      <c r="AH328" s="544">
        <f>SUM(AH327+AH315+AH321)</f>
      </c>
    </row>
    <row r="329">
      <c r="A329" s="486" t="s">
        <v>218</v>
      </c>
      <c r="B329" s="561" t="s">
        <v>219</v>
      </c>
      <c r="C329" s="562" t="s">
        <v>220</v>
      </c>
      <c r="D329" s="487" t="s">
        <v>221</v>
      </c>
      <c r="E329" s="488" t="s">
        <v>222</v>
      </c>
      <c r="F329" s="489" t="s">
        <v>223</v>
      </c>
      <c r="G329" s="489" t="s">
        <v>224</v>
      </c>
      <c r="H329" s="490" t="s">
        <v>225</v>
      </c>
      <c r="I329" s="490" t="s">
        <v>226</v>
      </c>
      <c r="J329" s="490" t="s">
        <v>227</v>
      </c>
      <c r="K329" s="491" t="s">
        <v>228</v>
      </c>
      <c r="L329" s="491" t="s">
        <v>229</v>
      </c>
      <c r="M329" s="491" t="s">
        <v>231</v>
      </c>
      <c r="N329" s="491" t="s">
        <v>232</v>
      </c>
      <c r="O329" s="491" t="s">
        <v>233</v>
      </c>
      <c r="P329" s="491" t="s">
        <v>234</v>
      </c>
      <c r="Q329" s="491" t="s">
        <v>235</v>
      </c>
      <c r="R329" s="491" t="s">
        <v>236</v>
      </c>
      <c r="S329" s="492" t="s">
        <v>237</v>
      </c>
      <c r="T329" s="492" t="s">
        <v>238</v>
      </c>
      <c r="U329" s="492" t="s">
        <v>239</v>
      </c>
      <c r="V329" s="492" t="s">
        <v>240</v>
      </c>
      <c r="W329" s="493" t="s">
        <v>241</v>
      </c>
      <c r="X329" s="493" t="s">
        <v>242</v>
      </c>
      <c r="Y329" s="494" t="s">
        <v>243</v>
      </c>
      <c r="Z329" s="494" t="s">
        <v>244</v>
      </c>
      <c r="AA329" s="494" t="s">
        <v>245</v>
      </c>
      <c r="AB329" s="495" t="s">
        <v>246</v>
      </c>
      <c r="AC329" s="495" t="s">
        <v>247</v>
      </c>
      <c r="AD329" s="496" t="s">
        <v>248</v>
      </c>
      <c r="AE329" s="495" t="s">
        <v>249</v>
      </c>
      <c r="AF329" s="495" t="s">
        <v>250</v>
      </c>
      <c r="AG329" s="497" t="s">
        <v>251</v>
      </c>
      <c r="AH329" s="495" t="s">
        <v>252</v>
      </c>
    </row>
    <row r="330">
      <c r="A330" s="498">
        <v>46220</v>
      </c>
      <c r="B330" s="530" t="s">
        <v>277</v>
      </c>
      <c r="C330" s="500" t="s">
        <v>254</v>
      </c>
      <c r="D330" s="501">
        <v>1546.6799999999998</v>
      </c>
      <c r="E330" s="502">
        <v>3</v>
      </c>
      <c r="F330" s="503">
        <v>1252</v>
      </c>
      <c r="G330" s="504">
        <f t="shared" ref="G330:G348" si="57">D330/AC330</f>
      </c>
      <c r="H330" s="505">
        <f t="shared" ref="H330:H348" si="356">F330/E330</f>
      </c>
      <c r="I330" s="506">
        <f t="shared" ref="I330:I348" si="292">D330/E330</f>
      </c>
      <c r="J330" s="507">
        <f t="shared" ref="J330:J348" si="228">F330/D330</f>
      </c>
      <c r="K330" s="508">
        <f t="shared" ref="K330:K344" si="628">D330/AA330</f>
      </c>
      <c r="L330" s="505">
        <f t="shared" ref="L330:L348" si="424">D330/AB330</f>
      </c>
      <c r="M330" s="509">
        <f t="shared" ref="M330:M344" si="502">AB330/AA330</f>
      </c>
      <c r="N330" s="509">
        <f t="shared" ref="N330:N348" si="550">AC330/AB330</f>
      </c>
      <c r="O330" s="509">
        <f t="shared" ref="O330:O348" si="455">Z330/Y330</f>
      </c>
      <c r="P330" s="509">
        <f t="shared" ref="P330:P348" si="387">AC330/Z330</f>
      </c>
      <c r="Q330" s="505">
        <f t="shared" ref="Q330:Q348" si="325">D330/Y330*1000</f>
      </c>
      <c r="R330" s="507">
        <f t="shared" ref="R330:R348" si="261">D330/Z330</f>
      </c>
      <c r="S330" s="509">
        <f t="shared" ref="S330:S348" si="164">AD330/AA330</f>
      </c>
      <c r="T330" s="509">
        <f t="shared" ref="T330:T348" si="94">AE330/AA330</f>
      </c>
      <c r="U330" s="509">
        <f t="shared" ref="U330:U348" si="20">AF330/AA330</f>
      </c>
      <c r="V330" s="509">
        <f t="shared" ref="V330:V348" si="581">AG330/AA330</f>
      </c>
      <c r="W330" s="510" t="s">
        <v>255</v>
      </c>
      <c r="X330" s="511" t="s">
        <v>282</v>
      </c>
      <c r="Y330" s="512">
        <v>259819</v>
      </c>
      <c r="Z330" s="512">
        <v>4116</v>
      </c>
      <c r="AA330" s="512">
        <v>143865</v>
      </c>
      <c r="AB330" s="512">
        <v>727</v>
      </c>
      <c r="AC330" s="514">
        <v>2</v>
      </c>
      <c r="AD330" s="512">
        <v>17161</v>
      </c>
      <c r="AE330" s="513">
        <v>168</v>
      </c>
      <c r="AF330" s="513">
        <v>121</v>
      </c>
      <c r="AG330" s="513">
        <v>16</v>
      </c>
      <c r="AH330" s="514">
        <v>0</v>
      </c>
    </row>
    <row r="331">
      <c r="A331" s="498"/>
      <c r="B331" s="530" t="s">
        <v>277</v>
      </c>
      <c r="C331" s="500" t="s">
        <v>257</v>
      </c>
      <c r="D331" s="501">
        <v>1321.3980000000001</v>
      </c>
      <c r="E331" s="502">
        <v>6</v>
      </c>
      <c r="F331" s="503">
        <v>1903.6</v>
      </c>
      <c r="G331" s="504">
        <f t="shared" si="57"/>
      </c>
      <c r="H331" s="505">
        <f t="shared" si="356"/>
      </c>
      <c r="I331" s="506">
        <f t="shared" si="292"/>
      </c>
      <c r="J331" s="507">
        <f t="shared" si="228"/>
      </c>
      <c r="K331" s="508">
        <f t="shared" si="628"/>
      </c>
      <c r="L331" s="505">
        <f t="shared" si="424"/>
      </c>
      <c r="M331" s="509">
        <f t="shared" si="502"/>
      </c>
      <c r="N331" s="509">
        <f t="shared" si="550"/>
      </c>
      <c r="O331" s="509">
        <f t="shared" si="455"/>
      </c>
      <c r="P331" s="509">
        <f t="shared" si="387"/>
      </c>
      <c r="Q331" s="505">
        <f t="shared" si="325"/>
      </c>
      <c r="R331" s="507">
        <f t="shared" si="261"/>
      </c>
      <c r="S331" s="509">
        <f t="shared" si="164"/>
      </c>
      <c r="T331" s="509">
        <f t="shared" si="94"/>
      </c>
      <c r="U331" s="509">
        <f t="shared" si="20"/>
      </c>
      <c r="V331" s="509">
        <f t="shared" si="581"/>
      </c>
      <c r="W331" s="510" t="s">
        <v>255</v>
      </c>
      <c r="X331" s="511" t="s">
        <v>282</v>
      </c>
      <c r="Y331" s="513">
        <v>232302</v>
      </c>
      <c r="Z331" s="512">
        <v>4090</v>
      </c>
      <c r="AA331" s="512">
        <v>143330</v>
      </c>
      <c r="AB331" s="512">
        <v>681</v>
      </c>
      <c r="AC331" s="513">
        <v>4</v>
      </c>
      <c r="AD331" s="512">
        <v>16555</v>
      </c>
      <c r="AE331" s="513">
        <v>239</v>
      </c>
      <c r="AF331" s="513">
        <v>138</v>
      </c>
      <c r="AG331" s="514">
        <v>15</v>
      </c>
      <c r="AH331" s="514">
        <v>1</v>
      </c>
    </row>
    <row r="332">
      <c r="A332" s="498"/>
      <c r="B332" s="530" t="s">
        <v>277</v>
      </c>
      <c r="C332" s="515" t="s">
        <v>258</v>
      </c>
      <c r="D332" s="501">
        <v>991.3800000000001</v>
      </c>
      <c r="E332" s="502">
        <v>3</v>
      </c>
      <c r="F332" s="503">
        <v>1251.9999999999995</v>
      </c>
      <c r="G332" s="504">
        <f t="shared" si="57"/>
      </c>
      <c r="H332" s="505">
        <f t="shared" si="356"/>
      </c>
      <c r="I332" s="506">
        <f t="shared" si="292"/>
      </c>
      <c r="J332" s="507">
        <f t="shared" si="228"/>
      </c>
      <c r="K332" s="508">
        <f t="shared" si="628"/>
      </c>
      <c r="L332" s="505">
        <f t="shared" si="424"/>
      </c>
      <c r="M332" s="509">
        <f t="shared" si="502"/>
      </c>
      <c r="N332" s="509">
        <f t="shared" si="550"/>
      </c>
      <c r="O332" s="509">
        <f t="shared" si="455"/>
      </c>
      <c r="P332" s="509">
        <f t="shared" si="387"/>
      </c>
      <c r="Q332" s="505">
        <f t="shared" si="325"/>
      </c>
      <c r="R332" s="507">
        <f t="shared" si="261"/>
      </c>
      <c r="S332" s="509">
        <f t="shared" si="164"/>
      </c>
      <c r="T332" s="509">
        <f t="shared" si="94"/>
      </c>
      <c r="U332" s="509">
        <f t="shared" si="20"/>
      </c>
      <c r="V332" s="509">
        <f t="shared" si="581"/>
      </c>
      <c r="W332" s="510" t="s">
        <v>255</v>
      </c>
      <c r="X332" s="511" t="s">
        <v>282</v>
      </c>
      <c r="Y332" s="513">
        <v>180982</v>
      </c>
      <c r="Z332" s="512">
        <v>2937</v>
      </c>
      <c r="AA332" s="512">
        <v>122180</v>
      </c>
      <c r="AB332" s="512">
        <v>498</v>
      </c>
      <c r="AC332" s="513">
        <v>3</v>
      </c>
      <c r="AD332" s="512">
        <v>9335</v>
      </c>
      <c r="AE332" s="513">
        <v>151</v>
      </c>
      <c r="AF332" s="513">
        <v>71</v>
      </c>
      <c r="AG332" s="513">
        <v>14</v>
      </c>
      <c r="AH332" s="514">
        <v>0</v>
      </c>
    </row>
    <row r="333">
      <c r="A333" s="498"/>
      <c r="B333" s="530" t="s">
        <v>277</v>
      </c>
      <c r="C333" s="516" t="s">
        <v>259</v>
      </c>
      <c r="D333" s="501">
        <v>943.337</v>
      </c>
      <c r="E333" s="502">
        <v>4</v>
      </c>
      <c r="F333" s="503">
        <v>1501.1999999999998</v>
      </c>
      <c r="G333" s="504">
        <f t="shared" si="57"/>
      </c>
      <c r="H333" s="505">
        <f t="shared" si="356"/>
      </c>
      <c r="I333" s="506">
        <f t="shared" si="292"/>
      </c>
      <c r="J333" s="507">
        <f t="shared" si="228"/>
      </c>
      <c r="K333" s="508">
        <f t="shared" si="628"/>
      </c>
      <c r="L333" s="505">
        <f t="shared" si="424"/>
      </c>
      <c r="M333" s="509">
        <f t="shared" si="502"/>
      </c>
      <c r="N333" s="509">
        <f t="shared" si="550"/>
      </c>
      <c r="O333" s="509">
        <f t="shared" si="455"/>
      </c>
      <c r="P333" s="509">
        <f t="shared" si="387"/>
      </c>
      <c r="Q333" s="505">
        <f t="shared" si="325"/>
      </c>
      <c r="R333" s="507">
        <f t="shared" si="261"/>
      </c>
      <c r="S333" s="509">
        <f t="shared" si="164"/>
      </c>
      <c r="T333" s="509">
        <f t="shared" si="94"/>
      </c>
      <c r="U333" s="509">
        <f t="shared" si="20"/>
      </c>
      <c r="V333" s="509">
        <f t="shared" si="581"/>
      </c>
      <c r="W333" s="504" t="s">
        <v>255</v>
      </c>
      <c r="X333" s="511" t="s">
        <v>282</v>
      </c>
      <c r="Y333" s="513">
        <v>163627</v>
      </c>
      <c r="Z333" s="513">
        <v>2919</v>
      </c>
      <c r="AA333" s="513">
        <v>125830</v>
      </c>
      <c r="AB333" s="513">
        <v>415</v>
      </c>
      <c r="AC333" s="513">
        <v>3</v>
      </c>
      <c r="AD333" s="513">
        <v>9132</v>
      </c>
      <c r="AE333" s="513">
        <v>130</v>
      </c>
      <c r="AF333" s="513">
        <v>92</v>
      </c>
      <c r="AG333" s="514">
        <v>8</v>
      </c>
      <c r="AH333" s="514">
        <v>0</v>
      </c>
    </row>
    <row r="334">
      <c r="A334" s="498"/>
      <c r="B334" s="530" t="s">
        <v>277</v>
      </c>
      <c r="C334" s="516" t="s">
        <v>260</v>
      </c>
      <c r="D334" s="517">
        <v>1425.3200000000002</v>
      </c>
      <c r="E334" s="518">
        <v>4</v>
      </c>
      <c r="F334" s="519">
        <v>848</v>
      </c>
      <c r="G334" s="504">
        <f t="shared" si="57"/>
      </c>
      <c r="H334" s="505">
        <f t="shared" si="356"/>
      </c>
      <c r="I334" s="506">
        <f t="shared" si="292"/>
      </c>
      <c r="J334" s="507">
        <f t="shared" si="228"/>
      </c>
      <c r="K334" s="508">
        <f t="shared" si="628"/>
      </c>
      <c r="L334" s="505">
        <f t="shared" si="424"/>
      </c>
      <c r="M334" s="509">
        <f t="shared" si="502"/>
      </c>
      <c r="N334" s="509">
        <f t="shared" si="550"/>
      </c>
      <c r="O334" s="509">
        <f t="shared" si="455"/>
      </c>
      <c r="P334" s="509">
        <f t="shared" si="387"/>
      </c>
      <c r="Q334" s="505">
        <f t="shared" si="325"/>
      </c>
      <c r="R334" s="507">
        <f t="shared" si="261"/>
      </c>
      <c r="S334" s="509">
        <f t="shared" si="164"/>
      </c>
      <c r="T334" s="509">
        <f t="shared" si="94"/>
      </c>
      <c r="U334" s="509">
        <f t="shared" si="20"/>
      </c>
      <c r="V334" s="509">
        <f t="shared" si="581"/>
      </c>
      <c r="W334" s="520" t="s">
        <v>255</v>
      </c>
      <c r="X334" s="511" t="s">
        <v>282</v>
      </c>
      <c r="Y334" s="513">
        <v>320199</v>
      </c>
      <c r="Z334" s="513">
        <v>5815</v>
      </c>
      <c r="AA334" s="513">
        <v>262636</v>
      </c>
      <c r="AB334" s="513">
        <v>502</v>
      </c>
      <c r="AC334" s="513">
        <v>2</v>
      </c>
      <c r="AD334" s="513">
        <v>11422</v>
      </c>
      <c r="AE334" s="513">
        <v>137</v>
      </c>
      <c r="AF334" s="513">
        <v>120</v>
      </c>
      <c r="AG334" s="514">
        <v>8</v>
      </c>
      <c r="AH334" s="514">
        <v>0</v>
      </c>
    </row>
    <row r="335">
      <c r="A335" s="498"/>
      <c r="B335" s="521" t="s">
        <v>261</v>
      </c>
      <c r="C335" s="521"/>
      <c r="D335" s="522">
        <f>SUM(D330:D334)</f>
      </c>
      <c r="E335" s="523">
        <f>SUM(E330:E334)</f>
      </c>
      <c r="F335" s="522">
        <f>SUM(F330:F334)</f>
      </c>
      <c r="G335" s="522">
        <f t="shared" si="57"/>
      </c>
      <c r="H335" s="524">
        <f t="shared" si="356"/>
      </c>
      <c r="I335" s="525">
        <f t="shared" si="292"/>
      </c>
      <c r="J335" s="526">
        <f t="shared" si="228"/>
      </c>
      <c r="K335" s="527">
        <f t="shared" si="628"/>
      </c>
      <c r="L335" s="524">
        <f t="shared" si="424"/>
      </c>
      <c r="M335" s="528">
        <f t="shared" si="502"/>
      </c>
      <c r="N335" s="528">
        <f t="shared" si="550"/>
      </c>
      <c r="O335" s="528">
        <f t="shared" si="455"/>
      </c>
      <c r="P335" s="528">
        <f t="shared" si="387"/>
      </c>
      <c r="Q335" s="524">
        <f t="shared" si="325"/>
      </c>
      <c r="R335" s="526">
        <f t="shared" si="261"/>
      </c>
      <c r="S335" s="528">
        <f t="shared" si="164"/>
      </c>
      <c r="T335" s="528">
        <f t="shared" si="94"/>
      </c>
      <c r="U335" s="528">
        <f t="shared" si="20"/>
      </c>
      <c r="V335" s="528">
        <f t="shared" si="581"/>
      </c>
      <c r="W335" s="528"/>
      <c r="X335" s="529"/>
      <c r="Y335" s="522">
        <f>SUM(Y330:Y334)</f>
      </c>
      <c r="Z335" s="522">
        <f>SUM(Z330:Z334)</f>
      </c>
      <c r="AA335" s="522">
        <f>SUM(AA330:AA334)</f>
      </c>
      <c r="AB335" s="522">
        <f>SUM(AB330:AB334)</f>
      </c>
      <c r="AC335" s="522">
        <f>SUM(AC330:AC334)</f>
      </c>
      <c r="AD335" s="522">
        <f>SUM(AD330:AD334)</f>
      </c>
      <c r="AE335" s="522">
        <f>SUM(AE330:AE334)</f>
      </c>
      <c r="AF335" s="522">
        <f>SUM(AF330:AF334)</f>
      </c>
      <c r="AG335" s="522">
        <f>SUM(AG330:AG334)</f>
      </c>
      <c r="AH335" s="522">
        <f>SUM(AH330:AH334)</f>
      </c>
    </row>
    <row r="336">
      <c r="A336" s="498"/>
      <c r="B336" s="530" t="s">
        <v>271</v>
      </c>
      <c r="C336" s="531" t="s">
        <v>263</v>
      </c>
      <c r="D336" s="532">
        <v>1024.787</v>
      </c>
      <c r="E336" s="502">
        <v>6</v>
      </c>
      <c r="F336" s="503">
        <v>2309.2000000000007</v>
      </c>
      <c r="G336" s="504">
        <f t="shared" si="57"/>
      </c>
      <c r="H336" s="505">
        <f t="shared" si="356"/>
      </c>
      <c r="I336" s="506">
        <f t="shared" si="292"/>
      </c>
      <c r="J336" s="507">
        <f t="shared" si="228"/>
      </c>
      <c r="K336" s="508">
        <f t="shared" si="628"/>
      </c>
      <c r="L336" s="505">
        <f t="shared" si="424"/>
      </c>
      <c r="M336" s="509">
        <f t="shared" si="502"/>
      </c>
      <c r="N336" s="509">
        <f t="shared" si="550"/>
      </c>
      <c r="O336" s="509">
        <f t="shared" si="455"/>
      </c>
      <c r="P336" s="509">
        <f t="shared" si="387"/>
      </c>
      <c r="Q336" s="505">
        <f t="shared" si="325"/>
      </c>
      <c r="R336" s="507">
        <f t="shared" si="261"/>
      </c>
      <c r="S336" s="509">
        <f t="shared" si="164"/>
      </c>
      <c r="T336" s="509">
        <f t="shared" si="94"/>
      </c>
      <c r="U336" s="509">
        <f t="shared" si="20"/>
      </c>
      <c r="V336" s="509">
        <f t="shared" si="581"/>
      </c>
      <c r="W336" s="520" t="s">
        <v>255</v>
      </c>
      <c r="X336" s="511" t="s">
        <v>282</v>
      </c>
      <c r="Y336" s="512">
        <v>228026</v>
      </c>
      <c r="Z336" s="512">
        <v>4482</v>
      </c>
      <c r="AA336" s="512">
        <v>183705</v>
      </c>
      <c r="AB336" s="513">
        <v>421</v>
      </c>
      <c r="AC336" s="513">
        <v>7</v>
      </c>
      <c r="AD336" s="512">
        <v>7312</v>
      </c>
      <c r="AE336" s="513">
        <v>86</v>
      </c>
      <c r="AF336" s="513">
        <v>86</v>
      </c>
      <c r="AG336" s="513">
        <v>14</v>
      </c>
      <c r="AH336" s="514">
        <v>0</v>
      </c>
    </row>
    <row r="337">
      <c r="A337" s="498"/>
      <c r="B337" s="530" t="s">
        <v>271</v>
      </c>
      <c r="C337" s="533" t="s">
        <v>264</v>
      </c>
      <c r="D337" s="532">
        <v>939.3910000000001</v>
      </c>
      <c r="E337" s="518">
        <v>4</v>
      </c>
      <c r="F337" s="519">
        <v>837.1999999999989</v>
      </c>
      <c r="G337" s="504">
        <f t="shared" si="57"/>
      </c>
      <c r="H337" s="505">
        <f t="shared" si="356"/>
      </c>
      <c r="I337" s="506">
        <f t="shared" si="292"/>
      </c>
      <c r="J337" s="507">
        <f t="shared" si="228"/>
      </c>
      <c r="K337" s="508">
        <f t="shared" si="628"/>
      </c>
      <c r="L337" s="505">
        <f t="shared" si="424"/>
      </c>
      <c r="M337" s="509">
        <f t="shared" si="502"/>
      </c>
      <c r="N337" s="509">
        <f t="shared" si="550"/>
      </c>
      <c r="O337" s="509">
        <f t="shared" si="455"/>
      </c>
      <c r="P337" s="509">
        <f t="shared" si="387"/>
      </c>
      <c r="Q337" s="505">
        <f t="shared" si="325"/>
      </c>
      <c r="R337" s="507">
        <f t="shared" si="261"/>
      </c>
      <c r="S337" s="509">
        <f t="shared" si="164"/>
      </c>
      <c r="T337" s="509">
        <f t="shared" si="94"/>
      </c>
      <c r="U337" s="509">
        <f t="shared" si="20"/>
      </c>
      <c r="V337" s="509">
        <f t="shared" si="581"/>
      </c>
      <c r="W337" s="520" t="s">
        <v>255</v>
      </c>
      <c r="X337" s="511" t="s">
        <v>282</v>
      </c>
      <c r="Y337" s="513">
        <v>203420</v>
      </c>
      <c r="Z337" s="513">
        <v>4075</v>
      </c>
      <c r="AA337" s="513">
        <v>169403</v>
      </c>
      <c r="AB337" s="513">
        <v>338</v>
      </c>
      <c r="AC337" s="513">
        <v>3</v>
      </c>
      <c r="AD337" s="513">
        <v>6431</v>
      </c>
      <c r="AE337" s="513">
        <v>79</v>
      </c>
      <c r="AF337" s="513">
        <v>72</v>
      </c>
      <c r="AG337" s="513">
        <v>9</v>
      </c>
      <c r="AH337" s="514">
        <v>0</v>
      </c>
    </row>
    <row r="338">
      <c r="A338" s="498"/>
      <c r="B338" s="530" t="s">
        <v>271</v>
      </c>
      <c r="C338" s="534" t="s">
        <v>265</v>
      </c>
      <c r="D338" s="532">
        <v>909.322</v>
      </c>
      <c r="E338" s="518">
        <v>3</v>
      </c>
      <c r="F338" s="519">
        <v>652</v>
      </c>
      <c r="G338" s="504">
        <f t="shared" si="57"/>
      </c>
      <c r="H338" s="505">
        <f t="shared" si="356"/>
      </c>
      <c r="I338" s="506">
        <f t="shared" si="292"/>
      </c>
      <c r="J338" s="507">
        <f t="shared" si="228"/>
      </c>
      <c r="K338" s="508">
        <f t="shared" si="628"/>
      </c>
      <c r="L338" s="505">
        <f t="shared" si="424"/>
      </c>
      <c r="M338" s="509">
        <f t="shared" si="502"/>
      </c>
      <c r="N338" s="509">
        <f t="shared" si="550"/>
      </c>
      <c r="O338" s="509">
        <f t="shared" si="455"/>
      </c>
      <c r="P338" s="509">
        <f t="shared" si="387"/>
      </c>
      <c r="Q338" s="505">
        <f t="shared" si="325"/>
      </c>
      <c r="R338" s="507">
        <f t="shared" si="261"/>
      </c>
      <c r="S338" s="509">
        <f t="shared" si="164"/>
      </c>
      <c r="T338" s="509">
        <f t="shared" si="94"/>
      </c>
      <c r="U338" s="509">
        <f t="shared" si="20"/>
      </c>
      <c r="V338" s="509">
        <f t="shared" si="581"/>
      </c>
      <c r="W338" s="520" t="s">
        <v>255</v>
      </c>
      <c r="X338" s="511" t="s">
        <v>282</v>
      </c>
      <c r="Y338" s="513">
        <v>196125</v>
      </c>
      <c r="Z338" s="513">
        <v>4420</v>
      </c>
      <c r="AA338" s="513">
        <v>162177</v>
      </c>
      <c r="AB338" s="513">
        <v>304</v>
      </c>
      <c r="AC338" s="513">
        <v>4</v>
      </c>
      <c r="AD338" s="513">
        <v>5961</v>
      </c>
      <c r="AE338" s="513">
        <v>61</v>
      </c>
      <c r="AF338" s="513">
        <v>72</v>
      </c>
      <c r="AG338" s="513">
        <v>11</v>
      </c>
      <c r="AH338" s="514">
        <v>2</v>
      </c>
    </row>
    <row r="339">
      <c r="A339" s="498"/>
      <c r="B339" s="530" t="s">
        <v>271</v>
      </c>
      <c r="C339" s="537" t="s">
        <v>266</v>
      </c>
      <c r="D339" s="532">
        <v>1089.779</v>
      </c>
      <c r="E339" s="518">
        <v>6</v>
      </c>
      <c r="F339" s="519">
        <v>1230.300000000001</v>
      </c>
      <c r="G339" s="504">
        <f t="shared" si="57"/>
      </c>
      <c r="H339" s="505">
        <f t="shared" si="356"/>
      </c>
      <c r="I339" s="506">
        <f t="shared" si="292"/>
      </c>
      <c r="J339" s="507">
        <f t="shared" si="228"/>
      </c>
      <c r="K339" s="508">
        <f t="shared" si="628"/>
      </c>
      <c r="L339" s="505">
        <f t="shared" si="424"/>
      </c>
      <c r="M339" s="509">
        <f t="shared" si="502"/>
      </c>
      <c r="N339" s="509">
        <f t="shared" si="550"/>
      </c>
      <c r="O339" s="509">
        <f t="shared" si="455"/>
      </c>
      <c r="P339" s="509">
        <f t="shared" si="387"/>
      </c>
      <c r="Q339" s="505">
        <f t="shared" si="325"/>
      </c>
      <c r="R339" s="507">
        <f t="shared" si="261"/>
      </c>
      <c r="S339" s="509">
        <f t="shared" si="164"/>
      </c>
      <c r="T339" s="509">
        <f t="shared" si="94"/>
      </c>
      <c r="U339" s="509">
        <f t="shared" si="20"/>
      </c>
      <c r="V339" s="509">
        <f t="shared" si="581"/>
      </c>
      <c r="W339" s="520" t="s">
        <v>255</v>
      </c>
      <c r="X339" s="511" t="s">
        <v>267</v>
      </c>
      <c r="Y339" s="513">
        <v>259650</v>
      </c>
      <c r="Z339" s="513">
        <v>6698</v>
      </c>
      <c r="AA339" s="513">
        <v>226819</v>
      </c>
      <c r="AB339" s="513">
        <v>369</v>
      </c>
      <c r="AC339" s="513">
        <v>3</v>
      </c>
      <c r="AD339" s="513">
        <v>8858</v>
      </c>
      <c r="AE339" s="513">
        <v>107</v>
      </c>
      <c r="AF339" s="513">
        <v>109</v>
      </c>
      <c r="AG339" s="513">
        <v>13</v>
      </c>
      <c r="AH339" s="514">
        <v>0</v>
      </c>
    </row>
    <row r="340">
      <c r="A340" s="498"/>
      <c r="B340" s="530" t="s">
        <v>271</v>
      </c>
      <c r="C340" s="540" t="s">
        <v>269</v>
      </c>
      <c r="D340" s="532">
        <v>979.623</v>
      </c>
      <c r="E340" s="518">
        <v>1</v>
      </c>
      <c r="F340" s="519">
        <v>228</v>
      </c>
      <c r="G340" s="504">
        <f t="shared" si="57"/>
      </c>
      <c r="H340" s="505">
        <f t="shared" si="356"/>
      </c>
      <c r="I340" s="506">
        <f t="shared" si="292"/>
      </c>
      <c r="J340" s="507">
        <f t="shared" si="228"/>
      </c>
      <c r="K340" s="508">
        <f t="shared" si="628"/>
      </c>
      <c r="L340" s="505">
        <f t="shared" si="424"/>
      </c>
      <c r="M340" s="509">
        <f t="shared" si="502"/>
      </c>
      <c r="N340" s="509">
        <f t="shared" si="550"/>
      </c>
      <c r="O340" s="509">
        <f t="shared" si="455"/>
      </c>
      <c r="P340" s="509">
        <f t="shared" si="387"/>
      </c>
      <c r="Q340" s="505">
        <f t="shared" si="325"/>
      </c>
      <c r="R340" s="507">
        <f t="shared" si="261"/>
      </c>
      <c r="S340" s="509">
        <f t="shared" si="164"/>
      </c>
      <c r="T340" s="509">
        <f t="shared" si="94"/>
      </c>
      <c r="U340" s="509">
        <f t="shared" si="20"/>
      </c>
      <c r="V340" s="509">
        <f t="shared" si="581"/>
      </c>
      <c r="W340" s="520" t="s">
        <v>255</v>
      </c>
      <c r="X340" s="511" t="s">
        <v>267</v>
      </c>
      <c r="Y340" s="513">
        <v>204321</v>
      </c>
      <c r="Z340" s="513">
        <v>7644</v>
      </c>
      <c r="AA340" s="513">
        <v>169523</v>
      </c>
      <c r="AB340" s="513">
        <v>409</v>
      </c>
      <c r="AC340" s="513">
        <v>3</v>
      </c>
      <c r="AD340" s="513">
        <v>9192</v>
      </c>
      <c r="AE340" s="513">
        <v>144</v>
      </c>
      <c r="AF340" s="513">
        <v>145</v>
      </c>
      <c r="AG340" s="513">
        <v>15</v>
      </c>
      <c r="AH340" s="514">
        <v>1</v>
      </c>
    </row>
    <row r="341">
      <c r="A341" s="498"/>
      <c r="B341" s="521" t="s">
        <v>261</v>
      </c>
      <c r="C341" s="521"/>
      <c r="D341" s="522">
        <f>SUM(D336:D340)</f>
      </c>
      <c r="E341" s="522">
        <f>SUM(E336:E340)</f>
      </c>
      <c r="F341" s="522">
        <f>SUM(F336:F340)</f>
      </c>
      <c r="G341" s="522">
        <f t="shared" si="57"/>
      </c>
      <c r="H341" s="524">
        <f t="shared" si="356"/>
      </c>
      <c r="I341" s="525">
        <f t="shared" si="292"/>
      </c>
      <c r="J341" s="526">
        <f t="shared" si="228"/>
      </c>
      <c r="K341" s="527">
        <f t="shared" si="628"/>
      </c>
      <c r="L341" s="524">
        <f t="shared" si="424"/>
      </c>
      <c r="M341" s="528">
        <f t="shared" si="502"/>
      </c>
      <c r="N341" s="528">
        <f t="shared" si="550"/>
      </c>
      <c r="O341" s="528">
        <f t="shared" si="455"/>
      </c>
      <c r="P341" s="528">
        <f t="shared" si="387"/>
      </c>
      <c r="Q341" s="524">
        <f t="shared" si="325"/>
      </c>
      <c r="R341" s="526">
        <f t="shared" si="261"/>
      </c>
      <c r="S341" s="528">
        <f t="shared" si="164"/>
      </c>
      <c r="T341" s="528">
        <f t="shared" si="94"/>
      </c>
      <c r="U341" s="528">
        <f t="shared" si="20"/>
      </c>
      <c r="V341" s="528">
        <f t="shared" si="581"/>
      </c>
      <c r="W341" s="528"/>
      <c r="X341" s="529"/>
      <c r="Y341" s="522">
        <f>SUM(Y336:Y340)</f>
      </c>
      <c r="Z341" s="522">
        <f>SUM(Z336:Z340)</f>
      </c>
      <c r="AA341" s="522">
        <f>SUM(AA336:AA340)</f>
      </c>
      <c r="AB341" s="522">
        <f>SUM(AB336:AB340)</f>
      </c>
      <c r="AC341" s="522">
        <f>SUM(AC336:AC340)</f>
      </c>
      <c r="AD341" s="522">
        <f>SUM(AD336:AD340)</f>
      </c>
      <c r="AE341" s="522">
        <f>SUM(AE336:AE340)</f>
      </c>
      <c r="AF341" s="522">
        <f>SUM(AF336:AF340)</f>
      </c>
      <c r="AG341" s="522">
        <f>SUM(AG336:AG340)</f>
      </c>
      <c r="AH341" s="522">
        <f>SUM(AH336:AH340)</f>
      </c>
    </row>
    <row r="342">
      <c r="A342" s="498"/>
      <c r="B342" s="499" t="s">
        <v>253</v>
      </c>
      <c r="C342" s="534" t="s">
        <v>270</v>
      </c>
      <c r="D342" s="541">
        <v>784.4630000000001</v>
      </c>
      <c r="E342" s="542">
        <v>8</v>
      </c>
      <c r="F342" s="519">
        <v>2300</v>
      </c>
      <c r="G342" s="504">
        <f t="shared" si="57"/>
      </c>
      <c r="H342" s="505">
        <f t="shared" si="356"/>
      </c>
      <c r="I342" s="506">
        <f t="shared" si="292"/>
      </c>
      <c r="J342" s="507">
        <f t="shared" si="228"/>
      </c>
      <c r="K342" s="508">
        <f t="shared" si="628"/>
      </c>
      <c r="L342" s="505">
        <f t="shared" si="424"/>
      </c>
      <c r="M342" s="509">
        <f t="shared" si="502"/>
      </c>
      <c r="N342" s="509">
        <f t="shared" si="550"/>
      </c>
      <c r="O342" s="509">
        <f t="shared" si="455"/>
      </c>
      <c r="P342" s="509">
        <f t="shared" si="387"/>
      </c>
      <c r="Q342" s="505">
        <f t="shared" si="325"/>
      </c>
      <c r="R342" s="507">
        <f t="shared" si="261"/>
      </c>
      <c r="S342" s="509">
        <f t="shared" si="164"/>
      </c>
      <c r="T342" s="509">
        <f t="shared" si="94"/>
      </c>
      <c r="U342" s="509">
        <f t="shared" si="20"/>
      </c>
      <c r="V342" s="509">
        <f t="shared" si="581"/>
      </c>
      <c r="W342" s="520" t="s">
        <v>255</v>
      </c>
      <c r="X342" s="511" t="s">
        <v>267</v>
      </c>
      <c r="Y342" s="513">
        <v>157816</v>
      </c>
      <c r="Z342" s="513">
        <v>3511</v>
      </c>
      <c r="AA342" s="513">
        <v>125037</v>
      </c>
      <c r="AB342" s="513">
        <v>324</v>
      </c>
      <c r="AC342" s="513">
        <v>5</v>
      </c>
      <c r="AD342" s="513">
        <v>5992</v>
      </c>
      <c r="AE342" s="513">
        <v>86</v>
      </c>
      <c r="AF342" s="513">
        <v>59</v>
      </c>
      <c r="AG342" s="513">
        <v>8</v>
      </c>
      <c r="AH342" s="514">
        <v>3</v>
      </c>
    </row>
    <row r="343">
      <c r="A343" s="498"/>
      <c r="B343" s="499" t="s">
        <v>253</v>
      </c>
      <c r="C343" s="534" t="s">
        <v>272</v>
      </c>
      <c r="D343" s="541">
        <v>779.324</v>
      </c>
      <c r="E343" s="542">
        <v>2</v>
      </c>
      <c r="F343" s="519">
        <v>456</v>
      </c>
      <c r="G343" s="504">
        <f t="shared" si="57"/>
      </c>
      <c r="H343" s="505">
        <f t="shared" si="356"/>
      </c>
      <c r="I343" s="506">
        <f t="shared" si="292"/>
      </c>
      <c r="J343" s="507">
        <f t="shared" si="228"/>
      </c>
      <c r="K343" s="508">
        <f t="shared" si="628"/>
      </c>
      <c r="L343" s="505">
        <f t="shared" si="424"/>
      </c>
      <c r="M343" s="509">
        <f t="shared" si="502"/>
      </c>
      <c r="N343" s="509">
        <f t="shared" si="550"/>
      </c>
      <c r="O343" s="509">
        <f t="shared" si="455"/>
      </c>
      <c r="P343" s="509">
        <f t="shared" si="387"/>
      </c>
      <c r="Q343" s="505">
        <f t="shared" si="325"/>
      </c>
      <c r="R343" s="507">
        <f t="shared" si="261"/>
      </c>
      <c r="S343" s="509">
        <f t="shared" si="164"/>
      </c>
      <c r="T343" s="509">
        <f t="shared" si="94"/>
      </c>
      <c r="U343" s="509">
        <f t="shared" si="20"/>
      </c>
      <c r="V343" s="509">
        <f t="shared" si="581"/>
      </c>
      <c r="W343" s="520" t="s">
        <v>255</v>
      </c>
      <c r="X343" s="511" t="s">
        <v>267</v>
      </c>
      <c r="Y343" s="513">
        <v>155967</v>
      </c>
      <c r="Z343" s="513">
        <v>1717</v>
      </c>
      <c r="AA343" s="513">
        <v>122544</v>
      </c>
      <c r="AB343" s="513">
        <v>292</v>
      </c>
      <c r="AC343" s="513">
        <v>2</v>
      </c>
      <c r="AD343" s="513">
        <v>4833</v>
      </c>
      <c r="AE343" s="513">
        <v>52</v>
      </c>
      <c r="AF343" s="513">
        <v>38</v>
      </c>
      <c r="AG343" s="513">
        <v>3</v>
      </c>
      <c r="AH343" s="514">
        <v>0</v>
      </c>
    </row>
    <row r="344">
      <c r="A344" s="498"/>
      <c r="B344" s="499" t="s">
        <v>253</v>
      </c>
      <c r="C344" s="537" t="s">
        <v>273</v>
      </c>
      <c r="D344" s="541">
        <v>1049.703</v>
      </c>
      <c r="E344" s="542">
        <v>2</v>
      </c>
      <c r="F344" s="519">
        <v>424</v>
      </c>
      <c r="G344" s="504">
        <f t="shared" si="57"/>
      </c>
      <c r="H344" s="505">
        <f t="shared" si="356"/>
      </c>
      <c r="I344" s="506">
        <f t="shared" si="292"/>
      </c>
      <c r="J344" s="507">
        <f t="shared" si="228"/>
      </c>
      <c r="K344" s="508">
        <f t="shared" si="628"/>
      </c>
      <c r="L344" s="505">
        <f t="shared" si="424"/>
      </c>
      <c r="M344" s="509">
        <f t="shared" si="502"/>
      </c>
      <c r="N344" s="509">
        <f t="shared" si="550"/>
      </c>
      <c r="O344" s="509">
        <f t="shared" si="455"/>
      </c>
      <c r="P344" s="509">
        <f t="shared" si="387"/>
      </c>
      <c r="Q344" s="505">
        <f t="shared" si="325"/>
      </c>
      <c r="R344" s="507">
        <f t="shared" si="261"/>
      </c>
      <c r="S344" s="509">
        <f t="shared" si="164"/>
      </c>
      <c r="T344" s="509">
        <f t="shared" si="94"/>
      </c>
      <c r="U344" s="509">
        <f t="shared" si="20"/>
      </c>
      <c r="V344" s="509">
        <f t="shared" si="581"/>
      </c>
      <c r="W344" s="520" t="s">
        <v>255</v>
      </c>
      <c r="X344" s="511" t="s">
        <v>267</v>
      </c>
      <c r="Y344" s="513">
        <v>212579</v>
      </c>
      <c r="Z344" s="513">
        <v>2549</v>
      </c>
      <c r="AA344" s="513">
        <v>156685</v>
      </c>
      <c r="AB344" s="513">
        <v>384</v>
      </c>
      <c r="AC344" s="513">
        <v>2</v>
      </c>
      <c r="AD344" s="513">
        <v>6444</v>
      </c>
      <c r="AE344" s="513">
        <v>56</v>
      </c>
      <c r="AF344" s="513">
        <v>61</v>
      </c>
      <c r="AG344" s="513">
        <v>8</v>
      </c>
      <c r="AH344" s="514">
        <v>0</v>
      </c>
    </row>
    <row r="345">
      <c r="A345" s="498"/>
      <c r="B345" s="499" t="s">
        <v>253</v>
      </c>
      <c r="C345" s="534" t="s">
        <v>274</v>
      </c>
      <c r="D345" s="535">
        <v>1580.906</v>
      </c>
      <c r="E345" s="502">
        <v>6</v>
      </c>
      <c r="F345" s="503">
        <v>1871.5999999999985</v>
      </c>
      <c r="G345" s="504">
        <f t="shared" si="57"/>
      </c>
      <c r="H345" s="505">
        <f t="shared" si="356"/>
      </c>
      <c r="I345" s="560">
        <f t="shared" si="292"/>
      </c>
      <c r="J345" s="559">
        <f t="shared" si="228"/>
      </c>
      <c r="K345" s="556">
        <f t="shared" ref="K345:K346" si="133">D345/AB345</f>
      </c>
      <c r="L345" s="557">
        <f t="shared" si="424"/>
      </c>
      <c r="M345" s="558">
        <f t="shared" ref="M345:M346" si="195">AC345/AB345</f>
      </c>
      <c r="N345" s="558">
        <f t="shared" si="550"/>
      </c>
      <c r="O345" s="558">
        <f t="shared" si="455"/>
      </c>
      <c r="P345" s="558">
        <f t="shared" si="387"/>
      </c>
      <c r="Q345" s="557">
        <f t="shared" si="325"/>
      </c>
      <c r="R345" s="559">
        <f t="shared" si="261"/>
      </c>
      <c r="S345" s="558">
        <f t="shared" si="164"/>
      </c>
      <c r="T345" s="558">
        <f t="shared" si="94"/>
      </c>
      <c r="U345" s="558">
        <f t="shared" si="20"/>
      </c>
      <c r="V345" s="558">
        <f t="shared" si="581"/>
      </c>
      <c r="W345" s="520" t="s">
        <v>255</v>
      </c>
      <c r="X345" s="511" t="s">
        <v>267</v>
      </c>
      <c r="Y345" s="513">
        <v>350061</v>
      </c>
      <c r="Z345" s="513">
        <v>4026</v>
      </c>
      <c r="AA345" s="513">
        <v>220365</v>
      </c>
      <c r="AB345" s="536">
        <v>688</v>
      </c>
      <c r="AC345" s="536">
        <v>3</v>
      </c>
      <c r="AD345" s="536">
        <v>9030</v>
      </c>
      <c r="AE345" s="536">
        <v>121</v>
      </c>
      <c r="AF345" s="536">
        <v>75</v>
      </c>
      <c r="AG345" s="536">
        <v>8</v>
      </c>
      <c r="AH345" s="514">
        <v>1</v>
      </c>
    </row>
    <row r="346">
      <c r="A346" s="498"/>
      <c r="B346" s="499" t="s">
        <v>253</v>
      </c>
      <c r="C346" s="555" t="s">
        <v>275</v>
      </c>
      <c r="D346" s="541">
        <v>1842.2250000000001</v>
      </c>
      <c r="E346" s="542">
        <v>7</v>
      </c>
      <c r="F346" s="519">
        <v>1437.7999999999993</v>
      </c>
      <c r="G346" s="504">
        <f t="shared" si="57"/>
      </c>
      <c r="H346" s="505">
        <f t="shared" si="356"/>
      </c>
      <c r="I346" s="560">
        <f t="shared" si="292"/>
      </c>
      <c r="J346" s="559">
        <f t="shared" si="228"/>
      </c>
      <c r="K346" s="556">
        <f t="shared" si="133"/>
      </c>
      <c r="L346" s="557">
        <f t="shared" si="424"/>
      </c>
      <c r="M346" s="558">
        <f t="shared" si="195"/>
      </c>
      <c r="N346" s="558">
        <f t="shared" si="550"/>
      </c>
      <c r="O346" s="558">
        <f t="shared" si="455"/>
      </c>
      <c r="P346" s="558">
        <f t="shared" si="387"/>
      </c>
      <c r="Q346" s="557">
        <f t="shared" si="325"/>
      </c>
      <c r="R346" s="559">
        <f t="shared" si="261"/>
      </c>
      <c r="S346" s="558">
        <f t="shared" si="164"/>
      </c>
      <c r="T346" s="558">
        <f t="shared" si="94"/>
      </c>
      <c r="U346" s="558">
        <f t="shared" si="20"/>
      </c>
      <c r="V346" s="558">
        <f t="shared" si="581"/>
      </c>
      <c r="W346" s="520" t="s">
        <v>255</v>
      </c>
      <c r="X346" s="511" t="s">
        <v>267</v>
      </c>
      <c r="Y346" s="513">
        <v>439731</v>
      </c>
      <c r="Z346" s="513">
        <v>4782</v>
      </c>
      <c r="AA346" s="513">
        <v>292161</v>
      </c>
      <c r="AB346" s="513">
        <v>918</v>
      </c>
      <c r="AC346" s="513">
        <v>6</v>
      </c>
      <c r="AD346" s="513">
        <v>10420</v>
      </c>
      <c r="AE346" s="513">
        <v>116</v>
      </c>
      <c r="AF346" s="513">
        <v>115</v>
      </c>
      <c r="AG346" s="514">
        <v>12</v>
      </c>
      <c r="AH346" s="514">
        <v>3</v>
      </c>
    </row>
    <row r="347">
      <c r="A347" s="498"/>
      <c r="B347" s="538" t="s">
        <v>261</v>
      </c>
      <c r="C347" s="538"/>
      <c r="D347" s="522">
        <f>SUM(D342:D346)</f>
      </c>
      <c r="E347" s="522">
        <f>SUM(E342:E346)</f>
      </c>
      <c r="F347" s="522">
        <f>SUM(F342:F346)</f>
      </c>
      <c r="G347" s="522">
        <f t="shared" si="57"/>
      </c>
      <c r="H347" s="524">
        <f t="shared" si="356"/>
      </c>
      <c r="I347" s="525">
        <f t="shared" si="292"/>
      </c>
      <c r="J347" s="526">
        <f t="shared" si="228"/>
      </c>
      <c r="K347" s="527">
        <f t="shared" ref="K347:K348" si="629">D347/AA347</f>
      </c>
      <c r="L347" s="524">
        <f t="shared" si="424"/>
      </c>
      <c r="M347" s="528">
        <f t="shared" ref="M347:M348" si="503">AB347/AA347</f>
      </c>
      <c r="N347" s="528">
        <f t="shared" si="550"/>
      </c>
      <c r="O347" s="528">
        <f t="shared" si="455"/>
      </c>
      <c r="P347" s="528">
        <f t="shared" si="387"/>
      </c>
      <c r="Q347" s="524">
        <f t="shared" si="325"/>
      </c>
      <c r="R347" s="526">
        <f t="shared" si="261"/>
      </c>
      <c r="S347" s="528">
        <f t="shared" si="164"/>
      </c>
      <c r="T347" s="528">
        <f t="shared" si="94"/>
      </c>
      <c r="U347" s="528">
        <f t="shared" si="20"/>
      </c>
      <c r="V347" s="528">
        <f t="shared" si="581"/>
      </c>
      <c r="W347" s="528"/>
      <c r="X347" s="529"/>
      <c r="Y347" s="522">
        <f>SUM(Y342:Y346)</f>
      </c>
      <c r="Z347" s="522">
        <f>SUM(Z342:Z346)</f>
      </c>
      <c r="AA347" s="522">
        <f>SUM(AA342:AA346)</f>
      </c>
      <c r="AB347" s="522">
        <f>SUM(AB342:AB346)</f>
      </c>
      <c r="AC347" s="522">
        <f>SUM(AC342:AC346)</f>
      </c>
      <c r="AD347" s="522">
        <f>SUM(AD342:AD346)</f>
      </c>
      <c r="AE347" s="522">
        <f>SUM(AE342:AE346)</f>
      </c>
      <c r="AF347" s="522">
        <f>SUM(AF342:AF346)</f>
      </c>
      <c r="AG347" s="522">
        <f>SUM(AG342:AG346)</f>
      </c>
      <c r="AH347" s="522">
        <f>SUM(AH342:AH346)</f>
      </c>
    </row>
    <row r="348">
      <c r="A348" s="498"/>
      <c r="B348" s="543" t="s">
        <v>276</v>
      </c>
      <c r="C348" s="543"/>
      <c r="D348" s="554">
        <f>SUM(D335+D347+D341)</f>
      </c>
      <c r="E348" s="554">
        <f>SUM(E335+E347+E341)</f>
      </c>
      <c r="F348" s="554">
        <f>SUM(F335+F347+F341)</f>
      </c>
      <c r="G348" s="544">
        <f t="shared" si="57"/>
      </c>
      <c r="H348" s="545">
        <f t="shared" si="356"/>
      </c>
      <c r="I348" s="546">
        <f t="shared" si="292"/>
      </c>
      <c r="J348" s="547">
        <f t="shared" si="228"/>
      </c>
      <c r="K348" s="548">
        <f t="shared" si="629"/>
      </c>
      <c r="L348" s="548">
        <f t="shared" si="424"/>
      </c>
      <c r="M348" s="550">
        <f t="shared" si="503"/>
      </c>
      <c r="N348" s="550">
        <f t="shared" si="550"/>
      </c>
      <c r="O348" s="550">
        <f t="shared" si="455"/>
      </c>
      <c r="P348" s="550">
        <f t="shared" si="387"/>
      </c>
      <c r="Q348" s="549">
        <f t="shared" si="325"/>
      </c>
      <c r="R348" s="551">
        <f t="shared" si="261"/>
      </c>
      <c r="S348" s="552">
        <f t="shared" si="164"/>
      </c>
      <c r="T348" s="552">
        <f t="shared" si="94"/>
      </c>
      <c r="U348" s="552">
        <f t="shared" si="20"/>
      </c>
      <c r="V348" s="552">
        <f t="shared" si="581"/>
      </c>
      <c r="W348" s="552"/>
      <c r="X348" s="553"/>
      <c r="Y348" s="544">
        <f>SUM(Y347+Y335+Y341)</f>
      </c>
      <c r="Z348" s="544">
        <f>SUM(Z347+Z335+Z341)</f>
      </c>
      <c r="AA348" s="544">
        <f>SUM(AA347+AA335+AA341)</f>
      </c>
      <c r="AB348" s="544">
        <f>SUM(AB347+AB335+AB341)</f>
      </c>
      <c r="AC348" s="544">
        <f>SUM(AC347+AC335+AC341)</f>
      </c>
      <c r="AD348" s="544">
        <f>SUM(AD347+AD335+AD341)</f>
      </c>
      <c r="AE348" s="544">
        <f>SUM(AE347+AE335+AE341)</f>
      </c>
      <c r="AF348" s="544">
        <f>SUM(AF347+AF335+AF341)</f>
      </c>
      <c r="AG348" s="544">
        <f>SUM(AG347+AG335+AG341)</f>
      </c>
      <c r="AH348" s="544">
        <f>SUM(AH347+AH335+AH341)</f>
      </c>
    </row>
    <row r="349">
      <c r="A349" s="486" t="s">
        <v>218</v>
      </c>
      <c r="B349" s="561" t="s">
        <v>219</v>
      </c>
      <c r="C349" s="562" t="s">
        <v>220</v>
      </c>
      <c r="D349" s="487" t="s">
        <v>221</v>
      </c>
      <c r="E349" s="488" t="s">
        <v>222</v>
      </c>
      <c r="F349" s="489" t="s">
        <v>223</v>
      </c>
      <c r="G349" s="489" t="s">
        <v>224</v>
      </c>
      <c r="H349" s="490" t="s">
        <v>225</v>
      </c>
      <c r="I349" s="490" t="s">
        <v>226</v>
      </c>
      <c r="J349" s="490" t="s">
        <v>227</v>
      </c>
      <c r="K349" s="491" t="s">
        <v>228</v>
      </c>
      <c r="L349" s="491" t="s">
        <v>229</v>
      </c>
      <c r="M349" s="491" t="s">
        <v>231</v>
      </c>
      <c r="N349" s="491" t="s">
        <v>232</v>
      </c>
      <c r="O349" s="491" t="s">
        <v>233</v>
      </c>
      <c r="P349" s="491" t="s">
        <v>234</v>
      </c>
      <c r="Q349" s="491" t="s">
        <v>235</v>
      </c>
      <c r="R349" s="491" t="s">
        <v>236</v>
      </c>
      <c r="S349" s="492" t="s">
        <v>237</v>
      </c>
      <c r="T349" s="492" t="s">
        <v>238</v>
      </c>
      <c r="U349" s="492" t="s">
        <v>239</v>
      </c>
      <c r="V349" s="492" t="s">
        <v>240</v>
      </c>
      <c r="W349" s="493" t="s">
        <v>241</v>
      </c>
      <c r="X349" s="493" t="s">
        <v>242</v>
      </c>
      <c r="Y349" s="494" t="s">
        <v>243</v>
      </c>
      <c r="Z349" s="494" t="s">
        <v>244</v>
      </c>
      <c r="AA349" s="494" t="s">
        <v>245</v>
      </c>
      <c r="AB349" s="495" t="s">
        <v>246</v>
      </c>
      <c r="AC349" s="495" t="s">
        <v>247</v>
      </c>
      <c r="AD349" s="496" t="s">
        <v>248</v>
      </c>
      <c r="AE349" s="495" t="s">
        <v>249</v>
      </c>
      <c r="AF349" s="495" t="s">
        <v>250</v>
      </c>
      <c r="AG349" s="497" t="s">
        <v>251</v>
      </c>
      <c r="AH349" s="495" t="s">
        <v>252</v>
      </c>
    </row>
    <row r="350">
      <c r="A350" s="498">
        <v>46221</v>
      </c>
      <c r="B350" s="530" t="s">
        <v>271</v>
      </c>
      <c r="C350" s="500" t="s">
        <v>254</v>
      </c>
      <c r="D350" s="501">
        <v>1854.2910000000002</v>
      </c>
      <c r="E350" s="502">
        <v>3</v>
      </c>
      <c r="F350" s="503">
        <v>620</v>
      </c>
      <c r="G350" s="504">
        <f t="shared" ref="G350:G368" si="58">D350/AC350</f>
      </c>
      <c r="H350" s="505">
        <f t="shared" ref="H350:H368" si="357">F350/E350</f>
      </c>
      <c r="I350" s="506">
        <f t="shared" ref="I350:I368" si="293">D350/E350</f>
      </c>
      <c r="J350" s="507">
        <f t="shared" ref="J350:J368" si="229">F350/D350</f>
      </c>
      <c r="K350" s="508">
        <f t="shared" ref="K350:K364" si="630">D350/AA350</f>
      </c>
      <c r="L350" s="505">
        <f t="shared" ref="L350:L368" si="425">D350/AB350</f>
      </c>
      <c r="M350" s="509">
        <f t="shared" ref="M350:M364" si="504">AB350/AA350</f>
      </c>
      <c r="N350" s="509">
        <f t="shared" ref="N350:N368" si="551">AC350/AB350</f>
      </c>
      <c r="O350" s="509">
        <f t="shared" ref="O350:O368" si="456">Z350/Y350</f>
      </c>
      <c r="P350" s="509">
        <f t="shared" ref="P350:P368" si="388">AC350/Z350</f>
      </c>
      <c r="Q350" s="505">
        <f t="shared" ref="Q350:Q368" si="326">D350/Y350*1000</f>
      </c>
      <c r="R350" s="507">
        <f t="shared" ref="R350:R368" si="262">D350/Z350</f>
      </c>
      <c r="S350" s="509">
        <f t="shared" ref="S350:S368" si="165">AD350/AA350</f>
      </c>
      <c r="T350" s="509">
        <f t="shared" ref="T350:T368" si="95">AE350/AA350</f>
      </c>
      <c r="U350" s="509">
        <f t="shared" ref="U350:U368" si="21">AF350/AA350</f>
      </c>
      <c r="V350" s="509">
        <f t="shared" ref="V350:V368" si="582">AG350/AA350</f>
      </c>
      <c r="W350" s="510" t="s">
        <v>255</v>
      </c>
      <c r="X350" s="511" t="s">
        <v>279</v>
      </c>
      <c r="Y350" s="512">
        <v>330717</v>
      </c>
      <c r="Z350" s="512">
        <v>4632</v>
      </c>
      <c r="AA350" s="512">
        <v>149954</v>
      </c>
      <c r="AB350" s="512">
        <v>1004</v>
      </c>
      <c r="AC350" s="514">
        <v>4</v>
      </c>
      <c r="AD350" s="512">
        <v>19462</v>
      </c>
      <c r="AE350" s="513">
        <v>211</v>
      </c>
      <c r="AF350" s="513">
        <v>178</v>
      </c>
      <c r="AG350" s="513">
        <v>21</v>
      </c>
      <c r="AH350" s="514">
        <v>0</v>
      </c>
    </row>
    <row r="351">
      <c r="A351" s="498"/>
      <c r="B351" s="530" t="s">
        <v>271</v>
      </c>
      <c r="C351" s="500" t="s">
        <v>257</v>
      </c>
      <c r="D351" s="501">
        <v>1662.2039999999997</v>
      </c>
      <c r="E351" s="502">
        <v>5</v>
      </c>
      <c r="F351" s="503">
        <v>1701.6</v>
      </c>
      <c r="G351" s="504">
        <f t="shared" si="58"/>
      </c>
      <c r="H351" s="505">
        <f t="shared" si="357"/>
      </c>
      <c r="I351" s="506">
        <f t="shared" si="293"/>
      </c>
      <c r="J351" s="507">
        <f t="shared" si="229"/>
      </c>
      <c r="K351" s="508">
        <f t="shared" si="630"/>
      </c>
      <c r="L351" s="505">
        <f t="shared" si="425"/>
      </c>
      <c r="M351" s="509">
        <f t="shared" si="504"/>
      </c>
      <c r="N351" s="509">
        <f t="shared" si="551"/>
      </c>
      <c r="O351" s="509">
        <f t="shared" si="456"/>
      </c>
      <c r="P351" s="509">
        <f t="shared" si="388"/>
      </c>
      <c r="Q351" s="505">
        <f t="shared" si="326"/>
      </c>
      <c r="R351" s="507">
        <f t="shared" si="262"/>
      </c>
      <c r="S351" s="509">
        <f t="shared" si="165"/>
      </c>
      <c r="T351" s="509">
        <f t="shared" si="95"/>
      </c>
      <c r="U351" s="509">
        <f t="shared" si="21"/>
      </c>
      <c r="V351" s="509">
        <f t="shared" si="582"/>
      </c>
      <c r="W351" s="510" t="s">
        <v>255</v>
      </c>
      <c r="X351" s="511" t="s">
        <v>279</v>
      </c>
      <c r="Y351" s="513">
        <v>317506</v>
      </c>
      <c r="Z351" s="512">
        <v>3913</v>
      </c>
      <c r="AA351" s="512">
        <v>145079</v>
      </c>
      <c r="AB351" s="512">
        <v>945</v>
      </c>
      <c r="AC351" s="513">
        <v>3</v>
      </c>
      <c r="AD351" s="512">
        <v>12657</v>
      </c>
      <c r="AE351" s="513">
        <v>174</v>
      </c>
      <c r="AF351" s="513">
        <v>104</v>
      </c>
      <c r="AG351" s="514">
        <v>7</v>
      </c>
      <c r="AH351" s="514">
        <v>1</v>
      </c>
    </row>
    <row r="352">
      <c r="A352" s="498"/>
      <c r="B352" s="530" t="s">
        <v>271</v>
      </c>
      <c r="C352" s="515" t="s">
        <v>258</v>
      </c>
      <c r="D352" s="501">
        <v>1537.9830000000002</v>
      </c>
      <c r="E352" s="502">
        <v>4</v>
      </c>
      <c r="F352" s="503">
        <v>912</v>
      </c>
      <c r="G352" s="504">
        <f t="shared" si="58"/>
      </c>
      <c r="H352" s="505">
        <f t="shared" si="357"/>
      </c>
      <c r="I352" s="506">
        <f t="shared" si="293"/>
      </c>
      <c r="J352" s="507">
        <f t="shared" si="229"/>
      </c>
      <c r="K352" s="508">
        <f t="shared" si="630"/>
      </c>
      <c r="L352" s="505">
        <f t="shared" si="425"/>
      </c>
      <c r="M352" s="509">
        <f t="shared" si="504"/>
      </c>
      <c r="N352" s="509">
        <f t="shared" si="551"/>
      </c>
      <c r="O352" s="509">
        <f t="shared" si="456"/>
      </c>
      <c r="P352" s="509">
        <f t="shared" si="388"/>
      </c>
      <c r="Q352" s="505">
        <f t="shared" si="326"/>
      </c>
      <c r="R352" s="507">
        <f t="shared" si="262"/>
      </c>
      <c r="S352" s="509">
        <f t="shared" si="165"/>
      </c>
      <c r="T352" s="509">
        <f t="shared" si="95"/>
      </c>
      <c r="U352" s="509">
        <f t="shared" si="21"/>
      </c>
      <c r="V352" s="509">
        <f t="shared" si="582"/>
      </c>
      <c r="W352" s="510" t="s">
        <v>255</v>
      </c>
      <c r="X352" s="511" t="s">
        <v>279</v>
      </c>
      <c r="Y352" s="513">
        <v>302934</v>
      </c>
      <c r="Z352" s="512">
        <v>4137</v>
      </c>
      <c r="AA352" s="512">
        <v>146611</v>
      </c>
      <c r="AB352" s="512">
        <v>788</v>
      </c>
      <c r="AC352" s="513">
        <v>5</v>
      </c>
      <c r="AD352" s="512">
        <v>10934</v>
      </c>
      <c r="AE352" s="513">
        <v>162</v>
      </c>
      <c r="AF352" s="513">
        <v>109</v>
      </c>
      <c r="AG352" s="513">
        <v>11</v>
      </c>
      <c r="AH352" s="514">
        <v>0</v>
      </c>
    </row>
    <row r="353">
      <c r="A353" s="498"/>
      <c r="B353" s="530" t="s">
        <v>271</v>
      </c>
      <c r="C353" s="516" t="s">
        <v>259</v>
      </c>
      <c r="D353" s="501">
        <v>1370.777</v>
      </c>
      <c r="E353" s="502">
        <v>0</v>
      </c>
      <c r="F353" s="503">
        <v>0</v>
      </c>
      <c r="G353" s="504">
        <f t="shared" si="58"/>
      </c>
      <c r="H353" s="505">
        <f t="shared" si="357"/>
      </c>
      <c r="I353" s="506">
        <f t="shared" si="293"/>
      </c>
      <c r="J353" s="507">
        <f t="shared" si="229"/>
      </c>
      <c r="K353" s="508">
        <f t="shared" si="630"/>
      </c>
      <c r="L353" s="505">
        <f t="shared" si="425"/>
      </c>
      <c r="M353" s="509">
        <f t="shared" si="504"/>
      </c>
      <c r="N353" s="509">
        <f t="shared" si="551"/>
      </c>
      <c r="O353" s="509">
        <f t="shared" si="456"/>
      </c>
      <c r="P353" s="509">
        <f t="shared" si="388"/>
      </c>
      <c r="Q353" s="505">
        <f t="shared" si="326"/>
      </c>
      <c r="R353" s="507">
        <f t="shared" si="262"/>
      </c>
      <c r="S353" s="509">
        <f t="shared" si="165"/>
      </c>
      <c r="T353" s="509">
        <f t="shared" si="95"/>
      </c>
      <c r="U353" s="509">
        <f t="shared" si="21"/>
      </c>
      <c r="V353" s="509">
        <f t="shared" si="582"/>
      </c>
      <c r="W353" s="504" t="s">
        <v>255</v>
      </c>
      <c r="X353" s="511" t="s">
        <v>279</v>
      </c>
      <c r="Y353" s="513">
        <v>264249</v>
      </c>
      <c r="Z353" s="513">
        <v>4140</v>
      </c>
      <c r="AA353" s="513">
        <v>186405</v>
      </c>
      <c r="AB353" s="513">
        <v>528</v>
      </c>
      <c r="AC353" s="513">
        <v>0</v>
      </c>
      <c r="AD353" s="513">
        <v>9978</v>
      </c>
      <c r="AE353" s="513">
        <v>91</v>
      </c>
      <c r="AF353" s="513">
        <v>93</v>
      </c>
      <c r="AG353" s="514">
        <v>11</v>
      </c>
      <c r="AH353" s="514">
        <v>0</v>
      </c>
      <c r="AI353" s="563">
        <v>116075</v>
      </c>
      <c r="AJ353">
        <v>156</v>
      </c>
      <c r="AK353">
        <v>4</v>
      </c>
      <c r="AL353" s="563">
        <v>4632</v>
      </c>
      <c r="AM353">
        <v>51</v>
      </c>
      <c r="AN353">
        <v>46</v>
      </c>
    </row>
    <row r="354">
      <c r="A354" s="498"/>
      <c r="B354" s="530" t="s">
        <v>271</v>
      </c>
      <c r="C354" s="516" t="s">
        <v>260</v>
      </c>
      <c r="D354" s="517">
        <v>1246.306</v>
      </c>
      <c r="E354" s="518">
        <v>4</v>
      </c>
      <c r="F354" s="519">
        <v>880.0000000000005</v>
      </c>
      <c r="G354" s="504">
        <f t="shared" si="58"/>
      </c>
      <c r="H354" s="505">
        <f t="shared" si="357"/>
      </c>
      <c r="I354" s="506">
        <f t="shared" si="293"/>
      </c>
      <c r="J354" s="507">
        <f t="shared" si="229"/>
      </c>
      <c r="K354" s="508">
        <f t="shared" si="630"/>
      </c>
      <c r="L354" s="505">
        <f t="shared" si="425"/>
      </c>
      <c r="M354" s="509">
        <f t="shared" si="504"/>
      </c>
      <c r="N354" s="509">
        <f t="shared" si="551"/>
      </c>
      <c r="O354" s="509">
        <f t="shared" si="456"/>
      </c>
      <c r="P354" s="509">
        <f t="shared" si="388"/>
      </c>
      <c r="Q354" s="505">
        <f t="shared" si="326"/>
      </c>
      <c r="R354" s="507">
        <f t="shared" si="262"/>
      </c>
      <c r="S354" s="509">
        <f t="shared" si="165"/>
      </c>
      <c r="T354" s="509">
        <f t="shared" si="95"/>
      </c>
      <c r="U354" s="509">
        <f t="shared" si="21"/>
      </c>
      <c r="V354" s="509">
        <f t="shared" si="582"/>
      </c>
      <c r="W354" s="520" t="s">
        <v>255</v>
      </c>
      <c r="X354" s="511" t="s">
        <v>279</v>
      </c>
      <c r="Y354" s="513">
        <v>255862</v>
      </c>
      <c r="Z354" s="513">
        <v>4172</v>
      </c>
      <c r="AA354" s="513">
        <v>208421</v>
      </c>
      <c r="AB354" s="513">
        <v>472</v>
      </c>
      <c r="AC354" s="513">
        <v>4</v>
      </c>
      <c r="AD354" s="513">
        <v>8434</v>
      </c>
      <c r="AE354" s="513">
        <v>118</v>
      </c>
      <c r="AF354" s="513">
        <v>96</v>
      </c>
      <c r="AG354" s="514">
        <v>12</v>
      </c>
      <c r="AH354" s="514">
        <v>0</v>
      </c>
    </row>
    <row r="355">
      <c r="A355" s="498"/>
      <c r="B355" s="521" t="s">
        <v>261</v>
      </c>
      <c r="C355" s="521"/>
      <c r="D355" s="522">
        <f>SUM(D350:D354)</f>
      </c>
      <c r="E355" s="523">
        <f>SUM(E350:E354)</f>
      </c>
      <c r="F355" s="522">
        <f>SUM(F350:F354)</f>
      </c>
      <c r="G355" s="522">
        <f t="shared" si="58"/>
      </c>
      <c r="H355" s="524">
        <f t="shared" si="357"/>
      </c>
      <c r="I355" s="525">
        <f t="shared" si="293"/>
      </c>
      <c r="J355" s="526">
        <f t="shared" si="229"/>
      </c>
      <c r="K355" s="527">
        <f t="shared" si="630"/>
      </c>
      <c r="L355" s="524">
        <f t="shared" si="425"/>
      </c>
      <c r="M355" s="528">
        <f t="shared" si="504"/>
      </c>
      <c r="N355" s="528">
        <f t="shared" si="551"/>
      </c>
      <c r="O355" s="528">
        <f t="shared" si="456"/>
      </c>
      <c r="P355" s="528">
        <f t="shared" si="388"/>
      </c>
      <c r="Q355" s="524">
        <f t="shared" si="326"/>
      </c>
      <c r="R355" s="526">
        <f t="shared" si="262"/>
      </c>
      <c r="S355" s="528">
        <f t="shared" si="165"/>
      </c>
      <c r="T355" s="528">
        <f t="shared" si="95"/>
      </c>
      <c r="U355" s="528">
        <f t="shared" si="21"/>
      </c>
      <c r="V355" s="528">
        <f t="shared" si="582"/>
      </c>
      <c r="W355" s="528"/>
      <c r="X355" s="529"/>
      <c r="Y355" s="522">
        <f>SUM(Y350:Y354)</f>
      </c>
      <c r="Z355" s="522">
        <f>SUM(Z350:Z354)</f>
      </c>
      <c r="AA355" s="522">
        <f>SUM(AA350:AA354)</f>
      </c>
      <c r="AB355" s="522">
        <f>SUM(AB350:AB354)</f>
      </c>
      <c r="AC355" s="522">
        <f>SUM(AC350:AC354)</f>
      </c>
      <c r="AD355" s="522">
        <f>SUM(AD350:AD354)</f>
      </c>
      <c r="AE355" s="522">
        <f>SUM(AE350:AE354)</f>
      </c>
      <c r="AF355" s="522">
        <f>SUM(AF350:AF354)</f>
      </c>
      <c r="AG355" s="522">
        <f>SUM(AG350:AG354)</f>
      </c>
      <c r="AH355" s="522">
        <f>SUM(AH350:AH354)</f>
      </c>
    </row>
    <row r="356">
      <c r="A356" s="498"/>
      <c r="B356" s="499" t="s">
        <v>268</v>
      </c>
      <c r="C356" s="531" t="s">
        <v>263</v>
      </c>
      <c r="D356" s="532">
        <v>1154.229</v>
      </c>
      <c r="E356" s="502">
        <v>3</v>
      </c>
      <c r="F356" s="503">
        <v>684</v>
      </c>
      <c r="G356" s="504">
        <f t="shared" si="58"/>
      </c>
      <c r="H356" s="505">
        <f t="shared" si="357"/>
      </c>
      <c r="I356" s="506">
        <f t="shared" si="293"/>
      </c>
      <c r="J356" s="507">
        <f t="shared" si="229"/>
      </c>
      <c r="K356" s="508">
        <f t="shared" si="630"/>
      </c>
      <c r="L356" s="505">
        <f t="shared" si="425"/>
      </c>
      <c r="M356" s="509">
        <f t="shared" si="504"/>
      </c>
      <c r="N356" s="509">
        <f t="shared" si="551"/>
      </c>
      <c r="O356" s="509">
        <f t="shared" si="456"/>
      </c>
      <c r="P356" s="509">
        <f t="shared" si="388"/>
      </c>
      <c r="Q356" s="505">
        <f t="shared" si="326"/>
      </c>
      <c r="R356" s="507">
        <f t="shared" si="262"/>
      </c>
      <c r="S356" s="509">
        <f t="shared" si="165"/>
      </c>
      <c r="T356" s="509">
        <f t="shared" si="95"/>
      </c>
      <c r="U356" s="509">
        <f t="shared" si="21"/>
      </c>
      <c r="V356" s="509">
        <f t="shared" si="582"/>
      </c>
      <c r="W356" s="520" t="s">
        <v>255</v>
      </c>
      <c r="X356" s="511" t="s">
        <v>279</v>
      </c>
      <c r="Y356" s="512">
        <v>231037</v>
      </c>
      <c r="Z356" s="512">
        <v>6099</v>
      </c>
      <c r="AA356" s="512">
        <v>197721</v>
      </c>
      <c r="AB356" s="513">
        <v>488</v>
      </c>
      <c r="AC356" s="513">
        <v>2</v>
      </c>
      <c r="AD356" s="512">
        <v>8141</v>
      </c>
      <c r="AE356" s="513">
        <v>134</v>
      </c>
      <c r="AF356" s="513">
        <v>97</v>
      </c>
      <c r="AG356" s="513">
        <v>15</v>
      </c>
      <c r="AH356" s="514">
        <v>0</v>
      </c>
    </row>
    <row r="357">
      <c r="A357" s="498"/>
      <c r="B357" s="499" t="s">
        <v>268</v>
      </c>
      <c r="C357" s="533" t="s">
        <v>264</v>
      </c>
      <c r="D357" s="532">
        <v>1431.8649999999998</v>
      </c>
      <c r="E357" s="518">
        <v>5</v>
      </c>
      <c r="F357" s="519">
        <v>1697.1999999999998</v>
      </c>
      <c r="G357" s="504">
        <f t="shared" si="58"/>
      </c>
      <c r="H357" s="505">
        <f t="shared" si="357"/>
      </c>
      <c r="I357" s="506">
        <f t="shared" si="293"/>
      </c>
      <c r="J357" s="507">
        <f t="shared" si="229"/>
      </c>
      <c r="K357" s="508">
        <f t="shared" si="630"/>
      </c>
      <c r="L357" s="505">
        <f t="shared" si="425"/>
      </c>
      <c r="M357" s="509">
        <f t="shared" si="504"/>
      </c>
      <c r="N357" s="509">
        <f t="shared" si="551"/>
      </c>
      <c r="O357" s="509">
        <f t="shared" si="456"/>
      </c>
      <c r="P357" s="509">
        <f t="shared" si="388"/>
      </c>
      <c r="Q357" s="505">
        <f t="shared" si="326"/>
      </c>
      <c r="R357" s="507">
        <f t="shared" si="262"/>
      </c>
      <c r="S357" s="509">
        <f t="shared" si="165"/>
      </c>
      <c r="T357" s="509">
        <f t="shared" si="95"/>
      </c>
      <c r="U357" s="509">
        <f t="shared" si="21"/>
      </c>
      <c r="V357" s="509">
        <f t="shared" si="582"/>
      </c>
      <c r="W357" s="520" t="s">
        <v>255</v>
      </c>
      <c r="X357" s="511" t="s">
        <v>279</v>
      </c>
      <c r="Y357" s="513">
        <v>314295</v>
      </c>
      <c r="Z357" s="513">
        <v>5979</v>
      </c>
      <c r="AA357" s="513">
        <v>279974</v>
      </c>
      <c r="AB357" s="513">
        <v>453</v>
      </c>
      <c r="AC357" s="513">
        <v>6</v>
      </c>
      <c r="AD357" s="513">
        <v>8274</v>
      </c>
      <c r="AE357" s="513">
        <v>65</v>
      </c>
      <c r="AF357" s="513">
        <v>78</v>
      </c>
      <c r="AG357" s="513">
        <v>10</v>
      </c>
      <c r="AH357" s="514">
        <v>0</v>
      </c>
    </row>
    <row r="358">
      <c r="A358" s="498"/>
      <c r="B358" s="499" t="s">
        <v>268</v>
      </c>
      <c r="C358" s="534" t="s">
        <v>265</v>
      </c>
      <c r="D358" s="532">
        <v>1467.074</v>
      </c>
      <c r="E358" s="518">
        <v>7</v>
      </c>
      <c r="F358" s="519">
        <v>3257.6000000000013</v>
      </c>
      <c r="G358" s="504">
        <f t="shared" si="58"/>
      </c>
      <c r="H358" s="505">
        <f t="shared" si="357"/>
      </c>
      <c r="I358" s="506">
        <f t="shared" si="293"/>
      </c>
      <c r="J358" s="507">
        <f t="shared" si="229"/>
      </c>
      <c r="K358" s="508">
        <f t="shared" si="630"/>
      </c>
      <c r="L358" s="505">
        <f t="shared" si="425"/>
      </c>
      <c r="M358" s="509">
        <f t="shared" si="504"/>
      </c>
      <c r="N358" s="509">
        <f t="shared" si="551"/>
      </c>
      <c r="O358" s="509">
        <f t="shared" si="456"/>
      </c>
      <c r="P358" s="509">
        <f t="shared" si="388"/>
      </c>
      <c r="Q358" s="505">
        <f t="shared" si="326"/>
      </c>
      <c r="R358" s="507">
        <f t="shared" si="262"/>
      </c>
      <c r="S358" s="509">
        <f t="shared" si="165"/>
      </c>
      <c r="T358" s="509">
        <f t="shared" si="95"/>
      </c>
      <c r="U358" s="509">
        <f t="shared" si="21"/>
      </c>
      <c r="V358" s="509">
        <f t="shared" si="582"/>
      </c>
      <c r="W358" s="520" t="s">
        <v>255</v>
      </c>
      <c r="X358" s="511" t="s">
        <v>279</v>
      </c>
      <c r="Y358" s="513">
        <v>318646</v>
      </c>
      <c r="Z358" s="513">
        <v>6630</v>
      </c>
      <c r="AA358" s="513">
        <v>272651</v>
      </c>
      <c r="AB358" s="513">
        <v>498</v>
      </c>
      <c r="AC358" s="513">
        <v>5</v>
      </c>
      <c r="AD358" s="513">
        <v>8097</v>
      </c>
      <c r="AE358" s="513">
        <v>98</v>
      </c>
      <c r="AF358" s="513">
        <v>100</v>
      </c>
      <c r="AG358" s="513">
        <v>8</v>
      </c>
      <c r="AH358" s="514">
        <v>1</v>
      </c>
    </row>
    <row r="359">
      <c r="A359" s="498"/>
      <c r="B359" s="499" t="s">
        <v>268</v>
      </c>
      <c r="C359" s="537" t="s">
        <v>266</v>
      </c>
      <c r="D359" s="532">
        <v>1218.01</v>
      </c>
      <c r="E359" s="518">
        <v>4</v>
      </c>
      <c r="F359" s="519">
        <v>1512</v>
      </c>
      <c r="G359" s="504">
        <f t="shared" si="58"/>
      </c>
      <c r="H359" s="505">
        <f t="shared" si="357"/>
      </c>
      <c r="I359" s="506">
        <f t="shared" si="293"/>
      </c>
      <c r="J359" s="507">
        <f t="shared" si="229"/>
      </c>
      <c r="K359" s="508">
        <f t="shared" si="630"/>
      </c>
      <c r="L359" s="505">
        <f t="shared" si="425"/>
      </c>
      <c r="M359" s="509">
        <f t="shared" si="504"/>
      </c>
      <c r="N359" s="509">
        <f t="shared" si="551"/>
      </c>
      <c r="O359" s="509">
        <f t="shared" si="456"/>
      </c>
      <c r="P359" s="509">
        <f t="shared" si="388"/>
      </c>
      <c r="Q359" s="505">
        <f t="shared" si="326"/>
      </c>
      <c r="R359" s="507">
        <f t="shared" si="262"/>
      </c>
      <c r="S359" s="509">
        <f t="shared" si="165"/>
      </c>
      <c r="T359" s="509">
        <f t="shared" si="95"/>
      </c>
      <c r="U359" s="509">
        <f t="shared" si="21"/>
      </c>
      <c r="V359" s="509">
        <f t="shared" si="582"/>
      </c>
      <c r="W359" s="520" t="s">
        <v>255</v>
      </c>
      <c r="X359" s="511" t="s">
        <v>267</v>
      </c>
      <c r="Y359" s="513">
        <v>256020</v>
      </c>
      <c r="Z359" s="513">
        <v>6629</v>
      </c>
      <c r="AA359" s="513">
        <v>222537</v>
      </c>
      <c r="AB359" s="513">
        <v>458</v>
      </c>
      <c r="AC359" s="513">
        <v>5</v>
      </c>
      <c r="AD359" s="513">
        <v>8319</v>
      </c>
      <c r="AE359" s="513">
        <v>115</v>
      </c>
      <c r="AF359" s="513">
        <v>76</v>
      </c>
      <c r="AG359" s="513">
        <v>4</v>
      </c>
      <c r="AH359" s="514">
        <v>0</v>
      </c>
    </row>
    <row r="360">
      <c r="A360" s="498"/>
      <c r="B360" s="499" t="s">
        <v>268</v>
      </c>
      <c r="C360" s="540" t="s">
        <v>269</v>
      </c>
      <c r="D360" s="532">
        <v>1031.096</v>
      </c>
      <c r="E360" s="518">
        <v>3</v>
      </c>
      <c r="F360" s="519">
        <v>1241.2000000000007</v>
      </c>
      <c r="G360" s="504">
        <f t="shared" si="58"/>
      </c>
      <c r="H360" s="505">
        <f t="shared" si="357"/>
      </c>
      <c r="I360" s="506">
        <f t="shared" si="293"/>
      </c>
      <c r="J360" s="507">
        <f t="shared" si="229"/>
      </c>
      <c r="K360" s="508">
        <f t="shared" si="630"/>
      </c>
      <c r="L360" s="505">
        <f t="shared" si="425"/>
      </c>
      <c r="M360" s="509">
        <f t="shared" si="504"/>
      </c>
      <c r="N360" s="509">
        <f t="shared" si="551"/>
      </c>
      <c r="O360" s="509">
        <f t="shared" si="456"/>
      </c>
      <c r="P360" s="509">
        <f t="shared" si="388"/>
      </c>
      <c r="Q360" s="505">
        <f t="shared" si="326"/>
      </c>
      <c r="R360" s="507">
        <f t="shared" si="262"/>
      </c>
      <c r="S360" s="509">
        <f t="shared" si="165"/>
      </c>
      <c r="T360" s="509">
        <f t="shared" si="95"/>
      </c>
      <c r="U360" s="509">
        <f t="shared" si="21"/>
      </c>
      <c r="V360" s="509">
        <f t="shared" si="582"/>
      </c>
      <c r="W360" s="520" t="s">
        <v>255</v>
      </c>
      <c r="X360" s="511" t="s">
        <v>267</v>
      </c>
      <c r="Y360" s="513">
        <v>203685</v>
      </c>
      <c r="Z360" s="513">
        <v>8011</v>
      </c>
      <c r="AA360" s="513">
        <v>180291</v>
      </c>
      <c r="AB360" s="513">
        <v>372</v>
      </c>
      <c r="AC360" s="513">
        <v>2</v>
      </c>
      <c r="AD360" s="513">
        <v>8352</v>
      </c>
      <c r="AE360" s="513">
        <v>94</v>
      </c>
      <c r="AF360" s="513">
        <v>121</v>
      </c>
      <c r="AG360" s="513">
        <v>6</v>
      </c>
      <c r="AH360" s="514">
        <v>1</v>
      </c>
    </row>
    <row r="361">
      <c r="A361" s="498"/>
      <c r="B361" s="521" t="s">
        <v>261</v>
      </c>
      <c r="C361" s="521"/>
      <c r="D361" s="522">
        <f>SUM(D356:D360)</f>
      </c>
      <c r="E361" s="522">
        <f>SUM(E356:E360)</f>
      </c>
      <c r="F361" s="522">
        <f>SUM(F356:F360)</f>
      </c>
      <c r="G361" s="522">
        <f t="shared" si="58"/>
      </c>
      <c r="H361" s="524">
        <f t="shared" si="357"/>
      </c>
      <c r="I361" s="525">
        <f t="shared" si="293"/>
      </c>
      <c r="J361" s="526">
        <f t="shared" si="229"/>
      </c>
      <c r="K361" s="527">
        <f t="shared" si="630"/>
      </c>
      <c r="L361" s="524">
        <f t="shared" si="425"/>
      </c>
      <c r="M361" s="528">
        <f t="shared" si="504"/>
      </c>
      <c r="N361" s="528">
        <f t="shared" si="551"/>
      </c>
      <c r="O361" s="528">
        <f t="shared" si="456"/>
      </c>
      <c r="P361" s="528">
        <f t="shared" si="388"/>
      </c>
      <c r="Q361" s="524">
        <f t="shared" si="326"/>
      </c>
      <c r="R361" s="526">
        <f t="shared" si="262"/>
      </c>
      <c r="S361" s="528">
        <f t="shared" si="165"/>
      </c>
      <c r="T361" s="528">
        <f t="shared" si="95"/>
      </c>
      <c r="U361" s="528">
        <f t="shared" si="21"/>
      </c>
      <c r="V361" s="528">
        <f t="shared" si="582"/>
      </c>
      <c r="W361" s="528"/>
      <c r="X361" s="529"/>
      <c r="Y361" s="522">
        <f>SUM(Y356:Y360)</f>
      </c>
      <c r="Z361" s="522">
        <f>SUM(Z356:Z360)</f>
      </c>
      <c r="AA361" s="522">
        <f>SUM(AA356:AA360)</f>
      </c>
      <c r="AB361" s="522">
        <f>SUM(AB356:AB360)</f>
      </c>
      <c r="AC361" s="522">
        <f>SUM(AC356:AC360)</f>
      </c>
      <c r="AD361" s="522">
        <f>SUM(AD356:AD360)</f>
      </c>
      <c r="AE361" s="522">
        <f>SUM(AE356:AE360)</f>
      </c>
      <c r="AF361" s="522">
        <f>SUM(AF356:AF360)</f>
      </c>
      <c r="AG361" s="522">
        <f>SUM(AG356:AG360)</f>
      </c>
      <c r="AH361" s="522">
        <f>SUM(AH356:AH360)</f>
      </c>
    </row>
    <row r="362">
      <c r="A362" s="498"/>
      <c r="B362" s="499" t="s">
        <v>253</v>
      </c>
      <c r="C362" s="534" t="s">
        <v>270</v>
      </c>
      <c r="D362" s="541">
        <v>1665.633</v>
      </c>
      <c r="E362" s="542">
        <v>5</v>
      </c>
      <c r="F362" s="519">
        <v>1108</v>
      </c>
      <c r="G362" s="504">
        <f t="shared" si="58"/>
      </c>
      <c r="H362" s="505">
        <f t="shared" si="357"/>
      </c>
      <c r="I362" s="506">
        <f t="shared" si="293"/>
      </c>
      <c r="J362" s="507">
        <f t="shared" si="229"/>
      </c>
      <c r="K362" s="508">
        <f t="shared" si="630"/>
      </c>
      <c r="L362" s="505">
        <f t="shared" si="425"/>
      </c>
      <c r="M362" s="509">
        <f t="shared" si="504"/>
      </c>
      <c r="N362" s="509">
        <f t="shared" si="551"/>
      </c>
      <c r="O362" s="509">
        <f t="shared" si="456"/>
      </c>
      <c r="P362" s="509">
        <f t="shared" si="388"/>
      </c>
      <c r="Q362" s="505">
        <f t="shared" si="326"/>
      </c>
      <c r="R362" s="507">
        <f t="shared" si="262"/>
      </c>
      <c r="S362" s="509">
        <f t="shared" si="165"/>
      </c>
      <c r="T362" s="509">
        <f t="shared" si="95"/>
      </c>
      <c r="U362" s="509">
        <f t="shared" si="21"/>
      </c>
      <c r="V362" s="509">
        <f t="shared" si="582"/>
      </c>
      <c r="W362" s="520" t="s">
        <v>255</v>
      </c>
      <c r="X362" s="511" t="s">
        <v>267</v>
      </c>
      <c r="Y362" s="513">
        <v>340985</v>
      </c>
      <c r="Z362" s="513">
        <v>4790</v>
      </c>
      <c r="AA362" s="513">
        <v>287367</v>
      </c>
      <c r="AB362" s="513">
        <v>439</v>
      </c>
      <c r="AC362" s="513">
        <v>5</v>
      </c>
      <c r="AD362" s="513">
        <v>9694</v>
      </c>
      <c r="AE362" s="513">
        <v>87</v>
      </c>
      <c r="AF362" s="513">
        <v>90</v>
      </c>
      <c r="AG362" s="513">
        <v>12</v>
      </c>
      <c r="AH362" s="514">
        <v>0</v>
      </c>
    </row>
    <row r="363">
      <c r="A363" s="498"/>
      <c r="B363" s="499" t="s">
        <v>253</v>
      </c>
      <c r="C363" s="534" t="s">
        <v>272</v>
      </c>
      <c r="D363" s="541">
        <v>1874.5490000000002</v>
      </c>
      <c r="E363" s="542">
        <v>6</v>
      </c>
      <c r="F363" s="519">
        <v>1839.6000000000004</v>
      </c>
      <c r="G363" s="504">
        <f t="shared" si="58"/>
      </c>
      <c r="H363" s="505">
        <f t="shared" si="357"/>
      </c>
      <c r="I363" s="506">
        <f t="shared" si="293"/>
      </c>
      <c r="J363" s="507">
        <f t="shared" si="229"/>
      </c>
      <c r="K363" s="508">
        <f t="shared" si="630"/>
      </c>
      <c r="L363" s="505">
        <f t="shared" si="425"/>
      </c>
      <c r="M363" s="509">
        <f t="shared" si="504"/>
      </c>
      <c r="N363" s="509">
        <f t="shared" si="551"/>
      </c>
      <c r="O363" s="509">
        <f t="shared" si="456"/>
      </c>
      <c r="P363" s="509">
        <f t="shared" si="388"/>
      </c>
      <c r="Q363" s="505">
        <f t="shared" si="326"/>
      </c>
      <c r="R363" s="507">
        <f t="shared" si="262"/>
      </c>
      <c r="S363" s="509">
        <f t="shared" si="165"/>
      </c>
      <c r="T363" s="509">
        <f t="shared" si="95"/>
      </c>
      <c r="U363" s="509">
        <f t="shared" si="21"/>
      </c>
      <c r="V363" s="509">
        <f t="shared" si="582"/>
      </c>
      <c r="W363" s="520" t="s">
        <v>255</v>
      </c>
      <c r="X363" s="511" t="s">
        <v>267</v>
      </c>
      <c r="Y363" s="513">
        <v>397880</v>
      </c>
      <c r="Z363" s="513">
        <v>3334</v>
      </c>
      <c r="AA363" s="513">
        <v>377019</v>
      </c>
      <c r="AB363" s="513">
        <v>442</v>
      </c>
      <c r="AC363" s="513">
        <v>6</v>
      </c>
      <c r="AD363" s="513">
        <v>10730</v>
      </c>
      <c r="AE363" s="513">
        <v>87</v>
      </c>
      <c r="AF363" s="513">
        <v>88</v>
      </c>
      <c r="AG363" s="513">
        <v>11</v>
      </c>
      <c r="AH363" s="514">
        <v>1</v>
      </c>
    </row>
    <row r="364">
      <c r="A364" s="498"/>
      <c r="B364" s="499" t="s">
        <v>253</v>
      </c>
      <c r="C364" s="537" t="s">
        <v>273</v>
      </c>
      <c r="D364" s="541">
        <v>1810.9660000000001</v>
      </c>
      <c r="E364" s="542">
        <v>6</v>
      </c>
      <c r="F364" s="519">
        <v>1879.199999999999</v>
      </c>
      <c r="G364" s="504">
        <f t="shared" si="58"/>
      </c>
      <c r="H364" s="505">
        <f t="shared" si="357"/>
      </c>
      <c r="I364" s="506">
        <f t="shared" si="293"/>
      </c>
      <c r="J364" s="507">
        <f t="shared" si="229"/>
      </c>
      <c r="K364" s="508">
        <f t="shared" si="630"/>
      </c>
      <c r="L364" s="505">
        <f t="shared" si="425"/>
      </c>
      <c r="M364" s="509">
        <f t="shared" si="504"/>
      </c>
      <c r="N364" s="509">
        <f t="shared" si="551"/>
      </c>
      <c r="O364" s="509">
        <f t="shared" si="456"/>
      </c>
      <c r="P364" s="509">
        <f t="shared" si="388"/>
      </c>
      <c r="Q364" s="505">
        <f t="shared" si="326"/>
      </c>
      <c r="R364" s="507">
        <f t="shared" si="262"/>
      </c>
      <c r="S364" s="509">
        <f t="shared" si="165"/>
      </c>
      <c r="T364" s="509">
        <f t="shared" si="95"/>
      </c>
      <c r="U364" s="509">
        <f t="shared" si="21"/>
      </c>
      <c r="V364" s="509">
        <f t="shared" si="582"/>
      </c>
      <c r="W364" s="520" t="s">
        <v>255</v>
      </c>
      <c r="X364" s="511" t="s">
        <v>267</v>
      </c>
      <c r="Y364" s="513">
        <v>388007</v>
      </c>
      <c r="Z364" s="513">
        <v>3604</v>
      </c>
      <c r="AA364" s="513">
        <v>339041</v>
      </c>
      <c r="AB364" s="513">
        <v>560</v>
      </c>
      <c r="AC364" s="513">
        <v>4</v>
      </c>
      <c r="AD364" s="513">
        <v>9811</v>
      </c>
      <c r="AE364" s="513">
        <v>101</v>
      </c>
      <c r="AF364" s="513">
        <v>76</v>
      </c>
      <c r="AG364" s="513">
        <v>15</v>
      </c>
      <c r="AH364" s="514">
        <v>1</v>
      </c>
    </row>
    <row r="365">
      <c r="A365" s="498"/>
      <c r="B365" s="499" t="s">
        <v>253</v>
      </c>
      <c r="C365" s="534" t="s">
        <v>274</v>
      </c>
      <c r="D365" s="535">
        <v>1423.234</v>
      </c>
      <c r="E365" s="502">
        <v>6</v>
      </c>
      <c r="F365" s="503">
        <v>1283.5999999999985</v>
      </c>
      <c r="G365" s="504">
        <f t="shared" si="58"/>
      </c>
      <c r="H365" s="505">
        <f t="shared" si="357"/>
      </c>
      <c r="I365" s="560">
        <f t="shared" si="293"/>
      </c>
      <c r="J365" s="559">
        <f t="shared" si="229"/>
      </c>
      <c r="K365" s="556">
        <f t="shared" ref="K365:K366" si="134">D365/AB365</f>
      </c>
      <c r="L365" s="557">
        <f t="shared" si="425"/>
      </c>
      <c r="M365" s="558">
        <f t="shared" ref="M365:M366" si="196">AC365/AB365</f>
      </c>
      <c r="N365" s="558">
        <f t="shared" si="551"/>
      </c>
      <c r="O365" s="558">
        <f t="shared" si="456"/>
      </c>
      <c r="P365" s="558">
        <f t="shared" si="388"/>
      </c>
      <c r="Q365" s="557">
        <f t="shared" si="326"/>
      </c>
      <c r="R365" s="559">
        <f t="shared" si="262"/>
      </c>
      <c r="S365" s="558">
        <f t="shared" si="165"/>
      </c>
      <c r="T365" s="558">
        <f t="shared" si="95"/>
      </c>
      <c r="U365" s="558">
        <f t="shared" si="21"/>
      </c>
      <c r="V365" s="558">
        <f t="shared" si="582"/>
      </c>
      <c r="W365" s="520" t="s">
        <v>255</v>
      </c>
      <c r="X365" s="511" t="s">
        <v>267</v>
      </c>
      <c r="Y365" s="513">
        <v>324415</v>
      </c>
      <c r="Z365" s="513">
        <v>3699</v>
      </c>
      <c r="AA365" s="513">
        <v>260646</v>
      </c>
      <c r="AB365" s="536">
        <v>582</v>
      </c>
      <c r="AC365" s="536">
        <v>4</v>
      </c>
      <c r="AD365" s="536">
        <v>9349</v>
      </c>
      <c r="AE365" s="536">
        <v>113</v>
      </c>
      <c r="AF365" s="536">
        <v>96</v>
      </c>
      <c r="AG365" s="536">
        <v>9</v>
      </c>
      <c r="AH365" s="514">
        <v>2</v>
      </c>
    </row>
    <row r="366">
      <c r="A366" s="498"/>
      <c r="B366" s="499" t="s">
        <v>253</v>
      </c>
      <c r="C366" s="555" t="s">
        <v>275</v>
      </c>
      <c r="D366" s="541">
        <v>1636.8210000000001</v>
      </c>
      <c r="E366" s="542">
        <v>9</v>
      </c>
      <c r="F366" s="519">
        <v>3135.5000000000036</v>
      </c>
      <c r="G366" s="504">
        <f t="shared" si="58"/>
      </c>
      <c r="H366" s="505">
        <f t="shared" si="357"/>
      </c>
      <c r="I366" s="560">
        <f t="shared" si="293"/>
      </c>
      <c r="J366" s="559">
        <f t="shared" si="229"/>
      </c>
      <c r="K366" s="556">
        <f t="shared" si="134"/>
      </c>
      <c r="L366" s="557">
        <f t="shared" si="425"/>
      </c>
      <c r="M366" s="558">
        <f t="shared" si="196"/>
      </c>
      <c r="N366" s="558">
        <f t="shared" si="551"/>
      </c>
      <c r="O366" s="558">
        <f t="shared" si="456"/>
      </c>
      <c r="P366" s="558">
        <f t="shared" si="388"/>
      </c>
      <c r="Q366" s="557">
        <f t="shared" si="326"/>
      </c>
      <c r="R366" s="559">
        <f t="shared" si="262"/>
      </c>
      <c r="S366" s="558">
        <f t="shared" si="165"/>
      </c>
      <c r="T366" s="558">
        <f t="shared" si="95"/>
      </c>
      <c r="U366" s="558">
        <f t="shared" si="21"/>
      </c>
      <c r="V366" s="558">
        <f t="shared" si="582"/>
      </c>
      <c r="W366" s="520" t="s">
        <v>255</v>
      </c>
      <c r="X366" s="511" t="s">
        <v>267</v>
      </c>
      <c r="Y366" s="513">
        <v>374734</v>
      </c>
      <c r="Z366" s="513">
        <v>3666</v>
      </c>
      <c r="AA366" s="513">
        <v>321917</v>
      </c>
      <c r="AB366" s="513">
        <v>576</v>
      </c>
      <c r="AC366" s="513">
        <v>6</v>
      </c>
      <c r="AD366" s="513">
        <v>8715</v>
      </c>
      <c r="AE366" s="513">
        <v>127</v>
      </c>
      <c r="AF366" s="513">
        <v>93</v>
      </c>
      <c r="AG366" s="514">
        <v>25</v>
      </c>
      <c r="AH366" s="514">
        <v>1</v>
      </c>
    </row>
    <row r="367">
      <c r="A367" s="498"/>
      <c r="B367" s="538" t="s">
        <v>261</v>
      </c>
      <c r="C367" s="538"/>
      <c r="D367" s="522">
        <f>SUM(D362:D366)</f>
      </c>
      <c r="E367" s="522">
        <f>SUM(E362:E366)</f>
      </c>
      <c r="F367" s="522">
        <f>SUM(F362:F366)</f>
      </c>
      <c r="G367" s="522">
        <f t="shared" si="58"/>
      </c>
      <c r="H367" s="524">
        <f t="shared" si="357"/>
      </c>
      <c r="I367" s="525">
        <f t="shared" si="293"/>
      </c>
      <c r="J367" s="526">
        <f t="shared" si="229"/>
      </c>
      <c r="K367" s="527">
        <f t="shared" ref="K367:K368" si="631">D367/AA367</f>
      </c>
      <c r="L367" s="524">
        <f t="shared" si="425"/>
      </c>
      <c r="M367" s="528">
        <f t="shared" ref="M367:M368" si="505">AB367/AA367</f>
      </c>
      <c r="N367" s="528">
        <f t="shared" si="551"/>
      </c>
      <c r="O367" s="528">
        <f t="shared" si="456"/>
      </c>
      <c r="P367" s="528">
        <f t="shared" si="388"/>
      </c>
      <c r="Q367" s="524">
        <f t="shared" si="326"/>
      </c>
      <c r="R367" s="526">
        <f t="shared" si="262"/>
      </c>
      <c r="S367" s="528">
        <f t="shared" si="165"/>
      </c>
      <c r="T367" s="528">
        <f t="shared" si="95"/>
      </c>
      <c r="U367" s="528">
        <f t="shared" si="21"/>
      </c>
      <c r="V367" s="528">
        <f t="shared" si="582"/>
      </c>
      <c r="W367" s="528"/>
      <c r="X367" s="529"/>
      <c r="Y367" s="522">
        <f>SUM(Y362:Y366)</f>
      </c>
      <c r="Z367" s="522">
        <f>SUM(Z362:Z366)</f>
      </c>
      <c r="AA367" s="522">
        <f>SUM(AA362:AA366)</f>
      </c>
      <c r="AB367" s="522">
        <f>SUM(AB362:AB366)</f>
      </c>
      <c r="AC367" s="522">
        <f>SUM(AC362:AC366)</f>
      </c>
      <c r="AD367" s="522">
        <f>SUM(AD362:AD366)</f>
      </c>
      <c r="AE367" s="522">
        <f>SUM(AE362:AE366)</f>
      </c>
      <c r="AF367" s="522">
        <f>SUM(AF362:AF366)</f>
      </c>
      <c r="AG367" s="522">
        <f>SUM(AG362:AG366)</f>
      </c>
      <c r="AH367" s="522">
        <f>SUM(AH362:AH366)</f>
      </c>
    </row>
    <row r="368">
      <c r="A368" s="498"/>
      <c r="B368" s="543" t="s">
        <v>276</v>
      </c>
      <c r="C368" s="543"/>
      <c r="D368" s="554">
        <f>SUM(D355+D367+D361)</f>
      </c>
      <c r="E368" s="554">
        <f>SUM(E355+E367+E361)</f>
      </c>
      <c r="F368" s="554">
        <f>SUM(F355+F367+F361)</f>
      </c>
      <c r="G368" s="544">
        <f t="shared" si="58"/>
      </c>
      <c r="H368" s="545">
        <f t="shared" si="357"/>
      </c>
      <c r="I368" s="546">
        <f t="shared" si="293"/>
      </c>
      <c r="J368" s="547">
        <f t="shared" si="229"/>
      </c>
      <c r="K368" s="548">
        <f t="shared" si="631"/>
      </c>
      <c r="L368" s="548">
        <f t="shared" si="425"/>
      </c>
      <c r="M368" s="550">
        <f t="shared" si="505"/>
      </c>
      <c r="N368" s="550">
        <f t="shared" si="551"/>
      </c>
      <c r="O368" s="550">
        <f t="shared" si="456"/>
      </c>
      <c r="P368" s="550">
        <f t="shared" si="388"/>
      </c>
      <c r="Q368" s="549">
        <f t="shared" si="326"/>
      </c>
      <c r="R368" s="551">
        <f t="shared" si="262"/>
      </c>
      <c r="S368" s="552">
        <f t="shared" si="165"/>
      </c>
      <c r="T368" s="552">
        <f t="shared" si="95"/>
      </c>
      <c r="U368" s="552">
        <f t="shared" si="21"/>
      </c>
      <c r="V368" s="552">
        <f t="shared" si="582"/>
      </c>
      <c r="W368" s="552"/>
      <c r="X368" s="553"/>
      <c r="Y368" s="544">
        <f>SUM(Y367+Y355+Y361)</f>
      </c>
      <c r="Z368" s="544">
        <f>SUM(Z367+Z355+Z361)</f>
      </c>
      <c r="AA368" s="544">
        <f>SUM(AA367+AA355+AA361)</f>
      </c>
      <c r="AB368" s="544">
        <f>SUM(AB367+AB355+AB361)</f>
      </c>
      <c r="AC368" s="544">
        <f>SUM(AC367+AC355+AC361)</f>
      </c>
      <c r="AD368" s="544">
        <f>SUM(AD367+AD355+AD361)</f>
      </c>
      <c r="AE368" s="544">
        <f>SUM(AE367+AE355+AE361)</f>
      </c>
      <c r="AF368" s="544">
        <f>SUM(AF367+AF355+AF361)</f>
      </c>
      <c r="AG368" s="544">
        <f>SUM(AG367+AG355+AG361)</f>
      </c>
      <c r="AH368" s="544">
        <f>SUM(AH367+AH355+AH361)</f>
      </c>
    </row>
    <row r="369">
      <c r="A369" s="486" t="s">
        <v>218</v>
      </c>
      <c r="B369" s="561" t="s">
        <v>219</v>
      </c>
      <c r="C369" s="562" t="s">
        <v>220</v>
      </c>
      <c r="D369" s="487" t="s">
        <v>221</v>
      </c>
      <c r="E369" s="488" t="s">
        <v>222</v>
      </c>
      <c r="F369" s="489" t="s">
        <v>223</v>
      </c>
      <c r="G369" s="489" t="s">
        <v>224</v>
      </c>
      <c r="H369" s="490" t="s">
        <v>225</v>
      </c>
      <c r="I369" s="490" t="s">
        <v>226</v>
      </c>
      <c r="J369" s="490" t="s">
        <v>227</v>
      </c>
      <c r="K369" s="491" t="s">
        <v>228</v>
      </c>
      <c r="L369" s="491" t="s">
        <v>229</v>
      </c>
      <c r="M369" s="491" t="s">
        <v>231</v>
      </c>
      <c r="N369" s="491" t="s">
        <v>232</v>
      </c>
      <c r="O369" s="491" t="s">
        <v>233</v>
      </c>
      <c r="P369" s="491" t="s">
        <v>234</v>
      </c>
      <c r="Q369" s="491" t="s">
        <v>235</v>
      </c>
      <c r="R369" s="491" t="s">
        <v>236</v>
      </c>
      <c r="S369" s="492" t="s">
        <v>237</v>
      </c>
      <c r="T369" s="492" t="s">
        <v>238</v>
      </c>
      <c r="U369" s="492" t="s">
        <v>239</v>
      </c>
      <c r="V369" s="492" t="s">
        <v>240</v>
      </c>
      <c r="W369" s="493" t="s">
        <v>241</v>
      </c>
      <c r="X369" s="493" t="s">
        <v>242</v>
      </c>
      <c r="Y369" s="494" t="s">
        <v>243</v>
      </c>
      <c r="Z369" s="494" t="s">
        <v>244</v>
      </c>
      <c r="AA369" s="494" t="s">
        <v>245</v>
      </c>
      <c r="AB369" s="495" t="s">
        <v>246</v>
      </c>
      <c r="AC369" s="495" t="s">
        <v>247</v>
      </c>
      <c r="AD369" s="496" t="s">
        <v>248</v>
      </c>
      <c r="AE369" s="495" t="s">
        <v>249</v>
      </c>
      <c r="AF369" s="495" t="s">
        <v>250</v>
      </c>
      <c r="AG369" s="497" t="s">
        <v>251</v>
      </c>
      <c r="AH369" s="495" t="s">
        <v>252</v>
      </c>
    </row>
    <row r="370">
      <c r="A370" s="498">
        <v>46222</v>
      </c>
      <c r="B370" s="530" t="s">
        <v>271</v>
      </c>
      <c r="C370" s="500" t="s">
        <v>254</v>
      </c>
      <c r="D370" s="501">
        <v>919.356</v>
      </c>
      <c r="E370" s="502">
        <v>2</v>
      </c>
      <c r="F370" s="503">
        <v>1142.4</v>
      </c>
      <c r="G370" s="504">
        <f t="shared" ref="G370:G388" si="59">D370/AC370</f>
      </c>
      <c r="H370" s="505">
        <f t="shared" ref="H370:H388" si="358">F370/E370</f>
      </c>
      <c r="I370" s="506">
        <f t="shared" ref="I370:I388" si="294">D370/E370</f>
      </c>
      <c r="J370" s="507">
        <f t="shared" ref="J370:J388" si="230">F370/D370</f>
      </c>
      <c r="K370" s="508">
        <f t="shared" ref="K370:K384" si="632">D370/AA370</f>
      </c>
      <c r="L370" s="505">
        <f t="shared" ref="L370:L388" si="426">D370/AB370</f>
      </c>
      <c r="M370" s="509">
        <f t="shared" ref="M370:M384" si="506">AB370/AA370</f>
      </c>
      <c r="N370" s="509">
        <f t="shared" ref="N370:N388" si="552">AC370/AB370</f>
      </c>
      <c r="O370" s="509">
        <f t="shared" ref="O370:O388" si="457">Z370/Y370</f>
      </c>
      <c r="P370" s="509">
        <f t="shared" ref="P370:P388" si="389">AC370/Z370</f>
      </c>
      <c r="Q370" s="505">
        <f t="shared" ref="Q370:Q388" si="327">D370/Y370*1000</f>
      </c>
      <c r="R370" s="507">
        <f t="shared" ref="R370:R388" si="263">D370/Z370</f>
      </c>
      <c r="S370" s="509">
        <f t="shared" ref="S370:S388" si="166">AD370/AA370</f>
      </c>
      <c r="T370" s="509">
        <f t="shared" ref="T370:T388" si="96">AE370/AA370</f>
      </c>
      <c r="U370" s="509">
        <f t="shared" ref="U370:U388" si="22">AF370/AA370</f>
      </c>
      <c r="V370" s="509">
        <f t="shared" ref="V370:V388" si="583">AG370/AA370</f>
      </c>
      <c r="W370" s="510" t="s">
        <v>255</v>
      </c>
      <c r="X370" s="511" t="s">
        <v>279</v>
      </c>
      <c r="Y370" s="512">
        <v>136696</v>
      </c>
      <c r="Z370" s="512">
        <v>2730</v>
      </c>
      <c r="AA370" s="512">
        <v>100844</v>
      </c>
      <c r="AB370" s="512">
        <v>494</v>
      </c>
      <c r="AC370" s="514">
        <v>1</v>
      </c>
      <c r="AD370" s="512">
        <v>10076</v>
      </c>
      <c r="AE370" s="513">
        <v>151</v>
      </c>
      <c r="AF370" s="513">
        <v>89</v>
      </c>
      <c r="AG370" s="513">
        <v>6</v>
      </c>
      <c r="AH370" s="514">
        <v>1</v>
      </c>
    </row>
    <row r="371">
      <c r="A371" s="498"/>
      <c r="B371" s="530" t="s">
        <v>271</v>
      </c>
      <c r="C371" s="500" t="s">
        <v>257</v>
      </c>
      <c r="D371" s="501">
        <v>1124.713</v>
      </c>
      <c r="E371" s="502">
        <v>3</v>
      </c>
      <c r="F371" s="503">
        <v>684</v>
      </c>
      <c r="G371" s="504">
        <f t="shared" si="59"/>
      </c>
      <c r="H371" s="505">
        <f t="shared" si="358"/>
      </c>
      <c r="I371" s="506">
        <f t="shared" si="294"/>
      </c>
      <c r="J371" s="507">
        <f t="shared" si="230"/>
      </c>
      <c r="K371" s="508">
        <f t="shared" si="632"/>
      </c>
      <c r="L371" s="505">
        <f t="shared" si="426"/>
      </c>
      <c r="M371" s="509">
        <f t="shared" si="506"/>
      </c>
      <c r="N371" s="509">
        <f t="shared" si="552"/>
      </c>
      <c r="O371" s="509">
        <f t="shared" si="457"/>
      </c>
      <c r="P371" s="509">
        <f t="shared" si="389"/>
      </c>
      <c r="Q371" s="505">
        <f t="shared" si="327"/>
      </c>
      <c r="R371" s="507">
        <f t="shared" si="263"/>
      </c>
      <c r="S371" s="509">
        <f t="shared" si="166"/>
      </c>
      <c r="T371" s="509">
        <f t="shared" si="96"/>
      </c>
      <c r="U371" s="509">
        <f t="shared" si="22"/>
      </c>
      <c r="V371" s="509">
        <f t="shared" si="583"/>
      </c>
      <c r="W371" s="510" t="s">
        <v>255</v>
      </c>
      <c r="X371" s="511" t="s">
        <v>279</v>
      </c>
      <c r="Y371" s="513">
        <v>196406</v>
      </c>
      <c r="Z371" s="512">
        <v>2886</v>
      </c>
      <c r="AA371" s="512">
        <v>157967</v>
      </c>
      <c r="AB371" s="512">
        <v>499</v>
      </c>
      <c r="AC371" s="513">
        <v>3</v>
      </c>
      <c r="AD371" s="512">
        <v>8871</v>
      </c>
      <c r="AE371" s="513">
        <v>123</v>
      </c>
      <c r="AF371" s="513">
        <v>92</v>
      </c>
      <c r="AG371" s="514">
        <v>10</v>
      </c>
      <c r="AH371" s="514">
        <v>0</v>
      </c>
    </row>
    <row r="372">
      <c r="A372" s="498"/>
      <c r="B372" s="530" t="s">
        <v>271</v>
      </c>
      <c r="C372" s="515" t="s">
        <v>258</v>
      </c>
      <c r="D372" s="501">
        <v>1125.984</v>
      </c>
      <c r="E372" s="502">
        <v>7</v>
      </c>
      <c r="F372" s="503">
        <v>3931.9999999999995</v>
      </c>
      <c r="G372" s="504">
        <f t="shared" si="59"/>
      </c>
      <c r="H372" s="505">
        <f t="shared" si="358"/>
      </c>
      <c r="I372" s="506">
        <f t="shared" si="294"/>
      </c>
      <c r="J372" s="507">
        <f t="shared" si="230"/>
      </c>
      <c r="K372" s="508">
        <f t="shared" si="632"/>
      </c>
      <c r="L372" s="505">
        <f t="shared" si="426"/>
      </c>
      <c r="M372" s="509">
        <f t="shared" si="506"/>
      </c>
      <c r="N372" s="509">
        <f t="shared" si="552"/>
      </c>
      <c r="O372" s="509">
        <f t="shared" si="457"/>
      </c>
      <c r="P372" s="509">
        <f t="shared" si="389"/>
      </c>
      <c r="Q372" s="505">
        <f t="shared" si="327"/>
      </c>
      <c r="R372" s="507">
        <f t="shared" si="263"/>
      </c>
      <c r="S372" s="509">
        <f t="shared" si="166"/>
      </c>
      <c r="T372" s="509">
        <f t="shared" si="96"/>
      </c>
      <c r="U372" s="509">
        <f t="shared" si="22"/>
      </c>
      <c r="V372" s="509">
        <f t="shared" si="583"/>
      </c>
      <c r="W372" s="510" t="s">
        <v>255</v>
      </c>
      <c r="X372" s="511" t="s">
        <v>279</v>
      </c>
      <c r="Y372" s="513">
        <v>179444</v>
      </c>
      <c r="Z372" s="512">
        <v>3626</v>
      </c>
      <c r="AA372" s="512">
        <v>140439</v>
      </c>
      <c r="AB372" s="512">
        <v>588</v>
      </c>
      <c r="AC372" s="513">
        <v>7</v>
      </c>
      <c r="AD372" s="512">
        <v>9143</v>
      </c>
      <c r="AE372" s="513">
        <v>132</v>
      </c>
      <c r="AF372" s="513">
        <v>94</v>
      </c>
      <c r="AG372" s="513">
        <v>15</v>
      </c>
      <c r="AH372" s="514">
        <v>0</v>
      </c>
    </row>
    <row r="373">
      <c r="A373" s="498"/>
      <c r="B373" s="530" t="s">
        <v>271</v>
      </c>
      <c r="C373" s="516" t="s">
        <v>259</v>
      </c>
      <c r="D373" s="501">
        <v>1024.482</v>
      </c>
      <c r="E373" s="502">
        <v>3</v>
      </c>
      <c r="F373" s="503">
        <v>1284</v>
      </c>
      <c r="G373" s="504">
        <f t="shared" si="59"/>
      </c>
      <c r="H373" s="505">
        <f t="shared" si="358"/>
      </c>
      <c r="I373" s="506">
        <f t="shared" si="294"/>
      </c>
      <c r="J373" s="507">
        <f t="shared" si="230"/>
      </c>
      <c r="K373" s="508">
        <f t="shared" si="632"/>
      </c>
      <c r="L373" s="505">
        <f t="shared" si="426"/>
      </c>
      <c r="M373" s="509">
        <f t="shared" si="506"/>
      </c>
      <c r="N373" s="509">
        <f t="shared" si="552"/>
      </c>
      <c r="O373" s="509">
        <f t="shared" si="457"/>
      </c>
      <c r="P373" s="509">
        <f t="shared" si="389"/>
      </c>
      <c r="Q373" s="505">
        <f t="shared" si="327"/>
      </c>
      <c r="R373" s="507">
        <f t="shared" si="263"/>
      </c>
      <c r="S373" s="509">
        <f t="shared" si="166"/>
      </c>
      <c r="T373" s="509">
        <f t="shared" si="96"/>
      </c>
      <c r="U373" s="509">
        <f t="shared" si="22"/>
      </c>
      <c r="V373" s="509">
        <f t="shared" si="583"/>
      </c>
      <c r="W373" s="504" t="s">
        <v>255</v>
      </c>
      <c r="X373" s="511" t="s">
        <v>279</v>
      </c>
      <c r="Y373" s="513">
        <v>167183</v>
      </c>
      <c r="Z373" s="513">
        <v>6540</v>
      </c>
      <c r="AA373" s="513">
        <v>148468</v>
      </c>
      <c r="AB373" s="513">
        <v>536</v>
      </c>
      <c r="AC373" s="513">
        <v>3</v>
      </c>
      <c r="AD373" s="513">
        <v>11409</v>
      </c>
      <c r="AE373" s="513">
        <v>159</v>
      </c>
      <c r="AF373" s="513">
        <v>122</v>
      </c>
      <c r="AG373" s="514">
        <v>17</v>
      </c>
      <c r="AH373" s="514">
        <v>0</v>
      </c>
    </row>
    <row r="374">
      <c r="A374" s="498"/>
      <c r="B374" s="530" t="s">
        <v>271</v>
      </c>
      <c r="C374" s="516" t="s">
        <v>260</v>
      </c>
      <c r="D374" s="517">
        <v>1154.467</v>
      </c>
      <c r="E374" s="518">
        <v>4</v>
      </c>
      <c r="F374" s="519">
        <v>806.3000000000002</v>
      </c>
      <c r="G374" s="504">
        <f t="shared" si="59"/>
      </c>
      <c r="H374" s="505">
        <f t="shared" si="358"/>
      </c>
      <c r="I374" s="506">
        <f t="shared" si="294"/>
      </c>
      <c r="J374" s="507">
        <f t="shared" si="230"/>
      </c>
      <c r="K374" s="508">
        <f t="shared" si="632"/>
      </c>
      <c r="L374" s="505">
        <f t="shared" si="426"/>
      </c>
      <c r="M374" s="509">
        <f t="shared" si="506"/>
      </c>
      <c r="N374" s="509">
        <f t="shared" si="552"/>
      </c>
      <c r="O374" s="509">
        <f t="shared" si="457"/>
      </c>
      <c r="P374" s="509">
        <f t="shared" si="389"/>
      </c>
      <c r="Q374" s="505">
        <f t="shared" si="327"/>
      </c>
      <c r="R374" s="507">
        <f t="shared" si="263"/>
      </c>
      <c r="S374" s="509">
        <f t="shared" si="166"/>
      </c>
      <c r="T374" s="509">
        <f t="shared" si="96"/>
      </c>
      <c r="U374" s="509">
        <f t="shared" si="22"/>
      </c>
      <c r="V374" s="509">
        <f t="shared" si="583"/>
      </c>
      <c r="W374" s="520" t="s">
        <v>255</v>
      </c>
      <c r="X374" s="511" t="s">
        <v>279</v>
      </c>
      <c r="Y374" s="513">
        <v>197876</v>
      </c>
      <c r="Z374" s="513">
        <v>5499</v>
      </c>
      <c r="AA374" s="513">
        <v>174787</v>
      </c>
      <c r="AB374" s="513">
        <v>431</v>
      </c>
      <c r="AC374" s="513">
        <v>2</v>
      </c>
      <c r="AD374" s="513">
        <v>7701</v>
      </c>
      <c r="AE374" s="513">
        <v>82</v>
      </c>
      <c r="AF374" s="513">
        <v>87</v>
      </c>
      <c r="AG374" s="514">
        <v>13</v>
      </c>
      <c r="AH374" s="514">
        <v>1</v>
      </c>
    </row>
    <row r="375">
      <c r="A375" s="498"/>
      <c r="B375" s="521" t="s">
        <v>261</v>
      </c>
      <c r="C375" s="521"/>
      <c r="D375" s="522">
        <f>SUM(D370:D374)</f>
      </c>
      <c r="E375" s="523">
        <f>SUM(E370:E374)</f>
      </c>
      <c r="F375" s="522">
        <f>SUM(F370:F374)</f>
      </c>
      <c r="G375" s="522">
        <f t="shared" si="59"/>
      </c>
      <c r="H375" s="524">
        <f t="shared" si="358"/>
      </c>
      <c r="I375" s="525">
        <f t="shared" si="294"/>
      </c>
      <c r="J375" s="526">
        <f t="shared" si="230"/>
      </c>
      <c r="K375" s="527">
        <f t="shared" si="632"/>
      </c>
      <c r="L375" s="524">
        <f t="shared" si="426"/>
      </c>
      <c r="M375" s="528">
        <f t="shared" si="506"/>
      </c>
      <c r="N375" s="528">
        <f t="shared" si="552"/>
      </c>
      <c r="O375" s="528">
        <f t="shared" si="457"/>
      </c>
      <c r="P375" s="528">
        <f t="shared" si="389"/>
      </c>
      <c r="Q375" s="524">
        <f t="shared" si="327"/>
      </c>
      <c r="R375" s="526">
        <f t="shared" si="263"/>
      </c>
      <c r="S375" s="528">
        <f t="shared" si="166"/>
      </c>
      <c r="T375" s="528">
        <f t="shared" si="96"/>
      </c>
      <c r="U375" s="528">
        <f t="shared" si="22"/>
      </c>
      <c r="V375" s="528">
        <f t="shared" si="583"/>
      </c>
      <c r="W375" s="528"/>
      <c r="X375" s="529"/>
      <c r="Y375" s="522">
        <f>SUM(Y370:Y374)</f>
      </c>
      <c r="Z375" s="522">
        <f>SUM(Z370:Z374)</f>
      </c>
      <c r="AA375" s="522">
        <f>SUM(AA370:AA374)</f>
      </c>
      <c r="AB375" s="522">
        <f>SUM(AB370:AB374)</f>
      </c>
      <c r="AC375" s="522">
        <f>SUM(AC370:AC374)</f>
      </c>
      <c r="AD375" s="522">
        <f>SUM(AD370:AD374)</f>
      </c>
      <c r="AE375" s="522">
        <f>SUM(AE370:AE374)</f>
      </c>
      <c r="AF375" s="522">
        <f>SUM(AF370:AF374)</f>
      </c>
      <c r="AG375" s="522">
        <f>SUM(AG370:AG374)</f>
      </c>
      <c r="AH375" s="522">
        <f>SUM(AH370:AH374)</f>
      </c>
    </row>
    <row r="376">
      <c r="A376" s="498"/>
      <c r="B376" s="499" t="s">
        <v>268</v>
      </c>
      <c r="C376" s="531" t="s">
        <v>263</v>
      </c>
      <c r="D376" s="532">
        <v>1001.0600000000001</v>
      </c>
      <c r="E376" s="502">
        <v>1</v>
      </c>
      <c r="F376" s="503">
        <v>196</v>
      </c>
      <c r="G376" s="504">
        <f t="shared" si="59"/>
      </c>
      <c r="H376" s="505">
        <f t="shared" si="358"/>
      </c>
      <c r="I376" s="506">
        <f t="shared" si="294"/>
      </c>
      <c r="J376" s="507">
        <f t="shared" si="230"/>
      </c>
      <c r="K376" s="508">
        <f t="shared" si="632"/>
      </c>
      <c r="L376" s="505">
        <f t="shared" si="426"/>
      </c>
      <c r="M376" s="509">
        <f t="shared" si="506"/>
      </c>
      <c r="N376" s="509">
        <f t="shared" si="552"/>
      </c>
      <c r="O376" s="509">
        <f t="shared" si="457"/>
      </c>
      <c r="P376" s="509">
        <f t="shared" si="389"/>
      </c>
      <c r="Q376" s="505">
        <f t="shared" si="327"/>
      </c>
      <c r="R376" s="507">
        <f t="shared" si="263"/>
      </c>
      <c r="S376" s="509">
        <f t="shared" si="166"/>
      </c>
      <c r="T376" s="509">
        <f t="shared" si="96"/>
      </c>
      <c r="U376" s="509">
        <f t="shared" si="22"/>
      </c>
      <c r="V376" s="509">
        <f t="shared" si="583"/>
      </c>
      <c r="W376" s="520" t="s">
        <v>255</v>
      </c>
      <c r="X376" s="511" t="s">
        <v>279</v>
      </c>
      <c r="Y376" s="512">
        <v>186826</v>
      </c>
      <c r="Z376" s="512">
        <v>5526</v>
      </c>
      <c r="AA376" s="512">
        <v>161895</v>
      </c>
      <c r="AB376" s="513">
        <v>404</v>
      </c>
      <c r="AC376" s="513">
        <v>2</v>
      </c>
      <c r="AD376" s="512">
        <v>7136</v>
      </c>
      <c r="AE376" s="513">
        <v>85</v>
      </c>
      <c r="AF376" s="513">
        <v>83</v>
      </c>
      <c r="AG376" s="513">
        <v>7</v>
      </c>
      <c r="AH376" s="514">
        <v>0</v>
      </c>
    </row>
    <row r="377">
      <c r="A377" s="498"/>
      <c r="B377" s="499" t="s">
        <v>268</v>
      </c>
      <c r="C377" s="533" t="s">
        <v>264</v>
      </c>
      <c r="D377" s="532">
        <v>768.4739999999999</v>
      </c>
      <c r="E377" s="518">
        <v>0</v>
      </c>
      <c r="F377" s="519">
        <v>0</v>
      </c>
      <c r="G377" s="504">
        <f t="shared" si="59"/>
      </c>
      <c r="H377" s="505">
        <f t="shared" si="358"/>
      </c>
      <c r="I377" s="506">
        <f t="shared" si="294"/>
      </c>
      <c r="J377" s="507">
        <f t="shared" si="230"/>
      </c>
      <c r="K377" s="508">
        <f t="shared" si="632"/>
      </c>
      <c r="L377" s="505">
        <f t="shared" si="426"/>
      </c>
      <c r="M377" s="509">
        <f t="shared" si="506"/>
      </c>
      <c r="N377" s="509">
        <f t="shared" si="552"/>
      </c>
      <c r="O377" s="509">
        <f t="shared" si="457"/>
      </c>
      <c r="P377" s="509">
        <f t="shared" si="389"/>
      </c>
      <c r="Q377" s="505">
        <f t="shared" si="327"/>
      </c>
      <c r="R377" s="507">
        <f t="shared" si="263"/>
      </c>
      <c r="S377" s="509">
        <f t="shared" si="166"/>
      </c>
      <c r="T377" s="509">
        <f t="shared" si="96"/>
      </c>
      <c r="U377" s="509">
        <f t="shared" si="22"/>
      </c>
      <c r="V377" s="509">
        <f t="shared" si="583"/>
      </c>
      <c r="W377" s="520" t="s">
        <v>255</v>
      </c>
      <c r="X377" s="511" t="s">
        <v>279</v>
      </c>
      <c r="Y377" s="513">
        <v>127060</v>
      </c>
      <c r="Z377" s="513">
        <v>5257</v>
      </c>
      <c r="AA377" s="513">
        <v>114207</v>
      </c>
      <c r="AB377" s="513">
        <v>338</v>
      </c>
      <c r="AC377" s="513">
        <v>0</v>
      </c>
      <c r="AD377" s="513">
        <v>5966</v>
      </c>
      <c r="AE377" s="513">
        <v>130</v>
      </c>
      <c r="AF377" s="513">
        <v>89</v>
      </c>
      <c r="AG377" s="513">
        <v>16</v>
      </c>
      <c r="AH377" s="514">
        <v>0</v>
      </c>
    </row>
    <row r="378">
      <c r="A378" s="498"/>
      <c r="B378" s="499" t="s">
        <v>268</v>
      </c>
      <c r="C378" s="534" t="s">
        <v>265</v>
      </c>
      <c r="D378" s="532">
        <v>682.816</v>
      </c>
      <c r="E378" s="518">
        <v>0</v>
      </c>
      <c r="F378" s="519">
        <v>0</v>
      </c>
      <c r="G378" s="504">
        <f t="shared" si="59"/>
      </c>
      <c r="H378" s="505">
        <f t="shared" si="358"/>
      </c>
      <c r="I378" s="506">
        <f t="shared" si="294"/>
      </c>
      <c r="J378" s="507">
        <f t="shared" si="230"/>
      </c>
      <c r="K378" s="508">
        <f t="shared" si="632"/>
      </c>
      <c r="L378" s="505">
        <f t="shared" si="426"/>
      </c>
      <c r="M378" s="509">
        <f t="shared" si="506"/>
      </c>
      <c r="N378" s="509">
        <f t="shared" si="552"/>
      </c>
      <c r="O378" s="509">
        <f t="shared" si="457"/>
      </c>
      <c r="P378" s="509">
        <f t="shared" si="389"/>
      </c>
      <c r="Q378" s="505">
        <f t="shared" si="327"/>
      </c>
      <c r="R378" s="507">
        <f t="shared" si="263"/>
      </c>
      <c r="S378" s="509">
        <f t="shared" si="166"/>
      </c>
      <c r="T378" s="509">
        <f t="shared" si="96"/>
      </c>
      <c r="U378" s="509">
        <f t="shared" si="22"/>
      </c>
      <c r="V378" s="509">
        <f t="shared" si="583"/>
      </c>
      <c r="W378" s="520" t="s">
        <v>255</v>
      </c>
      <c r="X378" s="511" t="s">
        <v>279</v>
      </c>
      <c r="Y378" s="513">
        <v>106940</v>
      </c>
      <c r="Z378" s="513">
        <v>4470</v>
      </c>
      <c r="AA378" s="513">
        <v>97747</v>
      </c>
      <c r="AB378" s="513">
        <v>240</v>
      </c>
      <c r="AC378" s="513">
        <v>0</v>
      </c>
      <c r="AD378" s="513">
        <v>4443</v>
      </c>
      <c r="AE378" s="513">
        <v>53</v>
      </c>
      <c r="AF378" s="513">
        <v>59</v>
      </c>
      <c r="AG378" s="513">
        <v>5</v>
      </c>
      <c r="AH378" s="514">
        <v>0</v>
      </c>
    </row>
    <row r="379">
      <c r="A379" s="498"/>
      <c r="B379" s="499" t="s">
        <v>268</v>
      </c>
      <c r="C379" s="537" t="s">
        <v>266</v>
      </c>
      <c r="D379" s="532">
        <v>823.041</v>
      </c>
      <c r="E379" s="518">
        <v>2</v>
      </c>
      <c r="F379" s="519">
        <v>1014.3</v>
      </c>
      <c r="G379" s="504">
        <f t="shared" si="59"/>
      </c>
      <c r="H379" s="505">
        <f t="shared" si="358"/>
      </c>
      <c r="I379" s="506">
        <f t="shared" si="294"/>
      </c>
      <c r="J379" s="507">
        <f t="shared" si="230"/>
      </c>
      <c r="K379" s="508">
        <f t="shared" si="632"/>
      </c>
      <c r="L379" s="505">
        <f t="shared" si="426"/>
      </c>
      <c r="M379" s="509">
        <f t="shared" si="506"/>
      </c>
      <c r="N379" s="509">
        <f t="shared" si="552"/>
      </c>
      <c r="O379" s="509">
        <f t="shared" si="457"/>
      </c>
      <c r="P379" s="509">
        <f t="shared" si="389"/>
      </c>
      <c r="Q379" s="505">
        <f t="shared" si="327"/>
      </c>
      <c r="R379" s="507">
        <f t="shared" si="263"/>
      </c>
      <c r="S379" s="509">
        <f t="shared" si="166"/>
      </c>
      <c r="T379" s="509">
        <f t="shared" si="96"/>
      </c>
      <c r="U379" s="509">
        <f t="shared" si="22"/>
      </c>
      <c r="V379" s="509">
        <f t="shared" si="583"/>
      </c>
      <c r="W379" s="520" t="s">
        <v>255</v>
      </c>
      <c r="X379" s="511" t="s">
        <v>283</v>
      </c>
      <c r="Y379" s="513">
        <v>136407</v>
      </c>
      <c r="Z379" s="513">
        <v>4969</v>
      </c>
      <c r="AA379" s="513">
        <v>121986</v>
      </c>
      <c r="AB379" s="513">
        <v>264</v>
      </c>
      <c r="AC379" s="513">
        <v>2</v>
      </c>
      <c r="AD379" s="513">
        <v>6800</v>
      </c>
      <c r="AE379" s="513">
        <v>87</v>
      </c>
      <c r="AF379" s="513">
        <v>90</v>
      </c>
      <c r="AG379" s="513">
        <v>6</v>
      </c>
      <c r="AH379" s="514">
        <v>1</v>
      </c>
    </row>
    <row r="380">
      <c r="A380" s="498"/>
      <c r="B380" s="499" t="s">
        <v>268</v>
      </c>
      <c r="C380" s="540" t="s">
        <v>269</v>
      </c>
      <c r="D380" s="532">
        <v>930.969</v>
      </c>
      <c r="E380" s="518">
        <v>1</v>
      </c>
      <c r="F380" s="519">
        <v>828</v>
      </c>
      <c r="G380" s="504">
        <f t="shared" si="59"/>
      </c>
      <c r="H380" s="505">
        <f t="shared" si="358"/>
      </c>
      <c r="I380" s="506">
        <f t="shared" si="294"/>
      </c>
      <c r="J380" s="507">
        <f t="shared" si="230"/>
      </c>
      <c r="K380" s="508">
        <f t="shared" si="632"/>
      </c>
      <c r="L380" s="505">
        <f t="shared" si="426"/>
      </c>
      <c r="M380" s="509">
        <f t="shared" si="506"/>
      </c>
      <c r="N380" s="509">
        <f t="shared" si="552"/>
      </c>
      <c r="O380" s="509">
        <f t="shared" si="457"/>
      </c>
      <c r="P380" s="509">
        <f t="shared" si="389"/>
      </c>
      <c r="Q380" s="505">
        <f t="shared" si="327"/>
      </c>
      <c r="R380" s="507">
        <f t="shared" si="263"/>
      </c>
      <c r="S380" s="509">
        <f t="shared" si="166"/>
      </c>
      <c r="T380" s="509">
        <f t="shared" si="96"/>
      </c>
      <c r="U380" s="509">
        <f t="shared" si="22"/>
      </c>
      <c r="V380" s="509">
        <f t="shared" si="583"/>
      </c>
      <c r="W380" s="520" t="s">
        <v>255</v>
      </c>
      <c r="X380" s="511" t="s">
        <v>283</v>
      </c>
      <c r="Y380" s="513">
        <v>166271</v>
      </c>
      <c r="Z380" s="513">
        <v>2869</v>
      </c>
      <c r="AA380" s="513">
        <v>147281</v>
      </c>
      <c r="AB380" s="513">
        <v>304</v>
      </c>
      <c r="AC380" s="513">
        <v>1</v>
      </c>
      <c r="AD380" s="513">
        <v>6940</v>
      </c>
      <c r="AE380" s="513">
        <v>90</v>
      </c>
      <c r="AF380" s="513">
        <v>49</v>
      </c>
      <c r="AG380" s="513">
        <v>2</v>
      </c>
      <c r="AH380" s="514">
        <v>0</v>
      </c>
    </row>
    <row r="381">
      <c r="A381" s="498"/>
      <c r="B381" s="521" t="s">
        <v>261</v>
      </c>
      <c r="C381" s="521"/>
      <c r="D381" s="522">
        <f>SUM(D376:D380)</f>
      </c>
      <c r="E381" s="522">
        <f>SUM(E376:E380)</f>
      </c>
      <c r="F381" s="522">
        <f>SUM(F376:F380)</f>
      </c>
      <c r="G381" s="522">
        <f t="shared" si="59"/>
      </c>
      <c r="H381" s="524">
        <f t="shared" si="358"/>
      </c>
      <c r="I381" s="525">
        <f t="shared" si="294"/>
      </c>
      <c r="J381" s="526">
        <f t="shared" si="230"/>
      </c>
      <c r="K381" s="527">
        <f t="shared" si="632"/>
      </c>
      <c r="L381" s="524">
        <f t="shared" si="426"/>
      </c>
      <c r="M381" s="528">
        <f t="shared" si="506"/>
      </c>
      <c r="N381" s="528">
        <f t="shared" si="552"/>
      </c>
      <c r="O381" s="528">
        <f t="shared" si="457"/>
      </c>
      <c r="P381" s="528">
        <f t="shared" si="389"/>
      </c>
      <c r="Q381" s="524">
        <f t="shared" si="327"/>
      </c>
      <c r="R381" s="526">
        <f t="shared" si="263"/>
      </c>
      <c r="S381" s="528">
        <f t="shared" si="166"/>
      </c>
      <c r="T381" s="528">
        <f t="shared" si="96"/>
      </c>
      <c r="U381" s="528">
        <f t="shared" si="22"/>
      </c>
      <c r="V381" s="528">
        <f t="shared" si="583"/>
      </c>
      <c r="W381" s="528"/>
      <c r="X381" s="529"/>
      <c r="Y381" s="522">
        <f>SUM(Y376:Y380)</f>
      </c>
      <c r="Z381" s="522">
        <f>SUM(Z376:Z380)</f>
      </c>
      <c r="AA381" s="522">
        <f>SUM(AA376:AA380)</f>
      </c>
      <c r="AB381" s="522">
        <f>SUM(AB376:AB380)</f>
      </c>
      <c r="AC381" s="522">
        <f>SUM(AC376:AC380)</f>
      </c>
      <c r="AD381" s="522">
        <f>SUM(AD376:AD380)</f>
      </c>
      <c r="AE381" s="522">
        <f>SUM(AE376:AE380)</f>
      </c>
      <c r="AF381" s="522">
        <f>SUM(AF376:AF380)</f>
      </c>
      <c r="AG381" s="522">
        <f>SUM(AG376:AG380)</f>
      </c>
      <c r="AH381" s="522">
        <f>SUM(AH376:AH380)</f>
      </c>
    </row>
    <row r="382">
      <c r="A382" s="498"/>
      <c r="B382" s="499" t="s">
        <v>253</v>
      </c>
      <c r="C382" s="534" t="s">
        <v>270</v>
      </c>
      <c r="D382" s="541">
        <v>771.932</v>
      </c>
      <c r="E382" s="542">
        <v>0</v>
      </c>
      <c r="F382" s="519">
        <v>0</v>
      </c>
      <c r="G382" s="504">
        <f t="shared" si="59"/>
      </c>
      <c r="H382" s="505">
        <f t="shared" si="358"/>
      </c>
      <c r="I382" s="506">
        <f t="shared" si="294"/>
      </c>
      <c r="J382" s="507">
        <f t="shared" si="230"/>
      </c>
      <c r="K382" s="508">
        <f t="shared" si="632"/>
      </c>
      <c r="L382" s="505">
        <f t="shared" si="426"/>
      </c>
      <c r="M382" s="509">
        <f t="shared" si="506"/>
      </c>
      <c r="N382" s="509">
        <f t="shared" si="552"/>
      </c>
      <c r="O382" s="509">
        <f t="shared" si="457"/>
      </c>
      <c r="P382" s="509">
        <f t="shared" si="389"/>
      </c>
      <c r="Q382" s="505">
        <f t="shared" si="327"/>
      </c>
      <c r="R382" s="507">
        <f t="shared" si="263"/>
      </c>
      <c r="S382" s="509">
        <f t="shared" si="166"/>
      </c>
      <c r="T382" s="509">
        <f t="shared" si="96"/>
      </c>
      <c r="U382" s="509">
        <f t="shared" si="22"/>
      </c>
      <c r="V382" s="509">
        <f t="shared" si="583"/>
      </c>
      <c r="W382" s="520" t="s">
        <v>255</v>
      </c>
      <c r="X382" s="511" t="s">
        <v>283</v>
      </c>
      <c r="Y382" s="513">
        <v>147202</v>
      </c>
      <c r="Z382" s="513">
        <v>1975</v>
      </c>
      <c r="AA382" s="513">
        <v>134759</v>
      </c>
      <c r="AB382" s="513">
        <v>219</v>
      </c>
      <c r="AC382" s="513">
        <v>0</v>
      </c>
      <c r="AD382" s="513">
        <v>5166</v>
      </c>
      <c r="AE382" s="513">
        <v>45</v>
      </c>
      <c r="AF382" s="513">
        <v>33</v>
      </c>
      <c r="AG382" s="513">
        <v>4</v>
      </c>
      <c r="AH382" s="514">
        <v>0</v>
      </c>
    </row>
    <row r="383">
      <c r="A383" s="498"/>
      <c r="B383" s="499" t="s">
        <v>253</v>
      </c>
      <c r="C383" s="534" t="s">
        <v>272</v>
      </c>
      <c r="D383" s="541">
        <v>1045.736</v>
      </c>
      <c r="E383" s="542">
        <v>4</v>
      </c>
      <c r="F383" s="519">
        <v>880</v>
      </c>
      <c r="G383" s="504">
        <f t="shared" si="59"/>
      </c>
      <c r="H383" s="505">
        <f t="shared" si="358"/>
      </c>
      <c r="I383" s="506">
        <f t="shared" si="294"/>
      </c>
      <c r="J383" s="507">
        <f t="shared" si="230"/>
      </c>
      <c r="K383" s="508">
        <f t="shared" si="632"/>
      </c>
      <c r="L383" s="505">
        <f t="shared" si="426"/>
      </c>
      <c r="M383" s="509">
        <f t="shared" si="506"/>
      </c>
      <c r="N383" s="509">
        <f t="shared" si="552"/>
      </c>
      <c r="O383" s="509">
        <f t="shared" si="457"/>
      </c>
      <c r="P383" s="509">
        <f t="shared" si="389"/>
      </c>
      <c r="Q383" s="505">
        <f t="shared" si="327"/>
      </c>
      <c r="R383" s="507">
        <f t="shared" si="263"/>
      </c>
      <c r="S383" s="509">
        <f t="shared" si="166"/>
      </c>
      <c r="T383" s="509">
        <f t="shared" si="96"/>
      </c>
      <c r="U383" s="509">
        <f t="shared" si="22"/>
      </c>
      <c r="V383" s="509">
        <f t="shared" si="583"/>
      </c>
      <c r="W383" s="520" t="s">
        <v>255</v>
      </c>
      <c r="X383" s="511" t="s">
        <v>283</v>
      </c>
      <c r="Y383" s="513">
        <v>230085</v>
      </c>
      <c r="Z383" s="513">
        <v>2524</v>
      </c>
      <c r="AA383" s="513">
        <v>226093</v>
      </c>
      <c r="AB383" s="513">
        <v>263</v>
      </c>
      <c r="AC383" s="513">
        <v>4</v>
      </c>
      <c r="AD383" s="513">
        <v>7456</v>
      </c>
      <c r="AE383" s="513">
        <v>78</v>
      </c>
      <c r="AF383" s="513">
        <v>65</v>
      </c>
      <c r="AG383" s="513">
        <v>8</v>
      </c>
      <c r="AH383" s="514">
        <v>0</v>
      </c>
    </row>
    <row r="384">
      <c r="A384" s="498"/>
      <c r="B384" s="499" t="s">
        <v>253</v>
      </c>
      <c r="C384" s="537" t="s">
        <v>273</v>
      </c>
      <c r="D384" s="541">
        <v>1287.514</v>
      </c>
      <c r="E384" s="542">
        <v>3</v>
      </c>
      <c r="F384" s="519">
        <v>1242.3</v>
      </c>
      <c r="G384" s="504">
        <f t="shared" si="59"/>
      </c>
      <c r="H384" s="505">
        <f t="shared" si="358"/>
      </c>
      <c r="I384" s="506">
        <f t="shared" si="294"/>
      </c>
      <c r="J384" s="507">
        <f t="shared" si="230"/>
      </c>
      <c r="K384" s="508">
        <f t="shared" si="632"/>
      </c>
      <c r="L384" s="505">
        <f t="shared" si="426"/>
      </c>
      <c r="M384" s="509">
        <f t="shared" si="506"/>
      </c>
      <c r="N384" s="509">
        <f t="shared" si="552"/>
      </c>
      <c r="O384" s="509">
        <f t="shared" si="457"/>
      </c>
      <c r="P384" s="509">
        <f t="shared" si="389"/>
      </c>
      <c r="Q384" s="505">
        <f t="shared" si="327"/>
      </c>
      <c r="R384" s="507">
        <f t="shared" si="263"/>
      </c>
      <c r="S384" s="509">
        <f t="shared" si="166"/>
      </c>
      <c r="T384" s="509">
        <f t="shared" si="96"/>
      </c>
      <c r="U384" s="509">
        <f t="shared" si="22"/>
      </c>
      <c r="V384" s="509">
        <f t="shared" si="583"/>
      </c>
      <c r="W384" s="520" t="s">
        <v>255</v>
      </c>
      <c r="X384" s="511" t="s">
        <v>283</v>
      </c>
      <c r="Y384" s="513">
        <v>290144</v>
      </c>
      <c r="Z384" s="513">
        <v>3675</v>
      </c>
      <c r="AA384" s="513">
        <v>281911</v>
      </c>
      <c r="AB384" s="513">
        <v>412</v>
      </c>
      <c r="AC384" s="513">
        <v>2</v>
      </c>
      <c r="AD384" s="513">
        <v>9221</v>
      </c>
      <c r="AE384" s="513">
        <v>107</v>
      </c>
      <c r="AF384" s="513">
        <v>81</v>
      </c>
      <c r="AG384" s="513">
        <v>10</v>
      </c>
      <c r="AH384" s="514">
        <v>1</v>
      </c>
    </row>
    <row r="385">
      <c r="A385" s="498"/>
      <c r="B385" s="499" t="s">
        <v>253</v>
      </c>
      <c r="C385" s="534" t="s">
        <v>274</v>
      </c>
      <c r="D385" s="535">
        <v>1730.712</v>
      </c>
      <c r="E385" s="502">
        <v>9</v>
      </c>
      <c r="F385" s="503">
        <v>2879.9</v>
      </c>
      <c r="G385" s="504">
        <f t="shared" si="59"/>
      </c>
      <c r="H385" s="505">
        <f t="shared" si="358"/>
      </c>
      <c r="I385" s="560">
        <f t="shared" si="294"/>
      </c>
      <c r="J385" s="559">
        <f t="shared" si="230"/>
      </c>
      <c r="K385" s="556">
        <f t="shared" ref="K385:K386" si="135">D385/AB385</f>
      </c>
      <c r="L385" s="557">
        <f t="shared" si="426"/>
      </c>
      <c r="M385" s="558">
        <f t="shared" ref="M385:M386" si="197">AC385/AB385</f>
      </c>
      <c r="N385" s="558">
        <f t="shared" si="552"/>
      </c>
      <c r="O385" s="558">
        <f t="shared" si="457"/>
      </c>
      <c r="P385" s="558">
        <f t="shared" si="389"/>
      </c>
      <c r="Q385" s="557">
        <f t="shared" si="327"/>
      </c>
      <c r="R385" s="559">
        <f t="shared" si="263"/>
      </c>
      <c r="S385" s="558">
        <f t="shared" si="166"/>
      </c>
      <c r="T385" s="558">
        <f t="shared" si="96"/>
      </c>
      <c r="U385" s="558">
        <f t="shared" si="22"/>
      </c>
      <c r="V385" s="558">
        <f t="shared" si="583"/>
      </c>
      <c r="W385" s="520" t="s">
        <v>255</v>
      </c>
      <c r="X385" s="511" t="s">
        <v>283</v>
      </c>
      <c r="Y385" s="513">
        <v>395500</v>
      </c>
      <c r="Z385" s="513">
        <v>4718</v>
      </c>
      <c r="AA385" s="513">
        <v>385372</v>
      </c>
      <c r="AB385" s="536">
        <v>514</v>
      </c>
      <c r="AC385" s="536">
        <v>6</v>
      </c>
      <c r="AD385" s="536">
        <v>12967</v>
      </c>
      <c r="AE385" s="536">
        <v>153</v>
      </c>
      <c r="AF385" s="536">
        <v>112</v>
      </c>
      <c r="AG385" s="536">
        <v>27</v>
      </c>
      <c r="AH385" s="514">
        <v>3</v>
      </c>
    </row>
    <row r="386">
      <c r="A386" s="498"/>
      <c r="B386" s="499" t="s">
        <v>253</v>
      </c>
      <c r="C386" s="555" t="s">
        <v>275</v>
      </c>
      <c r="D386" s="541">
        <v>2388.92</v>
      </c>
      <c r="E386" s="542">
        <v>7</v>
      </c>
      <c r="F386" s="519">
        <v>2612.6</v>
      </c>
      <c r="G386" s="504">
        <f t="shared" si="59"/>
      </c>
      <c r="H386" s="505">
        <f t="shared" si="358"/>
      </c>
      <c r="I386" s="560">
        <f t="shared" si="294"/>
      </c>
      <c r="J386" s="559">
        <f t="shared" si="230"/>
      </c>
      <c r="K386" s="556">
        <f t="shared" si="135"/>
      </c>
      <c r="L386" s="557">
        <f t="shared" si="426"/>
      </c>
      <c r="M386" s="558">
        <f t="shared" si="197"/>
      </c>
      <c r="N386" s="558">
        <f t="shared" si="552"/>
      </c>
      <c r="O386" s="558">
        <f t="shared" si="457"/>
      </c>
      <c r="P386" s="558">
        <f t="shared" si="389"/>
      </c>
      <c r="Q386" s="557">
        <f t="shared" si="327"/>
      </c>
      <c r="R386" s="559">
        <f t="shared" si="263"/>
      </c>
      <c r="S386" s="558">
        <f t="shared" si="166"/>
      </c>
      <c r="T386" s="558">
        <f t="shared" si="96"/>
      </c>
      <c r="U386" s="558">
        <f t="shared" si="22"/>
      </c>
      <c r="V386" s="558">
        <f t="shared" si="583"/>
      </c>
      <c r="W386" s="520" t="s">
        <v>255</v>
      </c>
      <c r="X386" s="511" t="s">
        <v>283</v>
      </c>
      <c r="Y386" s="513">
        <v>577041</v>
      </c>
      <c r="Z386" s="513">
        <v>5927</v>
      </c>
      <c r="AA386" s="513">
        <v>516445</v>
      </c>
      <c r="AB386" s="513">
        <v>787</v>
      </c>
      <c r="AC386" s="513">
        <v>4</v>
      </c>
      <c r="AD386" s="513">
        <v>14702</v>
      </c>
      <c r="AE386" s="513">
        <v>172</v>
      </c>
      <c r="AF386" s="513">
        <v>124</v>
      </c>
      <c r="AG386" s="514">
        <v>26</v>
      </c>
      <c r="AH386" s="514">
        <v>0</v>
      </c>
    </row>
    <row r="387">
      <c r="A387" s="498"/>
      <c r="B387" s="538" t="s">
        <v>261</v>
      </c>
      <c r="C387" s="538"/>
      <c r="D387" s="522">
        <f>SUM(D382:D386)</f>
      </c>
      <c r="E387" s="522">
        <f>SUM(E382:E386)</f>
      </c>
      <c r="F387" s="522">
        <f>SUM(F382:F386)</f>
      </c>
      <c r="G387" s="522">
        <f t="shared" si="59"/>
      </c>
      <c r="H387" s="524">
        <f t="shared" si="358"/>
      </c>
      <c r="I387" s="525">
        <f t="shared" si="294"/>
      </c>
      <c r="J387" s="526">
        <f t="shared" si="230"/>
      </c>
      <c r="K387" s="527">
        <f t="shared" ref="K387:K388" si="633">D387/AA387</f>
      </c>
      <c r="L387" s="524">
        <f t="shared" si="426"/>
      </c>
      <c r="M387" s="528">
        <f t="shared" ref="M387:M388" si="507">AB387/AA387</f>
      </c>
      <c r="N387" s="528">
        <f t="shared" si="552"/>
      </c>
      <c r="O387" s="528">
        <f t="shared" si="457"/>
      </c>
      <c r="P387" s="528">
        <f t="shared" si="389"/>
      </c>
      <c r="Q387" s="524">
        <f t="shared" si="327"/>
      </c>
      <c r="R387" s="526">
        <f t="shared" si="263"/>
      </c>
      <c r="S387" s="528">
        <f t="shared" si="166"/>
      </c>
      <c r="T387" s="528">
        <f t="shared" si="96"/>
      </c>
      <c r="U387" s="528">
        <f t="shared" si="22"/>
      </c>
      <c r="V387" s="528">
        <f t="shared" si="583"/>
      </c>
      <c r="W387" s="528"/>
      <c r="X387" s="529"/>
      <c r="Y387" s="522">
        <f>SUM(Y382:Y386)</f>
      </c>
      <c r="Z387" s="522">
        <f>SUM(Z382:Z386)</f>
      </c>
      <c r="AA387" s="522">
        <f>SUM(AA382:AA386)</f>
      </c>
      <c r="AB387" s="522">
        <f>SUM(AB382:AB386)</f>
      </c>
      <c r="AC387" s="522">
        <f>SUM(AC382:AC386)</f>
      </c>
      <c r="AD387" s="522">
        <f>SUM(AD382:AD386)</f>
      </c>
      <c r="AE387" s="522">
        <f>SUM(AE382:AE386)</f>
      </c>
      <c r="AF387" s="522">
        <f>SUM(AF382:AF386)</f>
      </c>
      <c r="AG387" s="522">
        <f>SUM(AG382:AG386)</f>
      </c>
      <c r="AH387" s="522">
        <f>SUM(AH382:AH386)</f>
      </c>
    </row>
    <row r="388">
      <c r="A388" s="498"/>
      <c r="B388" s="543" t="s">
        <v>276</v>
      </c>
      <c r="C388" s="543"/>
      <c r="D388" s="554">
        <f>SUM(D375+D387+D381)</f>
      </c>
      <c r="E388" s="554">
        <f>SUM(E375+E387+E381)</f>
      </c>
      <c r="F388" s="554">
        <f>SUM(F375+F387+F381)</f>
      </c>
      <c r="G388" s="544">
        <f t="shared" si="59"/>
      </c>
      <c r="H388" s="545">
        <f t="shared" si="358"/>
      </c>
      <c r="I388" s="546">
        <f t="shared" si="294"/>
      </c>
      <c r="J388" s="547">
        <f t="shared" si="230"/>
      </c>
      <c r="K388" s="548">
        <f t="shared" si="633"/>
      </c>
      <c r="L388" s="548">
        <f t="shared" si="426"/>
      </c>
      <c r="M388" s="550">
        <f t="shared" si="507"/>
      </c>
      <c r="N388" s="550">
        <f t="shared" si="552"/>
      </c>
      <c r="O388" s="550">
        <f t="shared" si="457"/>
      </c>
      <c r="P388" s="550">
        <f t="shared" si="389"/>
      </c>
      <c r="Q388" s="549">
        <f t="shared" si="327"/>
      </c>
      <c r="R388" s="551">
        <f t="shared" si="263"/>
      </c>
      <c r="S388" s="552">
        <f t="shared" si="166"/>
      </c>
      <c r="T388" s="552">
        <f t="shared" si="96"/>
      </c>
      <c r="U388" s="552">
        <f t="shared" si="22"/>
      </c>
      <c r="V388" s="552">
        <f t="shared" si="583"/>
      </c>
      <c r="W388" s="552"/>
      <c r="X388" s="553"/>
      <c r="Y388" s="544">
        <f>SUM(Y387+Y375+Y381)</f>
      </c>
      <c r="Z388" s="544">
        <f>SUM(Z387+Z375+Z381)</f>
      </c>
      <c r="AA388" s="544">
        <f>SUM(AA387+AA375+AA381)</f>
      </c>
      <c r="AB388" s="544">
        <f>SUM(AB387+AB375+AB381)</f>
      </c>
      <c r="AC388" s="544">
        <f>SUM(AC387+AC375+AC381)</f>
      </c>
      <c r="AD388" s="544">
        <f>SUM(AD387+AD375+AD381)</f>
      </c>
      <c r="AE388" s="544">
        <f>SUM(AE387+AE375+AE381)</f>
      </c>
      <c r="AF388" s="544">
        <f>SUM(AF387+AF375+AF381)</f>
      </c>
      <c r="AG388" s="544">
        <f>SUM(AG387+AG375+AG381)</f>
      </c>
      <c r="AH388" s="544">
        <f>SUM(AH387+AH375+AH381)</f>
      </c>
    </row>
    <row r="389">
      <c r="A389" s="486" t="s">
        <v>218</v>
      </c>
      <c r="B389" s="561" t="s">
        <v>219</v>
      </c>
      <c r="C389" s="562" t="s">
        <v>220</v>
      </c>
      <c r="D389" s="487" t="s">
        <v>221</v>
      </c>
      <c r="E389" s="488" t="s">
        <v>222</v>
      </c>
      <c r="F389" s="489" t="s">
        <v>223</v>
      </c>
      <c r="G389" s="489" t="s">
        <v>224</v>
      </c>
      <c r="H389" s="490" t="s">
        <v>225</v>
      </c>
      <c r="I389" s="490" t="s">
        <v>226</v>
      </c>
      <c r="J389" s="490" t="s">
        <v>227</v>
      </c>
      <c r="K389" s="491" t="s">
        <v>228</v>
      </c>
      <c r="L389" s="491" t="s">
        <v>229</v>
      </c>
      <c r="M389" s="491" t="s">
        <v>231</v>
      </c>
      <c r="N389" s="491" t="s">
        <v>232</v>
      </c>
      <c r="O389" s="491" t="s">
        <v>233</v>
      </c>
      <c r="P389" s="491" t="s">
        <v>234</v>
      </c>
      <c r="Q389" s="491" t="s">
        <v>235</v>
      </c>
      <c r="R389" s="491" t="s">
        <v>236</v>
      </c>
      <c r="S389" s="492" t="s">
        <v>237</v>
      </c>
      <c r="T389" s="492" t="s">
        <v>238</v>
      </c>
      <c r="U389" s="492" t="s">
        <v>239</v>
      </c>
      <c r="V389" s="492" t="s">
        <v>240</v>
      </c>
      <c r="W389" s="493" t="s">
        <v>241</v>
      </c>
      <c r="X389" s="493" t="s">
        <v>242</v>
      </c>
      <c r="Y389" s="494" t="s">
        <v>243</v>
      </c>
      <c r="Z389" s="494" t="s">
        <v>244</v>
      </c>
      <c r="AA389" s="494" t="s">
        <v>245</v>
      </c>
      <c r="AB389" s="495" t="s">
        <v>246</v>
      </c>
      <c r="AC389" s="495" t="s">
        <v>247</v>
      </c>
      <c r="AD389" s="496" t="s">
        <v>248</v>
      </c>
      <c r="AE389" s="495" t="s">
        <v>249</v>
      </c>
      <c r="AF389" s="495" t="s">
        <v>250</v>
      </c>
      <c r="AG389" s="497" t="s">
        <v>251</v>
      </c>
      <c r="AH389" s="495" t="s">
        <v>252</v>
      </c>
    </row>
    <row r="390">
      <c r="A390" s="498">
        <v>46223</v>
      </c>
      <c r="B390" s="499" t="s">
        <v>253</v>
      </c>
      <c r="C390" s="500" t="s">
        <v>257</v>
      </c>
      <c r="D390" s="501">
        <v>288.469</v>
      </c>
      <c r="E390" s="502">
        <v>0</v>
      </c>
      <c r="F390" s="503">
        <v>0</v>
      </c>
      <c r="G390" s="504">
        <f t="shared" ref="G390:G408" si="60">D390/AC390</f>
      </c>
      <c r="H390" s="505">
        <f t="shared" ref="H390:H408" si="359">F390/E390</f>
      </c>
      <c r="I390" s="506">
        <f t="shared" ref="I390:I408" si="295">D390/E390</f>
      </c>
      <c r="J390" s="507">
        <f t="shared" ref="J390:J408" si="231">F390/D390</f>
      </c>
      <c r="K390" s="508">
        <f t="shared" ref="K390:K404" si="634">D390/AA390</f>
      </c>
      <c r="L390" s="505">
        <f t="shared" ref="L390:L408" si="427">D390/AB390</f>
      </c>
      <c r="M390" s="509">
        <f t="shared" ref="M390:M404" si="508">AB390/AA390</f>
      </c>
      <c r="N390" s="509">
        <f t="shared" ref="N390:N408" si="553">AC390/AB390</f>
      </c>
      <c r="O390" s="509">
        <f t="shared" ref="O390:O408" si="458">Z390/Y390</f>
      </c>
      <c r="P390" s="509">
        <f t="shared" ref="P390:P408" si="390">AC390/Z390</f>
      </c>
      <c r="Q390" s="505">
        <f t="shared" ref="Q390:Q408" si="328">D390/Y390*1000</f>
      </c>
      <c r="R390" s="507">
        <f t="shared" ref="R390:R408" si="264">D390/Z390</f>
      </c>
      <c r="S390" s="509">
        <f t="shared" ref="S390:S408" si="167">AD390/AA390</f>
      </c>
      <c r="T390" s="509">
        <f t="shared" ref="T390:T408" si="97">AE390/AA390</f>
      </c>
      <c r="U390" s="509">
        <f t="shared" ref="U390:U408" si="23">AF390/AA390</f>
      </c>
      <c r="V390" s="509">
        <f t="shared" ref="V390:V408" si="584">AG390/AA390</f>
      </c>
      <c r="W390" s="510" t="s">
        <v>255</v>
      </c>
      <c r="X390" s="511" t="s">
        <v>279</v>
      </c>
      <c r="Y390" s="512">
        <v>54057</v>
      </c>
      <c r="Z390" s="512">
        <v>1304</v>
      </c>
      <c r="AA390" s="512">
        <v>37873</v>
      </c>
      <c r="AB390" s="512">
        <v>160</v>
      </c>
      <c r="AC390" s="514">
        <v>0</v>
      </c>
      <c r="AD390" s="512">
        <v>3657</v>
      </c>
      <c r="AE390" s="513">
        <v>23</v>
      </c>
      <c r="AF390" s="513">
        <v>31</v>
      </c>
      <c r="AG390" s="513">
        <v>2</v>
      </c>
      <c r="AH390" s="514">
        <v>0</v>
      </c>
    </row>
    <row r="391">
      <c r="A391" s="498"/>
      <c r="B391" s="499" t="s">
        <v>253</v>
      </c>
      <c r="C391" s="515" t="s">
        <v>258</v>
      </c>
      <c r="D391" s="501">
        <v>1112.875</v>
      </c>
      <c r="E391" s="502">
        <v>3</v>
      </c>
      <c r="F391" s="503">
        <v>652</v>
      </c>
      <c r="G391" s="504">
        <f t="shared" si="60"/>
      </c>
      <c r="H391" s="505">
        <f t="shared" si="359"/>
      </c>
      <c r="I391" s="506">
        <f t="shared" si="295"/>
      </c>
      <c r="J391" s="507">
        <f t="shared" si="231"/>
      </c>
      <c r="K391" s="508">
        <f t="shared" si="634"/>
      </c>
      <c r="L391" s="505">
        <f t="shared" si="427"/>
      </c>
      <c r="M391" s="509">
        <f t="shared" si="508"/>
      </c>
      <c r="N391" s="509">
        <f t="shared" si="553"/>
      </c>
      <c r="O391" s="509">
        <f t="shared" si="458"/>
      </c>
      <c r="P391" s="509">
        <f t="shared" si="390"/>
      </c>
      <c r="Q391" s="505">
        <f t="shared" si="328"/>
      </c>
      <c r="R391" s="507">
        <f t="shared" si="264"/>
      </c>
      <c r="S391" s="509">
        <f t="shared" si="167"/>
      </c>
      <c r="T391" s="509">
        <f t="shared" si="97"/>
      </c>
      <c r="U391" s="509">
        <f t="shared" si="23"/>
      </c>
      <c r="V391" s="509">
        <f t="shared" si="584"/>
      </c>
      <c r="W391" s="510" t="s">
        <v>255</v>
      </c>
      <c r="X391" s="511" t="s">
        <v>279</v>
      </c>
      <c r="Y391" s="513">
        <v>215070</v>
      </c>
      <c r="Z391" s="512">
        <v>3436</v>
      </c>
      <c r="AA391" s="512">
        <v>181118</v>
      </c>
      <c r="AB391" s="512">
        <v>495</v>
      </c>
      <c r="AC391" s="513">
        <v>3</v>
      </c>
      <c r="AD391" s="512">
        <v>10430</v>
      </c>
      <c r="AE391" s="513">
        <v>96</v>
      </c>
      <c r="AF391" s="513">
        <v>72</v>
      </c>
      <c r="AG391" s="514">
        <v>15</v>
      </c>
      <c r="AH391" s="514">
        <v>0</v>
      </c>
    </row>
    <row r="392">
      <c r="A392" s="498"/>
      <c r="B392" s="499" t="s">
        <v>253</v>
      </c>
      <c r="C392" s="564" t="s">
        <v>259</v>
      </c>
      <c r="D392" s="565">
        <v>1563.114</v>
      </c>
      <c r="E392" s="502">
        <v>1</v>
      </c>
      <c r="F392" s="503">
        <v>228</v>
      </c>
      <c r="G392" s="504">
        <f t="shared" si="60"/>
      </c>
      <c r="H392" s="505">
        <f t="shared" si="359"/>
      </c>
      <c r="I392" s="506">
        <f t="shared" si="295"/>
      </c>
      <c r="J392" s="507">
        <f t="shared" si="231"/>
      </c>
      <c r="K392" s="508">
        <f t="shared" si="634"/>
      </c>
      <c r="L392" s="505">
        <f t="shared" si="427"/>
      </c>
      <c r="M392" s="509">
        <f t="shared" si="508"/>
      </c>
      <c r="N392" s="509">
        <f t="shared" si="553"/>
      </c>
      <c r="O392" s="509">
        <f t="shared" si="458"/>
      </c>
      <c r="P392" s="509">
        <f t="shared" si="390"/>
      </c>
      <c r="Q392" s="505">
        <f t="shared" si="328"/>
      </c>
      <c r="R392" s="507">
        <f t="shared" si="264"/>
      </c>
      <c r="S392" s="509">
        <f t="shared" si="167"/>
      </c>
      <c r="T392" s="509">
        <f t="shared" si="97"/>
      </c>
      <c r="U392" s="509">
        <f t="shared" si="23"/>
      </c>
      <c r="V392" s="509">
        <f t="shared" si="584"/>
      </c>
      <c r="W392" s="510" t="s">
        <v>255</v>
      </c>
      <c r="X392" s="511" t="s">
        <v>279</v>
      </c>
      <c r="Y392" s="513">
        <v>268522</v>
      </c>
      <c r="Z392" s="512">
        <v>6582</v>
      </c>
      <c r="AA392" s="512">
        <v>250698</v>
      </c>
      <c r="AB392" s="512">
        <v>624</v>
      </c>
      <c r="AC392" s="513">
        <v>0</v>
      </c>
      <c r="AD392" s="512">
        <v>18832</v>
      </c>
      <c r="AE392" s="513">
        <v>199</v>
      </c>
      <c r="AF392" s="513">
        <v>165</v>
      </c>
      <c r="AG392" s="513">
        <v>21</v>
      </c>
      <c r="AH392" s="514">
        <v>0</v>
      </c>
    </row>
    <row r="393">
      <c r="A393" s="498"/>
      <c r="B393" s="566" t="s">
        <v>253</v>
      </c>
      <c r="C393" s="516" t="s">
        <v>260</v>
      </c>
      <c r="D393" s="567">
        <v>1588.1109999999999</v>
      </c>
      <c r="E393" s="568">
        <v>2</v>
      </c>
      <c r="F393" s="503">
        <v>445.20000000000005</v>
      </c>
      <c r="G393" s="504">
        <f t="shared" si="60"/>
      </c>
      <c r="H393" s="505">
        <f t="shared" si="359"/>
      </c>
      <c r="I393" s="506">
        <f t="shared" si="295"/>
      </c>
      <c r="J393" s="507">
        <f t="shared" si="231"/>
      </c>
      <c r="K393" s="508">
        <f t="shared" si="634"/>
      </c>
      <c r="L393" s="505">
        <f t="shared" si="427"/>
      </c>
      <c r="M393" s="509">
        <f t="shared" si="508"/>
      </c>
      <c r="N393" s="509">
        <f t="shared" si="553"/>
      </c>
      <c r="O393" s="509">
        <f t="shared" si="458"/>
      </c>
      <c r="P393" s="509">
        <f t="shared" si="390"/>
      </c>
      <c r="Q393" s="505">
        <f t="shared" si="328"/>
      </c>
      <c r="R393" s="507">
        <f t="shared" si="264"/>
      </c>
      <c r="S393" s="509">
        <f t="shared" si="167"/>
      </c>
      <c r="T393" s="509">
        <f t="shared" si="97"/>
      </c>
      <c r="U393" s="509">
        <f t="shared" si="23"/>
      </c>
      <c r="V393" s="509">
        <f t="shared" si="584"/>
      </c>
      <c r="W393" s="504" t="s">
        <v>255</v>
      </c>
      <c r="X393" s="511" t="s">
        <v>279</v>
      </c>
      <c r="Y393" s="513">
        <v>276844</v>
      </c>
      <c r="Z393" s="513">
        <v>4649</v>
      </c>
      <c r="AA393" s="513">
        <v>238936</v>
      </c>
      <c r="AB393" s="513">
        <v>643</v>
      </c>
      <c r="AC393" s="513">
        <v>2</v>
      </c>
      <c r="AD393" s="513">
        <v>13025</v>
      </c>
      <c r="AE393" s="513">
        <v>186</v>
      </c>
      <c r="AF393" s="513">
        <v>123</v>
      </c>
      <c r="AG393" s="514">
        <v>14</v>
      </c>
      <c r="AH393" s="514">
        <v>1</v>
      </c>
    </row>
    <row r="394">
      <c r="A394" s="498"/>
      <c r="B394" s="566" t="s">
        <v>253</v>
      </c>
      <c r="C394" s="516" t="s">
        <v>263</v>
      </c>
      <c r="D394" s="567">
        <v>1335.681</v>
      </c>
      <c r="E394" s="569">
        <v>1</v>
      </c>
      <c r="F394" s="519">
        <v>228</v>
      </c>
      <c r="G394" s="504">
        <f t="shared" si="60"/>
      </c>
      <c r="H394" s="505">
        <f t="shared" si="359"/>
      </c>
      <c r="I394" s="506">
        <f t="shared" si="295"/>
      </c>
      <c r="J394" s="507">
        <f t="shared" si="231"/>
      </c>
      <c r="K394" s="508">
        <f t="shared" si="634"/>
      </c>
      <c r="L394" s="505">
        <f t="shared" si="427"/>
      </c>
      <c r="M394" s="509">
        <f t="shared" si="508"/>
      </c>
      <c r="N394" s="509">
        <f t="shared" si="553"/>
      </c>
      <c r="O394" s="509">
        <f t="shared" si="458"/>
      </c>
      <c r="P394" s="509">
        <f t="shared" si="390"/>
      </c>
      <c r="Q394" s="505">
        <f t="shared" si="328"/>
      </c>
      <c r="R394" s="507">
        <f t="shared" si="264"/>
      </c>
      <c r="S394" s="509">
        <f t="shared" si="167"/>
      </c>
      <c r="T394" s="509">
        <f t="shared" si="97"/>
      </c>
      <c r="U394" s="509">
        <f t="shared" si="23"/>
      </c>
      <c r="V394" s="509">
        <f t="shared" si="584"/>
      </c>
      <c r="W394" s="520" t="s">
        <v>255</v>
      </c>
      <c r="X394" s="511" t="s">
        <v>279</v>
      </c>
      <c r="Y394" s="513">
        <v>203240</v>
      </c>
      <c r="Z394" s="513">
        <v>7072</v>
      </c>
      <c r="AA394" s="513">
        <v>174310</v>
      </c>
      <c r="AB394" s="513">
        <v>649</v>
      </c>
      <c r="AC394" s="513">
        <v>1</v>
      </c>
      <c r="AD394" s="513">
        <v>11746</v>
      </c>
      <c r="AE394" s="513">
        <v>187</v>
      </c>
      <c r="AF394" s="513">
        <v>154</v>
      </c>
      <c r="AG394" s="514">
        <v>19</v>
      </c>
      <c r="AH394" s="514">
        <v>0</v>
      </c>
    </row>
    <row r="395">
      <c r="A395" s="498"/>
      <c r="B395" s="521" t="s">
        <v>261</v>
      </c>
      <c r="C395" s="570"/>
      <c r="D395" s="571">
        <f>SUM(D390:D394)</f>
      </c>
      <c r="E395" s="523">
        <f>SUM(E390:E394)</f>
      </c>
      <c r="F395" s="522">
        <f>SUM(F390:F394)</f>
      </c>
      <c r="G395" s="522">
        <f t="shared" si="60"/>
      </c>
      <c r="H395" s="524">
        <f t="shared" si="359"/>
      </c>
      <c r="I395" s="525">
        <f t="shared" si="295"/>
      </c>
      <c r="J395" s="526">
        <f t="shared" si="231"/>
      </c>
      <c r="K395" s="527">
        <f t="shared" si="634"/>
      </c>
      <c r="L395" s="524">
        <f t="shared" si="427"/>
      </c>
      <c r="M395" s="528">
        <f t="shared" si="508"/>
      </c>
      <c r="N395" s="528">
        <f t="shared" si="553"/>
      </c>
      <c r="O395" s="528">
        <f t="shared" si="458"/>
      </c>
      <c r="P395" s="528">
        <f t="shared" si="390"/>
      </c>
      <c r="Q395" s="524">
        <f t="shared" si="328"/>
      </c>
      <c r="R395" s="526">
        <f t="shared" si="264"/>
      </c>
      <c r="S395" s="528">
        <f t="shared" si="167"/>
      </c>
      <c r="T395" s="528">
        <f t="shared" si="97"/>
      </c>
      <c r="U395" s="528">
        <f t="shared" si="23"/>
      </c>
      <c r="V395" s="528">
        <f t="shared" si="584"/>
      </c>
      <c r="W395" s="528"/>
      <c r="X395" s="529"/>
      <c r="Y395" s="522">
        <f>SUM(Y390:Y394)</f>
      </c>
      <c r="Z395" s="522">
        <f>SUM(Z390:Z394)</f>
      </c>
      <c r="AA395" s="522">
        <f>SUM(AA390:AA394)</f>
      </c>
      <c r="AB395" s="522">
        <f>SUM(AB390:AB394)</f>
      </c>
      <c r="AC395" s="522">
        <f>SUM(AC390:AC394)</f>
      </c>
      <c r="AD395" s="522">
        <f>SUM(AD390:AD394)</f>
      </c>
      <c r="AE395" s="522">
        <f>SUM(AE390:AE394)</f>
      </c>
      <c r="AF395" s="522">
        <f>SUM(AF390:AF394)</f>
      </c>
      <c r="AG395" s="522">
        <f>SUM(AG390:AG394)</f>
      </c>
      <c r="AH395" s="522">
        <f>SUM(AH390:AH394)</f>
      </c>
    </row>
    <row r="396">
      <c r="A396" s="498"/>
      <c r="B396" s="499" t="s">
        <v>268</v>
      </c>
      <c r="C396" s="533" t="s">
        <v>264</v>
      </c>
      <c r="D396" s="532">
        <v>1112.713</v>
      </c>
      <c r="E396" s="502">
        <v>1</v>
      </c>
      <c r="F396" s="503">
        <v>217.20000000000005</v>
      </c>
      <c r="G396" s="504">
        <f t="shared" si="60"/>
      </c>
      <c r="H396" s="505">
        <f t="shared" si="359"/>
      </c>
      <c r="I396" s="506">
        <f t="shared" si="295"/>
      </c>
      <c r="J396" s="507">
        <f t="shared" si="231"/>
      </c>
      <c r="K396" s="508">
        <f t="shared" si="634"/>
      </c>
      <c r="L396" s="505">
        <f t="shared" si="427"/>
      </c>
      <c r="M396" s="509">
        <f t="shared" si="508"/>
      </c>
      <c r="N396" s="509">
        <f t="shared" si="553"/>
      </c>
      <c r="O396" s="509">
        <f t="shared" si="458"/>
      </c>
      <c r="P396" s="509">
        <f t="shared" si="390"/>
      </c>
      <c r="Q396" s="505">
        <f t="shared" si="328"/>
      </c>
      <c r="R396" s="507">
        <f t="shared" si="264"/>
      </c>
      <c r="S396" s="509">
        <f t="shared" si="167"/>
      </c>
      <c r="T396" s="509">
        <f t="shared" si="97"/>
      </c>
      <c r="U396" s="509">
        <f t="shared" si="23"/>
      </c>
      <c r="V396" s="509">
        <f t="shared" si="584"/>
      </c>
      <c r="W396" s="520" t="s">
        <v>255</v>
      </c>
      <c r="X396" s="511" t="s">
        <v>279</v>
      </c>
      <c r="Y396" s="512">
        <v>172756</v>
      </c>
      <c r="Z396" s="512">
        <v>8302</v>
      </c>
      <c r="AA396" s="512">
        <v>146190</v>
      </c>
      <c r="AB396" s="513">
        <v>569</v>
      </c>
      <c r="AC396" s="513">
        <v>1</v>
      </c>
      <c r="AD396" s="512">
        <v>10909</v>
      </c>
      <c r="AE396" s="513">
        <v>191</v>
      </c>
      <c r="AF396" s="513">
        <v>138</v>
      </c>
      <c r="AG396" s="513">
        <v>12</v>
      </c>
      <c r="AH396" s="514">
        <v>1</v>
      </c>
    </row>
    <row r="397">
      <c r="A397" s="498"/>
      <c r="B397" s="499" t="s">
        <v>268</v>
      </c>
      <c r="C397" s="534" t="s">
        <v>265</v>
      </c>
      <c r="D397" s="532">
        <v>661.243</v>
      </c>
      <c r="E397" s="518">
        <v>2</v>
      </c>
      <c r="F397" s="519">
        <v>456</v>
      </c>
      <c r="G397" s="504">
        <f t="shared" si="60"/>
      </c>
      <c r="H397" s="505">
        <f t="shared" si="359"/>
      </c>
      <c r="I397" s="506">
        <f t="shared" si="295"/>
      </c>
      <c r="J397" s="507">
        <f t="shared" si="231"/>
      </c>
      <c r="K397" s="508">
        <f t="shared" si="634"/>
      </c>
      <c r="L397" s="505">
        <f t="shared" si="427"/>
      </c>
      <c r="M397" s="509">
        <f t="shared" si="508"/>
      </c>
      <c r="N397" s="509">
        <f t="shared" si="553"/>
      </c>
      <c r="O397" s="509">
        <f t="shared" si="458"/>
      </c>
      <c r="P397" s="509">
        <f t="shared" si="390"/>
      </c>
      <c r="Q397" s="505">
        <f t="shared" si="328"/>
      </c>
      <c r="R397" s="507">
        <f t="shared" si="264"/>
      </c>
      <c r="S397" s="509">
        <f t="shared" si="167"/>
      </c>
      <c r="T397" s="509">
        <f t="shared" si="97"/>
      </c>
      <c r="U397" s="509">
        <f t="shared" si="23"/>
      </c>
      <c r="V397" s="509">
        <f t="shared" si="584"/>
      </c>
      <c r="W397" s="520" t="s">
        <v>255</v>
      </c>
      <c r="X397" s="511" t="s">
        <v>279</v>
      </c>
      <c r="Y397" s="513">
        <v>99895</v>
      </c>
      <c r="Z397" s="513">
        <v>3583</v>
      </c>
      <c r="AA397" s="513">
        <v>83148</v>
      </c>
      <c r="AB397" s="513">
        <v>309</v>
      </c>
      <c r="AC397" s="513">
        <v>2</v>
      </c>
      <c r="AD397" s="513">
        <v>4810</v>
      </c>
      <c r="AE397" s="513">
        <v>86</v>
      </c>
      <c r="AF397" s="513">
        <v>73</v>
      </c>
      <c r="AG397" s="513">
        <v>9</v>
      </c>
      <c r="AH397" s="514">
        <v>0</v>
      </c>
    </row>
    <row r="398">
      <c r="A398" s="498"/>
      <c r="B398" s="499" t="s">
        <v>268</v>
      </c>
      <c r="C398" s="537" t="s">
        <v>266</v>
      </c>
      <c r="D398" s="532">
        <v>1342.86</v>
      </c>
      <c r="E398" s="518">
        <v>1</v>
      </c>
      <c r="F398" s="519">
        <v>828</v>
      </c>
      <c r="G398" s="504">
        <f t="shared" si="60"/>
      </c>
      <c r="H398" s="505">
        <f t="shared" si="359"/>
      </c>
      <c r="I398" s="506">
        <f t="shared" si="295"/>
      </c>
      <c r="J398" s="507">
        <f t="shared" si="231"/>
      </c>
      <c r="K398" s="508">
        <f t="shared" si="634"/>
      </c>
      <c r="L398" s="505">
        <f t="shared" si="427"/>
      </c>
      <c r="M398" s="509">
        <f t="shared" si="508"/>
      </c>
      <c r="N398" s="509">
        <f t="shared" si="553"/>
      </c>
      <c r="O398" s="509">
        <f t="shared" si="458"/>
      </c>
      <c r="P398" s="509">
        <f t="shared" si="390"/>
      </c>
      <c r="Q398" s="505">
        <f t="shared" si="328"/>
      </c>
      <c r="R398" s="507">
        <f t="shared" si="264"/>
      </c>
      <c r="S398" s="509">
        <f t="shared" si="167"/>
      </c>
      <c r="T398" s="509">
        <f t="shared" si="97"/>
      </c>
      <c r="U398" s="509">
        <f t="shared" si="23"/>
      </c>
      <c r="V398" s="509">
        <f t="shared" si="584"/>
      </c>
      <c r="W398" s="520" t="s">
        <v>255</v>
      </c>
      <c r="X398" s="511" t="s">
        <v>283</v>
      </c>
      <c r="Y398" s="513">
        <v>206045</v>
      </c>
      <c r="Z398" s="513">
        <v>6548</v>
      </c>
      <c r="AA398" s="513">
        <v>182097</v>
      </c>
      <c r="AB398" s="513">
        <v>544</v>
      </c>
      <c r="AC398" s="513">
        <v>1</v>
      </c>
      <c r="AD398" s="513">
        <v>9262</v>
      </c>
      <c r="AE398" s="513">
        <v>176</v>
      </c>
      <c r="AF398" s="513">
        <v>95</v>
      </c>
      <c r="AG398" s="513">
        <v>9</v>
      </c>
      <c r="AH398" s="514">
        <v>0</v>
      </c>
    </row>
    <row r="399">
      <c r="A399" s="498"/>
      <c r="B399" s="499" t="s">
        <v>268</v>
      </c>
      <c r="C399" s="540" t="s">
        <v>269</v>
      </c>
      <c r="D399" s="532">
        <v>1666.367</v>
      </c>
      <c r="E399" s="518">
        <v>2</v>
      </c>
      <c r="F399" s="519">
        <v>445.2</v>
      </c>
      <c r="G399" s="504">
        <f t="shared" si="60"/>
      </c>
      <c r="H399" s="505">
        <f t="shared" si="359"/>
      </c>
      <c r="I399" s="506">
        <f t="shared" si="295"/>
      </c>
      <c r="J399" s="507">
        <f t="shared" si="231"/>
      </c>
      <c r="K399" s="508">
        <f t="shared" si="634"/>
      </c>
      <c r="L399" s="505">
        <f t="shared" si="427"/>
      </c>
      <c r="M399" s="509">
        <f t="shared" si="508"/>
      </c>
      <c r="N399" s="509">
        <f t="shared" si="553"/>
      </c>
      <c r="O399" s="509">
        <f t="shared" si="458"/>
      </c>
      <c r="P399" s="509">
        <f t="shared" si="390"/>
      </c>
      <c r="Q399" s="505">
        <f t="shared" si="328"/>
      </c>
      <c r="R399" s="507">
        <f t="shared" si="264"/>
      </c>
      <c r="S399" s="509">
        <f t="shared" si="167"/>
      </c>
      <c r="T399" s="509">
        <f t="shared" si="97"/>
      </c>
      <c r="U399" s="509">
        <f t="shared" si="23"/>
      </c>
      <c r="V399" s="509">
        <f t="shared" si="584"/>
      </c>
      <c r="W399" s="520" t="s">
        <v>255</v>
      </c>
      <c r="X399" s="511" t="s">
        <v>283</v>
      </c>
      <c r="Y399" s="513">
        <v>266990</v>
      </c>
      <c r="Z399" s="513">
        <v>7551</v>
      </c>
      <c r="AA399" s="513">
        <v>237097</v>
      </c>
      <c r="AB399" s="513">
        <v>529</v>
      </c>
      <c r="AC399" s="513">
        <v>1</v>
      </c>
      <c r="AD399" s="513">
        <v>11023</v>
      </c>
      <c r="AE399" s="513">
        <v>167</v>
      </c>
      <c r="AF399" s="513">
        <v>112</v>
      </c>
      <c r="AG399" s="513">
        <v>12</v>
      </c>
      <c r="AH399" s="514">
        <v>1</v>
      </c>
    </row>
    <row r="400">
      <c r="A400" s="498"/>
      <c r="B400" s="499" t="s">
        <v>268</v>
      </c>
      <c r="C400" s="534" t="s">
        <v>272</v>
      </c>
      <c r="D400" s="532">
        <v>1465.746</v>
      </c>
      <c r="E400" s="518">
        <v>6</v>
      </c>
      <c r="F400" s="519">
        <v>2382.8</v>
      </c>
      <c r="G400" s="504">
        <f t="shared" si="60"/>
      </c>
      <c r="H400" s="505">
        <f t="shared" si="359"/>
      </c>
      <c r="I400" s="506">
        <f t="shared" si="295"/>
      </c>
      <c r="J400" s="507">
        <f t="shared" si="231"/>
      </c>
      <c r="K400" s="508">
        <f t="shared" si="634"/>
      </c>
      <c r="L400" s="505">
        <f t="shared" si="427"/>
      </c>
      <c r="M400" s="509">
        <f t="shared" si="508"/>
      </c>
      <c r="N400" s="509">
        <f t="shared" si="553"/>
      </c>
      <c r="O400" s="509">
        <f t="shared" si="458"/>
      </c>
      <c r="P400" s="509">
        <f t="shared" si="390"/>
      </c>
      <c r="Q400" s="505">
        <f t="shared" si="328"/>
      </c>
      <c r="R400" s="507">
        <f t="shared" si="264"/>
      </c>
      <c r="S400" s="509">
        <f t="shared" si="167"/>
      </c>
      <c r="T400" s="509">
        <f t="shared" si="97"/>
      </c>
      <c r="U400" s="509">
        <f t="shared" si="23"/>
      </c>
      <c r="V400" s="509">
        <f t="shared" si="584"/>
      </c>
      <c r="W400" s="520" t="s">
        <v>255</v>
      </c>
      <c r="X400" s="511" t="s">
        <v>283</v>
      </c>
      <c r="Y400" s="513">
        <v>240983</v>
      </c>
      <c r="Z400" s="513">
        <v>5847</v>
      </c>
      <c r="AA400" s="513">
        <v>170159</v>
      </c>
      <c r="AB400" s="513">
        <v>549</v>
      </c>
      <c r="AC400" s="513">
        <v>4</v>
      </c>
      <c r="AD400" s="513">
        <v>11427</v>
      </c>
      <c r="AE400" s="513">
        <v>153</v>
      </c>
      <c r="AF400" s="513">
        <v>129</v>
      </c>
      <c r="AG400" s="513">
        <v>9</v>
      </c>
      <c r="AH400" s="514">
        <v>1</v>
      </c>
    </row>
    <row r="401">
      <c r="A401" s="498"/>
      <c r="B401" s="521" t="s">
        <v>261</v>
      </c>
      <c r="C401" s="521"/>
      <c r="D401" s="522">
        <f>SUM(D396:D400)</f>
      </c>
      <c r="E401" s="522">
        <f>SUM(E396:E400)</f>
      </c>
      <c r="F401" s="522">
        <f>SUM(F396:F400)</f>
      </c>
      <c r="G401" s="522">
        <f t="shared" si="60"/>
      </c>
      <c r="H401" s="524">
        <f t="shared" si="359"/>
      </c>
      <c r="I401" s="525">
        <f t="shared" si="295"/>
      </c>
      <c r="J401" s="526">
        <f t="shared" si="231"/>
      </c>
      <c r="K401" s="527">
        <f t="shared" si="634"/>
      </c>
      <c r="L401" s="524">
        <f t="shared" si="427"/>
      </c>
      <c r="M401" s="528">
        <f t="shared" si="508"/>
      </c>
      <c r="N401" s="528">
        <f t="shared" si="553"/>
      </c>
      <c r="O401" s="528">
        <f t="shared" si="458"/>
      </c>
      <c r="P401" s="528">
        <f t="shared" si="390"/>
      </c>
      <c r="Q401" s="524">
        <f t="shared" si="328"/>
      </c>
      <c r="R401" s="526">
        <f t="shared" si="264"/>
      </c>
      <c r="S401" s="528">
        <f t="shared" si="167"/>
      </c>
      <c r="T401" s="528">
        <f t="shared" si="97"/>
      </c>
      <c r="U401" s="528">
        <f t="shared" si="23"/>
      </c>
      <c r="V401" s="528">
        <f t="shared" si="584"/>
      </c>
      <c r="W401" s="528"/>
      <c r="X401" s="529"/>
      <c r="Y401" s="522">
        <f>SUM(Y396:Y400)</f>
      </c>
      <c r="Z401" s="522">
        <f>SUM(Z396:Z400)</f>
      </c>
      <c r="AA401" s="522">
        <f>SUM(AA396:AA400)</f>
      </c>
      <c r="AB401" s="522">
        <f>SUM(AB396:AB400)</f>
      </c>
      <c r="AC401" s="522">
        <f>SUM(AC396:AC400)</f>
      </c>
      <c r="AD401" s="522">
        <f>SUM(AD396:AD400)</f>
      </c>
      <c r="AE401" s="522">
        <f>SUM(AE396:AE400)</f>
      </c>
      <c r="AF401" s="522">
        <f>SUM(AF396:AF400)</f>
      </c>
      <c r="AG401" s="522">
        <f>SUM(AG396:AG400)</f>
      </c>
      <c r="AH401" s="522">
        <f>SUM(AH396:AH400)</f>
      </c>
    </row>
    <row r="402">
      <c r="A402" s="498"/>
      <c r="B402" s="530" t="s">
        <v>271</v>
      </c>
      <c r="C402" s="534" t="s">
        <v>272</v>
      </c>
      <c r="D402" s="541">
        <v>1093.786</v>
      </c>
      <c r="E402" s="542">
        <v>2</v>
      </c>
      <c r="F402" s="519">
        <v>424</v>
      </c>
      <c r="G402" s="504">
        <f t="shared" si="60"/>
      </c>
      <c r="H402" s="505">
        <f t="shared" si="359"/>
      </c>
      <c r="I402" s="506">
        <f t="shared" si="295"/>
      </c>
      <c r="J402" s="507">
        <f t="shared" si="231"/>
      </c>
      <c r="K402" s="508">
        <f t="shared" si="634"/>
      </c>
      <c r="L402" s="505">
        <f t="shared" si="427"/>
      </c>
      <c r="M402" s="509">
        <f t="shared" si="508"/>
      </c>
      <c r="N402" s="509">
        <f t="shared" si="553"/>
      </c>
      <c r="O402" s="509">
        <f t="shared" si="458"/>
      </c>
      <c r="P402" s="509">
        <f t="shared" si="390"/>
      </c>
      <c r="Q402" s="505">
        <f t="shared" si="328"/>
      </c>
      <c r="R402" s="507">
        <f t="shared" si="264"/>
      </c>
      <c r="S402" s="509">
        <f t="shared" si="167"/>
      </c>
      <c r="T402" s="509">
        <f t="shared" si="97"/>
      </c>
      <c r="U402" s="509">
        <f t="shared" si="23"/>
      </c>
      <c r="V402" s="509">
        <f t="shared" si="584"/>
      </c>
      <c r="W402" s="520" t="s">
        <v>255</v>
      </c>
      <c r="X402" s="511" t="s">
        <v>283</v>
      </c>
      <c r="Y402" s="513">
        <v>157838</v>
      </c>
      <c r="Z402" s="513">
        <v>2806</v>
      </c>
      <c r="AA402" s="513">
        <v>125255</v>
      </c>
      <c r="AB402" s="513">
        <v>396</v>
      </c>
      <c r="AC402" s="513">
        <v>2</v>
      </c>
      <c r="AD402" s="513">
        <v>8421</v>
      </c>
      <c r="AE402" s="513">
        <v>140</v>
      </c>
      <c r="AF402" s="513">
        <v>66</v>
      </c>
      <c r="AG402" s="513">
        <v>7</v>
      </c>
      <c r="AH402" s="514">
        <v>0</v>
      </c>
    </row>
    <row r="403">
      <c r="A403" s="498"/>
      <c r="B403" s="530" t="s">
        <v>271</v>
      </c>
      <c r="C403" s="537" t="s">
        <v>273</v>
      </c>
      <c r="D403" s="541">
        <v>1468.827</v>
      </c>
      <c r="E403" s="542">
        <v>3</v>
      </c>
      <c r="F403" s="519">
        <v>652</v>
      </c>
      <c r="G403" s="504">
        <f t="shared" si="60"/>
      </c>
      <c r="H403" s="505">
        <f t="shared" si="359"/>
      </c>
      <c r="I403" s="506">
        <f t="shared" si="295"/>
      </c>
      <c r="J403" s="507">
        <f t="shared" si="231"/>
      </c>
      <c r="K403" s="508">
        <f t="shared" si="634"/>
      </c>
      <c r="L403" s="505">
        <f t="shared" si="427"/>
      </c>
      <c r="M403" s="509">
        <f t="shared" si="508"/>
      </c>
      <c r="N403" s="509">
        <f t="shared" si="553"/>
      </c>
      <c r="O403" s="509">
        <f t="shared" si="458"/>
      </c>
      <c r="P403" s="509">
        <f t="shared" si="390"/>
      </c>
      <c r="Q403" s="505">
        <f t="shared" si="328"/>
      </c>
      <c r="R403" s="507">
        <f t="shared" si="264"/>
      </c>
      <c r="S403" s="509">
        <f t="shared" si="167"/>
      </c>
      <c r="T403" s="509">
        <f t="shared" si="97"/>
      </c>
      <c r="U403" s="509">
        <f t="shared" si="23"/>
      </c>
      <c r="V403" s="509">
        <f t="shared" si="584"/>
      </c>
      <c r="W403" s="520" t="s">
        <v>255</v>
      </c>
      <c r="X403" s="511" t="s">
        <v>283</v>
      </c>
      <c r="Y403" s="513">
        <v>221171</v>
      </c>
      <c r="Z403" s="513">
        <v>3020</v>
      </c>
      <c r="AA403" s="513">
        <v>198452</v>
      </c>
      <c r="AB403" s="513">
        <v>516</v>
      </c>
      <c r="AC403" s="513">
        <v>3</v>
      </c>
      <c r="AD403" s="513">
        <v>8192</v>
      </c>
      <c r="AE403" s="513">
        <v>126</v>
      </c>
      <c r="AF403" s="513">
        <v>83</v>
      </c>
      <c r="AG403" s="513">
        <v>7</v>
      </c>
      <c r="AH403" s="514">
        <v>0</v>
      </c>
    </row>
    <row r="404">
      <c r="A404" s="498"/>
      <c r="B404" s="530" t="s">
        <v>271</v>
      </c>
      <c r="C404" s="534" t="s">
        <v>274</v>
      </c>
      <c r="D404" s="541">
        <v>2095.169</v>
      </c>
      <c r="E404" s="542">
        <v>9</v>
      </c>
      <c r="F404" s="519">
        <v>2599.5</v>
      </c>
      <c r="G404" s="504">
        <f t="shared" si="60"/>
      </c>
      <c r="H404" s="505">
        <f t="shared" si="359"/>
      </c>
      <c r="I404" s="506">
        <f t="shared" si="295"/>
      </c>
      <c r="J404" s="507">
        <f t="shared" si="231"/>
      </c>
      <c r="K404" s="508">
        <f t="shared" si="634"/>
      </c>
      <c r="L404" s="505">
        <f t="shared" si="427"/>
      </c>
      <c r="M404" s="509">
        <f t="shared" si="508"/>
      </c>
      <c r="N404" s="509">
        <f t="shared" si="553"/>
      </c>
      <c r="O404" s="509">
        <f t="shared" si="458"/>
      </c>
      <c r="P404" s="509">
        <f t="shared" si="390"/>
      </c>
      <c r="Q404" s="505">
        <f t="shared" si="328"/>
      </c>
      <c r="R404" s="507">
        <f t="shared" si="264"/>
      </c>
      <c r="S404" s="509">
        <f t="shared" si="167"/>
      </c>
      <c r="T404" s="509">
        <f t="shared" si="97"/>
      </c>
      <c r="U404" s="509">
        <f t="shared" si="23"/>
      </c>
      <c r="V404" s="509">
        <f t="shared" si="584"/>
      </c>
      <c r="W404" s="520" t="s">
        <v>255</v>
      </c>
      <c r="X404" s="511" t="s">
        <v>283</v>
      </c>
      <c r="Y404" s="513">
        <v>385576</v>
      </c>
      <c r="Z404" s="513">
        <v>4587</v>
      </c>
      <c r="AA404" s="513">
        <v>354001</v>
      </c>
      <c r="AB404" s="513">
        <v>677</v>
      </c>
      <c r="AC404" s="513">
        <v>8</v>
      </c>
      <c r="AD404" s="513">
        <v>13938</v>
      </c>
      <c r="AE404" s="513">
        <v>164</v>
      </c>
      <c r="AF404" s="513">
        <v>129</v>
      </c>
      <c r="AG404" s="513">
        <v>13</v>
      </c>
      <c r="AH404" s="514">
        <v>2</v>
      </c>
    </row>
    <row r="405">
      <c r="A405" s="498"/>
      <c r="B405" s="530" t="s">
        <v>271</v>
      </c>
      <c r="C405" s="555" t="s">
        <v>275</v>
      </c>
      <c r="D405" s="535">
        <v>3107.459</v>
      </c>
      <c r="E405" s="502">
        <v>9</v>
      </c>
      <c r="F405" s="503">
        <v>4034.3</v>
      </c>
      <c r="G405" s="504">
        <f t="shared" si="60"/>
      </c>
      <c r="H405" s="505">
        <f t="shared" si="359"/>
      </c>
      <c r="I405" s="560">
        <f t="shared" si="295"/>
      </c>
      <c r="J405" s="559">
        <f t="shared" si="231"/>
      </c>
      <c r="K405" s="556">
        <f t="shared" ref="K405:K406" si="136">D405/AB405</f>
      </c>
      <c r="L405" s="557">
        <f t="shared" si="427"/>
      </c>
      <c r="M405" s="558">
        <f t="shared" ref="M405:M406" si="198">AC405/AB405</f>
      </c>
      <c r="N405" s="558">
        <f t="shared" si="553"/>
      </c>
      <c r="O405" s="558">
        <f t="shared" si="458"/>
      </c>
      <c r="P405" s="558">
        <f t="shared" si="390"/>
      </c>
      <c r="Q405" s="557">
        <f t="shared" si="328"/>
      </c>
      <c r="R405" s="559">
        <f t="shared" si="264"/>
      </c>
      <c r="S405" s="558">
        <f t="shared" si="167"/>
      </c>
      <c r="T405" s="558">
        <f t="shared" si="97"/>
      </c>
      <c r="U405" s="558">
        <f t="shared" si="23"/>
      </c>
      <c r="V405" s="558">
        <f t="shared" si="584"/>
      </c>
      <c r="W405" s="520" t="s">
        <v>255</v>
      </c>
      <c r="X405" s="511" t="s">
        <v>283</v>
      </c>
      <c r="Y405" s="513">
        <v>675563</v>
      </c>
      <c r="Z405" s="513">
        <v>6235</v>
      </c>
      <c r="AA405" s="513">
        <v>586344</v>
      </c>
      <c r="AB405" s="536">
        <v>1031</v>
      </c>
      <c r="AC405" s="536">
        <v>8</v>
      </c>
      <c r="AD405" s="536">
        <v>16537</v>
      </c>
      <c r="AE405" s="536">
        <v>181</v>
      </c>
      <c r="AF405" s="536">
        <v>148</v>
      </c>
      <c r="AG405" s="536">
        <v>15</v>
      </c>
      <c r="AH405" s="514">
        <v>2</v>
      </c>
    </row>
    <row r="406">
      <c r="A406" s="498"/>
      <c r="B406" s="530" t="s">
        <v>271</v>
      </c>
      <c r="C406" s="555" t="s">
        <v>280</v>
      </c>
      <c r="D406" s="541">
        <v>1708.245</v>
      </c>
      <c r="E406" s="542">
        <v>3</v>
      </c>
      <c r="F406" s="519">
        <v>684</v>
      </c>
      <c r="G406" s="504">
        <f t="shared" si="60"/>
      </c>
      <c r="H406" s="505">
        <f t="shared" si="359"/>
      </c>
      <c r="I406" s="560">
        <f t="shared" si="295"/>
      </c>
      <c r="J406" s="559">
        <f t="shared" si="231"/>
      </c>
      <c r="K406" s="556">
        <f t="shared" si="136"/>
      </c>
      <c r="L406" s="557">
        <f t="shared" si="427"/>
      </c>
      <c r="M406" s="558">
        <f t="shared" si="198"/>
      </c>
      <c r="N406" s="558">
        <f t="shared" si="553"/>
      </c>
      <c r="O406" s="558">
        <f t="shared" si="458"/>
      </c>
      <c r="P406" s="558">
        <f t="shared" si="390"/>
      </c>
      <c r="Q406" s="557">
        <f t="shared" si="328"/>
      </c>
      <c r="R406" s="559">
        <f t="shared" si="264"/>
      </c>
      <c r="S406" s="558">
        <f t="shared" si="167"/>
      </c>
      <c r="T406" s="558">
        <f t="shared" si="97"/>
      </c>
      <c r="U406" s="558">
        <f t="shared" si="23"/>
      </c>
      <c r="V406" s="558">
        <f t="shared" si="584"/>
      </c>
      <c r="W406" s="520" t="s">
        <v>255</v>
      </c>
      <c r="X406" s="511" t="s">
        <v>283</v>
      </c>
      <c r="Y406" s="513">
        <v>372683</v>
      </c>
      <c r="Z406" s="513">
        <v>4209</v>
      </c>
      <c r="AA406" s="513">
        <v>313711</v>
      </c>
      <c r="AB406" s="513">
        <v>678</v>
      </c>
      <c r="AC406" s="513">
        <v>3</v>
      </c>
      <c r="AD406" s="513">
        <v>10295</v>
      </c>
      <c r="AE406" s="513">
        <v>122</v>
      </c>
      <c r="AF406" s="513">
        <v>129</v>
      </c>
      <c r="AG406" s="514">
        <v>14</v>
      </c>
      <c r="AH406" s="514">
        <v>0</v>
      </c>
    </row>
    <row r="407">
      <c r="A407" s="498"/>
      <c r="B407" s="538" t="s">
        <v>261</v>
      </c>
      <c r="C407" s="538"/>
      <c r="D407" s="522">
        <f>SUM(D402:D406)</f>
      </c>
      <c r="E407" s="522">
        <f>SUM(E402:E406)</f>
      </c>
      <c r="F407" s="522">
        <f>SUM(F402:F406)</f>
      </c>
      <c r="G407" s="522">
        <f t="shared" si="60"/>
      </c>
      <c r="H407" s="524">
        <f t="shared" si="359"/>
      </c>
      <c r="I407" s="525">
        <f t="shared" si="295"/>
      </c>
      <c r="J407" s="526">
        <f t="shared" si="231"/>
      </c>
      <c r="K407" s="527">
        <f t="shared" ref="K407:K408" si="635">D407/AA407</f>
      </c>
      <c r="L407" s="524">
        <f t="shared" si="427"/>
      </c>
      <c r="M407" s="528">
        <f t="shared" ref="M407:M408" si="509">AB407/AA407</f>
      </c>
      <c r="N407" s="528">
        <f t="shared" si="553"/>
      </c>
      <c r="O407" s="528">
        <f t="shared" si="458"/>
      </c>
      <c r="P407" s="528">
        <f t="shared" si="390"/>
      </c>
      <c r="Q407" s="524">
        <f t="shared" si="328"/>
      </c>
      <c r="R407" s="526">
        <f t="shared" si="264"/>
      </c>
      <c r="S407" s="528">
        <f t="shared" si="167"/>
      </c>
      <c r="T407" s="528">
        <f t="shared" si="97"/>
      </c>
      <c r="U407" s="528">
        <f t="shared" si="23"/>
      </c>
      <c r="V407" s="528">
        <f t="shared" si="584"/>
      </c>
      <c r="W407" s="528"/>
      <c r="X407" s="529"/>
      <c r="Y407" s="522">
        <f>SUM(Y402:Y406)</f>
      </c>
      <c r="Z407" s="522">
        <f>SUM(Z402:Z406)</f>
      </c>
      <c r="AA407" s="522">
        <f>SUM(AA402:AA406)</f>
      </c>
      <c r="AB407" s="522">
        <f>SUM(AB402:AB406)</f>
      </c>
      <c r="AC407" s="522">
        <f>SUM(AC402:AC406)</f>
      </c>
      <c r="AD407" s="522">
        <f>SUM(AD402:AD406)</f>
      </c>
      <c r="AE407" s="522">
        <f>SUM(AE402:AE406)</f>
      </c>
      <c r="AF407" s="522">
        <f>SUM(AF402:AF406)</f>
      </c>
      <c r="AG407" s="522">
        <f>SUM(AG402:AG406)</f>
      </c>
      <c r="AH407" s="522">
        <f>SUM(AH402:AH406)</f>
      </c>
    </row>
    <row r="408">
      <c r="A408" s="498"/>
      <c r="B408" s="543" t="s">
        <v>276</v>
      </c>
      <c r="C408" s="543"/>
      <c r="D408" s="554">
        <f>SUM(D395+D407+D401)</f>
      </c>
      <c r="E408" s="554">
        <f>SUM(E395+E407+E401)</f>
      </c>
      <c r="F408" s="554">
        <f>SUM(F395+F407+F401)</f>
      </c>
      <c r="G408" s="544">
        <f t="shared" si="60"/>
      </c>
      <c r="H408" s="545">
        <f t="shared" si="359"/>
      </c>
      <c r="I408" s="546">
        <f t="shared" si="295"/>
      </c>
      <c r="J408" s="547">
        <f t="shared" si="231"/>
      </c>
      <c r="K408" s="548">
        <f t="shared" si="635"/>
      </c>
      <c r="L408" s="548">
        <f t="shared" si="427"/>
      </c>
      <c r="M408" s="550">
        <f t="shared" si="509"/>
      </c>
      <c r="N408" s="550">
        <f t="shared" si="553"/>
      </c>
      <c r="O408" s="550">
        <f t="shared" si="458"/>
      </c>
      <c r="P408" s="550">
        <f t="shared" si="390"/>
      </c>
      <c r="Q408" s="549">
        <f t="shared" si="328"/>
      </c>
      <c r="R408" s="551">
        <f t="shared" si="264"/>
      </c>
      <c r="S408" s="552">
        <f t="shared" si="167"/>
      </c>
      <c r="T408" s="552">
        <f t="shared" si="97"/>
      </c>
      <c r="U408" s="552">
        <f t="shared" si="23"/>
      </c>
      <c r="V408" s="552">
        <f t="shared" si="584"/>
      </c>
      <c r="W408" s="552"/>
      <c r="X408" s="553"/>
      <c r="Y408" s="544">
        <f>SUM(Y407+Y395+Y401)</f>
      </c>
      <c r="Z408" s="544">
        <f>SUM(Z407+Z395+Z401)</f>
      </c>
      <c r="AA408" s="544">
        <f>SUM(AA407+AA395+AA401)</f>
      </c>
      <c r="AB408" s="544">
        <f>SUM(AB407+AB395+AB401)</f>
      </c>
      <c r="AC408" s="544">
        <f>SUM(AC407+AC395+AC401)</f>
      </c>
      <c r="AD408" s="544">
        <f>SUM(AD407+AD395+AD401)</f>
      </c>
      <c r="AE408" s="544">
        <f>SUM(AE407+AE395+AE401)</f>
      </c>
      <c r="AF408" s="544">
        <f>SUM(AF407+AF395+AF401)</f>
      </c>
      <c r="AG408" s="544">
        <f>SUM(AG407+AG395+AG401)</f>
      </c>
      <c r="AH408" s="544">
        <f>SUM(AH407+AH395+AH401)</f>
      </c>
    </row>
    <row r="409">
      <c r="A409" s="486" t="s">
        <v>218</v>
      </c>
      <c r="B409" s="561" t="s">
        <v>219</v>
      </c>
      <c r="C409" s="562" t="s">
        <v>220</v>
      </c>
      <c r="D409" s="487" t="s">
        <v>221</v>
      </c>
      <c r="E409" s="488" t="s">
        <v>222</v>
      </c>
      <c r="F409" s="489" t="s">
        <v>223</v>
      </c>
      <c r="G409" s="489" t="s">
        <v>224</v>
      </c>
      <c r="H409" s="490" t="s">
        <v>225</v>
      </c>
      <c r="I409" s="490" t="s">
        <v>226</v>
      </c>
      <c r="J409" s="490" t="s">
        <v>227</v>
      </c>
      <c r="K409" s="491" t="s">
        <v>228</v>
      </c>
      <c r="L409" s="491" t="s">
        <v>229</v>
      </c>
      <c r="M409" s="491" t="s">
        <v>231</v>
      </c>
      <c r="N409" s="491" t="s">
        <v>232</v>
      </c>
      <c r="O409" s="491" t="s">
        <v>233</v>
      </c>
      <c r="P409" s="491" t="s">
        <v>234</v>
      </c>
      <c r="Q409" s="491" t="s">
        <v>235</v>
      </c>
      <c r="R409" s="491" t="s">
        <v>236</v>
      </c>
      <c r="S409" s="492" t="s">
        <v>237</v>
      </c>
      <c r="T409" s="492" t="s">
        <v>238</v>
      </c>
      <c r="U409" s="492" t="s">
        <v>239</v>
      </c>
      <c r="V409" s="492" t="s">
        <v>240</v>
      </c>
      <c r="W409" s="493" t="s">
        <v>241</v>
      </c>
      <c r="X409" s="493" t="s">
        <v>242</v>
      </c>
      <c r="Y409" s="494" t="s">
        <v>243</v>
      </c>
      <c r="Z409" s="494" t="s">
        <v>244</v>
      </c>
      <c r="AA409" s="494" t="s">
        <v>245</v>
      </c>
      <c r="AB409" s="495" t="s">
        <v>246</v>
      </c>
      <c r="AC409" s="495" t="s">
        <v>247</v>
      </c>
      <c r="AD409" s="496" t="s">
        <v>248</v>
      </c>
      <c r="AE409" s="495" t="s">
        <v>249</v>
      </c>
      <c r="AF409" s="495" t="s">
        <v>250</v>
      </c>
      <c r="AG409" s="497" t="s">
        <v>251</v>
      </c>
      <c r="AH409" s="495" t="s">
        <v>252</v>
      </c>
    </row>
    <row r="410">
      <c r="A410" s="498">
        <v>46224</v>
      </c>
      <c r="B410" s="530" t="s">
        <v>277</v>
      </c>
      <c r="C410" s="500" t="s">
        <v>254</v>
      </c>
      <c r="D410" s="501">
        <v>2256.9890000000005</v>
      </c>
      <c r="E410" s="502">
        <v>3</v>
      </c>
      <c r="F410" s="503">
        <v>673.2</v>
      </c>
      <c r="G410" s="504">
        <f t="shared" ref="G410:G428" si="61">D410/AC410</f>
      </c>
      <c r="H410" s="505">
        <f t="shared" ref="H410:H428" si="360">F410/E410</f>
      </c>
      <c r="I410" s="506">
        <f t="shared" ref="I410:I428" si="296">D410/E410</f>
      </c>
      <c r="J410" s="507">
        <f t="shared" ref="J410:J428" si="232">F410/D410</f>
      </c>
      <c r="K410" s="508">
        <f t="shared" ref="K410:K424" si="636">D410/AA410</f>
      </c>
      <c r="L410" s="505">
        <f t="shared" ref="L410:L428" si="428">D410/AB410</f>
      </c>
      <c r="M410" s="509">
        <f t="shared" ref="M410:M424" si="510">AB410/AA410</f>
      </c>
      <c r="N410" s="509">
        <f t="shared" ref="N410:N428" si="554">AC410/AB410</f>
      </c>
      <c r="O410" s="509">
        <f t="shared" ref="O410:O428" si="459">Z410/Y410</f>
      </c>
      <c r="P410" s="509">
        <f t="shared" ref="P410:P428" si="391">AC410/Z410</f>
      </c>
      <c r="Q410" s="505">
        <f t="shared" ref="Q410:Q428" si="329">D410/Y410*1000</f>
      </c>
      <c r="R410" s="507">
        <f t="shared" ref="R410:R428" si="265">D410/Z410</f>
      </c>
      <c r="S410" s="509">
        <f t="shared" ref="S410:S428" si="168">AD410/AA410</f>
      </c>
      <c r="T410" s="509">
        <f t="shared" ref="T410:T428" si="98">AE410/AA410</f>
      </c>
      <c r="U410" s="509">
        <f t="shared" ref="U410:U428" si="24">AF410/AA410</f>
      </c>
      <c r="V410" s="509">
        <f t="shared" ref="V410:V428" si="585">AG410/AA410</f>
      </c>
      <c r="W410" s="510" t="s">
        <v>255</v>
      </c>
      <c r="X410" s="511" t="s">
        <v>281</v>
      </c>
      <c r="Y410" s="512">
        <v>318964</v>
      </c>
      <c r="Z410" s="512">
        <v>5313</v>
      </c>
      <c r="AA410" s="512">
        <v>195167</v>
      </c>
      <c r="AB410" s="512">
        <v>1015</v>
      </c>
      <c r="AC410" s="514">
        <v>2</v>
      </c>
      <c r="AD410" s="512">
        <v>21364</v>
      </c>
      <c r="AE410" s="513">
        <v>321</v>
      </c>
      <c r="AF410" s="513">
        <v>188</v>
      </c>
      <c r="AG410" s="513">
        <v>8</v>
      </c>
      <c r="AH410" s="514">
        <v>1</v>
      </c>
    </row>
    <row r="411">
      <c r="A411" s="498"/>
      <c r="B411" s="530" t="s">
        <v>277</v>
      </c>
      <c r="C411" s="500" t="s">
        <v>257</v>
      </c>
      <c r="D411" s="501">
        <v>2056.5930000000003</v>
      </c>
      <c r="E411" s="502">
        <v>6</v>
      </c>
      <c r="F411" s="503">
        <v>1862.3</v>
      </c>
      <c r="G411" s="504">
        <f t="shared" si="61"/>
      </c>
      <c r="H411" s="505">
        <f t="shared" si="360"/>
      </c>
      <c r="I411" s="506">
        <f t="shared" si="296"/>
      </c>
      <c r="J411" s="507">
        <f t="shared" si="232"/>
      </c>
      <c r="K411" s="508">
        <f t="shared" si="636"/>
      </c>
      <c r="L411" s="505">
        <f t="shared" si="428"/>
      </c>
      <c r="M411" s="509">
        <f t="shared" si="510"/>
      </c>
      <c r="N411" s="509">
        <f t="shared" si="554"/>
      </c>
      <c r="O411" s="509">
        <f t="shared" si="459"/>
      </c>
      <c r="P411" s="509">
        <f t="shared" si="391"/>
      </c>
      <c r="Q411" s="505">
        <f t="shared" si="329"/>
      </c>
      <c r="R411" s="507">
        <f t="shared" si="265"/>
      </c>
      <c r="S411" s="509">
        <f t="shared" si="168"/>
      </c>
      <c r="T411" s="509">
        <f t="shared" si="98"/>
      </c>
      <c r="U411" s="509">
        <f t="shared" si="24"/>
      </c>
      <c r="V411" s="509">
        <f t="shared" si="585"/>
      </c>
      <c r="W411" s="510" t="s">
        <v>255</v>
      </c>
      <c r="X411" s="511" t="s">
        <v>281</v>
      </c>
      <c r="Y411" s="513">
        <v>297315</v>
      </c>
      <c r="Z411" s="512">
        <v>4929</v>
      </c>
      <c r="AA411" s="512">
        <v>212520</v>
      </c>
      <c r="AB411" s="512">
        <v>1065</v>
      </c>
      <c r="AC411" s="513">
        <v>4</v>
      </c>
      <c r="AD411" s="512">
        <v>19230</v>
      </c>
      <c r="AE411" s="513">
        <v>332</v>
      </c>
      <c r="AF411" s="513">
        <v>169</v>
      </c>
      <c r="AG411" s="514">
        <v>22</v>
      </c>
      <c r="AH411" s="514">
        <v>1</v>
      </c>
    </row>
    <row r="412">
      <c r="A412" s="498"/>
      <c r="B412" s="530" t="s">
        <v>277</v>
      </c>
      <c r="C412" s="515" t="s">
        <v>258</v>
      </c>
      <c r="D412" s="501">
        <v>1394.9919999999997</v>
      </c>
      <c r="E412" s="502">
        <v>7</v>
      </c>
      <c r="F412" s="503">
        <v>2397.6000000000004</v>
      </c>
      <c r="G412" s="504">
        <f t="shared" si="61"/>
      </c>
      <c r="H412" s="505">
        <f t="shared" si="360"/>
      </c>
      <c r="I412" s="506">
        <f t="shared" si="296"/>
      </c>
      <c r="J412" s="507">
        <f t="shared" si="232"/>
      </c>
      <c r="K412" s="508">
        <f t="shared" si="636"/>
      </c>
      <c r="L412" s="505">
        <f t="shared" si="428"/>
      </c>
      <c r="M412" s="509">
        <f t="shared" si="510"/>
      </c>
      <c r="N412" s="509">
        <f t="shared" si="554"/>
      </c>
      <c r="O412" s="509">
        <f t="shared" si="459"/>
      </c>
      <c r="P412" s="509">
        <f t="shared" si="391"/>
      </c>
      <c r="Q412" s="505">
        <f t="shared" si="329"/>
      </c>
      <c r="R412" s="507">
        <f t="shared" si="265"/>
      </c>
      <c r="S412" s="509">
        <f t="shared" si="168"/>
      </c>
      <c r="T412" s="509">
        <f t="shared" si="98"/>
      </c>
      <c r="U412" s="509">
        <f t="shared" si="24"/>
      </c>
      <c r="V412" s="509">
        <f t="shared" si="585"/>
      </c>
      <c r="W412" s="510" t="s">
        <v>255</v>
      </c>
      <c r="X412" s="511" t="s">
        <v>281</v>
      </c>
      <c r="Y412" s="513">
        <v>203901</v>
      </c>
      <c r="Z412" s="512">
        <v>3625</v>
      </c>
      <c r="AA412" s="512">
        <v>134327</v>
      </c>
      <c r="AB412" s="512">
        <v>720</v>
      </c>
      <c r="AC412" s="513">
        <v>3</v>
      </c>
      <c r="AD412" s="512">
        <v>10238</v>
      </c>
      <c r="AE412" s="513">
        <v>209</v>
      </c>
      <c r="AF412" s="513">
        <v>85</v>
      </c>
      <c r="AG412" s="513">
        <v>23</v>
      </c>
      <c r="AH412" s="514">
        <v>1</v>
      </c>
    </row>
    <row r="413">
      <c r="A413" s="498"/>
      <c r="B413" s="530" t="s">
        <v>277</v>
      </c>
      <c r="C413" s="516" t="s">
        <v>259</v>
      </c>
      <c r="D413" s="501">
        <v>1463.5130000000001</v>
      </c>
      <c r="E413" s="502">
        <v>4</v>
      </c>
      <c r="F413" s="503">
        <v>1448</v>
      </c>
      <c r="G413" s="504">
        <f t="shared" si="61"/>
      </c>
      <c r="H413" s="505">
        <f t="shared" si="360"/>
      </c>
      <c r="I413" s="506">
        <f t="shared" si="296"/>
      </c>
      <c r="J413" s="507">
        <f t="shared" si="232"/>
      </c>
      <c r="K413" s="508">
        <f t="shared" si="636"/>
      </c>
      <c r="L413" s="505">
        <f t="shared" si="428"/>
      </c>
      <c r="M413" s="509">
        <f t="shared" si="510"/>
      </c>
      <c r="N413" s="509">
        <f t="shared" si="554"/>
      </c>
      <c r="O413" s="509">
        <f t="shared" si="459"/>
      </c>
      <c r="P413" s="509">
        <f t="shared" si="391"/>
      </c>
      <c r="Q413" s="505">
        <f t="shared" si="329"/>
      </c>
      <c r="R413" s="507">
        <f t="shared" si="265"/>
      </c>
      <c r="S413" s="509">
        <f t="shared" si="168"/>
      </c>
      <c r="T413" s="509">
        <f t="shared" si="98"/>
      </c>
      <c r="U413" s="509">
        <f t="shared" si="24"/>
      </c>
      <c r="V413" s="509">
        <f t="shared" si="585"/>
      </c>
      <c r="W413" s="504" t="s">
        <v>255</v>
      </c>
      <c r="X413" s="511" t="s">
        <v>281</v>
      </c>
      <c r="Y413" s="513">
        <v>231856</v>
      </c>
      <c r="Z413" s="513">
        <v>3866</v>
      </c>
      <c r="AA413" s="513">
        <v>175252</v>
      </c>
      <c r="AB413" s="513">
        <v>633</v>
      </c>
      <c r="AC413" s="513">
        <v>4</v>
      </c>
      <c r="AD413" s="513">
        <v>9460</v>
      </c>
      <c r="AE413" s="513">
        <v>207</v>
      </c>
      <c r="AF413" s="513">
        <v>111</v>
      </c>
      <c r="AG413" s="514">
        <v>9</v>
      </c>
      <c r="AH413" s="514">
        <v>0</v>
      </c>
    </row>
    <row r="414">
      <c r="A414" s="498"/>
      <c r="B414" s="530" t="s">
        <v>277</v>
      </c>
      <c r="C414" s="516" t="s">
        <v>260</v>
      </c>
      <c r="D414" s="517">
        <v>1294.0190000000002</v>
      </c>
      <c r="E414" s="518">
        <v>2</v>
      </c>
      <c r="F414" s="519">
        <v>1017.5999999999995</v>
      </c>
      <c r="G414" s="504">
        <f t="shared" si="61"/>
      </c>
      <c r="H414" s="505">
        <f t="shared" si="360"/>
      </c>
      <c r="I414" s="506">
        <f t="shared" si="296"/>
      </c>
      <c r="J414" s="507">
        <f t="shared" si="232"/>
      </c>
      <c r="K414" s="508">
        <f t="shared" si="636"/>
      </c>
      <c r="L414" s="505">
        <f t="shared" si="428"/>
      </c>
      <c r="M414" s="509">
        <f t="shared" si="510"/>
      </c>
      <c r="N414" s="509">
        <f t="shared" si="554"/>
      </c>
      <c r="O414" s="509">
        <f t="shared" si="459"/>
      </c>
      <c r="P414" s="509">
        <f t="shared" si="391"/>
      </c>
      <c r="Q414" s="505">
        <f t="shared" si="329"/>
      </c>
      <c r="R414" s="507">
        <f t="shared" si="265"/>
      </c>
      <c r="S414" s="509">
        <f t="shared" si="168"/>
      </c>
      <c r="T414" s="509">
        <f t="shared" si="98"/>
      </c>
      <c r="U414" s="509">
        <f t="shared" si="24"/>
      </c>
      <c r="V414" s="509">
        <f t="shared" si="585"/>
      </c>
      <c r="W414" s="520" t="s">
        <v>255</v>
      </c>
      <c r="X414" s="511" t="s">
        <v>281</v>
      </c>
      <c r="Y414" s="513">
        <v>227591</v>
      </c>
      <c r="Z414" s="513">
        <v>4684</v>
      </c>
      <c r="AA414" s="513">
        <v>211387</v>
      </c>
      <c r="AB414" s="513">
        <v>484</v>
      </c>
      <c r="AC414" s="513">
        <v>1</v>
      </c>
      <c r="AD414" s="513">
        <v>10315</v>
      </c>
      <c r="AE414" s="513">
        <v>155</v>
      </c>
      <c r="AF414" s="513">
        <v>96</v>
      </c>
      <c r="AG414" s="514">
        <v>17</v>
      </c>
      <c r="AH414" s="514">
        <v>1</v>
      </c>
    </row>
    <row r="415">
      <c r="A415" s="498"/>
      <c r="B415" s="521" t="s">
        <v>261</v>
      </c>
      <c r="C415" s="521"/>
      <c r="D415" s="522">
        <f>SUM(D410:D414)</f>
      </c>
      <c r="E415" s="523">
        <f>SUM(E410:E414)</f>
      </c>
      <c r="F415" s="522">
        <f>SUM(F410:F414)</f>
      </c>
      <c r="G415" s="522">
        <f t="shared" si="61"/>
      </c>
      <c r="H415" s="524">
        <f t="shared" si="360"/>
      </c>
      <c r="I415" s="525">
        <f t="shared" si="296"/>
      </c>
      <c r="J415" s="526">
        <f t="shared" si="232"/>
      </c>
      <c r="K415" s="527">
        <f t="shared" si="636"/>
      </c>
      <c r="L415" s="524">
        <f t="shared" si="428"/>
      </c>
      <c r="M415" s="528">
        <f t="shared" si="510"/>
      </c>
      <c r="N415" s="528">
        <f t="shared" si="554"/>
      </c>
      <c r="O415" s="528">
        <f t="shared" si="459"/>
      </c>
      <c r="P415" s="528">
        <f t="shared" si="391"/>
      </c>
      <c r="Q415" s="524">
        <f t="shared" si="329"/>
      </c>
      <c r="R415" s="526">
        <f t="shared" si="265"/>
      </c>
      <c r="S415" s="528">
        <f t="shared" si="168"/>
      </c>
      <c r="T415" s="528">
        <f t="shared" si="98"/>
      </c>
      <c r="U415" s="528">
        <f t="shared" si="24"/>
      </c>
      <c r="V415" s="528">
        <f t="shared" si="585"/>
      </c>
      <c r="W415" s="528"/>
      <c r="X415" s="529"/>
      <c r="Y415" s="522">
        <f>SUM(Y410:Y414)</f>
      </c>
      <c r="Z415" s="522">
        <f>SUM(Z410:Z414)</f>
      </c>
      <c r="AA415" s="522">
        <f>SUM(AA410:AA414)</f>
      </c>
      <c r="AB415" s="522">
        <f>SUM(AB410:AB414)</f>
      </c>
      <c r="AC415" s="522">
        <f>SUM(AC410:AC414)</f>
      </c>
      <c r="AD415" s="522">
        <f>SUM(AD410:AD414)</f>
      </c>
      <c r="AE415" s="522">
        <f>SUM(AE410:AE414)</f>
      </c>
      <c r="AF415" s="522">
        <f>SUM(AF410:AF414)</f>
      </c>
      <c r="AG415" s="522">
        <f>SUM(AG410:AG414)</f>
      </c>
      <c r="AH415" s="522">
        <f>SUM(AH410:AH414)</f>
      </c>
    </row>
    <row r="416">
      <c r="A416" s="498"/>
      <c r="B416" s="530" t="s">
        <v>271</v>
      </c>
      <c r="C416" s="531" t="s">
        <v>263</v>
      </c>
      <c r="D416" s="532">
        <v>1119.4399999999998</v>
      </c>
      <c r="E416" s="502">
        <v>2</v>
      </c>
      <c r="F416" s="503">
        <v>1045.1999999999998</v>
      </c>
      <c r="G416" s="504">
        <f t="shared" si="61"/>
      </c>
      <c r="H416" s="505">
        <f t="shared" si="360"/>
      </c>
      <c r="I416" s="506">
        <f t="shared" si="296"/>
      </c>
      <c r="J416" s="507">
        <f t="shared" si="232"/>
      </c>
      <c r="K416" s="508">
        <f t="shared" si="636"/>
      </c>
      <c r="L416" s="505">
        <f t="shared" si="428"/>
      </c>
      <c r="M416" s="509">
        <f t="shared" si="510"/>
      </c>
      <c r="N416" s="509">
        <f t="shared" si="554"/>
      </c>
      <c r="O416" s="509">
        <f t="shared" si="459"/>
      </c>
      <c r="P416" s="509">
        <f t="shared" si="391"/>
      </c>
      <c r="Q416" s="505">
        <f t="shared" si="329"/>
      </c>
      <c r="R416" s="507">
        <f t="shared" si="265"/>
      </c>
      <c r="S416" s="509">
        <f t="shared" si="168"/>
      </c>
      <c r="T416" s="509">
        <f t="shared" si="98"/>
      </c>
      <c r="U416" s="509">
        <f t="shared" si="24"/>
      </c>
      <c r="V416" s="509">
        <f t="shared" si="585"/>
      </c>
      <c r="W416" s="520" t="s">
        <v>255</v>
      </c>
      <c r="X416" s="511" t="s">
        <v>281</v>
      </c>
      <c r="Y416" s="512">
        <v>191817</v>
      </c>
      <c r="Z416" s="512">
        <v>4652</v>
      </c>
      <c r="AA416" s="512">
        <v>200170</v>
      </c>
      <c r="AB416" s="513">
        <v>338</v>
      </c>
      <c r="AC416" s="513">
        <v>2</v>
      </c>
      <c r="AD416" s="512">
        <v>7677</v>
      </c>
      <c r="AE416" s="513">
        <v>104</v>
      </c>
      <c r="AF416" s="513">
        <v>84</v>
      </c>
      <c r="AG416" s="513">
        <v>14</v>
      </c>
      <c r="AH416" s="514">
        <v>0</v>
      </c>
    </row>
    <row r="417">
      <c r="A417" s="498"/>
      <c r="B417" s="530" t="s">
        <v>271</v>
      </c>
      <c r="C417" s="533" t="s">
        <v>264</v>
      </c>
      <c r="D417" s="532">
        <v>1295.7330000000002</v>
      </c>
      <c r="E417" s="518">
        <v>7</v>
      </c>
      <c r="F417" s="519">
        <v>3292.000000000002</v>
      </c>
      <c r="G417" s="504">
        <f t="shared" si="61"/>
      </c>
      <c r="H417" s="505">
        <f t="shared" si="360"/>
      </c>
      <c r="I417" s="506">
        <f t="shared" si="296"/>
      </c>
      <c r="J417" s="507">
        <f t="shared" si="232"/>
      </c>
      <c r="K417" s="508">
        <f t="shared" si="636"/>
      </c>
      <c r="L417" s="505">
        <f t="shared" si="428"/>
      </c>
      <c r="M417" s="509">
        <f t="shared" si="510"/>
      </c>
      <c r="N417" s="509">
        <f t="shared" si="554"/>
      </c>
      <c r="O417" s="509">
        <f t="shared" si="459"/>
      </c>
      <c r="P417" s="509">
        <f t="shared" si="391"/>
      </c>
      <c r="Q417" s="505">
        <f t="shared" si="329"/>
      </c>
      <c r="R417" s="507">
        <f t="shared" si="265"/>
      </c>
      <c r="S417" s="509">
        <f t="shared" si="168"/>
      </c>
      <c r="T417" s="509">
        <f t="shared" si="98"/>
      </c>
      <c r="U417" s="509">
        <f t="shared" si="24"/>
      </c>
      <c r="V417" s="509">
        <f t="shared" si="585"/>
      </c>
      <c r="W417" s="520" t="s">
        <v>255</v>
      </c>
      <c r="X417" s="511" t="s">
        <v>281</v>
      </c>
      <c r="Y417" s="513">
        <v>218762</v>
      </c>
      <c r="Z417" s="513">
        <v>5943</v>
      </c>
      <c r="AA417" s="513">
        <v>228849</v>
      </c>
      <c r="AB417" s="513">
        <v>339</v>
      </c>
      <c r="AC417" s="513">
        <v>6</v>
      </c>
      <c r="AD417" s="513">
        <v>8617</v>
      </c>
      <c r="AE417" s="513">
        <v>88</v>
      </c>
      <c r="AF417" s="513">
        <v>98</v>
      </c>
      <c r="AG417" s="513">
        <v>7</v>
      </c>
      <c r="AH417" s="514">
        <v>1</v>
      </c>
    </row>
    <row r="418">
      <c r="A418" s="498"/>
      <c r="B418" s="530" t="s">
        <v>271</v>
      </c>
      <c r="C418" s="534" t="s">
        <v>265</v>
      </c>
      <c r="D418" s="532">
        <v>1581.967</v>
      </c>
      <c r="E418" s="518">
        <v>6</v>
      </c>
      <c r="F418" s="519">
        <v>1304</v>
      </c>
      <c r="G418" s="504">
        <f t="shared" si="61"/>
      </c>
      <c r="H418" s="505">
        <f t="shared" si="360"/>
      </c>
      <c r="I418" s="506">
        <f t="shared" si="296"/>
      </c>
      <c r="J418" s="507">
        <f t="shared" si="232"/>
      </c>
      <c r="K418" s="508">
        <f t="shared" si="636"/>
      </c>
      <c r="L418" s="505">
        <f t="shared" si="428"/>
      </c>
      <c r="M418" s="509">
        <f t="shared" si="510"/>
      </c>
      <c r="N418" s="509">
        <f t="shared" si="554"/>
      </c>
      <c r="O418" s="509">
        <f t="shared" si="459"/>
      </c>
      <c r="P418" s="509">
        <f t="shared" si="391"/>
      </c>
      <c r="Q418" s="505">
        <f t="shared" si="329"/>
      </c>
      <c r="R418" s="507">
        <f t="shared" si="265"/>
      </c>
      <c r="S418" s="509">
        <f t="shared" si="168"/>
      </c>
      <c r="T418" s="509">
        <f t="shared" si="98"/>
      </c>
      <c r="U418" s="509">
        <f t="shared" si="24"/>
      </c>
      <c r="V418" s="509">
        <f t="shared" si="585"/>
      </c>
      <c r="W418" s="520" t="s">
        <v>255</v>
      </c>
      <c r="X418" s="511" t="s">
        <v>281</v>
      </c>
      <c r="Y418" s="513">
        <v>265317</v>
      </c>
      <c r="Z418" s="513">
        <v>5364</v>
      </c>
      <c r="AA418" s="513">
        <v>276475</v>
      </c>
      <c r="AB418" s="513">
        <v>312</v>
      </c>
      <c r="AC418" s="513">
        <v>6</v>
      </c>
      <c r="AD418" s="513">
        <v>8238</v>
      </c>
      <c r="AE418" s="513">
        <v>74</v>
      </c>
      <c r="AF418" s="513">
        <v>93</v>
      </c>
      <c r="AG418" s="513">
        <v>5</v>
      </c>
      <c r="AH418" s="514">
        <v>0</v>
      </c>
    </row>
    <row r="419">
      <c r="A419" s="498"/>
      <c r="B419" s="530" t="s">
        <v>271</v>
      </c>
      <c r="C419" s="537" t="s">
        <v>266</v>
      </c>
      <c r="D419" s="532">
        <v>1469.442</v>
      </c>
      <c r="E419" s="518">
        <v>7</v>
      </c>
      <c r="F419" s="519">
        <v>3194</v>
      </c>
      <c r="G419" s="504">
        <f t="shared" si="61"/>
      </c>
      <c r="H419" s="505">
        <f t="shared" si="360"/>
      </c>
      <c r="I419" s="506">
        <f t="shared" si="296"/>
      </c>
      <c r="J419" s="507">
        <f t="shared" si="232"/>
      </c>
      <c r="K419" s="508">
        <f t="shared" si="636"/>
      </c>
      <c r="L419" s="505">
        <f t="shared" si="428"/>
      </c>
      <c r="M419" s="509">
        <f t="shared" si="510"/>
      </c>
      <c r="N419" s="509">
        <f t="shared" si="554"/>
      </c>
      <c r="O419" s="509">
        <f t="shared" si="459"/>
      </c>
      <c r="P419" s="509">
        <f t="shared" si="391"/>
      </c>
      <c r="Q419" s="505">
        <f t="shared" si="329"/>
      </c>
      <c r="R419" s="507">
        <f t="shared" si="265"/>
      </c>
      <c r="S419" s="509">
        <f t="shared" si="168"/>
      </c>
      <c r="T419" s="509">
        <f t="shared" si="98"/>
      </c>
      <c r="U419" s="509">
        <f t="shared" si="24"/>
      </c>
      <c r="V419" s="509">
        <f t="shared" si="585"/>
      </c>
      <c r="W419" s="520" t="s">
        <v>255</v>
      </c>
      <c r="X419" s="511" t="s">
        <v>283</v>
      </c>
      <c r="Y419" s="513">
        <v>248202</v>
      </c>
      <c r="Z419" s="513">
        <v>5831</v>
      </c>
      <c r="AA419" s="513">
        <v>258232</v>
      </c>
      <c r="AB419" s="513">
        <v>325</v>
      </c>
      <c r="AC419" s="513">
        <v>6</v>
      </c>
      <c r="AD419" s="513">
        <v>8819</v>
      </c>
      <c r="AE419" s="513">
        <v>172</v>
      </c>
      <c r="AF419" s="513">
        <v>78</v>
      </c>
      <c r="AG419" s="513">
        <v>11</v>
      </c>
      <c r="AH419" s="514">
        <v>2</v>
      </c>
    </row>
    <row r="420">
      <c r="A420" s="498"/>
      <c r="B420" s="530" t="s">
        <v>271</v>
      </c>
      <c r="C420" s="540" t="s">
        <v>269</v>
      </c>
      <c r="D420" s="532">
        <v>1955.149</v>
      </c>
      <c r="E420" s="518">
        <v>5</v>
      </c>
      <c r="F420" s="519">
        <v>1626.8</v>
      </c>
      <c r="G420" s="504">
        <f t="shared" si="61"/>
      </c>
      <c r="H420" s="505">
        <f t="shared" si="360"/>
      </c>
      <c r="I420" s="506">
        <f t="shared" si="296"/>
      </c>
      <c r="J420" s="507">
        <f t="shared" si="232"/>
      </c>
      <c r="K420" s="508">
        <f t="shared" si="636"/>
      </c>
      <c r="L420" s="505">
        <f t="shared" si="428"/>
      </c>
      <c r="M420" s="509">
        <f t="shared" si="510"/>
      </c>
      <c r="N420" s="509">
        <f t="shared" si="554"/>
      </c>
      <c r="O420" s="509">
        <f t="shared" si="459"/>
      </c>
      <c r="P420" s="509">
        <f t="shared" si="391"/>
      </c>
      <c r="Q420" s="505">
        <f t="shared" si="329"/>
      </c>
      <c r="R420" s="507">
        <f t="shared" si="265"/>
      </c>
      <c r="S420" s="509">
        <f t="shared" si="168"/>
      </c>
      <c r="T420" s="509">
        <f t="shared" si="98"/>
      </c>
      <c r="U420" s="509">
        <f t="shared" si="24"/>
      </c>
      <c r="V420" s="509">
        <f t="shared" si="585"/>
      </c>
      <c r="W420" s="520" t="s">
        <v>255</v>
      </c>
      <c r="X420" s="511" t="s">
        <v>283</v>
      </c>
      <c r="Y420" s="513">
        <v>356204</v>
      </c>
      <c r="Z420" s="513">
        <v>6829</v>
      </c>
      <c r="AA420" s="513">
        <v>268630</v>
      </c>
      <c r="AB420" s="513">
        <v>580</v>
      </c>
      <c r="AC420" s="513">
        <v>4</v>
      </c>
      <c r="AD420" s="513">
        <v>8650</v>
      </c>
      <c r="AE420" s="513">
        <v>153</v>
      </c>
      <c r="AF420" s="513">
        <v>111</v>
      </c>
      <c r="AG420" s="513">
        <v>10</v>
      </c>
      <c r="AH420" s="514">
        <v>1</v>
      </c>
    </row>
    <row r="421">
      <c r="A421" s="498"/>
      <c r="B421" s="521" t="s">
        <v>261</v>
      </c>
      <c r="C421" s="521"/>
      <c r="D421" s="522">
        <f>SUM(D416:D420)</f>
      </c>
      <c r="E421" s="522">
        <f>SUM(E416:E420)</f>
      </c>
      <c r="F421" s="522">
        <f>SUM(F416:F420)</f>
      </c>
      <c r="G421" s="522">
        <f t="shared" si="61"/>
      </c>
      <c r="H421" s="524">
        <f t="shared" si="360"/>
      </c>
      <c r="I421" s="525">
        <f t="shared" si="296"/>
      </c>
      <c r="J421" s="526">
        <f t="shared" si="232"/>
      </c>
      <c r="K421" s="527">
        <f t="shared" si="636"/>
      </c>
      <c r="L421" s="524">
        <f t="shared" si="428"/>
      </c>
      <c r="M421" s="528">
        <f t="shared" si="510"/>
      </c>
      <c r="N421" s="528">
        <f t="shared" si="554"/>
      </c>
      <c r="O421" s="528">
        <f t="shared" si="459"/>
      </c>
      <c r="P421" s="528">
        <f t="shared" si="391"/>
      </c>
      <c r="Q421" s="524">
        <f t="shared" si="329"/>
      </c>
      <c r="R421" s="526">
        <f t="shared" si="265"/>
      </c>
      <c r="S421" s="528">
        <f t="shared" si="168"/>
      </c>
      <c r="T421" s="528">
        <f t="shared" si="98"/>
      </c>
      <c r="U421" s="528">
        <f t="shared" si="24"/>
      </c>
      <c r="V421" s="528">
        <f t="shared" si="585"/>
      </c>
      <c r="W421" s="528"/>
      <c r="X421" s="529"/>
      <c r="Y421" s="522">
        <f>SUM(Y416:Y420)</f>
      </c>
      <c r="Z421" s="522">
        <f>SUM(Z416:Z420)</f>
      </c>
      <c r="AA421" s="522">
        <f>SUM(AA416:AA420)</f>
      </c>
      <c r="AB421" s="522">
        <f>SUM(AB416:AB420)</f>
      </c>
      <c r="AC421" s="522">
        <f>SUM(AC416:AC420)</f>
      </c>
      <c r="AD421" s="522">
        <f>SUM(AD416:AD420)</f>
      </c>
      <c r="AE421" s="522">
        <f>SUM(AE416:AE420)</f>
      </c>
      <c r="AF421" s="522">
        <f>SUM(AF416:AF420)</f>
      </c>
      <c r="AG421" s="522">
        <f>SUM(AG416:AG420)</f>
      </c>
      <c r="AH421" s="522">
        <f>SUM(AH416:AH420)</f>
      </c>
    </row>
    <row r="422">
      <c r="A422" s="498"/>
      <c r="B422" s="499" t="s">
        <v>253</v>
      </c>
      <c r="C422" s="534" t="s">
        <v>270</v>
      </c>
      <c r="D422" s="541">
        <v>1651.98</v>
      </c>
      <c r="E422" s="542">
        <v>9</v>
      </c>
      <c r="F422" s="519">
        <v>1841.1</v>
      </c>
      <c r="G422" s="504">
        <f t="shared" si="61"/>
      </c>
      <c r="H422" s="505">
        <f t="shared" si="360"/>
      </c>
      <c r="I422" s="506">
        <f t="shared" si="296"/>
      </c>
      <c r="J422" s="507">
        <f t="shared" si="232"/>
      </c>
      <c r="K422" s="508">
        <f t="shared" si="636"/>
      </c>
      <c r="L422" s="505">
        <f t="shared" si="428"/>
      </c>
      <c r="M422" s="509">
        <f t="shared" si="510"/>
      </c>
      <c r="N422" s="509">
        <f t="shared" si="554"/>
      </c>
      <c r="O422" s="509">
        <f t="shared" si="459"/>
      </c>
      <c r="P422" s="509">
        <f t="shared" si="391"/>
      </c>
      <c r="Q422" s="505">
        <f t="shared" si="329"/>
      </c>
      <c r="R422" s="507">
        <f t="shared" si="265"/>
      </c>
      <c r="S422" s="509">
        <f t="shared" si="168"/>
      </c>
      <c r="T422" s="509">
        <f t="shared" si="98"/>
      </c>
      <c r="U422" s="509">
        <f t="shared" si="24"/>
      </c>
      <c r="V422" s="509">
        <f t="shared" si="585"/>
      </c>
      <c r="W422" s="520" t="s">
        <v>255</v>
      </c>
      <c r="X422" s="511" t="s">
        <v>283</v>
      </c>
      <c r="Y422" s="513">
        <v>308453</v>
      </c>
      <c r="Z422" s="513">
        <v>9301</v>
      </c>
      <c r="AA422" s="513">
        <v>222728</v>
      </c>
      <c r="AB422" s="513">
        <v>573</v>
      </c>
      <c r="AC422" s="513">
        <v>6</v>
      </c>
      <c r="AD422" s="513">
        <v>9792</v>
      </c>
      <c r="AE422" s="513">
        <v>152</v>
      </c>
      <c r="AF422" s="513">
        <v>134</v>
      </c>
      <c r="AG422" s="513">
        <v>9</v>
      </c>
      <c r="AH422" s="514">
        <v>1</v>
      </c>
    </row>
    <row r="423">
      <c r="A423" s="498"/>
      <c r="B423" s="499" t="s">
        <v>253</v>
      </c>
      <c r="C423" s="534" t="s">
        <v>272</v>
      </c>
      <c r="D423" s="541">
        <v>1443.887</v>
      </c>
      <c r="E423" s="542">
        <v>5</v>
      </c>
      <c r="F423" s="519">
        <v>1097.2</v>
      </c>
      <c r="G423" s="504">
        <f t="shared" si="61"/>
      </c>
      <c r="H423" s="505">
        <f t="shared" si="360"/>
      </c>
      <c r="I423" s="506">
        <f t="shared" si="296"/>
      </c>
      <c r="J423" s="507">
        <f t="shared" si="232"/>
      </c>
      <c r="K423" s="508">
        <f t="shared" si="636"/>
      </c>
      <c r="L423" s="505">
        <f t="shared" si="428"/>
      </c>
      <c r="M423" s="509">
        <f t="shared" si="510"/>
      </c>
      <c r="N423" s="509">
        <f t="shared" si="554"/>
      </c>
      <c r="O423" s="509">
        <f t="shared" si="459"/>
      </c>
      <c r="P423" s="509">
        <f t="shared" si="391"/>
      </c>
      <c r="Q423" s="505">
        <f t="shared" si="329"/>
      </c>
      <c r="R423" s="507">
        <f t="shared" si="265"/>
      </c>
      <c r="S423" s="509">
        <f t="shared" si="168"/>
      </c>
      <c r="T423" s="509">
        <f t="shared" si="98"/>
      </c>
      <c r="U423" s="509">
        <f t="shared" si="24"/>
      </c>
      <c r="V423" s="509">
        <f t="shared" si="585"/>
      </c>
      <c r="W423" s="520" t="s">
        <v>255</v>
      </c>
      <c r="X423" s="511" t="s">
        <v>283</v>
      </c>
      <c r="Y423" s="513">
        <v>260066</v>
      </c>
      <c r="Z423" s="513">
        <v>6630</v>
      </c>
      <c r="AA423" s="513">
        <v>190605</v>
      </c>
      <c r="AB423" s="513">
        <v>455</v>
      </c>
      <c r="AC423" s="513">
        <v>4</v>
      </c>
      <c r="AD423" s="513">
        <v>6975</v>
      </c>
      <c r="AE423" s="513">
        <v>129</v>
      </c>
      <c r="AF423" s="513">
        <v>98</v>
      </c>
      <c r="AG423" s="513">
        <v>5</v>
      </c>
      <c r="AH423" s="514">
        <v>1</v>
      </c>
    </row>
    <row r="424">
      <c r="A424" s="498"/>
      <c r="B424" s="499" t="s">
        <v>253</v>
      </c>
      <c r="C424" s="537" t="s">
        <v>273</v>
      </c>
      <c r="D424" s="541">
        <v>1901.677</v>
      </c>
      <c r="E424" s="542">
        <v>7</v>
      </c>
      <c r="F424" s="519">
        <v>1426.3</v>
      </c>
      <c r="G424" s="504">
        <f t="shared" si="61"/>
      </c>
      <c r="H424" s="505">
        <f t="shared" si="360"/>
      </c>
      <c r="I424" s="506">
        <f t="shared" si="296"/>
      </c>
      <c r="J424" s="507">
        <f t="shared" si="232"/>
      </c>
      <c r="K424" s="508">
        <f t="shared" si="636"/>
      </c>
      <c r="L424" s="505">
        <f t="shared" si="428"/>
      </c>
      <c r="M424" s="509">
        <f t="shared" si="510"/>
      </c>
      <c r="N424" s="509">
        <f t="shared" si="554"/>
      </c>
      <c r="O424" s="509">
        <f t="shared" si="459"/>
      </c>
      <c r="P424" s="509">
        <f t="shared" si="391"/>
      </c>
      <c r="Q424" s="505">
        <f t="shared" si="329"/>
      </c>
      <c r="R424" s="507">
        <f t="shared" si="265"/>
      </c>
      <c r="S424" s="509">
        <f t="shared" si="168"/>
      </c>
      <c r="T424" s="509">
        <f t="shared" si="98"/>
      </c>
      <c r="U424" s="509">
        <f t="shared" si="24"/>
      </c>
      <c r="V424" s="509">
        <f t="shared" si="585"/>
      </c>
      <c r="W424" s="520" t="s">
        <v>255</v>
      </c>
      <c r="X424" s="511" t="s">
        <v>283</v>
      </c>
      <c r="Y424" s="513">
        <v>405443</v>
      </c>
      <c r="Z424" s="513">
        <v>5890</v>
      </c>
      <c r="AA424" s="513">
        <v>302611</v>
      </c>
      <c r="AB424" s="513">
        <v>557</v>
      </c>
      <c r="AC424" s="513">
        <v>6</v>
      </c>
      <c r="AD424" s="513">
        <v>8356</v>
      </c>
      <c r="AE424" s="513">
        <v>83</v>
      </c>
      <c r="AF424" s="513">
        <v>82</v>
      </c>
      <c r="AG424" s="513">
        <v>9</v>
      </c>
      <c r="AH424" s="514">
        <v>1</v>
      </c>
    </row>
    <row r="425">
      <c r="A425" s="498"/>
      <c r="B425" s="499" t="s">
        <v>253</v>
      </c>
      <c r="C425" s="534" t="s">
        <v>274</v>
      </c>
      <c r="D425" s="535">
        <v>2053.349</v>
      </c>
      <c r="E425" s="502">
        <v>1</v>
      </c>
      <c r="F425" s="503">
        <v>828</v>
      </c>
      <c r="G425" s="504">
        <f t="shared" si="61"/>
      </c>
      <c r="H425" s="505">
        <f t="shared" si="360"/>
      </c>
      <c r="I425" s="560">
        <f t="shared" si="296"/>
      </c>
      <c r="J425" s="559">
        <f t="shared" si="232"/>
      </c>
      <c r="K425" s="556">
        <f t="shared" ref="K425:K426" si="137">D425/AB425</f>
      </c>
      <c r="L425" s="557">
        <f t="shared" si="428"/>
      </c>
      <c r="M425" s="558">
        <f t="shared" ref="M425:M426" si="199">AC425/AB425</f>
      </c>
      <c r="N425" s="558">
        <f t="shared" si="554"/>
      </c>
      <c r="O425" s="558">
        <f t="shared" si="459"/>
      </c>
      <c r="P425" s="558">
        <f t="shared" si="391"/>
      </c>
      <c r="Q425" s="557">
        <f t="shared" si="329"/>
      </c>
      <c r="R425" s="559">
        <f t="shared" si="265"/>
      </c>
      <c r="S425" s="558">
        <f t="shared" si="168"/>
      </c>
      <c r="T425" s="558">
        <f t="shared" si="98"/>
      </c>
      <c r="U425" s="558">
        <f t="shared" si="24"/>
      </c>
      <c r="V425" s="558">
        <f t="shared" si="585"/>
      </c>
      <c r="W425" s="520" t="s">
        <v>255</v>
      </c>
      <c r="X425" s="511" t="s">
        <v>283</v>
      </c>
      <c r="Y425" s="513">
        <v>439178</v>
      </c>
      <c r="Z425" s="513">
        <v>5165</v>
      </c>
      <c r="AA425" s="513">
        <v>294718</v>
      </c>
      <c r="AB425" s="536">
        <v>686</v>
      </c>
      <c r="AC425" s="536">
        <v>2</v>
      </c>
      <c r="AD425" s="536">
        <v>11025</v>
      </c>
      <c r="AE425" s="536">
        <v>137</v>
      </c>
      <c r="AF425" s="536">
        <v>94</v>
      </c>
      <c r="AG425" s="536">
        <v>15</v>
      </c>
      <c r="AH425" s="514">
        <v>0</v>
      </c>
    </row>
    <row r="426">
      <c r="A426" s="498"/>
      <c r="B426" s="499" t="s">
        <v>253</v>
      </c>
      <c r="C426" s="555" t="s">
        <v>275</v>
      </c>
      <c r="D426" s="541">
        <v>2152.433</v>
      </c>
      <c r="E426" s="542">
        <v>7</v>
      </c>
      <c r="F426" s="519">
        <v>1585.2</v>
      </c>
      <c r="G426" s="504">
        <f t="shared" si="61"/>
      </c>
      <c r="H426" s="505">
        <f t="shared" si="360"/>
      </c>
      <c r="I426" s="560">
        <f t="shared" si="296"/>
      </c>
      <c r="J426" s="559">
        <f t="shared" si="232"/>
      </c>
      <c r="K426" s="556">
        <f t="shared" si="137"/>
      </c>
      <c r="L426" s="557">
        <f t="shared" si="428"/>
      </c>
      <c r="M426" s="558">
        <f t="shared" si="199"/>
      </c>
      <c r="N426" s="558">
        <f t="shared" si="554"/>
      </c>
      <c r="O426" s="558">
        <f t="shared" si="459"/>
      </c>
      <c r="P426" s="558">
        <f t="shared" si="391"/>
      </c>
      <c r="Q426" s="557">
        <f t="shared" si="329"/>
      </c>
      <c r="R426" s="559">
        <f t="shared" si="265"/>
      </c>
      <c r="S426" s="558">
        <f t="shared" si="168"/>
      </c>
      <c r="T426" s="558">
        <f t="shared" si="98"/>
      </c>
      <c r="U426" s="558">
        <f t="shared" si="24"/>
      </c>
      <c r="V426" s="558">
        <f t="shared" si="585"/>
      </c>
      <c r="W426" s="520" t="s">
        <v>255</v>
      </c>
      <c r="X426" s="511" t="s">
        <v>283</v>
      </c>
      <c r="Y426" s="513">
        <v>506891</v>
      </c>
      <c r="Z426" s="513">
        <v>5067</v>
      </c>
      <c r="AA426" s="513">
        <v>322817</v>
      </c>
      <c r="AB426" s="513">
        <v>886</v>
      </c>
      <c r="AC426" s="513">
        <v>6</v>
      </c>
      <c r="AD426" s="513">
        <v>10012</v>
      </c>
      <c r="AE426" s="513">
        <v>130</v>
      </c>
      <c r="AF426" s="513">
        <v>108</v>
      </c>
      <c r="AG426" s="514">
        <v>20</v>
      </c>
      <c r="AH426" s="514">
        <v>1</v>
      </c>
    </row>
    <row r="427">
      <c r="A427" s="498"/>
      <c r="B427" s="538" t="s">
        <v>261</v>
      </c>
      <c r="C427" s="538"/>
      <c r="D427" s="522">
        <f>SUM(D422:D426)</f>
      </c>
      <c r="E427" s="522">
        <f>SUM(E422:E426)</f>
      </c>
      <c r="F427" s="522">
        <f>SUM(F422:F426)</f>
      </c>
      <c r="G427" s="522">
        <f t="shared" si="61"/>
      </c>
      <c r="H427" s="524">
        <f t="shared" si="360"/>
      </c>
      <c r="I427" s="525">
        <f t="shared" si="296"/>
      </c>
      <c r="J427" s="526">
        <f t="shared" si="232"/>
      </c>
      <c r="K427" s="527">
        <f t="shared" ref="K427:K428" si="637">D427/AA427</f>
      </c>
      <c r="L427" s="524">
        <f t="shared" si="428"/>
      </c>
      <c r="M427" s="528">
        <f t="shared" ref="M427:M428" si="511">AB427/AA427</f>
      </c>
      <c r="N427" s="528">
        <f t="shared" si="554"/>
      </c>
      <c r="O427" s="528">
        <f t="shared" si="459"/>
      </c>
      <c r="P427" s="528">
        <f t="shared" si="391"/>
      </c>
      <c r="Q427" s="524">
        <f t="shared" si="329"/>
      </c>
      <c r="R427" s="526">
        <f t="shared" si="265"/>
      </c>
      <c r="S427" s="528">
        <f t="shared" si="168"/>
      </c>
      <c r="T427" s="528">
        <f t="shared" si="98"/>
      </c>
      <c r="U427" s="528">
        <f t="shared" si="24"/>
      </c>
      <c r="V427" s="528">
        <f t="shared" si="585"/>
      </c>
      <c r="W427" s="528"/>
      <c r="X427" s="529"/>
      <c r="Y427" s="522">
        <f>SUM(Y422:Y426)</f>
      </c>
      <c r="Z427" s="522">
        <f>SUM(Z422:Z426)</f>
      </c>
      <c r="AA427" s="522">
        <f>SUM(AA422:AA426)</f>
      </c>
      <c r="AB427" s="522">
        <f>SUM(AB422:AB426)</f>
      </c>
      <c r="AC427" s="522">
        <f>SUM(AC422:AC426)</f>
      </c>
      <c r="AD427" s="522">
        <f>SUM(AD422:AD426)</f>
      </c>
      <c r="AE427" s="522">
        <f>SUM(AE422:AE426)</f>
      </c>
      <c r="AF427" s="522">
        <f>SUM(AF422:AF426)</f>
      </c>
      <c r="AG427" s="522">
        <f>SUM(AG422:AG426)</f>
      </c>
      <c r="AH427" s="522">
        <f>SUM(AH422:AH426)</f>
      </c>
    </row>
    <row r="428">
      <c r="A428" s="498"/>
      <c r="B428" s="543" t="s">
        <v>276</v>
      </c>
      <c r="C428" s="543"/>
      <c r="D428" s="554">
        <f>SUM(D415+D427+D421)</f>
      </c>
      <c r="E428" s="554">
        <f>SUM(E415+E427+E421)</f>
      </c>
      <c r="F428" s="554">
        <f>SUM(F415+F427+F421)</f>
      </c>
      <c r="G428" s="544">
        <f t="shared" si="61"/>
      </c>
      <c r="H428" s="545">
        <f t="shared" si="360"/>
      </c>
      <c r="I428" s="546">
        <f t="shared" si="296"/>
      </c>
      <c r="J428" s="547">
        <f t="shared" si="232"/>
      </c>
      <c r="K428" s="548">
        <f t="shared" si="637"/>
      </c>
      <c r="L428" s="548">
        <f t="shared" si="428"/>
      </c>
      <c r="M428" s="550">
        <f t="shared" si="511"/>
      </c>
      <c r="N428" s="550">
        <f t="shared" si="554"/>
      </c>
      <c r="O428" s="550">
        <f t="shared" si="459"/>
      </c>
      <c r="P428" s="550">
        <f t="shared" si="391"/>
      </c>
      <c r="Q428" s="549">
        <f t="shared" si="329"/>
      </c>
      <c r="R428" s="551">
        <f t="shared" si="265"/>
      </c>
      <c r="S428" s="552">
        <f t="shared" si="168"/>
      </c>
      <c r="T428" s="552">
        <f t="shared" si="98"/>
      </c>
      <c r="U428" s="552">
        <f t="shared" si="24"/>
      </c>
      <c r="V428" s="552">
        <f t="shared" si="585"/>
      </c>
      <c r="W428" s="552"/>
      <c r="X428" s="553"/>
      <c r="Y428" s="544">
        <f>SUM(Y427+Y415+Y421)</f>
      </c>
      <c r="Z428" s="544">
        <f>SUM(Z427+Z415+Z421)</f>
      </c>
      <c r="AA428" s="544">
        <f>SUM(AA427+AA415+AA421)</f>
      </c>
      <c r="AB428" s="544">
        <f>SUM(AB427+AB415+AB421)</f>
      </c>
      <c r="AC428" s="544">
        <f>SUM(AC427+AC415+AC421)</f>
      </c>
      <c r="AD428" s="544">
        <f>SUM(AD427+AD415+AD421)</f>
      </c>
      <c r="AE428" s="544">
        <f>SUM(AE427+AE415+AE421)</f>
      </c>
      <c r="AF428" s="544">
        <f>SUM(AF427+AF415+AF421)</f>
      </c>
      <c r="AG428" s="544">
        <f>SUM(AG427+AG415+AG421)</f>
      </c>
      <c r="AH428" s="544">
        <f>SUM(AH427+AH415+AH421)</f>
      </c>
    </row>
    <row r="429">
      <c r="A429" s="486" t="s">
        <v>218</v>
      </c>
      <c r="B429" s="561" t="s">
        <v>219</v>
      </c>
      <c r="C429" s="562" t="s">
        <v>220</v>
      </c>
      <c r="D429" s="487" t="s">
        <v>221</v>
      </c>
      <c r="E429" s="488" t="s">
        <v>222</v>
      </c>
      <c r="F429" s="489" t="s">
        <v>223</v>
      </c>
      <c r="G429" s="489" t="s">
        <v>224</v>
      </c>
      <c r="H429" s="490" t="s">
        <v>225</v>
      </c>
      <c r="I429" s="490" t="s">
        <v>226</v>
      </c>
      <c r="J429" s="490" t="s">
        <v>227</v>
      </c>
      <c r="K429" s="491" t="s">
        <v>228</v>
      </c>
      <c r="L429" s="491" t="s">
        <v>229</v>
      </c>
      <c r="M429" s="491" t="s">
        <v>231</v>
      </c>
      <c r="N429" s="491" t="s">
        <v>232</v>
      </c>
      <c r="O429" s="491" t="s">
        <v>233</v>
      </c>
      <c r="P429" s="491" t="s">
        <v>234</v>
      </c>
      <c r="Q429" s="491" t="s">
        <v>235</v>
      </c>
      <c r="R429" s="491" t="s">
        <v>236</v>
      </c>
      <c r="S429" s="492" t="s">
        <v>237</v>
      </c>
      <c r="T429" s="492" t="s">
        <v>238</v>
      </c>
      <c r="U429" s="492" t="s">
        <v>239</v>
      </c>
      <c r="V429" s="492" t="s">
        <v>240</v>
      </c>
      <c r="W429" s="493" t="s">
        <v>241</v>
      </c>
      <c r="X429" s="493" t="s">
        <v>242</v>
      </c>
      <c r="Y429" s="494" t="s">
        <v>243</v>
      </c>
      <c r="Z429" s="494" t="s">
        <v>244</v>
      </c>
      <c r="AA429" s="494" t="s">
        <v>245</v>
      </c>
      <c r="AB429" s="495" t="s">
        <v>246</v>
      </c>
      <c r="AC429" s="495" t="s">
        <v>247</v>
      </c>
      <c r="AD429" s="496" t="s">
        <v>248</v>
      </c>
      <c r="AE429" s="495" t="s">
        <v>249</v>
      </c>
      <c r="AF429" s="495" t="s">
        <v>250</v>
      </c>
      <c r="AG429" s="497" t="s">
        <v>251</v>
      </c>
      <c r="AH429" s="495" t="s">
        <v>252</v>
      </c>
    </row>
    <row r="430">
      <c r="A430" s="498">
        <v>46225</v>
      </c>
      <c r="B430" s="530" t="s">
        <v>277</v>
      </c>
      <c r="C430" s="500" t="s">
        <v>254</v>
      </c>
      <c r="D430" s="501">
        <v>1357.894</v>
      </c>
      <c r="E430" s="502">
        <v>5</v>
      </c>
      <c r="F430" s="503">
        <v>1521.3</v>
      </c>
      <c r="G430" s="504">
        <f t="shared" ref="G430:G448" si="62">D430/AC430</f>
      </c>
      <c r="H430" s="505">
        <f t="shared" ref="H430:H448" si="361">F430/E430</f>
      </c>
      <c r="I430" s="506">
        <f t="shared" ref="I430:I448" si="297">D430/E430</f>
      </c>
      <c r="J430" s="507">
        <f t="shared" ref="J430:J448" si="233">F430/D430</f>
      </c>
      <c r="K430" s="508">
        <f t="shared" ref="K430:K444" si="638">D430/AA430</f>
      </c>
      <c r="L430" s="505">
        <f t="shared" ref="L430:L448" si="429">D430/AB430</f>
      </c>
      <c r="M430" s="509">
        <f t="shared" ref="M430:M444" si="512">AB430/AA430</f>
      </c>
      <c r="N430" s="509">
        <f t="shared" ref="N430:N448" si="555">AC430/AB430</f>
      </c>
      <c r="O430" s="509">
        <f t="shared" ref="O430:O448" si="460">Z430/Y430</f>
      </c>
      <c r="P430" s="509">
        <f t="shared" ref="P430:P448" si="392">AC430/Z430</f>
      </c>
      <c r="Q430" s="505">
        <f t="shared" ref="Q430:Q448" si="330">D430/Y430*1000</f>
      </c>
      <c r="R430" s="507">
        <f t="shared" ref="R430:R448" si="266">D430/Z430</f>
      </c>
      <c r="S430" s="509">
        <f t="shared" ref="S430:S448" si="169">AD430/AA430</f>
      </c>
      <c r="T430" s="509">
        <f t="shared" ref="T430:T448" si="99">AE430/AA430</f>
      </c>
      <c r="U430" s="509">
        <f t="shared" ref="U430:U448" si="25">AF430/AA430</f>
      </c>
      <c r="V430" s="509">
        <f t="shared" ref="V430:V448" si="586">AG430/AA430</f>
      </c>
      <c r="W430" s="510" t="s">
        <v>255</v>
      </c>
      <c r="X430" s="511" t="s">
        <v>285</v>
      </c>
      <c r="Y430" s="512">
        <v>254518</v>
      </c>
      <c r="Z430" s="512">
        <v>3169</v>
      </c>
      <c r="AA430" s="512">
        <v>144455</v>
      </c>
      <c r="AB430" s="512">
        <v>588</v>
      </c>
      <c r="AC430" s="514">
        <v>2</v>
      </c>
      <c r="AD430" s="512">
        <v>10617</v>
      </c>
      <c r="AE430" s="513">
        <v>172</v>
      </c>
      <c r="AF430" s="513">
        <v>76</v>
      </c>
      <c r="AG430" s="513">
        <v>4</v>
      </c>
      <c r="AH430" s="514">
        <v>3</v>
      </c>
    </row>
    <row r="431">
      <c r="A431" s="498"/>
      <c r="B431" s="530" t="s">
        <v>277</v>
      </c>
      <c r="C431" s="500" t="s">
        <v>257</v>
      </c>
      <c r="D431" s="501">
        <v>1422.647</v>
      </c>
      <c r="E431" s="502">
        <v>3</v>
      </c>
      <c r="F431" s="503">
        <v>620</v>
      </c>
      <c r="G431" s="504">
        <f t="shared" si="62"/>
      </c>
      <c r="H431" s="505">
        <f t="shared" si="361"/>
      </c>
      <c r="I431" s="506">
        <f t="shared" si="297"/>
      </c>
      <c r="J431" s="507">
        <f t="shared" si="233"/>
      </c>
      <c r="K431" s="508">
        <f t="shared" si="638"/>
      </c>
      <c r="L431" s="505">
        <f t="shared" si="429"/>
      </c>
      <c r="M431" s="509">
        <f t="shared" si="512"/>
      </c>
      <c r="N431" s="509">
        <f t="shared" si="555"/>
      </c>
      <c r="O431" s="509">
        <f t="shared" si="460"/>
      </c>
      <c r="P431" s="509">
        <f t="shared" si="392"/>
      </c>
      <c r="Q431" s="505">
        <f t="shared" si="330"/>
      </c>
      <c r="R431" s="507">
        <f t="shared" si="266"/>
      </c>
      <c r="S431" s="509">
        <f t="shared" si="169"/>
      </c>
      <c r="T431" s="509">
        <f t="shared" si="99"/>
      </c>
      <c r="U431" s="509">
        <f t="shared" si="25"/>
      </c>
      <c r="V431" s="509">
        <f t="shared" si="586"/>
      </c>
      <c r="W431" s="510" t="s">
        <v>255</v>
      </c>
      <c r="X431" s="511" t="s">
        <v>285</v>
      </c>
      <c r="Y431" s="513">
        <v>247378</v>
      </c>
      <c r="Z431" s="512">
        <v>5076</v>
      </c>
      <c r="AA431" s="512">
        <v>119086</v>
      </c>
      <c r="AB431" s="512">
        <v>813</v>
      </c>
      <c r="AC431" s="513">
        <v>3</v>
      </c>
      <c r="AD431" s="512">
        <v>15201</v>
      </c>
      <c r="AE431" s="513">
        <v>285</v>
      </c>
      <c r="AF431" s="513">
        <v>154</v>
      </c>
      <c r="AG431" s="514">
        <v>14</v>
      </c>
      <c r="AH431" s="514">
        <v>0</v>
      </c>
    </row>
    <row r="432">
      <c r="A432" s="498"/>
      <c r="B432" s="530" t="s">
        <v>277</v>
      </c>
      <c r="C432" s="515" t="s">
        <v>258</v>
      </c>
      <c r="D432" s="565">
        <v>776.938</v>
      </c>
      <c r="E432" s="502">
        <v>0</v>
      </c>
      <c r="F432" s="503">
        <v>0</v>
      </c>
      <c r="G432" s="504">
        <f t="shared" si="62"/>
      </c>
      <c r="H432" s="505">
        <f t="shared" si="361"/>
      </c>
      <c r="I432" s="506">
        <f t="shared" si="297"/>
      </c>
      <c r="J432" s="507">
        <f t="shared" si="233"/>
      </c>
      <c r="K432" s="508">
        <f t="shared" si="638"/>
      </c>
      <c r="L432" s="505">
        <f t="shared" si="429"/>
      </c>
      <c r="M432" s="509">
        <f t="shared" si="512"/>
      </c>
      <c r="N432" s="509">
        <f t="shared" si="555"/>
      </c>
      <c r="O432" s="509">
        <f t="shared" si="460"/>
      </c>
      <c r="P432" s="509">
        <f t="shared" si="392"/>
      </c>
      <c r="Q432" s="505">
        <f t="shared" si="330"/>
      </c>
      <c r="R432" s="507">
        <f t="shared" si="266"/>
      </c>
      <c r="S432" s="509">
        <f t="shared" si="169"/>
      </c>
      <c r="T432" s="509">
        <f t="shared" si="99"/>
      </c>
      <c r="U432" s="509">
        <f t="shared" si="25"/>
      </c>
      <c r="V432" s="509">
        <f t="shared" si="586"/>
      </c>
      <c r="W432" s="510" t="s">
        <v>255</v>
      </c>
      <c r="X432" s="511" t="s">
        <v>285</v>
      </c>
      <c r="Y432" s="513">
        <v>142559</v>
      </c>
      <c r="Z432" s="512">
        <v>2332</v>
      </c>
      <c r="AA432" s="512">
        <v>75450</v>
      </c>
      <c r="AB432" s="512">
        <v>409</v>
      </c>
      <c r="AC432" s="513">
        <v>0</v>
      </c>
      <c r="AD432" s="512">
        <v>4748</v>
      </c>
      <c r="AE432" s="513">
        <v>122</v>
      </c>
      <c r="AF432" s="513">
        <v>39</v>
      </c>
      <c r="AG432" s="513">
        <v>8</v>
      </c>
      <c r="AH432" s="514">
        <v>0</v>
      </c>
    </row>
    <row r="433">
      <c r="A433" s="498"/>
      <c r="B433" s="530" t="s">
        <v>277</v>
      </c>
      <c r="C433" s="572" t="s">
        <v>259</v>
      </c>
      <c r="D433" s="573">
        <v>986.129</v>
      </c>
      <c r="E433" s="568">
        <v>1</v>
      </c>
      <c r="F433" s="503">
        <v>228</v>
      </c>
      <c r="G433" s="504">
        <f t="shared" si="62"/>
      </c>
      <c r="H433" s="505">
        <f t="shared" si="361"/>
      </c>
      <c r="I433" s="506">
        <f t="shared" si="297"/>
      </c>
      <c r="J433" s="507">
        <f t="shared" si="233"/>
      </c>
      <c r="K433" s="508">
        <f t="shared" si="638"/>
      </c>
      <c r="L433" s="505">
        <f t="shared" si="429"/>
      </c>
      <c r="M433" s="509">
        <f t="shared" si="512"/>
      </c>
      <c r="N433" s="509">
        <f t="shared" si="555"/>
      </c>
      <c r="O433" s="509">
        <f t="shared" si="460"/>
      </c>
      <c r="P433" s="509">
        <f t="shared" si="392"/>
      </c>
      <c r="Q433" s="505">
        <f t="shared" si="330"/>
      </c>
      <c r="R433" s="507">
        <f t="shared" si="266"/>
      </c>
      <c r="S433" s="509">
        <f t="shared" si="169"/>
      </c>
      <c r="T433" s="509">
        <f t="shared" si="99"/>
      </c>
      <c r="U433" s="509">
        <f t="shared" si="25"/>
      </c>
      <c r="V433" s="509">
        <f t="shared" si="586"/>
      </c>
      <c r="W433" s="504" t="s">
        <v>255</v>
      </c>
      <c r="X433" s="511" t="s">
        <v>285</v>
      </c>
      <c r="Y433" s="513">
        <v>179745</v>
      </c>
      <c r="Z433" s="513">
        <v>3701</v>
      </c>
      <c r="AA433" s="513">
        <v>122286</v>
      </c>
      <c r="AB433" s="513">
        <v>381</v>
      </c>
      <c r="AC433" s="513">
        <v>1</v>
      </c>
      <c r="AD433" s="513">
        <v>7873</v>
      </c>
      <c r="AE433" s="513">
        <v>87</v>
      </c>
      <c r="AF433" s="513">
        <v>76</v>
      </c>
      <c r="AG433" s="514">
        <v>8</v>
      </c>
      <c r="AH433" s="514">
        <v>0</v>
      </c>
    </row>
    <row r="434">
      <c r="A434" s="498"/>
      <c r="B434" s="530" t="s">
        <v>277</v>
      </c>
      <c r="C434" s="516" t="s">
        <v>260</v>
      </c>
      <c r="D434" s="517">
        <v>1213.194</v>
      </c>
      <c r="E434" s="518">
        <v>3</v>
      </c>
      <c r="F434" s="519">
        <v>620</v>
      </c>
      <c r="G434" s="504">
        <f t="shared" si="62"/>
      </c>
      <c r="H434" s="505">
        <f t="shared" si="361"/>
      </c>
      <c r="I434" s="506">
        <f t="shared" si="297"/>
      </c>
      <c r="J434" s="507">
        <f t="shared" si="233"/>
      </c>
      <c r="K434" s="508">
        <f t="shared" si="638"/>
      </c>
      <c r="L434" s="505">
        <f t="shared" si="429"/>
      </c>
      <c r="M434" s="509">
        <f t="shared" si="512"/>
      </c>
      <c r="N434" s="509">
        <f t="shared" si="555"/>
      </c>
      <c r="O434" s="509">
        <f t="shared" si="460"/>
      </c>
      <c r="P434" s="509">
        <f t="shared" si="392"/>
      </c>
      <c r="Q434" s="505">
        <f t="shared" si="330"/>
      </c>
      <c r="R434" s="507">
        <f t="shared" si="266"/>
      </c>
      <c r="S434" s="509">
        <f t="shared" si="169"/>
      </c>
      <c r="T434" s="509">
        <f t="shared" si="99"/>
      </c>
      <c r="U434" s="509">
        <f t="shared" si="25"/>
      </c>
      <c r="V434" s="509">
        <f t="shared" si="586"/>
      </c>
      <c r="W434" s="520" t="s">
        <v>255</v>
      </c>
      <c r="X434" s="511" t="s">
        <v>285</v>
      </c>
      <c r="Y434" s="513">
        <v>230493</v>
      </c>
      <c r="Z434" s="513">
        <v>5176</v>
      </c>
      <c r="AA434" s="513">
        <v>167944</v>
      </c>
      <c r="AB434" s="513">
        <v>486</v>
      </c>
      <c r="AC434" s="513">
        <v>3</v>
      </c>
      <c r="AD434" s="513">
        <v>9546</v>
      </c>
      <c r="AE434" s="513">
        <v>128</v>
      </c>
      <c r="AF434" s="513">
        <v>114</v>
      </c>
      <c r="AG434" s="514">
        <v>9</v>
      </c>
      <c r="AH434" s="514">
        <v>0</v>
      </c>
    </row>
    <row r="435">
      <c r="A435" s="498"/>
      <c r="B435" s="521" t="s">
        <v>261</v>
      </c>
      <c r="C435" s="521"/>
      <c r="D435" s="522">
        <f>SUM(D430:D434)</f>
      </c>
      <c r="E435" s="523">
        <f>SUM(E430:E434)</f>
      </c>
      <c r="F435" s="522">
        <f>SUM(F430:F434)</f>
      </c>
      <c r="G435" s="522">
        <f t="shared" si="62"/>
      </c>
      <c r="H435" s="524">
        <f t="shared" si="361"/>
      </c>
      <c r="I435" s="525">
        <f t="shared" si="297"/>
      </c>
      <c r="J435" s="526">
        <f t="shared" si="233"/>
      </c>
      <c r="K435" s="527">
        <f t="shared" si="638"/>
      </c>
      <c r="L435" s="524">
        <f t="shared" si="429"/>
      </c>
      <c r="M435" s="528">
        <f t="shared" si="512"/>
      </c>
      <c r="N435" s="528">
        <f t="shared" si="555"/>
      </c>
      <c r="O435" s="528">
        <f t="shared" si="460"/>
      </c>
      <c r="P435" s="528">
        <f t="shared" si="392"/>
      </c>
      <c r="Q435" s="524">
        <f t="shared" si="330"/>
      </c>
      <c r="R435" s="526">
        <f t="shared" si="266"/>
      </c>
      <c r="S435" s="528">
        <f t="shared" si="169"/>
      </c>
      <c r="T435" s="528">
        <f t="shared" si="99"/>
      </c>
      <c r="U435" s="528">
        <f t="shared" si="25"/>
      </c>
      <c r="V435" s="528">
        <f t="shared" si="586"/>
      </c>
      <c r="W435" s="528"/>
      <c r="X435" s="529"/>
      <c r="Y435" s="522">
        <f>SUM(Y430:Y434)</f>
      </c>
      <c r="Z435" s="522">
        <f>SUM(Z430:Z434)</f>
      </c>
      <c r="AA435" s="522">
        <f>SUM(AA430:AA434)</f>
      </c>
      <c r="AB435" s="522">
        <f>SUM(AB430:AB434)</f>
      </c>
      <c r="AC435" s="522">
        <f>SUM(AC430:AC434)</f>
      </c>
      <c r="AD435" s="522">
        <f>SUM(AD430:AD434)</f>
      </c>
      <c r="AE435" s="522">
        <f>SUM(AE430:AE434)</f>
      </c>
      <c r="AF435" s="522">
        <f>SUM(AF430:AF434)</f>
      </c>
      <c r="AG435" s="522">
        <f>SUM(AG430:AG434)</f>
      </c>
      <c r="AH435" s="522">
        <f>SUM(AH430:AH434)</f>
      </c>
    </row>
    <row r="436">
      <c r="A436" s="498"/>
      <c r="B436" s="530" t="s">
        <v>253</v>
      </c>
      <c r="C436" s="531" t="s">
        <v>263</v>
      </c>
      <c r="D436" s="532">
        <v>1095.068</v>
      </c>
      <c r="E436" s="502">
        <v>0</v>
      </c>
      <c r="F436" s="503">
        <v>0</v>
      </c>
      <c r="G436" s="504">
        <f t="shared" si="62"/>
      </c>
      <c r="H436" s="505">
        <f t="shared" si="361"/>
      </c>
      <c r="I436" s="506">
        <f t="shared" si="297"/>
      </c>
      <c r="J436" s="507">
        <f t="shared" si="233"/>
      </c>
      <c r="K436" s="508">
        <f t="shared" si="638"/>
      </c>
      <c r="L436" s="505">
        <f t="shared" si="429"/>
      </c>
      <c r="M436" s="509">
        <f t="shared" si="512"/>
      </c>
      <c r="N436" s="509">
        <f t="shared" si="555"/>
      </c>
      <c r="O436" s="509">
        <f t="shared" si="460"/>
      </c>
      <c r="P436" s="509">
        <f t="shared" si="392"/>
      </c>
      <c r="Q436" s="505">
        <f t="shared" si="330"/>
      </c>
      <c r="R436" s="507">
        <f t="shared" si="266"/>
      </c>
      <c r="S436" s="509">
        <f t="shared" si="169"/>
      </c>
      <c r="T436" s="509">
        <f t="shared" si="99"/>
      </c>
      <c r="U436" s="509">
        <f t="shared" si="25"/>
      </c>
      <c r="V436" s="509">
        <f t="shared" si="586"/>
      </c>
      <c r="W436" s="520" t="s">
        <v>255</v>
      </c>
      <c r="X436" s="511" t="s">
        <v>285</v>
      </c>
      <c r="Y436" s="512">
        <v>209090</v>
      </c>
      <c r="Z436" s="512">
        <v>7921</v>
      </c>
      <c r="AA436" s="512">
        <v>165513</v>
      </c>
      <c r="AB436" s="513">
        <v>515</v>
      </c>
      <c r="AC436" s="513">
        <v>0</v>
      </c>
      <c r="AD436" s="512">
        <v>9821</v>
      </c>
      <c r="AE436" s="513">
        <v>138</v>
      </c>
      <c r="AF436" s="513">
        <v>128</v>
      </c>
      <c r="AG436" s="513">
        <v>11</v>
      </c>
      <c r="AH436" s="514">
        <v>0</v>
      </c>
    </row>
    <row r="437">
      <c r="A437" s="498"/>
      <c r="B437" s="530" t="s">
        <v>253</v>
      </c>
      <c r="C437" s="533" t="s">
        <v>264</v>
      </c>
      <c r="D437" s="532">
        <v>739.527</v>
      </c>
      <c r="E437" s="518">
        <v>1</v>
      </c>
      <c r="F437" s="519">
        <v>228</v>
      </c>
      <c r="G437" s="504">
        <f t="shared" si="62"/>
      </c>
      <c r="H437" s="505">
        <f t="shared" si="361"/>
      </c>
      <c r="I437" s="506">
        <f t="shared" si="297"/>
      </c>
      <c r="J437" s="507">
        <f t="shared" si="233"/>
      </c>
      <c r="K437" s="508">
        <f t="shared" si="638"/>
      </c>
      <c r="L437" s="505">
        <f t="shared" si="429"/>
      </c>
      <c r="M437" s="509">
        <f t="shared" si="512"/>
      </c>
      <c r="N437" s="509">
        <f t="shared" si="555"/>
      </c>
      <c r="O437" s="509">
        <f t="shared" si="460"/>
      </c>
      <c r="P437" s="509">
        <f t="shared" si="392"/>
      </c>
      <c r="Q437" s="505">
        <f t="shared" si="330"/>
      </c>
      <c r="R437" s="507">
        <f t="shared" si="266"/>
      </c>
      <c r="S437" s="509">
        <f t="shared" si="169"/>
      </c>
      <c r="T437" s="509">
        <f t="shared" si="99"/>
      </c>
      <c r="U437" s="509">
        <f t="shared" si="25"/>
      </c>
      <c r="V437" s="509">
        <f t="shared" si="586"/>
      </c>
      <c r="W437" s="520" t="s">
        <v>255</v>
      </c>
      <c r="X437" s="511" t="s">
        <v>285</v>
      </c>
      <c r="Y437" s="513">
        <v>128701</v>
      </c>
      <c r="Z437" s="513">
        <v>7845</v>
      </c>
      <c r="AA437" s="513">
        <v>108167</v>
      </c>
      <c r="AB437" s="513">
        <v>340</v>
      </c>
      <c r="AC437" s="513">
        <v>1</v>
      </c>
      <c r="AD437" s="513">
        <v>6902</v>
      </c>
      <c r="AE437" s="513">
        <v>74</v>
      </c>
      <c r="AF437" s="513">
        <v>107</v>
      </c>
      <c r="AG437" s="513">
        <v>9</v>
      </c>
      <c r="AH437" s="514">
        <v>0</v>
      </c>
    </row>
    <row r="438">
      <c r="A438" s="498"/>
      <c r="B438" s="530" t="s">
        <v>253</v>
      </c>
      <c r="C438" s="534" t="s">
        <v>265</v>
      </c>
      <c r="D438" s="532">
        <v>833.404</v>
      </c>
      <c r="E438" s="518">
        <v>2</v>
      </c>
      <c r="F438" s="519">
        <v>445.2</v>
      </c>
      <c r="G438" s="504">
        <f t="shared" si="62"/>
      </c>
      <c r="H438" s="505">
        <f t="shared" si="361"/>
      </c>
      <c r="I438" s="506">
        <f t="shared" si="297"/>
      </c>
      <c r="J438" s="507">
        <f t="shared" si="233"/>
      </c>
      <c r="K438" s="508">
        <f t="shared" si="638"/>
      </c>
      <c r="L438" s="505">
        <f t="shared" si="429"/>
      </c>
      <c r="M438" s="509">
        <f t="shared" si="512"/>
      </c>
      <c r="N438" s="509">
        <f t="shared" si="555"/>
      </c>
      <c r="O438" s="509">
        <f t="shared" si="460"/>
      </c>
      <c r="P438" s="509">
        <f t="shared" si="392"/>
      </c>
      <c r="Q438" s="505">
        <f t="shared" si="330"/>
      </c>
      <c r="R438" s="507">
        <f t="shared" si="266"/>
      </c>
      <c r="S438" s="509">
        <f t="shared" si="169"/>
      </c>
      <c r="T438" s="509">
        <f t="shared" si="99"/>
      </c>
      <c r="U438" s="509">
        <f t="shared" si="25"/>
      </c>
      <c r="V438" s="509">
        <f t="shared" si="586"/>
      </c>
      <c r="W438" s="520" t="s">
        <v>255</v>
      </c>
      <c r="X438" s="511" t="s">
        <v>285</v>
      </c>
      <c r="Y438" s="513">
        <v>134361</v>
      </c>
      <c r="Z438" s="513">
        <v>6331</v>
      </c>
      <c r="AA438" s="513">
        <v>121477</v>
      </c>
      <c r="AB438" s="513">
        <v>325</v>
      </c>
      <c r="AC438" s="513">
        <v>1</v>
      </c>
      <c r="AD438" s="513">
        <v>6938</v>
      </c>
      <c r="AE438" s="513">
        <v>111</v>
      </c>
      <c r="AF438" s="513">
        <v>92</v>
      </c>
      <c r="AG438" s="513">
        <v>4</v>
      </c>
      <c r="AH438" s="514">
        <v>1</v>
      </c>
    </row>
    <row r="439">
      <c r="A439" s="498"/>
      <c r="B439" s="530" t="s">
        <v>253</v>
      </c>
      <c r="C439" s="537" t="s">
        <v>266</v>
      </c>
      <c r="D439" s="532">
        <v>875.987</v>
      </c>
      <c r="E439" s="518">
        <v>2</v>
      </c>
      <c r="F439" s="519">
        <v>1056</v>
      </c>
      <c r="G439" s="504">
        <f t="shared" si="62"/>
      </c>
      <c r="H439" s="505">
        <f t="shared" si="361"/>
      </c>
      <c r="I439" s="506">
        <f t="shared" si="297"/>
      </c>
      <c r="J439" s="507">
        <f t="shared" si="233"/>
      </c>
      <c r="K439" s="508">
        <f t="shared" si="638"/>
      </c>
      <c r="L439" s="505">
        <f t="shared" si="429"/>
      </c>
      <c r="M439" s="509">
        <f t="shared" si="512"/>
      </c>
      <c r="N439" s="509">
        <f t="shared" si="555"/>
      </c>
      <c r="O439" s="509">
        <f t="shared" si="460"/>
      </c>
      <c r="P439" s="509">
        <f t="shared" si="392"/>
      </c>
      <c r="Q439" s="505">
        <f t="shared" si="330"/>
      </c>
      <c r="R439" s="507">
        <f t="shared" si="266"/>
      </c>
      <c r="S439" s="509">
        <f t="shared" si="169"/>
      </c>
      <c r="T439" s="509">
        <f t="shared" si="99"/>
      </c>
      <c r="U439" s="509">
        <f t="shared" si="25"/>
      </c>
      <c r="V439" s="509">
        <f t="shared" si="586"/>
      </c>
      <c r="W439" s="520" t="s">
        <v>255</v>
      </c>
      <c r="X439" s="511" t="s">
        <v>283</v>
      </c>
      <c r="Y439" s="513">
        <v>142049</v>
      </c>
      <c r="Z439" s="513">
        <v>7927</v>
      </c>
      <c r="AA439" s="513">
        <v>136252</v>
      </c>
      <c r="AB439" s="513">
        <v>364</v>
      </c>
      <c r="AC439" s="513">
        <v>2</v>
      </c>
      <c r="AD439" s="513">
        <v>8532</v>
      </c>
      <c r="AE439" s="513">
        <v>121</v>
      </c>
      <c r="AF439" s="513">
        <v>122</v>
      </c>
      <c r="AG439" s="513">
        <v>8</v>
      </c>
      <c r="AH439" s="514">
        <v>0</v>
      </c>
    </row>
    <row r="440">
      <c r="A440" s="498"/>
      <c r="B440" s="530" t="s">
        <v>253</v>
      </c>
      <c r="C440" s="540" t="s">
        <v>269</v>
      </c>
      <c r="D440" s="532">
        <v>917.418</v>
      </c>
      <c r="E440" s="518">
        <v>3</v>
      </c>
      <c r="F440" s="519">
        <v>610.3</v>
      </c>
      <c r="G440" s="504">
        <f t="shared" si="62"/>
      </c>
      <c r="H440" s="505">
        <f t="shared" si="361"/>
      </c>
      <c r="I440" s="506">
        <f t="shared" si="297"/>
      </c>
      <c r="J440" s="507">
        <f t="shared" si="233"/>
      </c>
      <c r="K440" s="508">
        <f t="shared" si="638"/>
      </c>
      <c r="L440" s="505">
        <f t="shared" si="429"/>
      </c>
      <c r="M440" s="509">
        <f t="shared" si="512"/>
      </c>
      <c r="N440" s="509">
        <f t="shared" si="555"/>
      </c>
      <c r="O440" s="509">
        <f t="shared" si="460"/>
      </c>
      <c r="P440" s="509">
        <f t="shared" si="392"/>
      </c>
      <c r="Q440" s="505">
        <f t="shared" si="330"/>
      </c>
      <c r="R440" s="507">
        <f t="shared" si="266"/>
      </c>
      <c r="S440" s="509">
        <f t="shared" si="169"/>
      </c>
      <c r="T440" s="509">
        <f t="shared" si="99"/>
      </c>
      <c r="U440" s="509">
        <f t="shared" si="25"/>
      </c>
      <c r="V440" s="509">
        <f t="shared" si="586"/>
      </c>
      <c r="W440" s="520" t="s">
        <v>255</v>
      </c>
      <c r="X440" s="511" t="s">
        <v>283</v>
      </c>
      <c r="Y440" s="513">
        <v>147357</v>
      </c>
      <c r="Z440" s="513">
        <v>7518</v>
      </c>
      <c r="AA440" s="513">
        <v>143887</v>
      </c>
      <c r="AB440" s="513">
        <v>375</v>
      </c>
      <c r="AC440" s="513">
        <v>2</v>
      </c>
      <c r="AD440" s="513">
        <v>9009</v>
      </c>
      <c r="AE440" s="513">
        <v>142</v>
      </c>
      <c r="AF440" s="513">
        <v>106</v>
      </c>
      <c r="AG440" s="513">
        <v>8</v>
      </c>
      <c r="AH440" s="514">
        <v>1</v>
      </c>
    </row>
    <row r="441">
      <c r="A441" s="498"/>
      <c r="B441" s="521" t="s">
        <v>261</v>
      </c>
      <c r="C441" s="521"/>
      <c r="D441" s="522">
        <f>SUM(D436:D440)</f>
      </c>
      <c r="E441" s="522">
        <f>SUM(E436:E440)</f>
      </c>
      <c r="F441" s="522">
        <f>SUM(F436:F440)</f>
      </c>
      <c r="G441" s="522">
        <f t="shared" si="62"/>
      </c>
      <c r="H441" s="524">
        <f t="shared" si="361"/>
      </c>
      <c r="I441" s="525">
        <f t="shared" si="297"/>
      </c>
      <c r="J441" s="526">
        <f t="shared" si="233"/>
      </c>
      <c r="K441" s="527">
        <f t="shared" si="638"/>
      </c>
      <c r="L441" s="524">
        <f t="shared" si="429"/>
      </c>
      <c r="M441" s="528">
        <f t="shared" si="512"/>
      </c>
      <c r="N441" s="528">
        <f t="shared" si="555"/>
      </c>
      <c r="O441" s="528">
        <f t="shared" si="460"/>
      </c>
      <c r="P441" s="528">
        <f t="shared" si="392"/>
      </c>
      <c r="Q441" s="524">
        <f t="shared" si="330"/>
      </c>
      <c r="R441" s="526">
        <f t="shared" si="266"/>
      </c>
      <c r="S441" s="528">
        <f t="shared" si="169"/>
      </c>
      <c r="T441" s="528">
        <f t="shared" si="99"/>
      </c>
      <c r="U441" s="528">
        <f t="shared" si="25"/>
      </c>
      <c r="V441" s="528">
        <f t="shared" si="586"/>
      </c>
      <c r="W441" s="528"/>
      <c r="X441" s="529"/>
      <c r="Y441" s="522">
        <f>SUM(Y436:Y440)</f>
      </c>
      <c r="Z441" s="522">
        <f>SUM(Z436:Z440)</f>
      </c>
      <c r="AA441" s="522">
        <f>SUM(AA436:AA440)</f>
      </c>
      <c r="AB441" s="522">
        <f>SUM(AB436:AB440)</f>
      </c>
      <c r="AC441" s="522">
        <f>SUM(AC436:AC440)</f>
      </c>
      <c r="AD441" s="522">
        <f>SUM(AD436:AD440)</f>
      </c>
      <c r="AE441" s="522">
        <f>SUM(AE436:AE440)</f>
      </c>
      <c r="AF441" s="522">
        <f>SUM(AF436:AF440)</f>
      </c>
      <c r="AG441" s="522">
        <f>SUM(AG436:AG440)</f>
      </c>
      <c r="AH441" s="522">
        <f>SUM(AH436:AH440)</f>
      </c>
    </row>
    <row r="442">
      <c r="A442" s="498"/>
      <c r="B442" s="499" t="s">
        <v>268</v>
      </c>
      <c r="C442" s="534" t="s">
        <v>270</v>
      </c>
      <c r="D442" s="541">
        <v>1069.287</v>
      </c>
      <c r="E442" s="542">
        <v>5</v>
      </c>
      <c r="F442" s="519">
        <v>1072.8</v>
      </c>
      <c r="G442" s="504">
        <f t="shared" si="62"/>
      </c>
      <c r="H442" s="505">
        <f t="shared" si="361"/>
      </c>
      <c r="I442" s="506">
        <f t="shared" si="297"/>
      </c>
      <c r="J442" s="507">
        <f t="shared" si="233"/>
      </c>
      <c r="K442" s="508">
        <f t="shared" si="638"/>
      </c>
      <c r="L442" s="505">
        <f t="shared" si="429"/>
      </c>
      <c r="M442" s="509">
        <f t="shared" si="512"/>
      </c>
      <c r="N442" s="509">
        <f t="shared" si="555"/>
      </c>
      <c r="O442" s="509">
        <f t="shared" si="460"/>
      </c>
      <c r="P442" s="509">
        <f t="shared" si="392"/>
      </c>
      <c r="Q442" s="505">
        <f t="shared" si="330"/>
      </c>
      <c r="R442" s="507">
        <f t="shared" si="266"/>
      </c>
      <c r="S442" s="509">
        <f t="shared" si="169"/>
      </c>
      <c r="T442" s="509">
        <f t="shared" si="99"/>
      </c>
      <c r="U442" s="509">
        <f t="shared" si="25"/>
      </c>
      <c r="V442" s="509">
        <f t="shared" si="586"/>
      </c>
      <c r="W442" s="520" t="s">
        <v>255</v>
      </c>
      <c r="X442" s="511" t="s">
        <v>283</v>
      </c>
      <c r="Y442" s="513">
        <v>176460</v>
      </c>
      <c r="Z442" s="513">
        <v>3646</v>
      </c>
      <c r="AA442" s="513">
        <v>172966</v>
      </c>
      <c r="AB442" s="513">
        <v>301</v>
      </c>
      <c r="AC442" s="513">
        <v>2</v>
      </c>
      <c r="AD442" s="513">
        <v>7748</v>
      </c>
      <c r="AE442" s="513">
        <v>151</v>
      </c>
      <c r="AF442" s="513">
        <v>62</v>
      </c>
      <c r="AG442" s="513">
        <v>8</v>
      </c>
      <c r="AH442" s="514">
        <v>1</v>
      </c>
    </row>
    <row r="443">
      <c r="A443" s="498"/>
      <c r="B443" s="499" t="s">
        <v>268</v>
      </c>
      <c r="C443" s="534" t="s">
        <v>272</v>
      </c>
      <c r="D443" s="541">
        <v>1092.762</v>
      </c>
      <c r="E443" s="542">
        <v>2</v>
      </c>
      <c r="F443" s="519">
        <v>1024</v>
      </c>
      <c r="G443" s="504">
        <f t="shared" si="62"/>
      </c>
      <c r="H443" s="505">
        <f t="shared" si="361"/>
      </c>
      <c r="I443" s="506">
        <f t="shared" si="297"/>
      </c>
      <c r="J443" s="507">
        <f t="shared" si="233"/>
      </c>
      <c r="K443" s="508">
        <f t="shared" si="638"/>
      </c>
      <c r="L443" s="505">
        <f t="shared" si="429"/>
      </c>
      <c r="M443" s="509">
        <f t="shared" si="512"/>
      </c>
      <c r="N443" s="509">
        <f t="shared" si="555"/>
      </c>
      <c r="O443" s="509">
        <f t="shared" si="460"/>
      </c>
      <c r="P443" s="509">
        <f t="shared" si="392"/>
      </c>
      <c r="Q443" s="505">
        <f t="shared" si="330"/>
      </c>
      <c r="R443" s="507">
        <f t="shared" si="266"/>
      </c>
      <c r="S443" s="509">
        <f t="shared" si="169"/>
      </c>
      <c r="T443" s="509">
        <f t="shared" si="99"/>
      </c>
      <c r="U443" s="509">
        <f t="shared" si="25"/>
      </c>
      <c r="V443" s="509">
        <f t="shared" si="586"/>
      </c>
      <c r="W443" s="520" t="s">
        <v>255</v>
      </c>
      <c r="X443" s="511" t="s">
        <v>283</v>
      </c>
      <c r="Y443" s="513">
        <v>232419</v>
      </c>
      <c r="Z443" s="513">
        <v>2366</v>
      </c>
      <c r="AA443" s="513">
        <v>229231</v>
      </c>
      <c r="AB443" s="513">
        <v>252</v>
      </c>
      <c r="AC443" s="513">
        <v>2</v>
      </c>
      <c r="AD443" s="513">
        <v>7528</v>
      </c>
      <c r="AE443" s="513">
        <v>104</v>
      </c>
      <c r="AF443" s="513">
        <v>47</v>
      </c>
      <c r="AG443" s="513">
        <v>5</v>
      </c>
      <c r="AH443" s="514">
        <v>0</v>
      </c>
    </row>
    <row r="444">
      <c r="A444" s="498"/>
      <c r="B444" s="499" t="s">
        <v>268</v>
      </c>
      <c r="C444" s="537" t="s">
        <v>273</v>
      </c>
      <c r="D444" s="541">
        <v>1292.64</v>
      </c>
      <c r="E444" s="542">
        <v>3</v>
      </c>
      <c r="F444" s="519">
        <v>673.2</v>
      </c>
      <c r="G444" s="504">
        <f t="shared" si="62"/>
      </c>
      <c r="H444" s="505">
        <f t="shared" si="361"/>
      </c>
      <c r="I444" s="506">
        <f t="shared" si="297"/>
      </c>
      <c r="J444" s="507">
        <f t="shared" si="233"/>
      </c>
      <c r="K444" s="508">
        <f t="shared" si="638"/>
      </c>
      <c r="L444" s="505">
        <f t="shared" si="429"/>
      </c>
      <c r="M444" s="509">
        <f t="shared" si="512"/>
      </c>
      <c r="N444" s="509">
        <f t="shared" si="555"/>
      </c>
      <c r="O444" s="509">
        <f t="shared" si="460"/>
      </c>
      <c r="P444" s="509">
        <f t="shared" si="392"/>
      </c>
      <c r="Q444" s="505">
        <f t="shared" si="330"/>
      </c>
      <c r="R444" s="507">
        <f t="shared" si="266"/>
      </c>
      <c r="S444" s="509">
        <f t="shared" si="169"/>
      </c>
      <c r="T444" s="509">
        <f t="shared" si="99"/>
      </c>
      <c r="U444" s="509">
        <f t="shared" si="25"/>
      </c>
      <c r="V444" s="509">
        <f t="shared" si="586"/>
      </c>
      <c r="W444" s="520" t="s">
        <v>255</v>
      </c>
      <c r="X444" s="511" t="s">
        <v>283</v>
      </c>
      <c r="Y444" s="513">
        <v>263159</v>
      </c>
      <c r="Z444" s="513">
        <v>2769</v>
      </c>
      <c r="AA444" s="513">
        <v>262492</v>
      </c>
      <c r="AB444" s="513">
        <v>332</v>
      </c>
      <c r="AC444" s="513">
        <v>2</v>
      </c>
      <c r="AD444" s="513">
        <v>8070</v>
      </c>
      <c r="AE444" s="513">
        <v>93</v>
      </c>
      <c r="AF444" s="513">
        <v>70</v>
      </c>
      <c r="AG444" s="514">
        <v>9</v>
      </c>
      <c r="AH444" s="514">
        <v>1</v>
      </c>
    </row>
    <row r="445">
      <c r="A445" s="498"/>
      <c r="B445" s="499" t="s">
        <v>268</v>
      </c>
      <c r="C445" s="534" t="s">
        <v>274</v>
      </c>
      <c r="D445" s="535">
        <v>1407.904</v>
      </c>
      <c r="E445" s="502">
        <v>2</v>
      </c>
      <c r="F445" s="503">
        <v>456</v>
      </c>
      <c r="G445" s="504">
        <f t="shared" si="62"/>
      </c>
      <c r="H445" s="505">
        <f t="shared" si="361"/>
      </c>
      <c r="I445" s="560">
        <f t="shared" si="297"/>
      </c>
      <c r="J445" s="559">
        <f t="shared" si="233"/>
      </c>
      <c r="K445" s="556">
        <f t="shared" ref="K445:K446" si="138">D445/AB445</f>
      </c>
      <c r="L445" s="557">
        <f t="shared" si="429"/>
      </c>
      <c r="M445" s="558">
        <f t="shared" ref="M445:M446" si="200">AC445/AB445</f>
      </c>
      <c r="N445" s="558">
        <f t="shared" si="555"/>
      </c>
      <c r="O445" s="558">
        <f t="shared" si="460"/>
      </c>
      <c r="P445" s="558">
        <f t="shared" si="392"/>
      </c>
      <c r="Q445" s="557">
        <f t="shared" si="330"/>
      </c>
      <c r="R445" s="559">
        <f t="shared" si="266"/>
      </c>
      <c r="S445" s="558">
        <f t="shared" si="169"/>
      </c>
      <c r="T445" s="558">
        <f t="shared" si="99"/>
      </c>
      <c r="U445" s="558">
        <f t="shared" si="25"/>
      </c>
      <c r="V445" s="558">
        <f t="shared" si="586"/>
      </c>
      <c r="W445" s="520" t="s">
        <v>255</v>
      </c>
      <c r="X445" s="511" t="s">
        <v>283</v>
      </c>
      <c r="Y445" s="513">
        <v>299687</v>
      </c>
      <c r="Z445" s="513">
        <v>3015</v>
      </c>
      <c r="AA445" s="513">
        <v>297285</v>
      </c>
      <c r="AB445" s="536">
        <v>432</v>
      </c>
      <c r="AC445" s="536">
        <v>2</v>
      </c>
      <c r="AD445" s="536">
        <v>9229</v>
      </c>
      <c r="AE445" s="536">
        <v>123</v>
      </c>
      <c r="AF445" s="536">
        <v>79</v>
      </c>
      <c r="AG445" s="536">
        <v>12</v>
      </c>
      <c r="AH445" s="514">
        <v>0</v>
      </c>
    </row>
    <row r="446">
      <c r="A446" s="498"/>
      <c r="B446" s="499" t="s">
        <v>268</v>
      </c>
      <c r="C446" s="555" t="s">
        <v>275</v>
      </c>
      <c r="D446" s="541">
        <v>1681.231</v>
      </c>
      <c r="E446" s="542">
        <v>1</v>
      </c>
      <c r="F446" s="519">
        <v>228</v>
      </c>
      <c r="G446" s="504">
        <f t="shared" si="62"/>
      </c>
      <c r="H446" s="505">
        <f t="shared" si="361"/>
      </c>
      <c r="I446" s="560">
        <f t="shared" si="297"/>
      </c>
      <c r="J446" s="559">
        <f t="shared" si="233"/>
      </c>
      <c r="K446" s="556">
        <f t="shared" si="138"/>
      </c>
      <c r="L446" s="557">
        <f t="shared" si="429"/>
      </c>
      <c r="M446" s="558">
        <f t="shared" si="200"/>
      </c>
      <c r="N446" s="558">
        <f t="shared" si="555"/>
      </c>
      <c r="O446" s="558">
        <f t="shared" si="460"/>
      </c>
      <c r="P446" s="558">
        <f t="shared" si="392"/>
      </c>
      <c r="Q446" s="557">
        <f t="shared" si="330"/>
      </c>
      <c r="R446" s="559">
        <f t="shared" si="266"/>
      </c>
      <c r="S446" s="558">
        <f t="shared" si="169"/>
      </c>
      <c r="T446" s="558">
        <f t="shared" si="99"/>
      </c>
      <c r="U446" s="558">
        <f t="shared" si="25"/>
      </c>
      <c r="V446" s="558">
        <f t="shared" si="586"/>
      </c>
      <c r="W446" s="520" t="s">
        <v>255</v>
      </c>
      <c r="X446" s="511" t="s">
        <v>283</v>
      </c>
      <c r="Y446" s="513">
        <v>341845</v>
      </c>
      <c r="Z446" s="513">
        <v>3444</v>
      </c>
      <c r="AA446" s="513">
        <v>342391</v>
      </c>
      <c r="AB446" s="513">
        <v>463</v>
      </c>
      <c r="AC446" s="513">
        <v>2</v>
      </c>
      <c r="AD446" s="513">
        <v>9834</v>
      </c>
      <c r="AE446" s="513">
        <v>163</v>
      </c>
      <c r="AF446" s="513">
        <v>87</v>
      </c>
      <c r="AG446" s="514">
        <v>21</v>
      </c>
      <c r="AH446" s="514">
        <v>0</v>
      </c>
    </row>
    <row r="447">
      <c r="A447" s="498"/>
      <c r="B447" s="538" t="s">
        <v>261</v>
      </c>
      <c r="C447" s="538"/>
      <c r="D447" s="522">
        <f>SUM(D442:D446)</f>
      </c>
      <c r="E447" s="522">
        <f>SUM(E442:E446)</f>
      </c>
      <c r="F447" s="522">
        <f>SUM(F442:F446)</f>
      </c>
      <c r="G447" s="522">
        <f t="shared" si="62"/>
      </c>
      <c r="H447" s="524">
        <f t="shared" si="361"/>
      </c>
      <c r="I447" s="525">
        <f t="shared" si="297"/>
      </c>
      <c r="J447" s="526">
        <f t="shared" si="233"/>
      </c>
      <c r="K447" s="527">
        <f t="shared" ref="K447:K448" si="639">D447/AA447</f>
      </c>
      <c r="L447" s="524">
        <f t="shared" si="429"/>
      </c>
      <c r="M447" s="528">
        <f t="shared" ref="M447:M448" si="513">AB447/AA447</f>
      </c>
      <c r="N447" s="528">
        <f t="shared" si="555"/>
      </c>
      <c r="O447" s="528">
        <f t="shared" si="460"/>
      </c>
      <c r="P447" s="528">
        <f t="shared" si="392"/>
      </c>
      <c r="Q447" s="524">
        <f t="shared" si="330"/>
      </c>
      <c r="R447" s="526">
        <f t="shared" si="266"/>
      </c>
      <c r="S447" s="528">
        <f t="shared" si="169"/>
      </c>
      <c r="T447" s="528">
        <f t="shared" si="99"/>
      </c>
      <c r="U447" s="528">
        <f t="shared" si="25"/>
      </c>
      <c r="V447" s="528">
        <f t="shared" si="586"/>
      </c>
      <c r="W447" s="528"/>
      <c r="X447" s="529"/>
      <c r="Y447" s="522">
        <f>SUM(Y442:Y446)</f>
      </c>
      <c r="Z447" s="522">
        <f>SUM(Z442:Z446)</f>
      </c>
      <c r="AA447" s="522">
        <f>SUM(AA442:AA446)</f>
      </c>
      <c r="AB447" s="522">
        <f>SUM(AB442:AB446)</f>
      </c>
      <c r="AC447" s="522">
        <f>SUM(AC442:AC446)</f>
      </c>
      <c r="AD447" s="522">
        <f>SUM(AD442:AD446)</f>
      </c>
      <c r="AE447" s="522">
        <f>SUM(AE442:AE446)</f>
      </c>
      <c r="AF447" s="522">
        <f>SUM(AF442:AF446)</f>
      </c>
      <c r="AG447" s="522">
        <f>SUM(AG442:AG446)</f>
      </c>
      <c r="AH447" s="522">
        <f>SUM(AH442:AH446)</f>
      </c>
    </row>
    <row r="448">
      <c r="A448" s="498"/>
      <c r="B448" s="543" t="s">
        <v>276</v>
      </c>
      <c r="C448" s="543"/>
      <c r="D448" s="554">
        <f>SUM(D435+D447+D441)</f>
      </c>
      <c r="E448" s="554">
        <f>SUM(E435+E447+E441)</f>
      </c>
      <c r="F448" s="554">
        <f>SUM(F435+F447+F441)</f>
      </c>
      <c r="G448" s="544">
        <f t="shared" si="62"/>
      </c>
      <c r="H448" s="545">
        <f t="shared" si="361"/>
      </c>
      <c r="I448" s="546">
        <f t="shared" si="297"/>
      </c>
      <c r="J448" s="547">
        <f t="shared" si="233"/>
      </c>
      <c r="K448" s="548">
        <f t="shared" si="639"/>
      </c>
      <c r="L448" s="548">
        <f t="shared" si="429"/>
      </c>
      <c r="M448" s="550">
        <f t="shared" si="513"/>
      </c>
      <c r="N448" s="550">
        <f t="shared" si="555"/>
      </c>
      <c r="O448" s="550">
        <f t="shared" si="460"/>
      </c>
      <c r="P448" s="550">
        <f t="shared" si="392"/>
      </c>
      <c r="Q448" s="549">
        <f t="shared" si="330"/>
      </c>
      <c r="R448" s="551">
        <f t="shared" si="266"/>
      </c>
      <c r="S448" s="552">
        <f t="shared" si="169"/>
      </c>
      <c r="T448" s="552">
        <f t="shared" si="99"/>
      </c>
      <c r="U448" s="552">
        <f t="shared" si="25"/>
      </c>
      <c r="V448" s="552">
        <f t="shared" si="586"/>
      </c>
      <c r="W448" s="552"/>
      <c r="X448" s="553"/>
      <c r="Y448" s="544">
        <f>SUM(Y447+Y435+Y441)</f>
      </c>
      <c r="Z448" s="544">
        <f>SUM(Z447+Z435+Z441)</f>
      </c>
      <c r="AA448" s="544">
        <f>SUM(AA447+AA435+AA441)</f>
      </c>
      <c r="AB448" s="544">
        <f>SUM(AB447+AB435+AB441)</f>
      </c>
      <c r="AC448" s="544">
        <f>SUM(AC447+AC435+AC441)</f>
      </c>
      <c r="AD448" s="544">
        <f>SUM(AD447+AD435+AD441)</f>
      </c>
      <c r="AE448" s="544">
        <f>SUM(AE447+AE435+AE441)</f>
      </c>
      <c r="AF448" s="544">
        <f>SUM(AF447+AF435+AF441)</f>
      </c>
      <c r="AG448" s="544">
        <f>SUM(AG447+AG435+AG441)</f>
      </c>
      <c r="AH448" s="544">
        <f>SUM(AH447+AH435+AH441)</f>
      </c>
    </row>
    <row r="449">
      <c r="A449" s="486" t="s">
        <v>218</v>
      </c>
      <c r="B449" s="561" t="s">
        <v>219</v>
      </c>
      <c r="C449" s="562" t="s">
        <v>220</v>
      </c>
      <c r="D449" s="487" t="s">
        <v>221</v>
      </c>
      <c r="E449" s="488" t="s">
        <v>222</v>
      </c>
      <c r="F449" s="489" t="s">
        <v>223</v>
      </c>
      <c r="G449" s="489" t="s">
        <v>224</v>
      </c>
      <c r="H449" s="490" t="s">
        <v>225</v>
      </c>
      <c r="I449" s="490" t="s">
        <v>226</v>
      </c>
      <c r="J449" s="490" t="s">
        <v>227</v>
      </c>
      <c r="K449" s="491" t="s">
        <v>228</v>
      </c>
      <c r="L449" s="491" t="s">
        <v>229</v>
      </c>
      <c r="M449" s="491" t="s">
        <v>231</v>
      </c>
      <c r="N449" s="491" t="s">
        <v>232</v>
      </c>
      <c r="O449" s="491" t="s">
        <v>233</v>
      </c>
      <c r="P449" s="491" t="s">
        <v>234</v>
      </c>
      <c r="Q449" s="491" t="s">
        <v>235</v>
      </c>
      <c r="R449" s="491" t="s">
        <v>236</v>
      </c>
      <c r="S449" s="492" t="s">
        <v>237</v>
      </c>
      <c r="T449" s="492" t="s">
        <v>238</v>
      </c>
      <c r="U449" s="492" t="s">
        <v>239</v>
      </c>
      <c r="V449" s="492" t="s">
        <v>240</v>
      </c>
      <c r="W449" s="493" t="s">
        <v>241</v>
      </c>
      <c r="X449" s="493" t="s">
        <v>242</v>
      </c>
      <c r="Y449" s="494" t="s">
        <v>243</v>
      </c>
      <c r="Z449" s="494" t="s">
        <v>244</v>
      </c>
      <c r="AA449" s="494" t="s">
        <v>245</v>
      </c>
      <c r="AB449" s="495" t="s">
        <v>246</v>
      </c>
      <c r="AC449" s="495" t="s">
        <v>247</v>
      </c>
      <c r="AD449" s="496" t="s">
        <v>248</v>
      </c>
      <c r="AE449" s="495" t="s">
        <v>249</v>
      </c>
      <c r="AF449" s="495" t="s">
        <v>250</v>
      </c>
      <c r="AG449" s="497" t="s">
        <v>251</v>
      </c>
      <c r="AH449" s="495" t="s">
        <v>252</v>
      </c>
    </row>
    <row r="450">
      <c r="A450" s="498">
        <v>46226</v>
      </c>
      <c r="B450" s="530" t="s">
        <v>277</v>
      </c>
      <c r="C450" s="500" t="s">
        <v>254</v>
      </c>
      <c r="D450" s="501">
        <v>738.107</v>
      </c>
      <c r="E450" s="502">
        <v>2</v>
      </c>
      <c r="F450" s="503">
        <v>456</v>
      </c>
      <c r="G450" s="504">
        <f t="shared" ref="G450:G468" si="63">D450/AC450</f>
      </c>
      <c r="H450" s="505">
        <f t="shared" ref="H450:H468" si="362">F450/E450</f>
      </c>
      <c r="I450" s="506">
        <f t="shared" ref="I450:I468" si="298">D450/E450</f>
      </c>
      <c r="J450" s="507">
        <f t="shared" ref="J450:J468" si="234">F450/D450</f>
      </c>
      <c r="K450" s="508">
        <f t="shared" ref="K450:K464" si="640">D450/AA450</f>
      </c>
      <c r="L450" s="505">
        <f t="shared" ref="L450:L468" si="430">D450/AB450</f>
      </c>
      <c r="M450" s="509">
        <f t="shared" ref="M450:M464" si="514">AB450/AA450</f>
      </c>
      <c r="N450" s="509">
        <f t="shared" ref="N450:N468" si="556">AC450/AB450</f>
      </c>
      <c r="O450" s="509">
        <f t="shared" ref="O450:O468" si="461">Z450/Y450</f>
      </c>
      <c r="P450" s="509">
        <f t="shared" ref="P450:P468" si="393">AC450/Z450</f>
      </c>
      <c r="Q450" s="505">
        <f t="shared" ref="Q450:Q468" si="331">D450/Y450*1000</f>
      </c>
      <c r="R450" s="507">
        <f t="shared" ref="R450:R468" si="267">D450/Z450</f>
      </c>
      <c r="S450" s="509">
        <f t="shared" ref="S450:S468" si="170">AD450/AA450</f>
      </c>
      <c r="T450" s="509">
        <f t="shared" ref="T450:T468" si="100">AE450/AA450</f>
      </c>
      <c r="U450" s="509">
        <f t="shared" ref="U450:U468" si="26">AF450/AA450</f>
      </c>
      <c r="V450" s="509">
        <f t="shared" ref="V450:V468" si="587">AG450/AA450</f>
      </c>
      <c r="W450" s="510" t="s">
        <v>255</v>
      </c>
      <c r="X450" s="511" t="s">
        <v>285</v>
      </c>
      <c r="Y450" s="512">
        <v>91291</v>
      </c>
      <c r="Z450" s="512">
        <v>1864</v>
      </c>
      <c r="AA450" s="512">
        <v>77102</v>
      </c>
      <c r="AB450" s="512">
        <v>474</v>
      </c>
      <c r="AC450" s="514">
        <v>2</v>
      </c>
      <c r="AD450" s="512">
        <v>12772</v>
      </c>
      <c r="AE450" s="513">
        <v>157</v>
      </c>
      <c r="AF450" s="513">
        <v>90</v>
      </c>
      <c r="AG450" s="513">
        <v>10</v>
      </c>
      <c r="AH450" s="514">
        <v>0</v>
      </c>
    </row>
    <row r="451">
      <c r="A451" s="498"/>
      <c r="B451" s="530" t="s">
        <v>277</v>
      </c>
      <c r="C451" s="500" t="s">
        <v>257</v>
      </c>
      <c r="D451" s="501">
        <v>1346.489</v>
      </c>
      <c r="E451" s="502">
        <v>1</v>
      </c>
      <c r="F451" s="503">
        <v>228</v>
      </c>
      <c r="G451" s="504">
        <f t="shared" si="63"/>
      </c>
      <c r="H451" s="505">
        <f t="shared" si="362"/>
      </c>
      <c r="I451" s="506">
        <f t="shared" si="298"/>
      </c>
      <c r="J451" s="507">
        <f t="shared" si="234"/>
      </c>
      <c r="K451" s="508">
        <f t="shared" si="640"/>
      </c>
      <c r="L451" s="505">
        <f t="shared" si="430"/>
      </c>
      <c r="M451" s="509">
        <f t="shared" si="514"/>
      </c>
      <c r="N451" s="509">
        <f t="shared" si="556"/>
      </c>
      <c r="O451" s="509">
        <f t="shared" si="461"/>
      </c>
      <c r="P451" s="509">
        <f t="shared" si="393"/>
      </c>
      <c r="Q451" s="505">
        <f t="shared" si="331"/>
      </c>
      <c r="R451" s="507">
        <f t="shared" si="267"/>
      </c>
      <c r="S451" s="509">
        <f t="shared" si="170"/>
      </c>
      <c r="T451" s="509">
        <f t="shared" si="100"/>
      </c>
      <c r="U451" s="509">
        <f t="shared" si="26"/>
      </c>
      <c r="V451" s="509">
        <f t="shared" si="587"/>
      </c>
      <c r="W451" s="510" t="s">
        <v>255</v>
      </c>
      <c r="X451" s="511" t="s">
        <v>285</v>
      </c>
      <c r="Y451" s="513">
        <v>179944</v>
      </c>
      <c r="Z451" s="512">
        <v>2595</v>
      </c>
      <c r="AA451" s="512">
        <v>143259</v>
      </c>
      <c r="AB451" s="512">
        <v>686</v>
      </c>
      <c r="AC451" s="513">
        <v>1</v>
      </c>
      <c r="AD451" s="512">
        <v>15454</v>
      </c>
      <c r="AE451" s="513">
        <v>191</v>
      </c>
      <c r="AF451" s="513">
        <v>123</v>
      </c>
      <c r="AG451" s="514">
        <v>16</v>
      </c>
      <c r="AH451" s="514">
        <v>0</v>
      </c>
    </row>
    <row r="452">
      <c r="A452" s="498"/>
      <c r="B452" s="530" t="s">
        <v>277</v>
      </c>
      <c r="C452" s="515" t="s">
        <v>258</v>
      </c>
      <c r="D452" s="565">
        <v>1312.511</v>
      </c>
      <c r="E452" s="502">
        <v>4</v>
      </c>
      <c r="F452" s="503">
        <v>880</v>
      </c>
      <c r="G452" s="504">
        <f t="shared" si="63"/>
      </c>
      <c r="H452" s="505">
        <f t="shared" si="362"/>
      </c>
      <c r="I452" s="506">
        <f t="shared" si="298"/>
      </c>
      <c r="J452" s="507">
        <f t="shared" si="234"/>
      </c>
      <c r="K452" s="508">
        <f t="shared" si="640"/>
      </c>
      <c r="L452" s="505">
        <f t="shared" si="430"/>
      </c>
      <c r="M452" s="509">
        <f t="shared" si="514"/>
      </c>
      <c r="N452" s="509">
        <f t="shared" si="556"/>
      </c>
      <c r="O452" s="509">
        <f t="shared" si="461"/>
      </c>
      <c r="P452" s="509">
        <f t="shared" si="393"/>
      </c>
      <c r="Q452" s="505">
        <f t="shared" si="331"/>
      </c>
      <c r="R452" s="507">
        <f t="shared" si="267"/>
      </c>
      <c r="S452" s="509">
        <f t="shared" si="170"/>
      </c>
      <c r="T452" s="509">
        <f t="shared" si="100"/>
      </c>
      <c r="U452" s="509">
        <f t="shared" si="26"/>
      </c>
      <c r="V452" s="509">
        <f t="shared" si="587"/>
      </c>
      <c r="W452" s="510" t="s">
        <v>255</v>
      </c>
      <c r="X452" s="511" t="s">
        <v>285</v>
      </c>
      <c r="Y452" s="513">
        <v>173619</v>
      </c>
      <c r="Z452" s="512">
        <v>2631</v>
      </c>
      <c r="AA452" s="512">
        <v>115905</v>
      </c>
      <c r="AB452" s="512">
        <v>689</v>
      </c>
      <c r="AC452" s="513">
        <v>4</v>
      </c>
      <c r="AD452" s="512">
        <v>12300</v>
      </c>
      <c r="AE452" s="513">
        <v>262</v>
      </c>
      <c r="AF452" s="513">
        <v>113</v>
      </c>
      <c r="AG452" s="513">
        <v>12</v>
      </c>
      <c r="AH452" s="514">
        <v>1</v>
      </c>
    </row>
    <row r="453">
      <c r="A453" s="498"/>
      <c r="B453" s="530" t="s">
        <v>277</v>
      </c>
      <c r="C453" s="572" t="s">
        <v>259</v>
      </c>
      <c r="D453" s="573">
        <v>1509.178</v>
      </c>
      <c r="E453" s="568">
        <v>0</v>
      </c>
      <c r="F453" s="503">
        <v>0</v>
      </c>
      <c r="G453" s="504">
        <f t="shared" si="63"/>
      </c>
      <c r="H453" s="505">
        <f t="shared" si="362"/>
      </c>
      <c r="I453" s="506">
        <f t="shared" si="298"/>
      </c>
      <c r="J453" s="507">
        <f t="shared" si="234"/>
      </c>
      <c r="K453" s="508">
        <f t="shared" si="640"/>
      </c>
      <c r="L453" s="505">
        <f t="shared" si="430"/>
      </c>
      <c r="M453" s="509">
        <f t="shared" si="514"/>
      </c>
      <c r="N453" s="509">
        <f t="shared" si="556"/>
      </c>
      <c r="O453" s="509">
        <f t="shared" si="461"/>
      </c>
      <c r="P453" s="509">
        <f t="shared" si="393"/>
      </c>
      <c r="Q453" s="505">
        <f t="shared" si="331"/>
      </c>
      <c r="R453" s="507">
        <f t="shared" si="267"/>
      </c>
      <c r="S453" s="509">
        <f t="shared" si="170"/>
      </c>
      <c r="T453" s="509">
        <f t="shared" si="100"/>
      </c>
      <c r="U453" s="509">
        <f t="shared" si="26"/>
      </c>
      <c r="V453" s="509">
        <f t="shared" si="587"/>
      </c>
      <c r="W453" s="504" t="s">
        <v>255</v>
      </c>
      <c r="X453" s="511" t="s">
        <v>285</v>
      </c>
      <c r="Y453" s="513">
        <v>227518</v>
      </c>
      <c r="Z453" s="513">
        <v>3171</v>
      </c>
      <c r="AA453" s="513">
        <v>128619</v>
      </c>
      <c r="AB453" s="513">
        <v>559</v>
      </c>
      <c r="AC453" s="513">
        <v>0</v>
      </c>
      <c r="AD453" s="513">
        <v>8684</v>
      </c>
      <c r="AE453" s="513">
        <v>259</v>
      </c>
      <c r="AF453" s="513">
        <v>77</v>
      </c>
      <c r="AG453" s="514">
        <v>11</v>
      </c>
      <c r="AH453" s="514">
        <v>0</v>
      </c>
    </row>
    <row r="454">
      <c r="A454" s="498"/>
      <c r="B454" s="530" t="s">
        <v>277</v>
      </c>
      <c r="C454" s="516" t="s">
        <v>260</v>
      </c>
      <c r="D454" s="517">
        <v>1631.303</v>
      </c>
      <c r="E454" s="518">
        <v>4</v>
      </c>
      <c r="F454" s="519">
        <v>890.4</v>
      </c>
      <c r="G454" s="504">
        <f t="shared" si="63"/>
      </c>
      <c r="H454" s="505">
        <f t="shared" si="362"/>
      </c>
      <c r="I454" s="506">
        <f t="shared" si="298"/>
      </c>
      <c r="J454" s="507">
        <f t="shared" si="234"/>
      </c>
      <c r="K454" s="508">
        <f t="shared" si="640"/>
      </c>
      <c r="L454" s="505">
        <f t="shared" si="430"/>
      </c>
      <c r="M454" s="509">
        <f t="shared" si="514"/>
      </c>
      <c r="N454" s="509">
        <f t="shared" si="556"/>
      </c>
      <c r="O454" s="509">
        <f t="shared" si="461"/>
      </c>
      <c r="P454" s="509">
        <f t="shared" si="393"/>
      </c>
      <c r="Q454" s="505">
        <f t="shared" si="331"/>
      </c>
      <c r="R454" s="507">
        <f t="shared" si="267"/>
      </c>
      <c r="S454" s="509">
        <f t="shared" si="170"/>
      </c>
      <c r="T454" s="509">
        <f t="shared" si="100"/>
      </c>
      <c r="U454" s="509">
        <f t="shared" si="26"/>
      </c>
      <c r="V454" s="509">
        <f t="shared" si="587"/>
      </c>
      <c r="W454" s="520" t="s">
        <v>255</v>
      </c>
      <c r="X454" s="511" t="s">
        <v>285</v>
      </c>
      <c r="Y454" s="513">
        <v>290394</v>
      </c>
      <c r="Z454" s="513">
        <v>3431</v>
      </c>
      <c r="AA454" s="513">
        <v>176799</v>
      </c>
      <c r="AB454" s="513">
        <v>682</v>
      </c>
      <c r="AC454" s="513">
        <v>2</v>
      </c>
      <c r="AD454" s="513">
        <v>7888</v>
      </c>
      <c r="AE454" s="513">
        <v>214</v>
      </c>
      <c r="AF454" s="513">
        <v>90</v>
      </c>
      <c r="AG454" s="514">
        <v>10</v>
      </c>
      <c r="AH454" s="514">
        <v>1</v>
      </c>
    </row>
    <row r="455">
      <c r="A455" s="498"/>
      <c r="B455" s="521" t="s">
        <v>261</v>
      </c>
      <c r="C455" s="521"/>
      <c r="D455" s="522">
        <f>SUM(D450:D454)</f>
      </c>
      <c r="E455" s="523">
        <f>SUM(E450:E454)</f>
      </c>
      <c r="F455" s="522">
        <f>SUM(F450:F454)</f>
      </c>
      <c r="G455" s="522">
        <f t="shared" si="63"/>
      </c>
      <c r="H455" s="524">
        <f t="shared" si="362"/>
      </c>
      <c r="I455" s="525">
        <f t="shared" si="298"/>
      </c>
      <c r="J455" s="526">
        <f t="shared" si="234"/>
      </c>
      <c r="K455" s="527">
        <f t="shared" si="640"/>
      </c>
      <c r="L455" s="524">
        <f t="shared" si="430"/>
      </c>
      <c r="M455" s="528">
        <f t="shared" si="514"/>
      </c>
      <c r="N455" s="528">
        <f t="shared" si="556"/>
      </c>
      <c r="O455" s="528">
        <f t="shared" si="461"/>
      </c>
      <c r="P455" s="528">
        <f t="shared" si="393"/>
      </c>
      <c r="Q455" s="524">
        <f t="shared" si="331"/>
      </c>
      <c r="R455" s="526">
        <f t="shared" si="267"/>
      </c>
      <c r="S455" s="528">
        <f t="shared" si="170"/>
      </c>
      <c r="T455" s="528">
        <f t="shared" si="100"/>
      </c>
      <c r="U455" s="528">
        <f t="shared" si="26"/>
      </c>
      <c r="V455" s="528">
        <f t="shared" si="587"/>
      </c>
      <c r="W455" s="528"/>
      <c r="X455" s="529"/>
      <c r="Y455" s="522">
        <f>SUM(Y450:Y454)</f>
      </c>
      <c r="Z455" s="522">
        <f>SUM(Z450:Z454)</f>
      </c>
      <c r="AA455" s="522">
        <f>SUM(AA450:AA454)</f>
      </c>
      <c r="AB455" s="522">
        <f>SUM(AB450:AB454)</f>
      </c>
      <c r="AC455" s="522">
        <f>SUM(AC450:AC454)</f>
      </c>
      <c r="AD455" s="522">
        <f>SUM(AD450:AD454)</f>
      </c>
      <c r="AE455" s="522">
        <f>SUM(AE450:AE454)</f>
      </c>
      <c r="AF455" s="522">
        <f>SUM(AF450:AF454)</f>
      </c>
      <c r="AG455" s="522">
        <f>SUM(AG450:AG454)</f>
      </c>
      <c r="AH455" s="522">
        <f>SUM(AH450:AH454)</f>
      </c>
    </row>
    <row r="456">
      <c r="A456" s="498"/>
      <c r="B456" s="499" t="s">
        <v>268</v>
      </c>
      <c r="C456" s="531" t="s">
        <v>263</v>
      </c>
      <c r="D456" s="532">
        <v>1496.62</v>
      </c>
      <c r="E456" s="502">
        <v>9</v>
      </c>
      <c r="F456" s="503">
        <v>2590</v>
      </c>
      <c r="G456" s="504">
        <f t="shared" si="63"/>
      </c>
      <c r="H456" s="505">
        <f t="shared" si="362"/>
      </c>
      <c r="I456" s="506">
        <f t="shared" si="298"/>
      </c>
      <c r="J456" s="507">
        <f t="shared" si="234"/>
      </c>
      <c r="K456" s="508">
        <f t="shared" si="640"/>
      </c>
      <c r="L456" s="505">
        <f t="shared" si="430"/>
      </c>
      <c r="M456" s="509">
        <f t="shared" si="514"/>
      </c>
      <c r="N456" s="509">
        <f t="shared" si="556"/>
      </c>
      <c r="O456" s="509">
        <f t="shared" si="461"/>
      </c>
      <c r="P456" s="509">
        <f t="shared" si="393"/>
      </c>
      <c r="Q456" s="505">
        <f t="shared" si="331"/>
      </c>
      <c r="R456" s="507">
        <f t="shared" si="267"/>
      </c>
      <c r="S456" s="509">
        <f t="shared" si="170"/>
      </c>
      <c r="T456" s="509">
        <f t="shared" si="100"/>
      </c>
      <c r="U456" s="509">
        <f t="shared" si="26"/>
      </c>
      <c r="V456" s="509">
        <f t="shared" si="587"/>
      </c>
      <c r="W456" s="520" t="s">
        <v>255</v>
      </c>
      <c r="X456" s="511" t="s">
        <v>285</v>
      </c>
      <c r="Y456" s="512">
        <v>256203</v>
      </c>
      <c r="Z456" s="512">
        <v>3384</v>
      </c>
      <c r="AA456" s="512">
        <v>138297</v>
      </c>
      <c r="AB456" s="513">
        <v>686</v>
      </c>
      <c r="AC456" s="513">
        <v>4</v>
      </c>
      <c r="AD456" s="512">
        <v>7316</v>
      </c>
      <c r="AE456" s="513">
        <v>205</v>
      </c>
      <c r="AF456" s="513">
        <v>70</v>
      </c>
      <c r="AG456" s="513">
        <v>19</v>
      </c>
      <c r="AH456" s="514">
        <v>5</v>
      </c>
    </row>
    <row r="457">
      <c r="A457" s="498"/>
      <c r="B457" s="499" t="s">
        <v>268</v>
      </c>
      <c r="C457" s="533" t="s">
        <v>264</v>
      </c>
      <c r="D457" s="532">
        <v>1234.374</v>
      </c>
      <c r="E457" s="518">
        <v>3</v>
      </c>
      <c r="F457" s="519">
        <v>1273.2</v>
      </c>
      <c r="G457" s="504">
        <f t="shared" si="63"/>
      </c>
      <c r="H457" s="505">
        <f t="shared" si="362"/>
      </c>
      <c r="I457" s="506">
        <f t="shared" si="298"/>
      </c>
      <c r="J457" s="507">
        <f t="shared" si="234"/>
      </c>
      <c r="K457" s="508">
        <f t="shared" si="640"/>
      </c>
      <c r="L457" s="505">
        <f t="shared" si="430"/>
      </c>
      <c r="M457" s="509">
        <f t="shared" si="514"/>
      </c>
      <c r="N457" s="509">
        <f t="shared" si="556"/>
      </c>
      <c r="O457" s="509">
        <f t="shared" si="461"/>
      </c>
      <c r="P457" s="509">
        <f t="shared" si="393"/>
      </c>
      <c r="Q457" s="505">
        <f t="shared" si="331"/>
      </c>
      <c r="R457" s="507">
        <f t="shared" si="267"/>
      </c>
      <c r="S457" s="509">
        <f t="shared" si="170"/>
      </c>
      <c r="T457" s="509">
        <f t="shared" si="100"/>
      </c>
      <c r="U457" s="509">
        <f t="shared" si="26"/>
      </c>
      <c r="V457" s="509">
        <f t="shared" si="587"/>
      </c>
      <c r="W457" s="520" t="s">
        <v>255</v>
      </c>
      <c r="X457" s="511" t="s">
        <v>285</v>
      </c>
      <c r="Y457" s="513">
        <v>214635</v>
      </c>
      <c r="Z457" s="513">
        <v>3477</v>
      </c>
      <c r="AA457" s="513">
        <v>98189</v>
      </c>
      <c r="AB457" s="513">
        <v>631</v>
      </c>
      <c r="AC457" s="513">
        <v>3</v>
      </c>
      <c r="AD457" s="513">
        <v>6405</v>
      </c>
      <c r="AE457" s="513">
        <v>228</v>
      </c>
      <c r="AF457" s="513">
        <v>79</v>
      </c>
      <c r="AG457" s="513">
        <v>7</v>
      </c>
      <c r="AH457" s="514">
        <v>1</v>
      </c>
    </row>
    <row r="458">
      <c r="A458" s="498"/>
      <c r="B458" s="499" t="s">
        <v>268</v>
      </c>
      <c r="C458" s="534" t="s">
        <v>265</v>
      </c>
      <c r="D458" s="532">
        <v>1305.044</v>
      </c>
      <c r="E458" s="518">
        <v>3</v>
      </c>
      <c r="F458" s="519">
        <v>651.9999999999991</v>
      </c>
      <c r="G458" s="504">
        <f t="shared" si="63"/>
      </c>
      <c r="H458" s="505">
        <f t="shared" si="362"/>
      </c>
      <c r="I458" s="506">
        <f t="shared" si="298"/>
      </c>
      <c r="J458" s="507">
        <f t="shared" si="234"/>
      </c>
      <c r="K458" s="508">
        <f t="shared" si="640"/>
      </c>
      <c r="L458" s="505">
        <f t="shared" si="430"/>
      </c>
      <c r="M458" s="509">
        <f t="shared" si="514"/>
      </c>
      <c r="N458" s="509">
        <f t="shared" si="556"/>
      </c>
      <c r="O458" s="509">
        <f t="shared" si="461"/>
      </c>
      <c r="P458" s="509">
        <f t="shared" si="393"/>
      </c>
      <c r="Q458" s="505">
        <f t="shared" si="331"/>
      </c>
      <c r="R458" s="507">
        <f t="shared" si="267"/>
      </c>
      <c r="S458" s="509">
        <f t="shared" si="170"/>
      </c>
      <c r="T458" s="509">
        <f t="shared" si="100"/>
      </c>
      <c r="U458" s="509">
        <f t="shared" si="26"/>
      </c>
      <c r="V458" s="509">
        <f t="shared" si="587"/>
      </c>
      <c r="W458" s="520" t="s">
        <v>255</v>
      </c>
      <c r="X458" s="511" t="s">
        <v>285</v>
      </c>
      <c r="Y458" s="513">
        <v>220093</v>
      </c>
      <c r="Z458" s="513">
        <v>2815</v>
      </c>
      <c r="AA458" s="513">
        <v>104549</v>
      </c>
      <c r="AB458" s="513">
        <v>455</v>
      </c>
      <c r="AC458" s="513">
        <v>2</v>
      </c>
      <c r="AD458" s="513">
        <v>4607</v>
      </c>
      <c r="AE458" s="513">
        <v>173</v>
      </c>
      <c r="AF458" s="513">
        <v>65</v>
      </c>
      <c r="AG458" s="513">
        <v>8</v>
      </c>
      <c r="AH458" s="514">
        <v>0</v>
      </c>
    </row>
    <row r="459">
      <c r="A459" s="498"/>
      <c r="B459" s="499" t="s">
        <v>268</v>
      </c>
      <c r="C459" s="537" t="s">
        <v>266</v>
      </c>
      <c r="D459" s="532">
        <v>1239.617</v>
      </c>
      <c r="E459" s="518">
        <v>5</v>
      </c>
      <c r="F459" s="519">
        <v>1055.5000000000018</v>
      </c>
      <c r="G459" s="504">
        <f t="shared" si="63"/>
      </c>
      <c r="H459" s="505">
        <f t="shared" si="362"/>
      </c>
      <c r="I459" s="506">
        <f t="shared" si="298"/>
      </c>
      <c r="J459" s="507">
        <f t="shared" si="234"/>
      </c>
      <c r="K459" s="508">
        <f t="shared" si="640"/>
      </c>
      <c r="L459" s="505">
        <f t="shared" si="430"/>
      </c>
      <c r="M459" s="509">
        <f t="shared" si="514"/>
      </c>
      <c r="N459" s="509">
        <f t="shared" si="556"/>
      </c>
      <c r="O459" s="509">
        <f t="shared" si="461"/>
      </c>
      <c r="P459" s="509">
        <f t="shared" si="393"/>
      </c>
      <c r="Q459" s="505">
        <f t="shared" si="331"/>
      </c>
      <c r="R459" s="507">
        <f t="shared" si="267"/>
      </c>
      <c r="S459" s="509">
        <f t="shared" si="170"/>
      </c>
      <c r="T459" s="509">
        <f t="shared" si="100"/>
      </c>
      <c r="U459" s="509">
        <f t="shared" si="26"/>
      </c>
      <c r="V459" s="509">
        <f t="shared" si="587"/>
      </c>
      <c r="W459" s="520" t="s">
        <v>255</v>
      </c>
      <c r="X459" s="511" t="s">
        <v>284</v>
      </c>
      <c r="Y459" s="513">
        <v>203497</v>
      </c>
      <c r="Z459" s="513">
        <v>2725</v>
      </c>
      <c r="AA459" s="513">
        <v>102945</v>
      </c>
      <c r="AB459" s="513">
        <v>473</v>
      </c>
      <c r="AC459" s="513">
        <v>5</v>
      </c>
      <c r="AD459" s="513">
        <v>5357</v>
      </c>
      <c r="AE459" s="513">
        <v>160</v>
      </c>
      <c r="AF459" s="513">
        <v>44</v>
      </c>
      <c r="AG459" s="513">
        <v>5</v>
      </c>
      <c r="AH459" s="514">
        <v>2</v>
      </c>
    </row>
    <row r="460">
      <c r="A460" s="498"/>
      <c r="B460" s="499" t="s">
        <v>268</v>
      </c>
      <c r="C460" s="540" t="s">
        <v>269</v>
      </c>
      <c r="D460" s="532">
        <v>1497.225</v>
      </c>
      <c r="E460" s="518">
        <v>3</v>
      </c>
      <c r="F460" s="519">
        <v>684</v>
      </c>
      <c r="G460" s="504">
        <f t="shared" si="63"/>
      </c>
      <c r="H460" s="505">
        <f t="shared" si="362"/>
      </c>
      <c r="I460" s="506">
        <f t="shared" si="298"/>
      </c>
      <c r="J460" s="507">
        <f t="shared" si="234"/>
      </c>
      <c r="K460" s="508">
        <f t="shared" si="640"/>
      </c>
      <c r="L460" s="505">
        <f t="shared" si="430"/>
      </c>
      <c r="M460" s="509">
        <f t="shared" si="514"/>
      </c>
      <c r="N460" s="509">
        <f t="shared" si="556"/>
      </c>
      <c r="O460" s="509">
        <f t="shared" si="461"/>
      </c>
      <c r="P460" s="509">
        <f t="shared" si="393"/>
      </c>
      <c r="Q460" s="505">
        <f t="shared" si="331"/>
      </c>
      <c r="R460" s="507">
        <f t="shared" si="267"/>
      </c>
      <c r="S460" s="509">
        <f t="shared" si="170"/>
      </c>
      <c r="T460" s="509">
        <f t="shared" si="100"/>
      </c>
      <c r="U460" s="509">
        <f t="shared" si="26"/>
      </c>
      <c r="V460" s="509">
        <f t="shared" si="587"/>
      </c>
      <c r="W460" s="520" t="s">
        <v>255</v>
      </c>
      <c r="X460" s="511" t="s">
        <v>284</v>
      </c>
      <c r="Y460" s="513">
        <v>255301</v>
      </c>
      <c r="Z460" s="513">
        <v>3415</v>
      </c>
      <c r="AA460" s="513">
        <v>160595</v>
      </c>
      <c r="AB460" s="513">
        <v>607</v>
      </c>
      <c r="AC460" s="513">
        <v>2</v>
      </c>
      <c r="AD460" s="513">
        <v>8778</v>
      </c>
      <c r="AE460" s="513">
        <v>203</v>
      </c>
      <c r="AF460" s="513">
        <v>91</v>
      </c>
      <c r="AG460" s="513">
        <v>6</v>
      </c>
      <c r="AH460" s="514">
        <v>0</v>
      </c>
    </row>
    <row r="461">
      <c r="A461" s="498"/>
      <c r="B461" s="521" t="s">
        <v>261</v>
      </c>
      <c r="C461" s="521"/>
      <c r="D461" s="522">
        <f>SUM(D456:D460)</f>
      </c>
      <c r="E461" s="522">
        <f>SUM(E456:E460)</f>
      </c>
      <c r="F461" s="522">
        <f>SUM(F456:F460)</f>
      </c>
      <c r="G461" s="522">
        <f t="shared" si="63"/>
      </c>
      <c r="H461" s="524">
        <f t="shared" si="362"/>
      </c>
      <c r="I461" s="525">
        <f t="shared" si="298"/>
      </c>
      <c r="J461" s="526">
        <f t="shared" si="234"/>
      </c>
      <c r="K461" s="527">
        <f t="shared" si="640"/>
      </c>
      <c r="L461" s="524">
        <f t="shared" si="430"/>
      </c>
      <c r="M461" s="528">
        <f t="shared" si="514"/>
      </c>
      <c r="N461" s="528">
        <f t="shared" si="556"/>
      </c>
      <c r="O461" s="528">
        <f t="shared" si="461"/>
      </c>
      <c r="P461" s="528">
        <f t="shared" si="393"/>
      </c>
      <c r="Q461" s="524">
        <f t="shared" si="331"/>
      </c>
      <c r="R461" s="526">
        <f t="shared" si="267"/>
      </c>
      <c r="S461" s="528">
        <f t="shared" si="170"/>
      </c>
      <c r="T461" s="528">
        <f t="shared" si="100"/>
      </c>
      <c r="U461" s="528">
        <f t="shared" si="26"/>
      </c>
      <c r="V461" s="528">
        <f t="shared" si="587"/>
      </c>
      <c r="W461" s="528"/>
      <c r="X461" s="529"/>
      <c r="Y461" s="522">
        <f>SUM(Y456:Y460)</f>
      </c>
      <c r="Z461" s="522">
        <f>SUM(Z456:Z460)</f>
      </c>
      <c r="AA461" s="522">
        <f>SUM(AA456:AA460)</f>
      </c>
      <c r="AB461" s="522">
        <f>SUM(AB456:AB460)</f>
      </c>
      <c r="AC461" s="522">
        <f>SUM(AC456:AC460)</f>
      </c>
      <c r="AD461" s="522">
        <f>SUM(AD456:AD460)</f>
      </c>
      <c r="AE461" s="522">
        <f>SUM(AE456:AE460)</f>
      </c>
      <c r="AF461" s="522">
        <f>SUM(AF456:AF460)</f>
      </c>
      <c r="AG461" s="522">
        <f>SUM(AG456:AG460)</f>
      </c>
      <c r="AH461" s="522">
        <f>SUM(AH456:AH460)</f>
      </c>
    </row>
    <row r="462">
      <c r="A462" s="498"/>
      <c r="B462" s="530" t="s">
        <v>271</v>
      </c>
      <c r="C462" s="534" t="s">
        <v>270</v>
      </c>
      <c r="D462" s="541">
        <v>1492.222</v>
      </c>
      <c r="E462" s="542">
        <v>2</v>
      </c>
      <c r="F462" s="519">
        <v>1056</v>
      </c>
      <c r="G462" s="504">
        <f t="shared" si="63"/>
      </c>
      <c r="H462" s="505">
        <f t="shared" si="362"/>
      </c>
      <c r="I462" s="506">
        <f t="shared" si="298"/>
      </c>
      <c r="J462" s="507">
        <f t="shared" si="234"/>
      </c>
      <c r="K462" s="508">
        <f t="shared" si="640"/>
      </c>
      <c r="L462" s="505">
        <f t="shared" si="430"/>
      </c>
      <c r="M462" s="509">
        <f t="shared" si="514"/>
      </c>
      <c r="N462" s="509">
        <f t="shared" si="556"/>
      </c>
      <c r="O462" s="509">
        <f t="shared" si="461"/>
      </c>
      <c r="P462" s="509">
        <f t="shared" si="393"/>
      </c>
      <c r="Q462" s="505">
        <f t="shared" si="331"/>
      </c>
      <c r="R462" s="507">
        <f t="shared" si="267"/>
      </c>
      <c r="S462" s="509">
        <f t="shared" si="170"/>
      </c>
      <c r="T462" s="509">
        <f t="shared" si="100"/>
      </c>
      <c r="U462" s="509">
        <f t="shared" si="26"/>
      </c>
      <c r="V462" s="509">
        <f t="shared" si="587"/>
      </c>
      <c r="W462" s="520" t="s">
        <v>255</v>
      </c>
      <c r="X462" s="511" t="s">
        <v>284</v>
      </c>
      <c r="Y462" s="513">
        <v>239360</v>
      </c>
      <c r="Z462" s="513">
        <v>3115</v>
      </c>
      <c r="AA462" s="513">
        <v>155278</v>
      </c>
      <c r="AB462" s="513">
        <v>562</v>
      </c>
      <c r="AC462" s="513">
        <v>3</v>
      </c>
      <c r="AD462" s="513">
        <v>7751</v>
      </c>
      <c r="AE462" s="513">
        <v>164</v>
      </c>
      <c r="AF462" s="513">
        <v>60</v>
      </c>
      <c r="AG462" s="513">
        <v>5</v>
      </c>
      <c r="AH462" s="514">
        <v>0</v>
      </c>
    </row>
    <row r="463">
      <c r="A463" s="498"/>
      <c r="B463" s="530" t="s">
        <v>271</v>
      </c>
      <c r="C463" s="534" t="s">
        <v>272</v>
      </c>
      <c r="D463" s="541">
        <v>1404.549</v>
      </c>
      <c r="E463" s="542">
        <v>1</v>
      </c>
      <c r="F463" s="519">
        <v>196</v>
      </c>
      <c r="G463" s="504">
        <f t="shared" si="63"/>
      </c>
      <c r="H463" s="505">
        <f t="shared" si="362"/>
      </c>
      <c r="I463" s="506">
        <f t="shared" si="298"/>
      </c>
      <c r="J463" s="507">
        <f t="shared" si="234"/>
      </c>
      <c r="K463" s="508">
        <f t="shared" si="640"/>
      </c>
      <c r="L463" s="505">
        <f t="shared" si="430"/>
      </c>
      <c r="M463" s="509">
        <f t="shared" si="514"/>
      </c>
      <c r="N463" s="509">
        <f t="shared" si="556"/>
      </c>
      <c r="O463" s="509">
        <f t="shared" si="461"/>
      </c>
      <c r="P463" s="509">
        <f t="shared" si="393"/>
      </c>
      <c r="Q463" s="505">
        <f t="shared" si="331"/>
      </c>
      <c r="R463" s="507">
        <f t="shared" si="267"/>
      </c>
      <c r="S463" s="509">
        <f t="shared" si="170"/>
      </c>
      <c r="T463" s="509">
        <f t="shared" si="100"/>
      </c>
      <c r="U463" s="509">
        <f t="shared" si="26"/>
      </c>
      <c r="V463" s="509">
        <f t="shared" si="587"/>
      </c>
      <c r="W463" s="520" t="s">
        <v>255</v>
      </c>
      <c r="X463" s="511" t="s">
        <v>284</v>
      </c>
      <c r="Y463" s="513">
        <v>245854</v>
      </c>
      <c r="Z463" s="513">
        <v>3080</v>
      </c>
      <c r="AA463" s="513">
        <v>151298</v>
      </c>
      <c r="AB463" s="513">
        <v>490</v>
      </c>
      <c r="AC463" s="513">
        <v>1</v>
      </c>
      <c r="AD463" s="513">
        <v>6187</v>
      </c>
      <c r="AE463" s="513">
        <v>164</v>
      </c>
      <c r="AF463" s="513">
        <v>63</v>
      </c>
      <c r="AG463" s="513">
        <v>8</v>
      </c>
      <c r="AH463" s="514">
        <v>0</v>
      </c>
    </row>
    <row r="464">
      <c r="A464" s="498"/>
      <c r="B464" s="530" t="s">
        <v>271</v>
      </c>
      <c r="C464" s="537" t="s">
        <v>273</v>
      </c>
      <c r="D464" s="541">
        <v>1607.1109999999999</v>
      </c>
      <c r="E464" s="542">
        <v>2</v>
      </c>
      <c r="F464" s="519">
        <v>1617.6000000000004</v>
      </c>
      <c r="G464" s="504">
        <f t="shared" si="63"/>
      </c>
      <c r="H464" s="505">
        <f t="shared" si="362"/>
      </c>
      <c r="I464" s="506">
        <f t="shared" si="298"/>
      </c>
      <c r="J464" s="507">
        <f t="shared" si="234"/>
      </c>
      <c r="K464" s="508">
        <f t="shared" si="640"/>
      </c>
      <c r="L464" s="505">
        <f t="shared" si="430"/>
      </c>
      <c r="M464" s="509">
        <f t="shared" si="514"/>
      </c>
      <c r="N464" s="509">
        <f t="shared" si="556"/>
      </c>
      <c r="O464" s="509">
        <f t="shared" si="461"/>
      </c>
      <c r="P464" s="509">
        <f t="shared" si="393"/>
      </c>
      <c r="Q464" s="505">
        <f t="shared" si="331"/>
      </c>
      <c r="R464" s="507">
        <f t="shared" si="267"/>
      </c>
      <c r="S464" s="509">
        <f t="shared" si="170"/>
      </c>
      <c r="T464" s="509">
        <f t="shared" si="100"/>
      </c>
      <c r="U464" s="509">
        <f t="shared" si="26"/>
      </c>
      <c r="V464" s="509">
        <f t="shared" si="587"/>
      </c>
      <c r="W464" s="520" t="s">
        <v>255</v>
      </c>
      <c r="X464" s="511" t="s">
        <v>284</v>
      </c>
      <c r="Y464" s="513">
        <v>281787</v>
      </c>
      <c r="Z464" s="513">
        <v>3265</v>
      </c>
      <c r="AA464" s="513">
        <v>163571</v>
      </c>
      <c r="AB464" s="513">
        <v>578</v>
      </c>
      <c r="AC464" s="513">
        <v>1</v>
      </c>
      <c r="AD464" s="513">
        <v>6338</v>
      </c>
      <c r="AE464" s="513">
        <v>166</v>
      </c>
      <c r="AF464" s="513">
        <v>61</v>
      </c>
      <c r="AG464" s="514">
        <v>7</v>
      </c>
      <c r="AH464" s="514">
        <v>1</v>
      </c>
    </row>
    <row r="465">
      <c r="A465" s="498"/>
      <c r="B465" s="530" t="s">
        <v>271</v>
      </c>
      <c r="C465" s="534" t="s">
        <v>274</v>
      </c>
      <c r="D465" s="535">
        <v>1637.929</v>
      </c>
      <c r="E465" s="502">
        <v>4</v>
      </c>
      <c r="F465" s="503">
        <v>844.8000000000011</v>
      </c>
      <c r="G465" s="504">
        <f t="shared" si="63"/>
      </c>
      <c r="H465" s="505">
        <f t="shared" si="362"/>
      </c>
      <c r="I465" s="560">
        <f t="shared" si="298"/>
      </c>
      <c r="J465" s="559">
        <f t="shared" si="234"/>
      </c>
      <c r="K465" s="556">
        <f t="shared" ref="K465:K466" si="139">D465/AB465</f>
      </c>
      <c r="L465" s="557">
        <f t="shared" si="430"/>
      </c>
      <c r="M465" s="558">
        <f t="shared" ref="M465:M466" si="201">AC465/AB465</f>
      </c>
      <c r="N465" s="558">
        <f t="shared" si="556"/>
      </c>
      <c r="O465" s="558">
        <f t="shared" si="461"/>
      </c>
      <c r="P465" s="558">
        <f t="shared" si="393"/>
      </c>
      <c r="Q465" s="557">
        <f t="shared" si="331"/>
      </c>
      <c r="R465" s="559">
        <f t="shared" si="267"/>
      </c>
      <c r="S465" s="558">
        <f t="shared" si="170"/>
      </c>
      <c r="T465" s="558">
        <f t="shared" si="100"/>
      </c>
      <c r="U465" s="558">
        <f t="shared" si="26"/>
      </c>
      <c r="V465" s="558">
        <f t="shared" si="587"/>
      </c>
      <c r="W465" s="520" t="s">
        <v>255</v>
      </c>
      <c r="X465" s="511" t="s">
        <v>284</v>
      </c>
      <c r="Y465" s="513">
        <v>298697</v>
      </c>
      <c r="Z465" s="513">
        <v>3709</v>
      </c>
      <c r="AA465" s="513">
        <v>162072</v>
      </c>
      <c r="AB465" s="536">
        <v>657</v>
      </c>
      <c r="AC465" s="536">
        <v>1</v>
      </c>
      <c r="AD465" s="536">
        <v>7138</v>
      </c>
      <c r="AE465" s="536">
        <v>175</v>
      </c>
      <c r="AF465" s="536">
        <v>86</v>
      </c>
      <c r="AG465" s="536">
        <v>11</v>
      </c>
      <c r="AH465" s="514">
        <v>1</v>
      </c>
    </row>
    <row r="466">
      <c r="A466" s="498"/>
      <c r="B466" s="530" t="s">
        <v>271</v>
      </c>
      <c r="C466" s="555" t="s">
        <v>275</v>
      </c>
      <c r="D466" s="541">
        <v>1660.4180000000003</v>
      </c>
      <c r="E466" s="542">
        <v>0</v>
      </c>
      <c r="F466" s="519">
        <v>0</v>
      </c>
      <c r="G466" s="504">
        <f t="shared" si="63"/>
      </c>
      <c r="H466" s="505">
        <f t="shared" si="362"/>
      </c>
      <c r="I466" s="560">
        <f t="shared" si="298"/>
      </c>
      <c r="J466" s="559">
        <f t="shared" si="234"/>
      </c>
      <c r="K466" s="556">
        <f t="shared" si="139"/>
      </c>
      <c r="L466" s="557">
        <f t="shared" si="430"/>
      </c>
      <c r="M466" s="558">
        <f t="shared" si="201"/>
      </c>
      <c r="N466" s="558">
        <f t="shared" si="556"/>
      </c>
      <c r="O466" s="558">
        <f t="shared" si="461"/>
      </c>
      <c r="P466" s="558">
        <f t="shared" si="393"/>
      </c>
      <c r="Q466" s="557">
        <f t="shared" si="331"/>
      </c>
      <c r="R466" s="559">
        <f t="shared" si="267"/>
      </c>
      <c r="S466" s="558">
        <f t="shared" si="170"/>
      </c>
      <c r="T466" s="558">
        <f t="shared" si="100"/>
      </c>
      <c r="U466" s="558">
        <f t="shared" si="26"/>
      </c>
      <c r="V466" s="558">
        <f t="shared" si="587"/>
      </c>
      <c r="W466" s="520" t="s">
        <v>255</v>
      </c>
      <c r="X466" s="511" t="s">
        <v>284</v>
      </c>
      <c r="Y466" s="513">
        <v>306172</v>
      </c>
      <c r="Z466" s="513">
        <v>3522</v>
      </c>
      <c r="AA466" s="513">
        <v>171440</v>
      </c>
      <c r="AB466" s="513">
        <v>710</v>
      </c>
      <c r="AC466" s="513">
        <v>0</v>
      </c>
      <c r="AD466" s="513">
        <v>6196</v>
      </c>
      <c r="AE466" s="513">
        <v>172</v>
      </c>
      <c r="AF466" s="513">
        <v>58</v>
      </c>
      <c r="AG466" s="514">
        <v>14</v>
      </c>
      <c r="AH466" s="514">
        <v>0</v>
      </c>
    </row>
    <row r="467">
      <c r="A467" s="498"/>
      <c r="B467" s="538" t="s">
        <v>261</v>
      </c>
      <c r="C467" s="538"/>
      <c r="D467" s="522">
        <f>SUM(D462:D466)</f>
      </c>
      <c r="E467" s="522">
        <f>SUM(E462:E466)</f>
      </c>
      <c r="F467" s="522">
        <f>SUM(F462:F466)</f>
      </c>
      <c r="G467" s="522">
        <f t="shared" si="63"/>
      </c>
      <c r="H467" s="524">
        <f t="shared" si="362"/>
      </c>
      <c r="I467" s="525">
        <f t="shared" si="298"/>
      </c>
      <c r="J467" s="526">
        <f t="shared" si="234"/>
      </c>
      <c r="K467" s="527">
        <f t="shared" ref="K467:K468" si="641">D467/AA467</f>
      </c>
      <c r="L467" s="524">
        <f t="shared" si="430"/>
      </c>
      <c r="M467" s="528">
        <f t="shared" ref="M467:M468" si="515">AB467/AA467</f>
      </c>
      <c r="N467" s="528">
        <f t="shared" si="556"/>
      </c>
      <c r="O467" s="528">
        <f t="shared" si="461"/>
      </c>
      <c r="P467" s="528">
        <f t="shared" si="393"/>
      </c>
      <c r="Q467" s="524">
        <f t="shared" si="331"/>
      </c>
      <c r="R467" s="526">
        <f t="shared" si="267"/>
      </c>
      <c r="S467" s="528">
        <f t="shared" si="170"/>
      </c>
      <c r="T467" s="528">
        <f t="shared" si="100"/>
      </c>
      <c r="U467" s="528">
        <f t="shared" si="26"/>
      </c>
      <c r="V467" s="528">
        <f t="shared" si="587"/>
      </c>
      <c r="W467" s="528"/>
      <c r="X467" s="529"/>
      <c r="Y467" s="522">
        <f>SUM(Y462:Y466)</f>
      </c>
      <c r="Z467" s="522">
        <f>SUM(Z462:Z466)</f>
      </c>
      <c r="AA467" s="522">
        <f>SUM(AA462:AA466)</f>
      </c>
      <c r="AB467" s="522">
        <f>SUM(AB462:AB466)</f>
      </c>
      <c r="AC467" s="522">
        <f>SUM(AC462:AC466)</f>
      </c>
      <c r="AD467" s="522">
        <f>SUM(AD462:AD466)</f>
      </c>
      <c r="AE467" s="522">
        <f>SUM(AE462:AE466)</f>
      </c>
      <c r="AF467" s="522">
        <f>SUM(AF462:AF466)</f>
      </c>
      <c r="AG467" s="522">
        <f>SUM(AG462:AG466)</f>
      </c>
      <c r="AH467" s="522">
        <f>SUM(AH462:AH466)</f>
      </c>
    </row>
    <row r="468">
      <c r="A468" s="498"/>
      <c r="B468" s="543" t="s">
        <v>276</v>
      </c>
      <c r="C468" s="543"/>
      <c r="D468" s="554">
        <f>SUM(D455+D467+D461)</f>
      </c>
      <c r="E468" s="554">
        <f>SUM(E455+E467+E461)</f>
      </c>
      <c r="F468" s="554">
        <f>SUM(F455+F467+F461)</f>
      </c>
      <c r="G468" s="544">
        <f t="shared" si="63"/>
      </c>
      <c r="H468" s="545">
        <f t="shared" si="362"/>
      </c>
      <c r="I468" s="546">
        <f t="shared" si="298"/>
      </c>
      <c r="J468" s="547">
        <f t="shared" si="234"/>
      </c>
      <c r="K468" s="548">
        <f t="shared" si="641"/>
      </c>
      <c r="L468" s="548">
        <f t="shared" si="430"/>
      </c>
      <c r="M468" s="550">
        <f t="shared" si="515"/>
      </c>
      <c r="N468" s="550">
        <f t="shared" si="556"/>
      </c>
      <c r="O468" s="550">
        <f t="shared" si="461"/>
      </c>
      <c r="P468" s="550">
        <f t="shared" si="393"/>
      </c>
      <c r="Q468" s="549">
        <f t="shared" si="331"/>
      </c>
      <c r="R468" s="551">
        <f t="shared" si="267"/>
      </c>
      <c r="S468" s="552">
        <f t="shared" si="170"/>
      </c>
      <c r="T468" s="552">
        <f t="shared" si="100"/>
      </c>
      <c r="U468" s="552">
        <f t="shared" si="26"/>
      </c>
      <c r="V468" s="552">
        <f t="shared" si="587"/>
      </c>
      <c r="W468" s="552"/>
      <c r="X468" s="553"/>
      <c r="Y468" s="544">
        <f>SUM(Y467+Y455+Y461)</f>
      </c>
      <c r="Z468" s="544">
        <f>SUM(Z467+Z455+Z461)</f>
      </c>
      <c r="AA468" s="544">
        <f>SUM(AA467+AA455+AA461)</f>
      </c>
      <c r="AB468" s="544">
        <f>SUM(AB467+AB455+AB461)</f>
      </c>
      <c r="AC468" s="544">
        <f>SUM(AC467+AC455+AC461)</f>
      </c>
      <c r="AD468" s="544">
        <f>SUM(AD467+AD455+AD461)</f>
      </c>
      <c r="AE468" s="544">
        <f>SUM(AE467+AE455+AE461)</f>
      </c>
      <c r="AF468" s="544">
        <f>SUM(AF467+AF455+AF461)</f>
      </c>
      <c r="AG468" s="544">
        <f>SUM(AG467+AG455+AG461)</f>
      </c>
      <c r="AH468" s="544">
        <f>SUM(AH467+AH455+AH461)</f>
      </c>
    </row>
    <row r="469">
      <c r="A469" s="486" t="s">
        <v>218</v>
      </c>
      <c r="B469" s="561" t="s">
        <v>219</v>
      </c>
      <c r="C469" s="562" t="s">
        <v>220</v>
      </c>
      <c r="D469" s="487" t="s">
        <v>221</v>
      </c>
      <c r="E469" s="488" t="s">
        <v>222</v>
      </c>
      <c r="F469" s="489" t="s">
        <v>223</v>
      </c>
      <c r="G469" s="489" t="s">
        <v>224</v>
      </c>
      <c r="H469" s="490" t="s">
        <v>225</v>
      </c>
      <c r="I469" s="490" t="s">
        <v>226</v>
      </c>
      <c r="J469" s="490" t="s">
        <v>227</v>
      </c>
      <c r="K469" s="491" t="s">
        <v>228</v>
      </c>
      <c r="L469" s="491" t="s">
        <v>229</v>
      </c>
      <c r="M469" s="491" t="s">
        <v>231</v>
      </c>
      <c r="N469" s="491" t="s">
        <v>232</v>
      </c>
      <c r="O469" s="491" t="s">
        <v>233</v>
      </c>
      <c r="P469" s="491" t="s">
        <v>234</v>
      </c>
      <c r="Q469" s="491" t="s">
        <v>235</v>
      </c>
      <c r="R469" s="491" t="s">
        <v>236</v>
      </c>
      <c r="S469" s="492" t="s">
        <v>237</v>
      </c>
      <c r="T469" s="492" t="s">
        <v>238</v>
      </c>
      <c r="U469" s="492" t="s">
        <v>239</v>
      </c>
      <c r="V469" s="492" t="s">
        <v>240</v>
      </c>
      <c r="W469" s="493" t="s">
        <v>241</v>
      </c>
      <c r="X469" s="493" t="s">
        <v>242</v>
      </c>
      <c r="Y469" s="494" t="s">
        <v>243</v>
      </c>
      <c r="Z469" s="494" t="s">
        <v>244</v>
      </c>
      <c r="AA469" s="494" t="s">
        <v>245</v>
      </c>
      <c r="AB469" s="495" t="s">
        <v>246</v>
      </c>
      <c r="AC469" s="495" t="s">
        <v>247</v>
      </c>
      <c r="AD469" s="496" t="s">
        <v>248</v>
      </c>
      <c r="AE469" s="495" t="s">
        <v>249</v>
      </c>
      <c r="AF469" s="495" t="s">
        <v>250</v>
      </c>
      <c r="AG469" s="497" t="s">
        <v>251</v>
      </c>
      <c r="AH469" s="495" t="s">
        <v>252</v>
      </c>
    </row>
    <row r="470">
      <c r="A470" s="498">
        <v>46227</v>
      </c>
      <c r="B470" s="530" t="s">
        <v>277</v>
      </c>
      <c r="C470" s="500" t="s">
        <v>254</v>
      </c>
      <c r="D470" s="501">
        <v>317.099</v>
      </c>
      <c r="E470" s="502">
        <v>7</v>
      </c>
      <c r="F470" s="503">
        <v>2066.4</v>
      </c>
      <c r="G470" s="504">
        <f t="shared" ref="G470:G488" si="64">D470/AC470</f>
      </c>
      <c r="H470" s="505">
        <f t="shared" ref="H470:H488" si="363">F470/E470</f>
      </c>
      <c r="I470" s="506">
        <f t="shared" ref="I470:I488" si="299">D470/E470</f>
      </c>
      <c r="J470" s="507">
        <f t="shared" ref="J470:J488" si="235">F470/D470</f>
      </c>
      <c r="K470" s="508">
        <f t="shared" ref="K470:K484" si="642">D470/AA470</f>
      </c>
      <c r="L470" s="505">
        <f t="shared" ref="L470:L488" si="431">D470/AB470</f>
      </c>
      <c r="M470" s="509">
        <f t="shared" ref="M470:M484" si="516">AB470/AA470</f>
      </c>
      <c r="N470" s="509">
        <f t="shared" ref="N470:N488" si="557">AC470/AB470</f>
      </c>
      <c r="O470" s="509">
        <f t="shared" ref="O470:O488" si="462">Z470/Y470</f>
      </c>
      <c r="P470" s="509">
        <f t="shared" ref="P470:P488" si="394">AC470/Z470</f>
      </c>
      <c r="Q470" s="505">
        <f t="shared" ref="Q470:Q488" si="332">D470/Y470*1000</f>
      </c>
      <c r="R470" s="507">
        <f t="shared" ref="R470:R488" si="268">D470/Z470</f>
      </c>
      <c r="S470" s="509">
        <f t="shared" ref="S470:S488" si="171">AD470/AA470</f>
      </c>
      <c r="T470" s="509">
        <f t="shared" ref="T470:T488" si="101">AE470/AA470</f>
      </c>
      <c r="U470" s="509">
        <f t="shared" ref="U470:U488" si="27">AF470/AA470</f>
      </c>
      <c r="V470" s="509">
        <f t="shared" ref="V470:V488" si="588">AG470/AA470</f>
      </c>
      <c r="W470" s="510" t="s">
        <v>255</v>
      </c>
      <c r="X470" s="511" t="s">
        <v>285</v>
      </c>
      <c r="Y470" s="512">
        <v>43438</v>
      </c>
      <c r="Z470" s="512">
        <v>1330</v>
      </c>
      <c r="AA470" s="512">
        <v>19158</v>
      </c>
      <c r="AB470" s="512">
        <v>255</v>
      </c>
      <c r="AC470" s="514">
        <v>4</v>
      </c>
      <c r="AD470" s="512">
        <v>2653</v>
      </c>
      <c r="AE470" s="513">
        <v>98</v>
      </c>
      <c r="AF470" s="513">
        <v>30</v>
      </c>
      <c r="AG470" s="513">
        <v>3</v>
      </c>
      <c r="AH470" s="514">
        <v>2</v>
      </c>
    </row>
    <row r="471">
      <c r="A471" s="498"/>
      <c r="B471" s="530" t="s">
        <v>277</v>
      </c>
      <c r="C471" s="500" t="s">
        <v>257</v>
      </c>
      <c r="D471" s="501">
        <v>1674.79</v>
      </c>
      <c r="E471" s="502">
        <v>13</v>
      </c>
      <c r="F471" s="503">
        <v>5270.8</v>
      </c>
      <c r="G471" s="504">
        <f t="shared" si="64"/>
      </c>
      <c r="H471" s="505">
        <f t="shared" si="363"/>
      </c>
      <c r="I471" s="506">
        <f t="shared" si="299"/>
      </c>
      <c r="J471" s="507">
        <f t="shared" si="235"/>
      </c>
      <c r="K471" s="508">
        <f t="shared" si="642"/>
      </c>
      <c r="L471" s="505">
        <f t="shared" si="431"/>
      </c>
      <c r="M471" s="509">
        <f t="shared" si="516"/>
      </c>
      <c r="N471" s="509">
        <f t="shared" si="557"/>
      </c>
      <c r="O471" s="509">
        <f t="shared" si="462"/>
      </c>
      <c r="P471" s="509">
        <f t="shared" si="394"/>
      </c>
      <c r="Q471" s="505">
        <f t="shared" si="332"/>
      </c>
      <c r="R471" s="507">
        <f t="shared" si="268"/>
      </c>
      <c r="S471" s="509">
        <f t="shared" si="171"/>
      </c>
      <c r="T471" s="509">
        <f t="shared" si="101"/>
      </c>
      <c r="U471" s="509">
        <f t="shared" si="27"/>
      </c>
      <c r="V471" s="509">
        <f t="shared" si="588"/>
      </c>
      <c r="W471" s="510" t="s">
        <v>255</v>
      </c>
      <c r="X471" s="511" t="s">
        <v>285</v>
      </c>
      <c r="Y471" s="514">
        <v>172201</v>
      </c>
      <c r="Z471" s="512">
        <v>2704</v>
      </c>
      <c r="AA471" s="512">
        <v>90989</v>
      </c>
      <c r="AB471" s="512">
        <v>530</v>
      </c>
      <c r="AC471" s="513">
        <v>7</v>
      </c>
      <c r="AD471" s="512">
        <v>7373</v>
      </c>
      <c r="AE471" s="513">
        <v>133</v>
      </c>
      <c r="AF471" s="513">
        <v>66</v>
      </c>
      <c r="AG471" s="514">
        <v>2</v>
      </c>
      <c r="AH471" s="514">
        <v>7</v>
      </c>
    </row>
    <row r="472">
      <c r="A472" s="498"/>
      <c r="B472" s="530" t="s">
        <v>277</v>
      </c>
      <c r="C472" s="515" t="s">
        <v>258</v>
      </c>
      <c r="D472" s="565">
        <v>2231.117</v>
      </c>
      <c r="E472" s="502">
        <v>6</v>
      </c>
      <c r="F472" s="503">
        <v>1283.5</v>
      </c>
      <c r="G472" s="504">
        <f t="shared" si="64"/>
      </c>
      <c r="H472" s="505">
        <f t="shared" si="363"/>
      </c>
      <c r="I472" s="506">
        <f t="shared" si="299"/>
      </c>
      <c r="J472" s="507">
        <f t="shared" si="235"/>
      </c>
      <c r="K472" s="508">
        <f t="shared" si="642"/>
      </c>
      <c r="L472" s="505">
        <f t="shared" si="431"/>
      </c>
      <c r="M472" s="509">
        <f t="shared" si="516"/>
      </c>
      <c r="N472" s="509">
        <f t="shared" si="557"/>
      </c>
      <c r="O472" s="509">
        <f t="shared" si="462"/>
      </c>
      <c r="P472" s="509">
        <f t="shared" si="394"/>
      </c>
      <c r="Q472" s="505">
        <f t="shared" si="332"/>
      </c>
      <c r="R472" s="507">
        <f t="shared" si="268"/>
      </c>
      <c r="S472" s="509">
        <f t="shared" si="171"/>
      </c>
      <c r="T472" s="509">
        <f t="shared" si="101"/>
      </c>
      <c r="U472" s="509">
        <f t="shared" si="27"/>
      </c>
      <c r="V472" s="509">
        <f t="shared" si="588"/>
      </c>
      <c r="W472" s="510" t="s">
        <v>255</v>
      </c>
      <c r="X472" s="511" t="s">
        <v>285</v>
      </c>
      <c r="Y472" s="513">
        <v>370318</v>
      </c>
      <c r="Z472" s="512">
        <v>6181</v>
      </c>
      <c r="AA472" s="512">
        <v>159545</v>
      </c>
      <c r="AB472" s="512">
        <v>1083</v>
      </c>
      <c r="AC472" s="513">
        <v>5</v>
      </c>
      <c r="AD472" s="512">
        <v>10930</v>
      </c>
      <c r="AE472" s="513">
        <v>366</v>
      </c>
      <c r="AF472" s="513">
        <v>118</v>
      </c>
      <c r="AG472" s="513">
        <v>14</v>
      </c>
      <c r="AH472" s="514">
        <v>2</v>
      </c>
    </row>
    <row r="473">
      <c r="A473" s="498"/>
      <c r="B473" s="530" t="s">
        <v>277</v>
      </c>
      <c r="C473" s="572" t="s">
        <v>259</v>
      </c>
      <c r="D473" s="573">
        <v>1379.096</v>
      </c>
      <c r="E473" s="568">
        <v>1</v>
      </c>
      <c r="F473" s="503">
        <v>228</v>
      </c>
      <c r="G473" s="504">
        <f t="shared" si="64"/>
      </c>
      <c r="H473" s="505">
        <f t="shared" si="363"/>
      </c>
      <c r="I473" s="506">
        <f t="shared" si="299"/>
      </c>
      <c r="J473" s="507">
        <f t="shared" si="235"/>
      </c>
      <c r="K473" s="508">
        <f t="shared" si="642"/>
      </c>
      <c r="L473" s="505">
        <f t="shared" si="431"/>
      </c>
      <c r="M473" s="509">
        <f t="shared" si="516"/>
      </c>
      <c r="N473" s="509">
        <f t="shared" si="557"/>
      </c>
      <c r="O473" s="509">
        <f t="shared" si="462"/>
      </c>
      <c r="P473" s="509">
        <f t="shared" si="394"/>
      </c>
      <c r="Q473" s="505">
        <f t="shared" si="332"/>
      </c>
      <c r="R473" s="507">
        <f t="shared" si="268"/>
      </c>
      <c r="S473" s="509">
        <f t="shared" si="171"/>
      </c>
      <c r="T473" s="509">
        <f t="shared" si="101"/>
      </c>
      <c r="U473" s="509">
        <f t="shared" si="27"/>
      </c>
      <c r="V473" s="509">
        <f t="shared" si="588"/>
      </c>
      <c r="W473" s="504" t="s">
        <v>255</v>
      </c>
      <c r="X473" s="511" t="s">
        <v>285</v>
      </c>
      <c r="Y473" s="513">
        <v>254593</v>
      </c>
      <c r="Z473" s="513">
        <v>4349</v>
      </c>
      <c r="AA473" s="513">
        <v>129047</v>
      </c>
      <c r="AB473" s="513">
        <v>681</v>
      </c>
      <c r="AC473" s="513">
        <v>1</v>
      </c>
      <c r="AD473" s="513">
        <v>8138</v>
      </c>
      <c r="AE473" s="513">
        <v>208</v>
      </c>
      <c r="AF473" s="513">
        <v>78</v>
      </c>
      <c r="AG473" s="514">
        <v>9</v>
      </c>
      <c r="AH473" s="514">
        <v>0</v>
      </c>
    </row>
    <row r="474">
      <c r="A474" s="498"/>
      <c r="B474" s="530" t="s">
        <v>277</v>
      </c>
      <c r="C474" s="516" t="s">
        <v>260</v>
      </c>
      <c r="D474" s="517">
        <v>853.213</v>
      </c>
      <c r="E474" s="518">
        <v>0</v>
      </c>
      <c r="F474" s="519">
        <v>0</v>
      </c>
      <c r="G474" s="504">
        <f t="shared" si="64"/>
      </c>
      <c r="H474" s="505">
        <f t="shared" si="363"/>
      </c>
      <c r="I474" s="506">
        <f t="shared" si="299"/>
      </c>
      <c r="J474" s="507">
        <f t="shared" si="235"/>
      </c>
      <c r="K474" s="508">
        <f t="shared" si="642"/>
      </c>
      <c r="L474" s="505">
        <f t="shared" si="431"/>
      </c>
      <c r="M474" s="509">
        <f t="shared" si="516"/>
      </c>
      <c r="N474" s="509">
        <f t="shared" si="557"/>
      </c>
      <c r="O474" s="509">
        <f t="shared" si="462"/>
      </c>
      <c r="P474" s="509">
        <f t="shared" si="394"/>
      </c>
      <c r="Q474" s="505">
        <f t="shared" si="332"/>
      </c>
      <c r="R474" s="507">
        <f t="shared" si="268"/>
      </c>
      <c r="S474" s="509">
        <f t="shared" si="171"/>
      </c>
      <c r="T474" s="509">
        <f t="shared" si="101"/>
      </c>
      <c r="U474" s="509">
        <f t="shared" si="27"/>
      </c>
      <c r="V474" s="509">
        <f t="shared" si="588"/>
      </c>
      <c r="W474" s="520" t="s">
        <v>255</v>
      </c>
      <c r="X474" s="511" t="s">
        <v>285</v>
      </c>
      <c r="Y474" s="513">
        <v>147429</v>
      </c>
      <c r="Z474" s="513">
        <v>3172</v>
      </c>
      <c r="AA474" s="513">
        <v>79978</v>
      </c>
      <c r="AB474" s="513">
        <v>394</v>
      </c>
      <c r="AC474" s="513">
        <v>0</v>
      </c>
      <c r="AD474" s="513">
        <v>5779</v>
      </c>
      <c r="AE474" s="513">
        <v>137</v>
      </c>
      <c r="AF474" s="513">
        <v>72</v>
      </c>
      <c r="AG474" s="514">
        <v>7</v>
      </c>
      <c r="AH474" s="514">
        <v>0</v>
      </c>
    </row>
    <row r="475">
      <c r="A475" s="498"/>
      <c r="B475" s="521" t="s">
        <v>261</v>
      </c>
      <c r="C475" s="521"/>
      <c r="D475" s="522">
        <f>SUM(D470:D474)</f>
      </c>
      <c r="E475" s="523">
        <f>SUM(E470:E474)</f>
      </c>
      <c r="F475" s="522">
        <f>SUM(F470:F474)</f>
      </c>
      <c r="G475" s="522">
        <f t="shared" si="64"/>
      </c>
      <c r="H475" s="524">
        <f t="shared" si="363"/>
      </c>
      <c r="I475" s="525">
        <f t="shared" si="299"/>
      </c>
      <c r="J475" s="526">
        <f t="shared" si="235"/>
      </c>
      <c r="K475" s="527">
        <f t="shared" si="642"/>
      </c>
      <c r="L475" s="524">
        <f t="shared" si="431"/>
      </c>
      <c r="M475" s="528">
        <f t="shared" si="516"/>
      </c>
      <c r="N475" s="528">
        <f t="shared" si="557"/>
      </c>
      <c r="O475" s="528">
        <f t="shared" si="462"/>
      </c>
      <c r="P475" s="528">
        <f t="shared" si="394"/>
      </c>
      <c r="Q475" s="524">
        <f t="shared" si="332"/>
      </c>
      <c r="R475" s="526">
        <f t="shared" si="268"/>
      </c>
      <c r="S475" s="528">
        <f t="shared" si="171"/>
      </c>
      <c r="T475" s="528">
        <f t="shared" si="101"/>
      </c>
      <c r="U475" s="528">
        <f t="shared" si="27"/>
      </c>
      <c r="V475" s="528">
        <f t="shared" si="588"/>
      </c>
      <c r="W475" s="528"/>
      <c r="X475" s="529"/>
      <c r="Y475" s="522">
        <f>SUM(Y470:Y474)</f>
      </c>
      <c r="Z475" s="522">
        <f>SUM(Z470:Z474)</f>
      </c>
      <c r="AA475" s="522">
        <f>SUM(AA470:AA474)</f>
      </c>
      <c r="AB475" s="522">
        <f>SUM(AB470:AB474)</f>
      </c>
      <c r="AC475" s="522">
        <f>SUM(AC470:AC474)</f>
      </c>
      <c r="AD475" s="522">
        <f>SUM(AD470:AD474)</f>
      </c>
      <c r="AE475" s="522">
        <f>SUM(AE470:AE474)</f>
      </c>
      <c r="AF475" s="522">
        <f>SUM(AF470:AF474)</f>
      </c>
      <c r="AG475" s="522">
        <f>SUM(AG470:AG474)</f>
      </c>
      <c r="AH475" s="522">
        <f>SUM(AH470:AH474)</f>
      </c>
    </row>
    <row r="476">
      <c r="A476" s="498"/>
      <c r="B476" s="499" t="s">
        <v>271</v>
      </c>
      <c r="C476" s="531" t="s">
        <v>263</v>
      </c>
      <c r="D476" s="532">
        <v>1026.593</v>
      </c>
      <c r="E476" s="502">
        <v>1</v>
      </c>
      <c r="F476" s="503">
        <v>196</v>
      </c>
      <c r="G476" s="504">
        <f t="shared" si="64"/>
      </c>
      <c r="H476" s="505">
        <f t="shared" si="363"/>
      </c>
      <c r="I476" s="506">
        <f t="shared" si="299"/>
      </c>
      <c r="J476" s="507">
        <f t="shared" si="235"/>
      </c>
      <c r="K476" s="508">
        <f t="shared" si="642"/>
      </c>
      <c r="L476" s="505">
        <f t="shared" si="431"/>
      </c>
      <c r="M476" s="509">
        <f t="shared" si="516"/>
      </c>
      <c r="N476" s="509">
        <f t="shared" si="557"/>
      </c>
      <c r="O476" s="509">
        <f t="shared" si="462"/>
      </c>
      <c r="P476" s="509">
        <f t="shared" si="394"/>
      </c>
      <c r="Q476" s="505">
        <f t="shared" si="332"/>
      </c>
      <c r="R476" s="507">
        <f t="shared" si="268"/>
      </c>
      <c r="S476" s="509">
        <f t="shared" si="171"/>
      </c>
      <c r="T476" s="509">
        <f t="shared" si="101"/>
      </c>
      <c r="U476" s="509">
        <f t="shared" si="27"/>
      </c>
      <c r="V476" s="509">
        <f t="shared" si="588"/>
      </c>
      <c r="W476" s="520" t="s">
        <v>255</v>
      </c>
      <c r="X476" s="511" t="s">
        <v>285</v>
      </c>
      <c r="Y476" s="512">
        <v>156027</v>
      </c>
      <c r="Z476" s="512">
        <v>2941</v>
      </c>
      <c r="AA476" s="512">
        <v>68862</v>
      </c>
      <c r="AB476" s="513">
        <v>449</v>
      </c>
      <c r="AC476" s="513">
        <v>1</v>
      </c>
      <c r="AD476" s="512">
        <v>4212</v>
      </c>
      <c r="AE476" s="513">
        <v>195</v>
      </c>
      <c r="AF476" s="513">
        <v>43</v>
      </c>
      <c r="AG476" s="513">
        <v>11</v>
      </c>
      <c r="AH476" s="514">
        <v>0</v>
      </c>
    </row>
    <row r="477">
      <c r="A477" s="498"/>
      <c r="B477" s="499" t="s">
        <v>271</v>
      </c>
      <c r="C477" s="533" t="s">
        <v>264</v>
      </c>
      <c r="D477" s="532">
        <v>953.825</v>
      </c>
      <c r="E477" s="518">
        <v>3</v>
      </c>
      <c r="F477" s="519">
        <v>684</v>
      </c>
      <c r="G477" s="504">
        <f t="shared" si="64"/>
      </c>
      <c r="H477" s="505">
        <f t="shared" si="363"/>
      </c>
      <c r="I477" s="506">
        <f t="shared" si="299"/>
      </c>
      <c r="J477" s="507">
        <f t="shared" si="235"/>
      </c>
      <c r="K477" s="508">
        <f t="shared" si="642"/>
      </c>
      <c r="L477" s="505">
        <f t="shared" si="431"/>
      </c>
      <c r="M477" s="509">
        <f t="shared" si="516"/>
      </c>
      <c r="N477" s="509">
        <f t="shared" si="557"/>
      </c>
      <c r="O477" s="509">
        <f t="shared" si="462"/>
      </c>
      <c r="P477" s="509">
        <f t="shared" si="394"/>
      </c>
      <c r="Q477" s="505">
        <f t="shared" si="332"/>
      </c>
      <c r="R477" s="507">
        <f t="shared" si="268"/>
      </c>
      <c r="S477" s="509">
        <f t="shared" si="171"/>
      </c>
      <c r="T477" s="509">
        <f t="shared" si="101"/>
      </c>
      <c r="U477" s="509">
        <f t="shared" si="27"/>
      </c>
      <c r="V477" s="509">
        <f t="shared" si="588"/>
      </c>
      <c r="W477" s="520" t="s">
        <v>255</v>
      </c>
      <c r="X477" s="511" t="s">
        <v>285</v>
      </c>
      <c r="Y477" s="513">
        <v>138723</v>
      </c>
      <c r="Z477" s="513">
        <v>3377</v>
      </c>
      <c r="AA477" s="513">
        <v>66927</v>
      </c>
      <c r="AB477" s="513">
        <v>464</v>
      </c>
      <c r="AC477" s="513">
        <v>3</v>
      </c>
      <c r="AD477" s="513">
        <v>4232</v>
      </c>
      <c r="AE477" s="513">
        <v>199</v>
      </c>
      <c r="AF477" s="513">
        <v>54</v>
      </c>
      <c r="AG477" s="513">
        <v>9</v>
      </c>
      <c r="AH477" s="514">
        <v>0</v>
      </c>
    </row>
    <row r="478">
      <c r="A478" s="498"/>
      <c r="B478" s="499" t="s">
        <v>271</v>
      </c>
      <c r="C478" s="534" t="s">
        <v>265</v>
      </c>
      <c r="D478" s="532">
        <v>800.78</v>
      </c>
      <c r="E478" s="518">
        <v>4</v>
      </c>
      <c r="F478" s="519">
        <v>2038.3</v>
      </c>
      <c r="G478" s="504">
        <f t="shared" si="64"/>
      </c>
      <c r="H478" s="505">
        <f t="shared" si="363"/>
      </c>
      <c r="I478" s="506">
        <f t="shared" si="299"/>
      </c>
      <c r="J478" s="507">
        <f t="shared" si="235"/>
      </c>
      <c r="K478" s="508">
        <f t="shared" si="642"/>
      </c>
      <c r="L478" s="505">
        <f t="shared" si="431"/>
      </c>
      <c r="M478" s="509">
        <f t="shared" si="516"/>
      </c>
      <c r="N478" s="509">
        <f t="shared" si="557"/>
      </c>
      <c r="O478" s="509">
        <f t="shared" si="462"/>
      </c>
      <c r="P478" s="509">
        <f t="shared" si="394"/>
      </c>
      <c r="Q478" s="505">
        <f t="shared" si="332"/>
      </c>
      <c r="R478" s="507">
        <f t="shared" si="268"/>
      </c>
      <c r="S478" s="509">
        <f t="shared" si="171"/>
      </c>
      <c r="T478" s="509">
        <f t="shared" si="101"/>
      </c>
      <c r="U478" s="509">
        <f t="shared" si="27"/>
      </c>
      <c r="V478" s="509">
        <f t="shared" si="588"/>
      </c>
      <c r="W478" s="520" t="s">
        <v>255</v>
      </c>
      <c r="X478" s="511" t="s">
        <v>285</v>
      </c>
      <c r="Y478" s="513">
        <v>119309</v>
      </c>
      <c r="Z478" s="513">
        <v>3476</v>
      </c>
      <c r="AA478" s="513">
        <v>71667</v>
      </c>
      <c r="AB478" s="513">
        <v>446</v>
      </c>
      <c r="AC478" s="513">
        <v>4</v>
      </c>
      <c r="AD478" s="513">
        <v>4694</v>
      </c>
      <c r="AE478" s="513">
        <v>228</v>
      </c>
      <c r="AF478" s="513">
        <v>66</v>
      </c>
      <c r="AG478" s="513">
        <v>10</v>
      </c>
      <c r="AH478" s="514">
        <v>1</v>
      </c>
    </row>
    <row r="479">
      <c r="A479" s="498"/>
      <c r="B479" s="499" t="s">
        <v>271</v>
      </c>
      <c r="C479" s="537" t="s">
        <v>266</v>
      </c>
      <c r="D479" s="532">
        <v>770.32</v>
      </c>
      <c r="E479" s="518">
        <v>3</v>
      </c>
      <c r="F479" s="519">
        <v>1241.2</v>
      </c>
      <c r="G479" s="504">
        <f t="shared" si="64"/>
      </c>
      <c r="H479" s="505">
        <f t="shared" si="363"/>
      </c>
      <c r="I479" s="506">
        <f t="shared" si="299"/>
      </c>
      <c r="J479" s="507">
        <f t="shared" si="235"/>
      </c>
      <c r="K479" s="508">
        <f t="shared" si="642"/>
      </c>
      <c r="L479" s="505">
        <f t="shared" si="431"/>
      </c>
      <c r="M479" s="509">
        <f t="shared" si="516"/>
      </c>
      <c r="N479" s="509">
        <f t="shared" si="557"/>
      </c>
      <c r="O479" s="509">
        <f t="shared" si="462"/>
      </c>
      <c r="P479" s="509">
        <f t="shared" si="394"/>
      </c>
      <c r="Q479" s="505">
        <f t="shared" si="332"/>
      </c>
      <c r="R479" s="507">
        <f t="shared" si="268"/>
      </c>
      <c r="S479" s="509">
        <f t="shared" si="171"/>
      </c>
      <c r="T479" s="509">
        <f t="shared" si="101"/>
      </c>
      <c r="U479" s="509">
        <f t="shared" si="27"/>
      </c>
      <c r="V479" s="509">
        <f t="shared" si="588"/>
      </c>
      <c r="W479" s="520" t="s">
        <v>255</v>
      </c>
      <c r="X479" s="511" t="s">
        <v>283</v>
      </c>
      <c r="Y479" s="513">
        <v>124868</v>
      </c>
      <c r="Z479" s="513">
        <v>2843</v>
      </c>
      <c r="AA479" s="513">
        <v>76301</v>
      </c>
      <c r="AB479" s="513">
        <v>430</v>
      </c>
      <c r="AC479" s="513">
        <v>2</v>
      </c>
      <c r="AD479" s="513">
        <v>3354</v>
      </c>
      <c r="AE479" s="513">
        <v>157</v>
      </c>
      <c r="AF479" s="513">
        <v>48</v>
      </c>
      <c r="AG479" s="513">
        <v>6</v>
      </c>
      <c r="AH479" s="514">
        <v>1</v>
      </c>
    </row>
    <row r="480">
      <c r="A480" s="498"/>
      <c r="B480" s="499" t="s">
        <v>271</v>
      </c>
      <c r="C480" s="540" t="s">
        <v>269</v>
      </c>
      <c r="D480" s="532">
        <v>745.946</v>
      </c>
      <c r="E480" s="518">
        <v>0</v>
      </c>
      <c r="F480" s="519">
        <v>0</v>
      </c>
      <c r="G480" s="504">
        <f t="shared" si="64"/>
      </c>
      <c r="H480" s="505">
        <f t="shared" si="363"/>
      </c>
      <c r="I480" s="506">
        <f t="shared" si="299"/>
      </c>
      <c r="J480" s="507">
        <f t="shared" si="235"/>
      </c>
      <c r="K480" s="508">
        <f t="shared" si="642"/>
      </c>
      <c r="L480" s="505">
        <f t="shared" si="431"/>
      </c>
      <c r="M480" s="509">
        <f t="shared" si="516"/>
      </c>
      <c r="N480" s="509">
        <f t="shared" si="557"/>
      </c>
      <c r="O480" s="509">
        <f t="shared" si="462"/>
      </c>
      <c r="P480" s="509">
        <f t="shared" si="394"/>
      </c>
      <c r="Q480" s="505">
        <f t="shared" si="332"/>
      </c>
      <c r="R480" s="507">
        <f t="shared" si="268"/>
      </c>
      <c r="S480" s="509">
        <f t="shared" si="171"/>
      </c>
      <c r="T480" s="509">
        <f t="shared" si="101"/>
      </c>
      <c r="U480" s="509">
        <f t="shared" si="27"/>
      </c>
      <c r="V480" s="509">
        <f t="shared" si="588"/>
      </c>
      <c r="W480" s="520" t="s">
        <v>255</v>
      </c>
      <c r="X480" s="511" t="s">
        <v>283</v>
      </c>
      <c r="Y480" s="513">
        <v>126124</v>
      </c>
      <c r="Z480" s="513">
        <v>3303</v>
      </c>
      <c r="AA480" s="513">
        <v>78637</v>
      </c>
      <c r="AB480" s="513">
        <v>490</v>
      </c>
      <c r="AC480" s="513">
        <v>0</v>
      </c>
      <c r="AD480" s="513">
        <v>3876</v>
      </c>
      <c r="AE480" s="513">
        <v>163</v>
      </c>
      <c r="AF480" s="513">
        <v>46</v>
      </c>
      <c r="AG480" s="513">
        <v>3</v>
      </c>
      <c r="AH480" s="514">
        <v>0</v>
      </c>
    </row>
    <row r="481">
      <c r="A481" s="498"/>
      <c r="B481" s="521" t="s">
        <v>261</v>
      </c>
      <c r="C481" s="521"/>
      <c r="D481" s="522">
        <f>SUM(D476:D480)</f>
      </c>
      <c r="E481" s="522">
        <f>SUM(E476:E480)</f>
      </c>
      <c r="F481" s="522">
        <f>SUM(F476:F480)</f>
      </c>
      <c r="G481" s="522">
        <f t="shared" si="64"/>
      </c>
      <c r="H481" s="524">
        <f t="shared" si="363"/>
      </c>
      <c r="I481" s="525">
        <f t="shared" si="299"/>
      </c>
      <c r="J481" s="526">
        <f t="shared" si="235"/>
      </c>
      <c r="K481" s="527">
        <f t="shared" si="642"/>
      </c>
      <c r="L481" s="524">
        <f t="shared" si="431"/>
      </c>
      <c r="M481" s="528">
        <f t="shared" si="516"/>
      </c>
      <c r="N481" s="528">
        <f t="shared" si="557"/>
      </c>
      <c r="O481" s="528">
        <f t="shared" si="462"/>
      </c>
      <c r="P481" s="528">
        <f t="shared" si="394"/>
      </c>
      <c r="Q481" s="524">
        <f t="shared" si="332"/>
      </c>
      <c r="R481" s="526">
        <f t="shared" si="268"/>
      </c>
      <c r="S481" s="528">
        <f t="shared" si="171"/>
      </c>
      <c r="T481" s="528">
        <f t="shared" si="101"/>
      </c>
      <c r="U481" s="528">
        <f t="shared" si="27"/>
      </c>
      <c r="V481" s="528">
        <f t="shared" si="588"/>
      </c>
      <c r="W481" s="528"/>
      <c r="X481" s="529"/>
      <c r="Y481" s="522">
        <f>SUM(Y476:Y480)</f>
      </c>
      <c r="Z481" s="522">
        <f>SUM(Z476:Z480)</f>
      </c>
      <c r="AA481" s="522">
        <f>SUM(AA476:AA480)</f>
      </c>
      <c r="AB481" s="522">
        <f>SUM(AB476:AB480)</f>
      </c>
      <c r="AC481" s="522">
        <f>SUM(AC476:AC480)</f>
      </c>
      <c r="AD481" s="522">
        <f>SUM(AD476:AD480)</f>
      </c>
      <c r="AE481" s="522">
        <f>SUM(AE476:AE480)</f>
      </c>
      <c r="AF481" s="522">
        <f>SUM(AF476:AF480)</f>
      </c>
      <c r="AG481" s="522">
        <f>SUM(AG476:AG480)</f>
      </c>
      <c r="AH481" s="522">
        <f>SUM(AH476:AH480)</f>
      </c>
    </row>
    <row r="482">
      <c r="A482" s="498"/>
      <c r="B482" s="530" t="s">
        <v>253</v>
      </c>
      <c r="C482" s="534" t="s">
        <v>270</v>
      </c>
      <c r="D482" s="541">
        <v>674.089</v>
      </c>
      <c r="E482" s="542">
        <v>1</v>
      </c>
      <c r="F482" s="519">
        <v>228</v>
      </c>
      <c r="G482" s="504">
        <f t="shared" si="64"/>
      </c>
      <c r="H482" s="505">
        <f t="shared" si="363"/>
      </c>
      <c r="I482" s="506">
        <f t="shared" si="299"/>
      </c>
      <c r="J482" s="507">
        <f t="shared" si="235"/>
      </c>
      <c r="K482" s="508">
        <f t="shared" si="642"/>
      </c>
      <c r="L482" s="505">
        <f t="shared" si="431"/>
      </c>
      <c r="M482" s="509">
        <f t="shared" si="516"/>
      </c>
      <c r="N482" s="509">
        <f t="shared" si="557"/>
      </c>
      <c r="O482" s="509">
        <f t="shared" si="462"/>
      </c>
      <c r="P482" s="509">
        <f t="shared" si="394"/>
      </c>
      <c r="Q482" s="505">
        <f t="shared" si="332"/>
      </c>
      <c r="R482" s="507">
        <f t="shared" si="268"/>
      </c>
      <c r="S482" s="509">
        <f t="shared" si="171"/>
      </c>
      <c r="T482" s="509">
        <f t="shared" si="101"/>
      </c>
      <c r="U482" s="509">
        <f t="shared" si="27"/>
      </c>
      <c r="V482" s="509">
        <f t="shared" si="588"/>
      </c>
      <c r="W482" s="520" t="s">
        <v>255</v>
      </c>
      <c r="X482" s="511" t="s">
        <v>283</v>
      </c>
      <c r="Y482" s="513">
        <v>109136</v>
      </c>
      <c r="Z482" s="513">
        <v>2471</v>
      </c>
      <c r="AA482" s="513">
        <v>73181</v>
      </c>
      <c r="AB482" s="513">
        <v>333</v>
      </c>
      <c r="AC482" s="513">
        <v>1</v>
      </c>
      <c r="AD482" s="513">
        <v>3121</v>
      </c>
      <c r="AE482" s="513">
        <v>149</v>
      </c>
      <c r="AF482" s="513">
        <v>54</v>
      </c>
      <c r="AG482" s="513">
        <v>4</v>
      </c>
      <c r="AH482" s="514">
        <v>0</v>
      </c>
    </row>
    <row r="483">
      <c r="A483" s="498"/>
      <c r="B483" s="530" t="s">
        <v>253</v>
      </c>
      <c r="C483" s="534" t="s">
        <v>272</v>
      </c>
      <c r="D483" s="541">
        <v>1078.42</v>
      </c>
      <c r="E483" s="542">
        <v>2</v>
      </c>
      <c r="F483" s="519">
        <v>424</v>
      </c>
      <c r="G483" s="504">
        <f t="shared" si="64"/>
      </c>
      <c r="H483" s="505">
        <f t="shared" si="363"/>
      </c>
      <c r="I483" s="506">
        <f t="shared" si="299"/>
      </c>
      <c r="J483" s="507">
        <f t="shared" si="235"/>
      </c>
      <c r="K483" s="508">
        <f t="shared" si="642"/>
      </c>
      <c r="L483" s="505">
        <f t="shared" si="431"/>
      </c>
      <c r="M483" s="509">
        <f t="shared" si="516"/>
      </c>
      <c r="N483" s="509">
        <f t="shared" si="557"/>
      </c>
      <c r="O483" s="509">
        <f t="shared" si="462"/>
      </c>
      <c r="P483" s="509">
        <f t="shared" si="394"/>
      </c>
      <c r="Q483" s="505">
        <f t="shared" si="332"/>
      </c>
      <c r="R483" s="507">
        <f t="shared" si="268"/>
      </c>
      <c r="S483" s="509">
        <f t="shared" si="171"/>
      </c>
      <c r="T483" s="509">
        <f t="shared" si="101"/>
      </c>
      <c r="U483" s="509">
        <f t="shared" si="27"/>
      </c>
      <c r="V483" s="509">
        <f t="shared" si="588"/>
      </c>
      <c r="W483" s="520" t="s">
        <v>255</v>
      </c>
      <c r="X483" s="511" t="s">
        <v>283</v>
      </c>
      <c r="Y483" s="513">
        <v>196093</v>
      </c>
      <c r="Z483" s="513">
        <v>4266</v>
      </c>
      <c r="AA483" s="513">
        <v>154066</v>
      </c>
      <c r="AB483" s="513">
        <v>424</v>
      </c>
      <c r="AC483" s="513">
        <v>2</v>
      </c>
      <c r="AD483" s="513">
        <v>5425</v>
      </c>
      <c r="AE483" s="513">
        <v>142</v>
      </c>
      <c r="AF483" s="513">
        <v>72</v>
      </c>
      <c r="AG483" s="513">
        <v>7</v>
      </c>
      <c r="AH483" s="514">
        <v>0</v>
      </c>
    </row>
    <row r="484">
      <c r="A484" s="498"/>
      <c r="B484" s="530" t="s">
        <v>253</v>
      </c>
      <c r="C484" s="537" t="s">
        <v>273</v>
      </c>
      <c r="D484" s="541">
        <v>974.883</v>
      </c>
      <c r="E484" s="542">
        <v>3</v>
      </c>
      <c r="F484" s="519">
        <v>1190.7</v>
      </c>
      <c r="G484" s="504">
        <f t="shared" si="64"/>
      </c>
      <c r="H484" s="505">
        <f t="shared" si="363"/>
      </c>
      <c r="I484" s="506">
        <f t="shared" si="299"/>
      </c>
      <c r="J484" s="507">
        <f t="shared" si="235"/>
      </c>
      <c r="K484" s="508">
        <f t="shared" si="642"/>
      </c>
      <c r="L484" s="505">
        <f t="shared" si="431"/>
      </c>
      <c r="M484" s="509">
        <f t="shared" si="516"/>
      </c>
      <c r="N484" s="509">
        <f t="shared" si="557"/>
      </c>
      <c r="O484" s="509">
        <f t="shared" si="462"/>
      </c>
      <c r="P484" s="509">
        <f t="shared" si="394"/>
      </c>
      <c r="Q484" s="505">
        <f t="shared" si="332"/>
      </c>
      <c r="R484" s="507">
        <f t="shared" si="268"/>
      </c>
      <c r="S484" s="509">
        <f t="shared" si="171"/>
      </c>
      <c r="T484" s="509">
        <f t="shared" si="101"/>
      </c>
      <c r="U484" s="509">
        <f t="shared" si="27"/>
      </c>
      <c r="V484" s="509">
        <f t="shared" si="588"/>
      </c>
      <c r="W484" s="520" t="s">
        <v>255</v>
      </c>
      <c r="X484" s="511" t="s">
        <v>283</v>
      </c>
      <c r="Y484" s="513">
        <v>189104</v>
      </c>
      <c r="Z484" s="513">
        <v>3224</v>
      </c>
      <c r="AA484" s="513">
        <v>168866</v>
      </c>
      <c r="AB484" s="513">
        <v>233</v>
      </c>
      <c r="AC484" s="513">
        <v>1</v>
      </c>
      <c r="AD484" s="513">
        <v>4804</v>
      </c>
      <c r="AE484" s="513">
        <v>66</v>
      </c>
      <c r="AF484" s="513">
        <v>44</v>
      </c>
      <c r="AG484" s="514">
        <v>3</v>
      </c>
      <c r="AH484" s="514">
        <v>1</v>
      </c>
    </row>
    <row r="485">
      <c r="A485" s="498"/>
      <c r="B485" s="530" t="s">
        <v>253</v>
      </c>
      <c r="C485" s="534" t="s">
        <v>274</v>
      </c>
      <c r="D485" s="535">
        <v>1358.648</v>
      </c>
      <c r="E485" s="502">
        <v>6</v>
      </c>
      <c r="F485" s="503">
        <v>1156.6</v>
      </c>
      <c r="G485" s="504">
        <f t="shared" si="64"/>
      </c>
      <c r="H485" s="505">
        <f t="shared" si="363"/>
      </c>
      <c r="I485" s="560">
        <f t="shared" si="299"/>
      </c>
      <c r="J485" s="559">
        <f t="shared" si="235"/>
      </c>
      <c r="K485" s="556">
        <f t="shared" ref="K485:K486" si="140">D485/AB485</f>
      </c>
      <c r="L485" s="557">
        <f t="shared" si="431"/>
      </c>
      <c r="M485" s="558">
        <f t="shared" ref="M485:M486" si="202">AC485/AB485</f>
      </c>
      <c r="N485" s="558">
        <f t="shared" si="557"/>
      </c>
      <c r="O485" s="558">
        <f t="shared" si="462"/>
      </c>
      <c r="P485" s="558">
        <f t="shared" si="394"/>
      </c>
      <c r="Q485" s="557">
        <f t="shared" si="332"/>
      </c>
      <c r="R485" s="559">
        <f t="shared" si="268"/>
      </c>
      <c r="S485" s="558">
        <f t="shared" si="171"/>
      </c>
      <c r="T485" s="558">
        <f t="shared" si="101"/>
      </c>
      <c r="U485" s="558">
        <f t="shared" si="27"/>
      </c>
      <c r="V485" s="558">
        <f t="shared" si="588"/>
      </c>
      <c r="W485" s="520" t="s">
        <v>255</v>
      </c>
      <c r="X485" s="511" t="s">
        <v>283</v>
      </c>
      <c r="Y485" s="513">
        <v>283493</v>
      </c>
      <c r="Z485" s="513">
        <v>4370</v>
      </c>
      <c r="AA485" s="513">
        <v>256341</v>
      </c>
      <c r="AB485" s="536">
        <v>357</v>
      </c>
      <c r="AC485" s="536">
        <v>6</v>
      </c>
      <c r="AD485" s="536">
        <v>6677</v>
      </c>
      <c r="AE485" s="536">
        <v>109</v>
      </c>
      <c r="AF485" s="536">
        <v>81</v>
      </c>
      <c r="AG485" s="536">
        <v>14</v>
      </c>
      <c r="AH485" s="514">
        <v>2</v>
      </c>
    </row>
    <row r="486">
      <c r="A486" s="498"/>
      <c r="B486" s="530" t="s">
        <v>253</v>
      </c>
      <c r="C486" s="555" t="s">
        <v>275</v>
      </c>
      <c r="D486" s="541">
        <v>1441.91</v>
      </c>
      <c r="E486" s="542">
        <v>3</v>
      </c>
      <c r="F486" s="519">
        <v>1801.2</v>
      </c>
      <c r="G486" s="504">
        <f t="shared" si="64"/>
      </c>
      <c r="H486" s="505">
        <f t="shared" si="363"/>
      </c>
      <c r="I486" s="560">
        <f t="shared" si="299"/>
      </c>
      <c r="J486" s="559">
        <f t="shared" si="235"/>
      </c>
      <c r="K486" s="556">
        <f t="shared" si="140"/>
      </c>
      <c r="L486" s="557">
        <f t="shared" si="431"/>
      </c>
      <c r="M486" s="558">
        <f t="shared" si="202"/>
      </c>
      <c r="N486" s="558">
        <f t="shared" si="557"/>
      </c>
      <c r="O486" s="558">
        <f t="shared" si="462"/>
      </c>
      <c r="P486" s="558">
        <f t="shared" si="394"/>
      </c>
      <c r="Q486" s="557">
        <f t="shared" si="332"/>
      </c>
      <c r="R486" s="559">
        <f t="shared" si="268"/>
      </c>
      <c r="S486" s="558">
        <f t="shared" si="171"/>
      </c>
      <c r="T486" s="558">
        <f t="shared" si="101"/>
      </c>
      <c r="U486" s="558">
        <f t="shared" si="27"/>
      </c>
      <c r="V486" s="558">
        <f t="shared" si="588"/>
      </c>
      <c r="W486" s="520" t="s">
        <v>255</v>
      </c>
      <c r="X486" s="511" t="s">
        <v>283</v>
      </c>
      <c r="Y486" s="513">
        <v>316960</v>
      </c>
      <c r="Z486" s="513">
        <v>4849</v>
      </c>
      <c r="AA486" s="513">
        <v>272745</v>
      </c>
      <c r="AB486" s="513">
        <v>468</v>
      </c>
      <c r="AC486" s="513">
        <v>3</v>
      </c>
      <c r="AD486" s="513">
        <v>7278</v>
      </c>
      <c r="AE486" s="513">
        <v>130</v>
      </c>
      <c r="AF486" s="513">
        <v>70</v>
      </c>
      <c r="AG486" s="514">
        <v>14</v>
      </c>
      <c r="AH486" s="514">
        <v>0</v>
      </c>
    </row>
    <row r="487">
      <c r="A487" s="498"/>
      <c r="B487" s="538" t="s">
        <v>261</v>
      </c>
      <c r="C487" s="538"/>
      <c r="D487" s="522">
        <f>SUM(D482:D486)</f>
      </c>
      <c r="E487" s="522">
        <f>SUM(E482:E486)</f>
      </c>
      <c r="F487" s="522">
        <f>SUM(F482:F486)</f>
      </c>
      <c r="G487" s="522">
        <f t="shared" si="64"/>
      </c>
      <c r="H487" s="524">
        <f t="shared" si="363"/>
      </c>
      <c r="I487" s="525">
        <f t="shared" si="299"/>
      </c>
      <c r="J487" s="526">
        <f t="shared" si="235"/>
      </c>
      <c r="K487" s="527">
        <f t="shared" ref="K487:K488" si="643">D487/AA487</f>
      </c>
      <c r="L487" s="524">
        <f t="shared" si="431"/>
      </c>
      <c r="M487" s="528">
        <f t="shared" ref="M487:M488" si="517">AB487/AA487</f>
      </c>
      <c r="N487" s="528">
        <f t="shared" si="557"/>
      </c>
      <c r="O487" s="528">
        <f t="shared" si="462"/>
      </c>
      <c r="P487" s="528">
        <f t="shared" si="394"/>
      </c>
      <c r="Q487" s="524">
        <f t="shared" si="332"/>
      </c>
      <c r="R487" s="526">
        <f t="shared" si="268"/>
      </c>
      <c r="S487" s="528">
        <f t="shared" si="171"/>
      </c>
      <c r="T487" s="528">
        <f t="shared" si="101"/>
      </c>
      <c r="U487" s="528">
        <f t="shared" si="27"/>
      </c>
      <c r="V487" s="528">
        <f t="shared" si="588"/>
      </c>
      <c r="W487" s="528"/>
      <c r="X487" s="529"/>
      <c r="Y487" s="522">
        <f>SUM(Y482:Y486)</f>
      </c>
      <c r="Z487" s="522">
        <f>SUM(Z482:Z486)</f>
      </c>
      <c r="AA487" s="522">
        <f>SUM(AA482:AA486)</f>
      </c>
      <c r="AB487" s="522">
        <f>SUM(AB482:AB486)</f>
      </c>
      <c r="AC487" s="522">
        <f>SUM(AC482:AC486)</f>
      </c>
      <c r="AD487" s="522">
        <f>SUM(AD482:AD486)</f>
      </c>
      <c r="AE487" s="522">
        <f>SUM(AE482:AE486)</f>
      </c>
      <c r="AF487" s="522">
        <f>SUM(AF482:AF486)</f>
      </c>
      <c r="AG487" s="522">
        <f>SUM(AG482:AG486)</f>
      </c>
      <c r="AH487" s="522">
        <f>SUM(AH482:AH486)</f>
      </c>
    </row>
    <row r="488">
      <c r="A488" s="498"/>
      <c r="B488" s="543" t="s">
        <v>276</v>
      </c>
      <c r="C488" s="543"/>
      <c r="D488" s="554">
        <f>SUM(D475+D487+D481)</f>
      </c>
      <c r="E488" s="554">
        <f>SUM(E475+E487+E481)</f>
      </c>
      <c r="F488" s="554">
        <f>SUM(F475+F487+F481)</f>
      </c>
      <c r="G488" s="544">
        <f t="shared" si="64"/>
      </c>
      <c r="H488" s="545">
        <f t="shared" si="363"/>
      </c>
      <c r="I488" s="546">
        <f t="shared" si="299"/>
      </c>
      <c r="J488" s="547">
        <f t="shared" si="235"/>
      </c>
      <c r="K488" s="548">
        <f t="shared" si="643"/>
      </c>
      <c r="L488" s="548">
        <f t="shared" si="431"/>
      </c>
      <c r="M488" s="550">
        <f t="shared" si="517"/>
      </c>
      <c r="N488" s="550">
        <f t="shared" si="557"/>
      </c>
      <c r="O488" s="550">
        <f t="shared" si="462"/>
      </c>
      <c r="P488" s="550">
        <f t="shared" si="394"/>
      </c>
      <c r="Q488" s="549">
        <f t="shared" si="332"/>
      </c>
      <c r="R488" s="551">
        <f t="shared" si="268"/>
      </c>
      <c r="S488" s="552">
        <f t="shared" si="171"/>
      </c>
      <c r="T488" s="552">
        <f t="shared" si="101"/>
      </c>
      <c r="U488" s="552">
        <f t="shared" si="27"/>
      </c>
      <c r="V488" s="552">
        <f t="shared" si="588"/>
      </c>
      <c r="W488" s="552"/>
      <c r="X488" s="553"/>
      <c r="Y488" s="544">
        <f>SUM(Y487+Y475+Y481)</f>
      </c>
      <c r="Z488" s="544">
        <f>SUM(Z487+Z475+Z481)</f>
      </c>
      <c r="AA488" s="544">
        <f>SUM(AA487+AA475+AA481)</f>
      </c>
      <c r="AB488" s="544">
        <f>SUM(AB487+AB475+AB481)</f>
      </c>
      <c r="AC488" s="544">
        <f>SUM(AC487+AC475+AC481)</f>
      </c>
      <c r="AD488" s="544">
        <f>SUM(AD487+AD475+AD481)</f>
      </c>
      <c r="AE488" s="544">
        <f>SUM(AE487+AE475+AE481)</f>
      </c>
      <c r="AF488" s="544">
        <f>SUM(AF487+AF475+AF481)</f>
      </c>
      <c r="AG488" s="544">
        <f>SUM(AG487+AG475+AG481)</f>
      </c>
      <c r="AH488" s="544">
        <f>SUM(AH487+AH475+AH481)</f>
      </c>
    </row>
    <row r="489">
      <c r="A489" s="486" t="s">
        <v>218</v>
      </c>
      <c r="B489" s="561" t="s">
        <v>219</v>
      </c>
      <c r="C489" s="562" t="s">
        <v>220</v>
      </c>
      <c r="D489" s="487" t="s">
        <v>221</v>
      </c>
      <c r="E489" s="488" t="s">
        <v>222</v>
      </c>
      <c r="F489" s="489" t="s">
        <v>223</v>
      </c>
      <c r="G489" s="489" t="s">
        <v>224</v>
      </c>
      <c r="H489" s="490" t="s">
        <v>225</v>
      </c>
      <c r="I489" s="490" t="s">
        <v>226</v>
      </c>
      <c r="J489" s="490" t="s">
        <v>227</v>
      </c>
      <c r="K489" s="491" t="s">
        <v>228</v>
      </c>
      <c r="L489" s="491" t="s">
        <v>229</v>
      </c>
      <c r="M489" s="491" t="s">
        <v>231</v>
      </c>
      <c r="N489" s="491" t="s">
        <v>232</v>
      </c>
      <c r="O489" s="491" t="s">
        <v>233</v>
      </c>
      <c r="P489" s="491" t="s">
        <v>234</v>
      </c>
      <c r="Q489" s="491" t="s">
        <v>235</v>
      </c>
      <c r="R489" s="491" t="s">
        <v>236</v>
      </c>
      <c r="S489" s="492" t="s">
        <v>237</v>
      </c>
      <c r="T489" s="492" t="s">
        <v>238</v>
      </c>
      <c r="U489" s="492" t="s">
        <v>239</v>
      </c>
      <c r="V489" s="492" t="s">
        <v>240</v>
      </c>
      <c r="W489" s="493" t="s">
        <v>241</v>
      </c>
      <c r="X489" s="493" t="s">
        <v>242</v>
      </c>
      <c r="Y489" s="494" t="s">
        <v>243</v>
      </c>
      <c r="Z489" s="494" t="s">
        <v>244</v>
      </c>
      <c r="AA489" s="494" t="s">
        <v>245</v>
      </c>
      <c r="AB489" s="495" t="s">
        <v>246</v>
      </c>
      <c r="AC489" s="495" t="s">
        <v>247</v>
      </c>
      <c r="AD489" s="496" t="s">
        <v>248</v>
      </c>
      <c r="AE489" s="495" t="s">
        <v>249</v>
      </c>
      <c r="AF489" s="495" t="s">
        <v>250</v>
      </c>
      <c r="AG489" s="497" t="s">
        <v>251</v>
      </c>
      <c r="AH489" s="495" t="s">
        <v>252</v>
      </c>
    </row>
    <row r="490">
      <c r="A490" s="498">
        <v>46228</v>
      </c>
      <c r="B490" s="499" t="s">
        <v>271</v>
      </c>
      <c r="C490" s="500" t="s">
        <v>254</v>
      </c>
      <c r="D490" s="501">
        <v>211.993</v>
      </c>
      <c r="E490" s="502">
        <v>1</v>
      </c>
      <c r="F490" s="503">
        <v>182.4</v>
      </c>
      <c r="G490" s="504">
        <f t="shared" ref="G490:G508" si="65">D490/AC490</f>
      </c>
      <c r="H490" s="505">
        <f t="shared" ref="H490:H508" si="364">F490/E490</f>
      </c>
      <c r="I490" s="506">
        <f t="shared" ref="I490:I508" si="300">D490/E490</f>
      </c>
      <c r="J490" s="507">
        <f t="shared" ref="J490:J508" si="236">F490/D490</f>
      </c>
      <c r="K490" s="508">
        <f t="shared" ref="K490:K504" si="644">D490/AA490</f>
      </c>
      <c r="L490" s="505">
        <f t="shared" ref="L490:L508" si="432">D490/AB490</f>
      </c>
      <c r="M490" s="509">
        <f t="shared" ref="M490:M504" si="518">AB490/AA490</f>
      </c>
      <c r="N490" s="509">
        <f t="shared" ref="N490:N508" si="558">AC490/AB490</f>
      </c>
      <c r="O490" s="509">
        <f t="shared" ref="O490:O508" si="463">Z490/Y490</f>
      </c>
      <c r="P490" s="509">
        <f t="shared" ref="P490:P508" si="395">AC490/Z490</f>
      </c>
      <c r="Q490" s="505">
        <f t="shared" ref="Q490:Q508" si="333">D490/Y490*1000</f>
      </c>
      <c r="R490" s="507">
        <f t="shared" ref="R490:R508" si="269">D490/Z490</f>
      </c>
      <c r="S490" s="509">
        <f t="shared" ref="S490:S508" si="172">AD490/AA490</f>
      </c>
      <c r="T490" s="509">
        <f t="shared" ref="T490:T508" si="102">AE490/AA490</f>
      </c>
      <c r="U490" s="509">
        <f t="shared" ref="U490:U508" si="28">AF490/AA490</f>
      </c>
      <c r="V490" s="509">
        <f t="shared" ref="V490:V508" si="589">AG490/AA490</f>
      </c>
      <c r="W490" s="510" t="s">
        <v>255</v>
      </c>
      <c r="X490" s="511" t="s">
        <v>285</v>
      </c>
      <c r="Y490" s="512">
        <v>22346</v>
      </c>
      <c r="Z490" s="512">
        <v>1143</v>
      </c>
      <c r="AA490" s="512">
        <v>14777</v>
      </c>
      <c r="AB490" s="512">
        <v>310</v>
      </c>
      <c r="AC490" s="514">
        <v>1</v>
      </c>
      <c r="AD490" s="512">
        <v>2305</v>
      </c>
      <c r="AE490" s="513">
        <v>139</v>
      </c>
      <c r="AF490" s="513">
        <v>23</v>
      </c>
      <c r="AG490" s="513">
        <v>0</v>
      </c>
      <c r="AH490" s="514">
        <v>0</v>
      </c>
    </row>
    <row r="491">
      <c r="A491" s="498"/>
      <c r="B491" s="499" t="s">
        <v>271</v>
      </c>
      <c r="C491" s="500" t="s">
        <v>257</v>
      </c>
      <c r="D491" s="501">
        <v>796.861</v>
      </c>
      <c r="E491" s="502">
        <v>2</v>
      </c>
      <c r="F491" s="503">
        <v>424</v>
      </c>
      <c r="G491" s="504">
        <f t="shared" si="65"/>
      </c>
      <c r="H491" s="505">
        <f t="shared" si="364"/>
      </c>
      <c r="I491" s="506">
        <f t="shared" si="300"/>
      </c>
      <c r="J491" s="507">
        <f t="shared" si="236"/>
      </c>
      <c r="K491" s="508">
        <f t="shared" si="644"/>
      </c>
      <c r="L491" s="505">
        <f t="shared" si="432"/>
      </c>
      <c r="M491" s="509">
        <f t="shared" si="518"/>
      </c>
      <c r="N491" s="509">
        <f t="shared" si="558"/>
      </c>
      <c r="O491" s="509">
        <f t="shared" si="463"/>
      </c>
      <c r="P491" s="509">
        <f t="shared" si="395"/>
      </c>
      <c r="Q491" s="505">
        <f t="shared" si="333"/>
      </c>
      <c r="R491" s="507">
        <f t="shared" si="269"/>
      </c>
      <c r="S491" s="509">
        <f t="shared" si="172"/>
      </c>
      <c r="T491" s="509">
        <f t="shared" si="102"/>
      </c>
      <c r="U491" s="509">
        <f t="shared" si="28"/>
      </c>
      <c r="V491" s="509">
        <f t="shared" si="589"/>
      </c>
      <c r="W491" s="510" t="s">
        <v>255</v>
      </c>
      <c r="X491" s="511" t="s">
        <v>285</v>
      </c>
      <c r="Y491" s="514">
        <v>112024</v>
      </c>
      <c r="Z491" s="512">
        <v>2536</v>
      </c>
      <c r="AA491" s="512">
        <v>75008</v>
      </c>
      <c r="AB491" s="512">
        <v>584</v>
      </c>
      <c r="AC491" s="513">
        <v>2</v>
      </c>
      <c r="AD491" s="512">
        <v>5011</v>
      </c>
      <c r="AE491" s="513">
        <v>277</v>
      </c>
      <c r="AF491" s="513">
        <v>62</v>
      </c>
      <c r="AG491" s="514">
        <v>8</v>
      </c>
      <c r="AH491" s="514">
        <v>0</v>
      </c>
    </row>
    <row r="492">
      <c r="A492" s="498"/>
      <c r="B492" s="499" t="s">
        <v>271</v>
      </c>
      <c r="C492" s="515" t="s">
        <v>258</v>
      </c>
      <c r="D492" s="565">
        <v>900.419</v>
      </c>
      <c r="E492" s="502">
        <v>3</v>
      </c>
      <c r="F492" s="503">
        <v>1284</v>
      </c>
      <c r="G492" s="504">
        <f t="shared" si="65"/>
      </c>
      <c r="H492" s="505">
        <f t="shared" si="364"/>
      </c>
      <c r="I492" s="506">
        <f t="shared" si="300"/>
      </c>
      <c r="J492" s="507">
        <f t="shared" si="236"/>
      </c>
      <c r="K492" s="508">
        <f t="shared" si="644"/>
      </c>
      <c r="L492" s="505">
        <f t="shared" si="432"/>
      </c>
      <c r="M492" s="509">
        <f t="shared" si="518"/>
      </c>
      <c r="N492" s="509">
        <f t="shared" si="558"/>
      </c>
      <c r="O492" s="509">
        <f t="shared" si="463"/>
      </c>
      <c r="P492" s="509">
        <f t="shared" si="395"/>
      </c>
      <c r="Q492" s="505">
        <f t="shared" si="333"/>
      </c>
      <c r="R492" s="507">
        <f t="shared" si="269"/>
      </c>
      <c r="S492" s="509">
        <f t="shared" si="172"/>
      </c>
      <c r="T492" s="509">
        <f t="shared" si="102"/>
      </c>
      <c r="U492" s="509">
        <f t="shared" si="28"/>
      </c>
      <c r="V492" s="509">
        <f t="shared" si="589"/>
      </c>
      <c r="W492" s="510" t="s">
        <v>255</v>
      </c>
      <c r="X492" s="511" t="s">
        <v>285</v>
      </c>
      <c r="Y492" s="513">
        <v>137044</v>
      </c>
      <c r="Z492" s="512">
        <v>3555</v>
      </c>
      <c r="AA492" s="512">
        <v>84236</v>
      </c>
      <c r="AB492" s="512">
        <v>659</v>
      </c>
      <c r="AC492" s="513">
        <v>3</v>
      </c>
      <c r="AD492" s="512">
        <v>6001</v>
      </c>
      <c r="AE492" s="513">
        <v>279</v>
      </c>
      <c r="AF492" s="513">
        <v>86</v>
      </c>
      <c r="AG492" s="513">
        <v>6</v>
      </c>
      <c r="AH492" s="514">
        <v>0</v>
      </c>
    </row>
    <row r="493">
      <c r="A493" s="498"/>
      <c r="B493" s="499" t="s">
        <v>271</v>
      </c>
      <c r="C493" s="572" t="s">
        <v>259</v>
      </c>
      <c r="D493" s="573">
        <v>984.951</v>
      </c>
      <c r="E493" s="568">
        <v>3</v>
      </c>
      <c r="F493" s="503">
        <v>1220</v>
      </c>
      <c r="G493" s="504">
        <f t="shared" si="65"/>
      </c>
      <c r="H493" s="505">
        <f t="shared" si="364"/>
      </c>
      <c r="I493" s="506">
        <f t="shared" si="300"/>
      </c>
      <c r="J493" s="507">
        <f t="shared" si="236"/>
      </c>
      <c r="K493" s="508">
        <f t="shared" si="644"/>
      </c>
      <c r="L493" s="505">
        <f t="shared" si="432"/>
      </c>
      <c r="M493" s="509">
        <f t="shared" si="518"/>
      </c>
      <c r="N493" s="509">
        <f t="shared" si="558"/>
      </c>
      <c r="O493" s="509">
        <f t="shared" si="463"/>
      </c>
      <c r="P493" s="509">
        <f t="shared" si="395"/>
      </c>
      <c r="Q493" s="505">
        <f t="shared" si="333"/>
      </c>
      <c r="R493" s="507">
        <f t="shared" si="269"/>
      </c>
      <c r="S493" s="509">
        <f t="shared" si="172"/>
      </c>
      <c r="T493" s="509">
        <f t="shared" si="102"/>
      </c>
      <c r="U493" s="509">
        <f t="shared" si="28"/>
      </c>
      <c r="V493" s="509">
        <f t="shared" si="589"/>
      </c>
      <c r="W493" s="504" t="s">
        <v>255</v>
      </c>
      <c r="X493" s="511" t="s">
        <v>285</v>
      </c>
      <c r="Y493" s="513">
        <v>169665</v>
      </c>
      <c r="Z493" s="513">
        <v>3895</v>
      </c>
      <c r="AA493" s="513">
        <v>99192</v>
      </c>
      <c r="AB493" s="513">
        <v>704</v>
      </c>
      <c r="AC493" s="513">
        <v>3</v>
      </c>
      <c r="AD493" s="513">
        <v>5892</v>
      </c>
      <c r="AE493" s="513">
        <v>265</v>
      </c>
      <c r="AF493" s="513">
        <v>76</v>
      </c>
      <c r="AG493" s="514">
        <v>6</v>
      </c>
      <c r="AH493" s="514">
        <v>0</v>
      </c>
    </row>
    <row r="494">
      <c r="A494" s="498"/>
      <c r="B494" s="499" t="s">
        <v>271</v>
      </c>
      <c r="C494" s="516" t="s">
        <v>260</v>
      </c>
      <c r="D494" s="517">
        <v>1361.045</v>
      </c>
      <c r="E494" s="518">
        <v>2</v>
      </c>
      <c r="F494" s="519">
        <v>1056</v>
      </c>
      <c r="G494" s="504">
        <f t="shared" si="65"/>
      </c>
      <c r="H494" s="505">
        <f t="shared" si="364"/>
      </c>
      <c r="I494" s="506">
        <f t="shared" si="300"/>
      </c>
      <c r="J494" s="507">
        <f t="shared" si="236"/>
      </c>
      <c r="K494" s="508">
        <f t="shared" si="644"/>
      </c>
      <c r="L494" s="505">
        <f t="shared" si="432"/>
      </c>
      <c r="M494" s="509">
        <f t="shared" si="518"/>
      </c>
      <c r="N494" s="509">
        <f t="shared" si="558"/>
      </c>
      <c r="O494" s="509">
        <f t="shared" si="463"/>
      </c>
      <c r="P494" s="509">
        <f t="shared" si="395"/>
      </c>
      <c r="Q494" s="505">
        <f t="shared" si="333"/>
      </c>
      <c r="R494" s="507">
        <f t="shared" si="269"/>
      </c>
      <c r="S494" s="509">
        <f t="shared" si="172"/>
      </c>
      <c r="T494" s="509">
        <f t="shared" si="102"/>
      </c>
      <c r="U494" s="509">
        <f t="shared" si="28"/>
      </c>
      <c r="V494" s="509">
        <f t="shared" si="589"/>
      </c>
      <c r="W494" s="520" t="s">
        <v>255</v>
      </c>
      <c r="X494" s="511" t="s">
        <v>285</v>
      </c>
      <c r="Y494" s="513">
        <v>267065</v>
      </c>
      <c r="Z494" s="513">
        <v>6519</v>
      </c>
      <c r="AA494" s="513">
        <v>165450</v>
      </c>
      <c r="AB494" s="513">
        <v>690</v>
      </c>
      <c r="AC494" s="513">
        <v>2</v>
      </c>
      <c r="AD494" s="513">
        <v>9928</v>
      </c>
      <c r="AE494" s="513">
        <v>260</v>
      </c>
      <c r="AF494" s="513">
        <v>151</v>
      </c>
      <c r="AG494" s="514">
        <v>10</v>
      </c>
      <c r="AH494" s="514">
        <v>0</v>
      </c>
    </row>
    <row r="495">
      <c r="A495" s="498"/>
      <c r="B495" s="521" t="s">
        <v>261</v>
      </c>
      <c r="C495" s="521"/>
      <c r="D495" s="522">
        <f>SUM(D490:D494)</f>
      </c>
      <c r="E495" s="523">
        <f>SUM(E490:E494)</f>
      </c>
      <c r="F495" s="522">
        <f>SUM(F490:F494)</f>
      </c>
      <c r="G495" s="522">
        <f t="shared" si="65"/>
      </c>
      <c r="H495" s="524">
        <f t="shared" si="364"/>
      </c>
      <c r="I495" s="525">
        <f t="shared" si="300"/>
      </c>
      <c r="J495" s="526">
        <f t="shared" si="236"/>
      </c>
      <c r="K495" s="527">
        <f t="shared" si="644"/>
      </c>
      <c r="L495" s="524">
        <f t="shared" si="432"/>
      </c>
      <c r="M495" s="528">
        <f t="shared" si="518"/>
      </c>
      <c r="N495" s="528">
        <f t="shared" si="558"/>
      </c>
      <c r="O495" s="528">
        <f t="shared" si="463"/>
      </c>
      <c r="P495" s="528">
        <f t="shared" si="395"/>
      </c>
      <c r="Q495" s="524">
        <f t="shared" si="333"/>
      </c>
      <c r="R495" s="526">
        <f t="shared" si="269"/>
      </c>
      <c r="S495" s="528">
        <f t="shared" si="172"/>
      </c>
      <c r="T495" s="528">
        <f t="shared" si="102"/>
      </c>
      <c r="U495" s="528">
        <f t="shared" si="28"/>
      </c>
      <c r="V495" s="528">
        <f t="shared" si="589"/>
      </c>
      <c r="W495" s="528"/>
      <c r="X495" s="529"/>
      <c r="Y495" s="522">
        <f>SUM(Y490:Y494)</f>
      </c>
      <c r="Z495" s="522">
        <f>SUM(Z490:Z494)</f>
      </c>
      <c r="AA495" s="522">
        <f>SUM(AA490:AA494)</f>
      </c>
      <c r="AB495" s="522">
        <f>SUM(AB490:AB494)</f>
      </c>
      <c r="AC495" s="522">
        <f>SUM(AC490:AC494)</f>
      </c>
      <c r="AD495" s="522">
        <f>SUM(AD490:AD494)</f>
      </c>
      <c r="AE495" s="522">
        <f>SUM(AE490:AE494)</f>
      </c>
      <c r="AF495" s="522">
        <f>SUM(AF490:AF494)</f>
      </c>
      <c r="AG495" s="522">
        <f>SUM(AG490:AG494)</f>
      </c>
      <c r="AH495" s="522">
        <f>SUM(AH490:AH494)</f>
      </c>
    </row>
    <row r="496">
      <c r="A496" s="498"/>
      <c r="B496" s="574" t="s">
        <v>253</v>
      </c>
      <c r="C496" s="531" t="s">
        <v>263</v>
      </c>
      <c r="D496" s="532">
        <v>1292.245</v>
      </c>
      <c r="E496" s="502">
        <v>4</v>
      </c>
      <c r="F496" s="503">
        <v>880</v>
      </c>
      <c r="G496" s="504">
        <f t="shared" si="65"/>
      </c>
      <c r="H496" s="505">
        <f t="shared" si="364"/>
      </c>
      <c r="I496" s="506">
        <f t="shared" si="300"/>
      </c>
      <c r="J496" s="507">
        <f t="shared" si="236"/>
      </c>
      <c r="K496" s="508">
        <f t="shared" si="644"/>
      </c>
      <c r="L496" s="505">
        <f t="shared" si="432"/>
      </c>
      <c r="M496" s="509">
        <f t="shared" si="518"/>
      </c>
      <c r="N496" s="509">
        <f t="shared" si="558"/>
      </c>
      <c r="O496" s="509">
        <f t="shared" si="463"/>
      </c>
      <c r="P496" s="509">
        <f t="shared" si="395"/>
      </c>
      <c r="Q496" s="505">
        <f t="shared" si="333"/>
      </c>
      <c r="R496" s="507">
        <f t="shared" si="269"/>
      </c>
      <c r="S496" s="509">
        <f t="shared" si="172"/>
      </c>
      <c r="T496" s="509">
        <f t="shared" si="102"/>
      </c>
      <c r="U496" s="509">
        <f t="shared" si="28"/>
      </c>
      <c r="V496" s="509">
        <f t="shared" si="589"/>
      </c>
      <c r="W496" s="520" t="s">
        <v>255</v>
      </c>
      <c r="X496" s="511" t="s">
        <v>285</v>
      </c>
      <c r="Y496" s="512">
        <v>264540</v>
      </c>
      <c r="Z496" s="512">
        <v>4627</v>
      </c>
      <c r="AA496" s="512">
        <v>149616</v>
      </c>
      <c r="AB496" s="513">
        <v>654</v>
      </c>
      <c r="AC496" s="513">
        <v>4</v>
      </c>
      <c r="AD496" s="512">
        <v>6009</v>
      </c>
      <c r="AE496" s="513">
        <v>187</v>
      </c>
      <c r="AF496" s="513">
        <v>73</v>
      </c>
      <c r="AG496" s="513">
        <v>12</v>
      </c>
      <c r="AH496" s="514">
        <v>0</v>
      </c>
    </row>
    <row r="497">
      <c r="A497" s="498"/>
      <c r="B497" s="574" t="s">
        <v>253</v>
      </c>
      <c r="C497" s="533" t="s">
        <v>264</v>
      </c>
      <c r="D497" s="532">
        <v>1071.294</v>
      </c>
      <c r="E497" s="518">
        <v>3</v>
      </c>
      <c r="F497" s="519">
        <v>1220</v>
      </c>
      <c r="G497" s="504">
        <f t="shared" si="65"/>
      </c>
      <c r="H497" s="505">
        <f t="shared" si="364"/>
      </c>
      <c r="I497" s="506">
        <f t="shared" si="300"/>
      </c>
      <c r="J497" s="507">
        <f t="shared" si="236"/>
      </c>
      <c r="K497" s="508">
        <f t="shared" si="644"/>
      </c>
      <c r="L497" s="505">
        <f t="shared" si="432"/>
      </c>
      <c r="M497" s="509">
        <f t="shared" si="518"/>
      </c>
      <c r="N497" s="509">
        <f t="shared" si="558"/>
      </c>
      <c r="O497" s="509">
        <f t="shared" si="463"/>
      </c>
      <c r="P497" s="509">
        <f t="shared" si="395"/>
      </c>
      <c r="Q497" s="505">
        <f t="shared" si="333"/>
      </c>
      <c r="R497" s="507">
        <f t="shared" si="269"/>
      </c>
      <c r="S497" s="509">
        <f t="shared" si="172"/>
      </c>
      <c r="T497" s="509">
        <f t="shared" si="102"/>
      </c>
      <c r="U497" s="509">
        <f t="shared" si="28"/>
      </c>
      <c r="V497" s="509">
        <f t="shared" si="589"/>
      </c>
      <c r="W497" s="520" t="s">
        <v>255</v>
      </c>
      <c r="X497" s="511" t="s">
        <v>285</v>
      </c>
      <c r="Y497" s="513">
        <v>200810</v>
      </c>
      <c r="Z497" s="513">
        <v>3785</v>
      </c>
      <c r="AA497" s="513">
        <v>127981</v>
      </c>
      <c r="AB497" s="513">
        <v>514</v>
      </c>
      <c r="AC497" s="513">
        <v>3</v>
      </c>
      <c r="AD497" s="513">
        <v>5378</v>
      </c>
      <c r="AE497" s="513">
        <v>124</v>
      </c>
      <c r="AF497" s="513">
        <v>68</v>
      </c>
      <c r="AG497" s="513">
        <v>11</v>
      </c>
      <c r="AH497" s="514">
        <v>0</v>
      </c>
    </row>
    <row r="498">
      <c r="A498" s="498"/>
      <c r="B498" s="574" t="s">
        <v>253</v>
      </c>
      <c r="C498" s="534" t="s">
        <v>265</v>
      </c>
      <c r="D498" s="532">
        <v>1197.624</v>
      </c>
      <c r="E498" s="518">
        <v>4</v>
      </c>
      <c r="F498" s="519">
        <v>880</v>
      </c>
      <c r="G498" s="504">
        <f t="shared" si="65"/>
      </c>
      <c r="H498" s="505">
        <f t="shared" si="364"/>
      </c>
      <c r="I498" s="506">
        <f t="shared" si="300"/>
      </c>
      <c r="J498" s="507">
        <f t="shared" si="236"/>
      </c>
      <c r="K498" s="508">
        <f t="shared" si="644"/>
      </c>
      <c r="L498" s="505">
        <f t="shared" si="432"/>
      </c>
      <c r="M498" s="509">
        <f t="shared" si="518"/>
      </c>
      <c r="N498" s="509">
        <f t="shared" si="558"/>
      </c>
      <c r="O498" s="509">
        <f t="shared" si="463"/>
      </c>
      <c r="P498" s="509">
        <f t="shared" si="395"/>
      </c>
      <c r="Q498" s="505">
        <f t="shared" si="333"/>
      </c>
      <c r="R498" s="507">
        <f t="shared" si="269"/>
      </c>
      <c r="S498" s="509">
        <f t="shared" si="172"/>
      </c>
      <c r="T498" s="509">
        <f t="shared" si="102"/>
      </c>
      <c r="U498" s="509">
        <f t="shared" si="28"/>
      </c>
      <c r="V498" s="509">
        <f t="shared" si="589"/>
      </c>
      <c r="W498" s="520" t="s">
        <v>255</v>
      </c>
      <c r="X498" s="511" t="s">
        <v>285</v>
      </c>
      <c r="Y498" s="513">
        <v>222589</v>
      </c>
      <c r="Z498" s="513">
        <v>3951</v>
      </c>
      <c r="AA498" s="513">
        <v>163765</v>
      </c>
      <c r="AB498" s="513">
        <v>559</v>
      </c>
      <c r="AC498" s="513">
        <v>4</v>
      </c>
      <c r="AD498" s="513">
        <v>5701</v>
      </c>
      <c r="AE498" s="513">
        <v>149</v>
      </c>
      <c r="AF498" s="513">
        <v>61</v>
      </c>
      <c r="AG498" s="513">
        <v>4</v>
      </c>
      <c r="AH498" s="514">
        <v>0</v>
      </c>
    </row>
    <row r="499">
      <c r="A499" s="498"/>
      <c r="B499" s="574" t="s">
        <v>253</v>
      </c>
      <c r="C499" s="537" t="s">
        <v>266</v>
      </c>
      <c r="D499" s="532">
        <v>1495.594</v>
      </c>
      <c r="E499" s="518">
        <v>1</v>
      </c>
      <c r="F499" s="519">
        <v>196</v>
      </c>
      <c r="G499" s="504">
        <f t="shared" si="65"/>
      </c>
      <c r="H499" s="505">
        <f t="shared" si="364"/>
      </c>
      <c r="I499" s="506">
        <f t="shared" si="300"/>
      </c>
      <c r="J499" s="507">
        <f t="shared" si="236"/>
      </c>
      <c r="K499" s="508">
        <f t="shared" si="644"/>
      </c>
      <c r="L499" s="505">
        <f t="shared" si="432"/>
      </c>
      <c r="M499" s="509">
        <f t="shared" si="518"/>
      </c>
      <c r="N499" s="509">
        <f t="shared" si="558"/>
      </c>
      <c r="O499" s="509">
        <f t="shared" si="463"/>
      </c>
      <c r="P499" s="509">
        <f t="shared" si="395"/>
      </c>
      <c r="Q499" s="505">
        <f t="shared" si="333"/>
      </c>
      <c r="R499" s="507">
        <f t="shared" si="269"/>
      </c>
      <c r="S499" s="509">
        <f t="shared" si="172"/>
      </c>
      <c r="T499" s="509">
        <f t="shared" si="102"/>
      </c>
      <c r="U499" s="509">
        <f t="shared" si="28"/>
      </c>
      <c r="V499" s="509">
        <f t="shared" si="589"/>
      </c>
      <c r="W499" s="520" t="s">
        <v>255</v>
      </c>
      <c r="X499" s="511" t="s">
        <v>282</v>
      </c>
      <c r="Y499" s="513">
        <v>301405</v>
      </c>
      <c r="Z499" s="513">
        <v>5350</v>
      </c>
      <c r="AA499" s="513">
        <v>237918</v>
      </c>
      <c r="AB499" s="513">
        <v>593</v>
      </c>
      <c r="AC499" s="513">
        <v>0</v>
      </c>
      <c r="AD499" s="513">
        <v>8012</v>
      </c>
      <c r="AE499" s="513">
        <v>165</v>
      </c>
      <c r="AF499" s="513">
        <v>73</v>
      </c>
      <c r="AG499" s="513">
        <v>6</v>
      </c>
      <c r="AH499" s="514">
        <v>0</v>
      </c>
    </row>
    <row r="500">
      <c r="A500" s="498"/>
      <c r="B500" s="574" t="s">
        <v>253</v>
      </c>
      <c r="C500" s="540" t="s">
        <v>269</v>
      </c>
      <c r="D500" s="532">
        <v>1428.92</v>
      </c>
      <c r="E500" s="518">
        <v>13</v>
      </c>
      <c r="F500" s="519">
        <v>5397.860000000001</v>
      </c>
      <c r="G500" s="504">
        <f t="shared" si="65"/>
      </c>
      <c r="H500" s="505">
        <f t="shared" si="364"/>
      </c>
      <c r="I500" s="506">
        <f t="shared" si="300"/>
      </c>
      <c r="J500" s="507">
        <f t="shared" si="236"/>
      </c>
      <c r="K500" s="508">
        <f t="shared" si="644"/>
      </c>
      <c r="L500" s="505">
        <f t="shared" si="432"/>
      </c>
      <c r="M500" s="509">
        <f t="shared" si="518"/>
      </c>
      <c r="N500" s="509">
        <f t="shared" si="558"/>
      </c>
      <c r="O500" s="509">
        <f t="shared" si="463"/>
      </c>
      <c r="P500" s="509">
        <f t="shared" si="395"/>
      </c>
      <c r="Q500" s="505">
        <f t="shared" si="333"/>
      </c>
      <c r="R500" s="507">
        <f t="shared" si="269"/>
      </c>
      <c r="S500" s="509">
        <f t="shared" si="172"/>
      </c>
      <c r="T500" s="509">
        <f t="shared" si="102"/>
      </c>
      <c r="U500" s="509">
        <f t="shared" si="28"/>
      </c>
      <c r="V500" s="509">
        <f t="shared" si="589"/>
      </c>
      <c r="W500" s="520" t="s">
        <v>255</v>
      </c>
      <c r="X500" s="511" t="s">
        <v>282</v>
      </c>
      <c r="Y500" s="513">
        <v>274443</v>
      </c>
      <c r="Z500" s="513">
        <v>5540</v>
      </c>
      <c r="AA500" s="513">
        <v>221110</v>
      </c>
      <c r="AB500" s="513">
        <v>514</v>
      </c>
      <c r="AC500" s="513">
        <v>6</v>
      </c>
      <c r="AD500" s="513">
        <v>8830</v>
      </c>
      <c r="AE500" s="513">
        <v>149</v>
      </c>
      <c r="AF500" s="513">
        <v>83</v>
      </c>
      <c r="AG500" s="513">
        <v>11</v>
      </c>
      <c r="AH500" s="514">
        <v>2</v>
      </c>
    </row>
    <row r="501">
      <c r="A501" s="498"/>
      <c r="B501" s="521" t="s">
        <v>261</v>
      </c>
      <c r="C501" s="521"/>
      <c r="D501" s="522">
        <f>SUM(D496:D500)</f>
      </c>
      <c r="E501" s="522">
        <f>SUM(E496:E500)</f>
      </c>
      <c r="F501" s="522">
        <f>SUM(F496:F500)</f>
      </c>
      <c r="G501" s="522">
        <f t="shared" si="65"/>
      </c>
      <c r="H501" s="524">
        <f t="shared" si="364"/>
      </c>
      <c r="I501" s="525">
        <f t="shared" si="300"/>
      </c>
      <c r="J501" s="526">
        <f t="shared" si="236"/>
      </c>
      <c r="K501" s="527">
        <f t="shared" si="644"/>
      </c>
      <c r="L501" s="524">
        <f t="shared" si="432"/>
      </c>
      <c r="M501" s="528">
        <f t="shared" si="518"/>
      </c>
      <c r="N501" s="528">
        <f t="shared" si="558"/>
      </c>
      <c r="O501" s="528">
        <f t="shared" si="463"/>
      </c>
      <c r="P501" s="528">
        <f t="shared" si="395"/>
      </c>
      <c r="Q501" s="524">
        <f t="shared" si="333"/>
      </c>
      <c r="R501" s="526">
        <f t="shared" si="269"/>
      </c>
      <c r="S501" s="528">
        <f t="shared" si="172"/>
      </c>
      <c r="T501" s="528">
        <f t="shared" si="102"/>
      </c>
      <c r="U501" s="528">
        <f t="shared" si="28"/>
      </c>
      <c r="V501" s="528">
        <f t="shared" si="589"/>
      </c>
      <c r="W501" s="528"/>
      <c r="X501" s="529"/>
      <c r="Y501" s="522">
        <f>SUM(Y496:Y500)</f>
      </c>
      <c r="Z501" s="522">
        <f>SUM(Z496:Z500)</f>
      </c>
      <c r="AA501" s="522">
        <f>SUM(AA496:AA500)</f>
      </c>
      <c r="AB501" s="522">
        <f>SUM(AB496:AB500)</f>
      </c>
      <c r="AC501" s="522">
        <f>SUM(AC496:AC500)</f>
      </c>
      <c r="AD501" s="522">
        <f>SUM(AD496:AD500)</f>
      </c>
      <c r="AE501" s="522">
        <f>SUM(AE496:AE500)</f>
      </c>
      <c r="AF501" s="522">
        <f>SUM(AF496:AF500)</f>
      </c>
      <c r="AG501" s="522">
        <f>SUM(AG496:AG500)</f>
      </c>
      <c r="AH501" s="522">
        <f>SUM(AH496:AH500)</f>
      </c>
    </row>
    <row r="502">
      <c r="A502" s="498"/>
      <c r="B502" s="574" t="s">
        <v>268</v>
      </c>
      <c r="C502" s="534" t="s">
        <v>270</v>
      </c>
      <c r="D502" s="541">
        <v>1397.67</v>
      </c>
      <c r="E502" s="542">
        <v>3</v>
      </c>
      <c r="F502" s="519">
        <v>652</v>
      </c>
      <c r="G502" s="504">
        <f t="shared" si="65"/>
      </c>
      <c r="H502" s="505">
        <f t="shared" si="364"/>
      </c>
      <c r="I502" s="506">
        <f t="shared" si="300"/>
      </c>
      <c r="J502" s="507">
        <f t="shared" si="236"/>
      </c>
      <c r="K502" s="508">
        <f t="shared" si="644"/>
      </c>
      <c r="L502" s="505">
        <f t="shared" si="432"/>
      </c>
      <c r="M502" s="509">
        <f t="shared" si="518"/>
      </c>
      <c r="N502" s="509">
        <f t="shared" si="558"/>
      </c>
      <c r="O502" s="509">
        <f t="shared" si="463"/>
      </c>
      <c r="P502" s="509">
        <f t="shared" si="395"/>
      </c>
      <c r="Q502" s="505">
        <f t="shared" si="333"/>
      </c>
      <c r="R502" s="507">
        <f t="shared" si="269"/>
      </c>
      <c r="S502" s="509">
        <f t="shared" si="172"/>
      </c>
      <c r="T502" s="509">
        <f t="shared" si="102"/>
      </c>
      <c r="U502" s="509">
        <f t="shared" si="28"/>
      </c>
      <c r="V502" s="509">
        <f t="shared" si="589"/>
      </c>
      <c r="W502" s="520" t="s">
        <v>255</v>
      </c>
      <c r="X502" s="511" t="s">
        <v>282</v>
      </c>
      <c r="Y502" s="513">
        <v>247989</v>
      </c>
      <c r="Z502" s="513">
        <v>6140</v>
      </c>
      <c r="AA502" s="513">
        <v>193595</v>
      </c>
      <c r="AB502" s="513">
        <v>588</v>
      </c>
      <c r="AC502" s="513">
        <v>3</v>
      </c>
      <c r="AD502" s="513">
        <v>8929</v>
      </c>
      <c r="AE502" s="513">
        <v>217</v>
      </c>
      <c r="AF502" s="513">
        <v>94</v>
      </c>
      <c r="AG502" s="513">
        <v>12</v>
      </c>
      <c r="AH502" s="514">
        <v>1</v>
      </c>
    </row>
    <row r="503">
      <c r="A503" s="498"/>
      <c r="B503" s="574" t="s">
        <v>268</v>
      </c>
      <c r="C503" s="534" t="s">
        <v>272</v>
      </c>
      <c r="D503" s="541">
        <v>1317.763</v>
      </c>
      <c r="E503" s="542">
        <v>4</v>
      </c>
      <c r="F503" s="519">
        <v>870.239999999998</v>
      </c>
      <c r="G503" s="504">
        <f t="shared" si="65"/>
      </c>
      <c r="H503" s="505">
        <f t="shared" si="364"/>
      </c>
      <c r="I503" s="506">
        <f t="shared" si="300"/>
      </c>
      <c r="J503" s="507">
        <f t="shared" si="236"/>
      </c>
      <c r="K503" s="508">
        <f t="shared" si="644"/>
      </c>
      <c r="L503" s="505">
        <f t="shared" si="432"/>
      </c>
      <c r="M503" s="509">
        <f t="shared" si="518"/>
      </c>
      <c r="N503" s="509">
        <f t="shared" si="558"/>
      </c>
      <c r="O503" s="509">
        <f t="shared" si="463"/>
      </c>
      <c r="P503" s="509">
        <f t="shared" si="395"/>
      </c>
      <c r="Q503" s="505">
        <f t="shared" si="333"/>
      </c>
      <c r="R503" s="507">
        <f t="shared" si="269"/>
      </c>
      <c r="S503" s="509">
        <f t="shared" si="172"/>
      </c>
      <c r="T503" s="509">
        <f t="shared" si="102"/>
      </c>
      <c r="U503" s="509">
        <f t="shared" si="28"/>
      </c>
      <c r="V503" s="509">
        <f t="shared" si="589"/>
      </c>
      <c r="W503" s="520" t="s">
        <v>255</v>
      </c>
      <c r="X503" s="511" t="s">
        <v>282</v>
      </c>
      <c r="Y503" s="513">
        <v>238562</v>
      </c>
      <c r="Z503" s="513">
        <v>4954</v>
      </c>
      <c r="AA503" s="513">
        <v>196096</v>
      </c>
      <c r="AB503" s="513">
        <v>521</v>
      </c>
      <c r="AC503" s="513">
        <v>3</v>
      </c>
      <c r="AD503" s="513">
        <v>7822</v>
      </c>
      <c r="AE503" s="513">
        <v>176</v>
      </c>
      <c r="AF503" s="513">
        <v>85</v>
      </c>
      <c r="AG503" s="513">
        <v>11</v>
      </c>
      <c r="AH503" s="514">
        <v>0</v>
      </c>
    </row>
    <row r="504">
      <c r="A504" s="498"/>
      <c r="B504" s="574" t="s">
        <v>268</v>
      </c>
      <c r="C504" s="537" t="s">
        <v>273</v>
      </c>
      <c r="D504" s="541">
        <v>2542.996</v>
      </c>
      <c r="E504" s="542">
        <v>9</v>
      </c>
      <c r="F504" s="519">
        <v>3685.2000000000025</v>
      </c>
      <c r="G504" s="504">
        <f t="shared" si="65"/>
      </c>
      <c r="H504" s="505">
        <f t="shared" si="364"/>
      </c>
      <c r="I504" s="506">
        <f t="shared" si="300"/>
      </c>
      <c r="J504" s="507">
        <f t="shared" si="236"/>
      </c>
      <c r="K504" s="508">
        <f t="shared" si="644"/>
      </c>
      <c r="L504" s="505">
        <f t="shared" si="432"/>
      </c>
      <c r="M504" s="509">
        <f t="shared" si="518"/>
      </c>
      <c r="N504" s="509">
        <f t="shared" si="558"/>
      </c>
      <c r="O504" s="509">
        <f t="shared" si="463"/>
      </c>
      <c r="P504" s="509">
        <f t="shared" si="395"/>
      </c>
      <c r="Q504" s="505">
        <f t="shared" si="333"/>
      </c>
      <c r="R504" s="507">
        <f t="shared" si="269"/>
      </c>
      <c r="S504" s="509">
        <f t="shared" si="172"/>
      </c>
      <c r="T504" s="509">
        <f t="shared" si="102"/>
      </c>
      <c r="U504" s="509">
        <f t="shared" si="28"/>
      </c>
      <c r="V504" s="509">
        <f t="shared" si="589"/>
      </c>
      <c r="W504" s="520" t="s">
        <v>255</v>
      </c>
      <c r="X504" s="511" t="s">
        <v>282</v>
      </c>
      <c r="Y504" s="513">
        <v>545575</v>
      </c>
      <c r="Z504" s="513">
        <v>8594</v>
      </c>
      <c r="AA504" s="513">
        <v>479288</v>
      </c>
      <c r="AB504" s="513">
        <v>835</v>
      </c>
      <c r="AC504" s="513">
        <v>7</v>
      </c>
      <c r="AD504" s="513">
        <v>14098</v>
      </c>
      <c r="AE504" s="513">
        <v>291</v>
      </c>
      <c r="AF504" s="513">
        <v>169</v>
      </c>
      <c r="AG504" s="514">
        <v>9</v>
      </c>
      <c r="AH504" s="514">
        <v>2</v>
      </c>
    </row>
    <row r="505">
      <c r="A505" s="498"/>
      <c r="B505" s="574" t="s">
        <v>268</v>
      </c>
      <c r="C505" s="534" t="s">
        <v>274</v>
      </c>
      <c r="D505" s="535">
        <v>2407.4170000000004</v>
      </c>
      <c r="E505" s="502">
        <v>8</v>
      </c>
      <c r="F505" s="503">
        <v>1728</v>
      </c>
      <c r="G505" s="504">
        <f t="shared" si="65"/>
      </c>
      <c r="H505" s="505">
        <f t="shared" si="364"/>
      </c>
      <c r="I505" s="560">
        <f t="shared" si="300"/>
      </c>
      <c r="J505" s="559">
        <f t="shared" si="236"/>
      </c>
      <c r="K505" s="556">
        <f t="shared" ref="K505:K506" si="141">D505/AB505</f>
      </c>
      <c r="L505" s="557">
        <f t="shared" si="432"/>
      </c>
      <c r="M505" s="558">
        <f t="shared" ref="M505:M506" si="203">AC505/AB505</f>
      </c>
      <c r="N505" s="558">
        <f t="shared" si="558"/>
      </c>
      <c r="O505" s="558">
        <f t="shared" si="463"/>
      </c>
      <c r="P505" s="558">
        <f t="shared" si="395"/>
      </c>
      <c r="Q505" s="557">
        <f t="shared" si="333"/>
      </c>
      <c r="R505" s="559">
        <f t="shared" si="269"/>
      </c>
      <c r="S505" s="558">
        <f t="shared" si="172"/>
      </c>
      <c r="T505" s="558">
        <f t="shared" si="102"/>
      </c>
      <c r="U505" s="558">
        <f t="shared" si="28"/>
      </c>
      <c r="V505" s="558">
        <f t="shared" si="589"/>
      </c>
      <c r="W505" s="520" t="s">
        <v>255</v>
      </c>
      <c r="X505" s="511" t="s">
        <v>282</v>
      </c>
      <c r="Y505" s="513">
        <v>516877</v>
      </c>
      <c r="Z505" s="513">
        <v>9148</v>
      </c>
      <c r="AA505" s="513">
        <v>390698</v>
      </c>
      <c r="AB505" s="536">
        <v>925</v>
      </c>
      <c r="AC505" s="536">
        <v>6</v>
      </c>
      <c r="AD505" s="536">
        <v>13235</v>
      </c>
      <c r="AE505" s="536">
        <v>249</v>
      </c>
      <c r="AF505" s="536">
        <v>161</v>
      </c>
      <c r="AG505" s="536">
        <v>17</v>
      </c>
      <c r="AH505" s="514">
        <v>0</v>
      </c>
    </row>
    <row r="506">
      <c r="A506" s="498"/>
      <c r="B506" s="574" t="s">
        <v>268</v>
      </c>
      <c r="C506" s="555" t="s">
        <v>275</v>
      </c>
      <c r="D506" s="541">
        <v>2401.2780000000002</v>
      </c>
      <c r="E506" s="542">
        <v>5</v>
      </c>
      <c r="F506" s="519">
        <v>1076</v>
      </c>
      <c r="G506" s="504">
        <f t="shared" si="65"/>
      </c>
      <c r="H506" s="505">
        <f t="shared" si="364"/>
      </c>
      <c r="I506" s="560">
        <f t="shared" si="300"/>
      </c>
      <c r="J506" s="559">
        <f t="shared" si="236"/>
      </c>
      <c r="K506" s="556">
        <f t="shared" si="141"/>
      </c>
      <c r="L506" s="557">
        <f t="shared" si="432"/>
      </c>
      <c r="M506" s="558">
        <f t="shared" si="203"/>
      </c>
      <c r="N506" s="558">
        <f t="shared" si="558"/>
      </c>
      <c r="O506" s="558">
        <f t="shared" si="463"/>
      </c>
      <c r="P506" s="558">
        <f t="shared" si="395"/>
      </c>
      <c r="Q506" s="557">
        <f t="shared" si="333"/>
      </c>
      <c r="R506" s="559">
        <f t="shared" si="269"/>
      </c>
      <c r="S506" s="558">
        <f t="shared" si="172"/>
      </c>
      <c r="T506" s="558">
        <f t="shared" si="102"/>
      </c>
      <c r="U506" s="558">
        <f t="shared" si="28"/>
      </c>
      <c r="V506" s="558">
        <f t="shared" si="589"/>
      </c>
      <c r="W506" s="520" t="s">
        <v>255</v>
      </c>
      <c r="X506" s="511" t="s">
        <v>282</v>
      </c>
      <c r="Y506" s="513">
        <v>453141</v>
      </c>
      <c r="Z506" s="513">
        <v>7286</v>
      </c>
      <c r="AA506" s="513">
        <v>336074</v>
      </c>
      <c r="AB506" s="513">
        <v>904</v>
      </c>
      <c r="AC506" s="513">
        <v>5</v>
      </c>
      <c r="AD506" s="513">
        <v>11428</v>
      </c>
      <c r="AE506" s="513">
        <v>233</v>
      </c>
      <c r="AF506" s="513">
        <v>141</v>
      </c>
      <c r="AG506" s="514">
        <v>26</v>
      </c>
      <c r="AH506" s="514">
        <v>0</v>
      </c>
    </row>
    <row r="507">
      <c r="A507" s="498"/>
      <c r="B507" s="538" t="s">
        <v>261</v>
      </c>
      <c r="C507" s="538"/>
      <c r="D507" s="522">
        <f>SUM(D502:D506)</f>
      </c>
      <c r="E507" s="522">
        <f>SUM(E502:E506)</f>
      </c>
      <c r="F507" s="522">
        <f>SUM(F502:F506)</f>
      </c>
      <c r="G507" s="522">
        <f t="shared" si="65"/>
      </c>
      <c r="H507" s="524">
        <f t="shared" si="364"/>
      </c>
      <c r="I507" s="525">
        <f t="shared" si="300"/>
      </c>
      <c r="J507" s="526">
        <f t="shared" si="236"/>
      </c>
      <c r="K507" s="527">
        <f t="shared" ref="K507:K508" si="645">D507/AA507</f>
      </c>
      <c r="L507" s="524">
        <f t="shared" si="432"/>
      </c>
      <c r="M507" s="528">
        <f t="shared" ref="M507:M508" si="519">AB507/AA507</f>
      </c>
      <c r="N507" s="528">
        <f t="shared" si="558"/>
      </c>
      <c r="O507" s="528">
        <f t="shared" si="463"/>
      </c>
      <c r="P507" s="528">
        <f t="shared" si="395"/>
      </c>
      <c r="Q507" s="524">
        <f t="shared" si="333"/>
      </c>
      <c r="R507" s="526">
        <f t="shared" si="269"/>
      </c>
      <c r="S507" s="528">
        <f t="shared" si="172"/>
      </c>
      <c r="T507" s="528">
        <f t="shared" si="102"/>
      </c>
      <c r="U507" s="528">
        <f t="shared" si="28"/>
      </c>
      <c r="V507" s="528">
        <f t="shared" si="589"/>
      </c>
      <c r="W507" s="528"/>
      <c r="X507" s="529"/>
      <c r="Y507" s="522">
        <f>SUM(Y502:Y506)</f>
      </c>
      <c r="Z507" s="522">
        <f>SUM(Z502:Z506)</f>
      </c>
      <c r="AA507" s="522">
        <f>SUM(AA502:AA506)</f>
      </c>
      <c r="AB507" s="522">
        <f>SUM(AB502:AB506)</f>
      </c>
      <c r="AC507" s="522">
        <f>SUM(AC502:AC506)</f>
      </c>
      <c r="AD507" s="522">
        <f>SUM(AD502:AD506)</f>
      </c>
      <c r="AE507" s="522">
        <f>SUM(AE502:AE506)</f>
      </c>
      <c r="AF507" s="522">
        <f>SUM(AF502:AF506)</f>
      </c>
      <c r="AG507" s="522">
        <f>SUM(AG502:AG506)</f>
      </c>
      <c r="AH507" s="522">
        <f>SUM(AH502:AH506)</f>
      </c>
    </row>
    <row r="508">
      <c r="A508" s="498"/>
      <c r="B508" s="543" t="s">
        <v>276</v>
      </c>
      <c r="C508" s="543"/>
      <c r="D508" s="554">
        <f>SUM(D495+D507+D501)</f>
      </c>
      <c r="E508" s="554">
        <f>SUM(E495+E507+E501)</f>
      </c>
      <c r="F508" s="554">
        <f>SUM(F495+F507+F501)</f>
      </c>
      <c r="G508" s="544">
        <f t="shared" si="65"/>
      </c>
      <c r="H508" s="545">
        <f t="shared" si="364"/>
      </c>
      <c r="I508" s="546">
        <f t="shared" si="300"/>
      </c>
      <c r="J508" s="547">
        <f t="shared" si="236"/>
      </c>
      <c r="K508" s="548">
        <f t="shared" si="645"/>
      </c>
      <c r="L508" s="548">
        <f t="shared" si="432"/>
      </c>
      <c r="M508" s="550">
        <f t="shared" si="519"/>
      </c>
      <c r="N508" s="550">
        <f t="shared" si="558"/>
      </c>
      <c r="O508" s="550">
        <f t="shared" si="463"/>
      </c>
      <c r="P508" s="550">
        <f t="shared" si="395"/>
      </c>
      <c r="Q508" s="549">
        <f t="shared" si="333"/>
      </c>
      <c r="R508" s="551">
        <f t="shared" si="269"/>
      </c>
      <c r="S508" s="552">
        <f t="shared" si="172"/>
      </c>
      <c r="T508" s="552">
        <f t="shared" si="102"/>
      </c>
      <c r="U508" s="552">
        <f t="shared" si="28"/>
      </c>
      <c r="V508" s="552">
        <f t="shared" si="589"/>
      </c>
      <c r="W508" s="552"/>
      <c r="X508" s="553"/>
      <c r="Y508" s="544">
        <f>SUM(Y507+Y495+Y501)</f>
      </c>
      <c r="Z508" s="544">
        <f>SUM(Z507+Z495+Z501)</f>
      </c>
      <c r="AA508" s="544">
        <f>SUM(AA507+AA495+AA501)</f>
      </c>
      <c r="AB508" s="544">
        <f>SUM(AB507+AB495+AB501)</f>
      </c>
      <c r="AC508" s="544">
        <f>SUM(AC507+AC495+AC501)</f>
      </c>
      <c r="AD508" s="544">
        <f>SUM(AD507+AD495+AD501)</f>
      </c>
      <c r="AE508" s="544">
        <f>SUM(AE507+AE495+AE501)</f>
      </c>
      <c r="AF508" s="544">
        <f>SUM(AF507+AF495+AF501)</f>
      </c>
      <c r="AG508" s="544">
        <f>SUM(AG507+AG495+AG501)</f>
      </c>
      <c r="AH508" s="544">
        <f>SUM(AH507+AH495+AH501)</f>
      </c>
    </row>
    <row r="509">
      <c r="A509" s="486" t="s">
        <v>218</v>
      </c>
      <c r="B509" s="561" t="s">
        <v>219</v>
      </c>
      <c r="C509" s="562" t="s">
        <v>220</v>
      </c>
      <c r="D509" s="487" t="s">
        <v>221</v>
      </c>
      <c r="E509" s="488" t="s">
        <v>222</v>
      </c>
      <c r="F509" s="489" t="s">
        <v>223</v>
      </c>
      <c r="G509" s="489" t="s">
        <v>224</v>
      </c>
      <c r="H509" s="490" t="s">
        <v>225</v>
      </c>
      <c r="I509" s="490" t="s">
        <v>226</v>
      </c>
      <c r="J509" s="490" t="s">
        <v>227</v>
      </c>
      <c r="K509" s="491" t="s">
        <v>228</v>
      </c>
      <c r="L509" s="491" t="s">
        <v>229</v>
      </c>
      <c r="M509" s="491" t="s">
        <v>231</v>
      </c>
      <c r="N509" s="491" t="s">
        <v>232</v>
      </c>
      <c r="O509" s="491" t="s">
        <v>233</v>
      </c>
      <c r="P509" s="491" t="s">
        <v>234</v>
      </c>
      <c r="Q509" s="491" t="s">
        <v>235</v>
      </c>
      <c r="R509" s="491" t="s">
        <v>236</v>
      </c>
      <c r="S509" s="492" t="s">
        <v>237</v>
      </c>
      <c r="T509" s="492" t="s">
        <v>238</v>
      </c>
      <c r="U509" s="492" t="s">
        <v>239</v>
      </c>
      <c r="V509" s="492" t="s">
        <v>240</v>
      </c>
      <c r="W509" s="493" t="s">
        <v>241</v>
      </c>
      <c r="X509" s="493" t="s">
        <v>242</v>
      </c>
      <c r="Y509" s="494" t="s">
        <v>243</v>
      </c>
      <c r="Z509" s="494" t="s">
        <v>244</v>
      </c>
      <c r="AA509" s="494" t="s">
        <v>245</v>
      </c>
      <c r="AB509" s="495" t="s">
        <v>246</v>
      </c>
      <c r="AC509" s="495" t="s">
        <v>247</v>
      </c>
      <c r="AD509" s="496" t="s">
        <v>248</v>
      </c>
      <c r="AE509" s="495" t="s">
        <v>249</v>
      </c>
      <c r="AF509" s="495" t="s">
        <v>250</v>
      </c>
      <c r="AG509" s="497" t="s">
        <v>251</v>
      </c>
      <c r="AH509" s="495" t="s">
        <v>252</v>
      </c>
    </row>
    <row r="510">
      <c r="A510" s="498">
        <v>46229</v>
      </c>
      <c r="B510" s="530" t="s">
        <v>277</v>
      </c>
      <c r="C510" s="500" t="s">
        <v>254</v>
      </c>
      <c r="D510" s="501">
        <v>749.029</v>
      </c>
      <c r="E510" s="502">
        <v>0</v>
      </c>
      <c r="F510" s="503">
        <v>0</v>
      </c>
      <c r="G510" s="504">
        <f t="shared" ref="G510:G528" si="66">D510/AC510</f>
      </c>
      <c r="H510" s="505">
        <f t="shared" ref="H510:H528" si="365">F510/E510</f>
      </c>
      <c r="I510" s="506">
        <f t="shared" ref="I510:I528" si="301">D510/E510</f>
      </c>
      <c r="J510" s="507">
        <f t="shared" ref="J510:J528" si="237">F510/D510</f>
      </c>
      <c r="K510" s="508">
        <f t="shared" ref="K510:K524" si="646">D510/AA510</f>
      </c>
      <c r="L510" s="505">
        <f t="shared" ref="L510:L528" si="433">D510/AB510</f>
      </c>
      <c r="M510" s="509">
        <f t="shared" ref="M510:M524" si="520">AB510/AA510</f>
      </c>
      <c r="N510" s="509">
        <f t="shared" ref="N510:N528" si="559">AC510/AB510</f>
      </c>
      <c r="O510" s="509">
        <f t="shared" ref="O510:O528" si="464">Z510/Y510</f>
      </c>
      <c r="P510" s="509">
        <f t="shared" ref="P510:P528" si="396">AC510/Z510</f>
      </c>
      <c r="Q510" s="505">
        <f t="shared" ref="Q510:Q528" si="334">D510/Y510*1000</f>
      </c>
      <c r="R510" s="507">
        <f t="shared" ref="R510:R528" si="270">D510/Z510</f>
      </c>
      <c r="S510" s="509">
        <f t="shared" ref="S510:S528" si="173">AD510/AA510</f>
      </c>
      <c r="T510" s="509">
        <f t="shared" ref="T510:T528" si="103">AE510/AA510</f>
      </c>
      <c r="U510" s="509">
        <f t="shared" ref="U510:U528" si="29">AF510/AA510</f>
      </c>
      <c r="V510" s="509">
        <f t="shared" ref="V510:V528" si="590">AG510/AA510</f>
      </c>
      <c r="W510" s="510" t="s">
        <v>255</v>
      </c>
      <c r="X510" s="511" t="s">
        <v>285</v>
      </c>
      <c r="Y510" s="512">
        <v>123160</v>
      </c>
      <c r="Z510" s="512">
        <v>2388</v>
      </c>
      <c r="AA510" s="512">
        <v>104088</v>
      </c>
      <c r="AB510" s="512">
        <v>393</v>
      </c>
      <c r="AC510" s="514">
        <v>0</v>
      </c>
      <c r="AD510" s="512">
        <v>7899</v>
      </c>
      <c r="AE510" s="513">
        <v>168</v>
      </c>
      <c r="AF510" s="513">
        <v>66</v>
      </c>
      <c r="AG510" s="513">
        <v>5</v>
      </c>
      <c r="AH510" s="514">
        <v>0</v>
      </c>
    </row>
    <row r="511">
      <c r="A511" s="498"/>
      <c r="B511" s="530" t="s">
        <v>277</v>
      </c>
      <c r="C511" s="500" t="s">
        <v>257</v>
      </c>
      <c r="D511" s="501">
        <v>1547.27</v>
      </c>
      <c r="E511" s="502">
        <v>3</v>
      </c>
      <c r="F511" s="503">
        <v>1252</v>
      </c>
      <c r="G511" s="504">
        <f t="shared" si="66"/>
      </c>
      <c r="H511" s="505">
        <f t="shared" si="365"/>
      </c>
      <c r="I511" s="506">
        <f t="shared" si="301"/>
      </c>
      <c r="J511" s="507">
        <f t="shared" si="237"/>
      </c>
      <c r="K511" s="508">
        <f t="shared" si="646"/>
      </c>
      <c r="L511" s="505">
        <f t="shared" si="433"/>
      </c>
      <c r="M511" s="509">
        <f t="shared" si="520"/>
      </c>
      <c r="N511" s="509">
        <f t="shared" si="559"/>
      </c>
      <c r="O511" s="509">
        <f t="shared" si="464"/>
      </c>
      <c r="P511" s="509">
        <f t="shared" si="396"/>
      </c>
      <c r="Q511" s="505">
        <f t="shared" si="334"/>
      </c>
      <c r="R511" s="507">
        <f t="shared" si="270"/>
      </c>
      <c r="S511" s="509">
        <f t="shared" si="173"/>
      </c>
      <c r="T511" s="509">
        <f t="shared" si="103"/>
      </c>
      <c r="U511" s="509">
        <f t="shared" si="29"/>
      </c>
      <c r="V511" s="509">
        <f t="shared" si="590"/>
      </c>
      <c r="W511" s="510" t="s">
        <v>255</v>
      </c>
      <c r="X511" s="511" t="s">
        <v>285</v>
      </c>
      <c r="Y511" s="514">
        <v>247116</v>
      </c>
      <c r="Z511" s="512">
        <v>4196</v>
      </c>
      <c r="AA511" s="512">
        <v>183076</v>
      </c>
      <c r="AB511" s="512">
        <v>806</v>
      </c>
      <c r="AC511" s="513">
        <v>3</v>
      </c>
      <c r="AD511" s="512">
        <v>12785</v>
      </c>
      <c r="AE511" s="513">
        <v>370</v>
      </c>
      <c r="AF511" s="513">
        <v>101</v>
      </c>
      <c r="AG511" s="514">
        <v>17</v>
      </c>
      <c r="AH511" s="514">
        <v>0</v>
      </c>
    </row>
    <row r="512">
      <c r="A512" s="498"/>
      <c r="B512" s="530" t="s">
        <v>277</v>
      </c>
      <c r="C512" s="515" t="s">
        <v>258</v>
      </c>
      <c r="D512" s="565">
        <v>1595.427</v>
      </c>
      <c r="E512" s="502">
        <v>0</v>
      </c>
      <c r="F512" s="503">
        <v>0</v>
      </c>
      <c r="G512" s="504">
        <f t="shared" si="66"/>
      </c>
      <c r="H512" s="505">
        <f t="shared" si="365"/>
      </c>
      <c r="I512" s="506">
        <f t="shared" si="301"/>
      </c>
      <c r="J512" s="507">
        <f t="shared" si="237"/>
      </c>
      <c r="K512" s="508">
        <f t="shared" si="646"/>
      </c>
      <c r="L512" s="505">
        <f t="shared" si="433"/>
      </c>
      <c r="M512" s="509">
        <f t="shared" si="520"/>
      </c>
      <c r="N512" s="509">
        <f t="shared" si="559"/>
      </c>
      <c r="O512" s="509">
        <f t="shared" si="464"/>
      </c>
      <c r="P512" s="509">
        <f t="shared" si="396"/>
      </c>
      <c r="Q512" s="505">
        <f t="shared" si="334"/>
      </c>
      <c r="R512" s="507">
        <f t="shared" si="270"/>
      </c>
      <c r="S512" s="509">
        <f t="shared" si="173"/>
      </c>
      <c r="T512" s="509">
        <f t="shared" si="103"/>
      </c>
      <c r="U512" s="509">
        <f t="shared" si="29"/>
      </c>
      <c r="V512" s="509">
        <f t="shared" si="590"/>
      </c>
      <c r="W512" s="510" t="s">
        <v>255</v>
      </c>
      <c r="X512" s="511" t="s">
        <v>285</v>
      </c>
      <c r="Y512" s="513">
        <v>262687</v>
      </c>
      <c r="Z512" s="512">
        <v>5394</v>
      </c>
      <c r="AA512" s="512">
        <v>183608</v>
      </c>
      <c r="AB512" s="512">
        <v>800</v>
      </c>
      <c r="AC512" s="513">
        <v>0</v>
      </c>
      <c r="AD512" s="512">
        <v>12372</v>
      </c>
      <c r="AE512" s="513">
        <v>425</v>
      </c>
      <c r="AF512" s="513">
        <v>105</v>
      </c>
      <c r="AG512" s="513">
        <v>19</v>
      </c>
      <c r="AH512" s="514">
        <v>0</v>
      </c>
    </row>
    <row r="513">
      <c r="A513" s="498"/>
      <c r="B513" s="530" t="s">
        <v>277</v>
      </c>
      <c r="C513" s="572" t="s">
        <v>259</v>
      </c>
      <c r="D513" s="573">
        <v>1791.009</v>
      </c>
      <c r="E513" s="568">
        <v>5</v>
      </c>
      <c r="F513" s="503">
        <v>1075.6</v>
      </c>
      <c r="G513" s="504">
        <f t="shared" si="66"/>
      </c>
      <c r="H513" s="505">
        <f t="shared" si="365"/>
      </c>
      <c r="I513" s="506">
        <f t="shared" si="301"/>
      </c>
      <c r="J513" s="507">
        <f t="shared" si="237"/>
      </c>
      <c r="K513" s="508">
        <f t="shared" si="646"/>
      </c>
      <c r="L513" s="505">
        <f t="shared" si="433"/>
      </c>
      <c r="M513" s="509">
        <f t="shared" si="520"/>
      </c>
      <c r="N513" s="509">
        <f t="shared" si="559"/>
      </c>
      <c r="O513" s="509">
        <f t="shared" si="464"/>
      </c>
      <c r="P513" s="509">
        <f t="shared" si="396"/>
      </c>
      <c r="Q513" s="505">
        <f t="shared" si="334"/>
      </c>
      <c r="R513" s="507">
        <f t="shared" si="270"/>
      </c>
      <c r="S513" s="509">
        <f t="shared" si="173"/>
      </c>
      <c r="T513" s="509">
        <f t="shared" si="103"/>
      </c>
      <c r="U513" s="509">
        <f t="shared" si="29"/>
      </c>
      <c r="V513" s="509">
        <f t="shared" si="590"/>
      </c>
      <c r="W513" s="504" t="s">
        <v>255</v>
      </c>
      <c r="X513" s="511" t="s">
        <v>285</v>
      </c>
      <c r="Y513" s="513">
        <v>324514</v>
      </c>
      <c r="Z513" s="513">
        <v>6818</v>
      </c>
      <c r="AA513" s="513">
        <v>243239</v>
      </c>
      <c r="AB513" s="513">
        <v>835</v>
      </c>
      <c r="AC513" s="513">
        <v>3</v>
      </c>
      <c r="AD513" s="513">
        <v>13955</v>
      </c>
      <c r="AE513" s="513">
        <v>367</v>
      </c>
      <c r="AF513" s="513">
        <v>154</v>
      </c>
      <c r="AG513" s="514">
        <v>16</v>
      </c>
      <c r="AH513" s="514">
        <v>2</v>
      </c>
    </row>
    <row r="514">
      <c r="A514" s="498"/>
      <c r="B514" s="530" t="s">
        <v>277</v>
      </c>
      <c r="C514" s="516" t="s">
        <v>260</v>
      </c>
      <c r="D514" s="517">
        <v>1841.658</v>
      </c>
      <c r="E514" s="518">
        <v>1</v>
      </c>
      <c r="F514" s="519">
        <v>196</v>
      </c>
      <c r="G514" s="504">
        <f t="shared" si="66"/>
      </c>
      <c r="H514" s="505">
        <f t="shared" si="365"/>
      </c>
      <c r="I514" s="506">
        <f t="shared" si="301"/>
      </c>
      <c r="J514" s="507">
        <f t="shared" si="237"/>
      </c>
      <c r="K514" s="508">
        <f t="shared" si="646"/>
      </c>
      <c r="L514" s="505">
        <f t="shared" si="433"/>
      </c>
      <c r="M514" s="509">
        <f t="shared" si="520"/>
      </c>
      <c r="N514" s="509">
        <f t="shared" si="559"/>
      </c>
      <c r="O514" s="509">
        <f t="shared" si="464"/>
      </c>
      <c r="P514" s="509">
        <f t="shared" si="396"/>
      </c>
      <c r="Q514" s="505">
        <f t="shared" si="334"/>
      </c>
      <c r="R514" s="507">
        <f t="shared" si="270"/>
      </c>
      <c r="S514" s="509">
        <f t="shared" si="173"/>
      </c>
      <c r="T514" s="509">
        <f t="shared" si="103"/>
      </c>
      <c r="U514" s="509">
        <f t="shared" si="29"/>
      </c>
      <c r="V514" s="509">
        <f t="shared" si="590"/>
      </c>
      <c r="W514" s="520" t="s">
        <v>255</v>
      </c>
      <c r="X514" s="511" t="s">
        <v>285</v>
      </c>
      <c r="Y514" s="513">
        <v>368067</v>
      </c>
      <c r="Z514" s="513">
        <v>7692</v>
      </c>
      <c r="AA514" s="513">
        <v>272335</v>
      </c>
      <c r="AB514" s="513">
        <v>756</v>
      </c>
      <c r="AC514" s="513">
        <v>1</v>
      </c>
      <c r="AD514" s="513">
        <v>11862</v>
      </c>
      <c r="AE514" s="513">
        <v>256</v>
      </c>
      <c r="AF514" s="513">
        <v>150</v>
      </c>
      <c r="AG514" s="514">
        <v>16</v>
      </c>
      <c r="AH514" s="514">
        <v>0</v>
      </c>
    </row>
    <row r="515">
      <c r="A515" s="498"/>
      <c r="B515" s="521" t="s">
        <v>261</v>
      </c>
      <c r="C515" s="521"/>
      <c r="D515" s="522">
        <f>SUM(D510:D514)</f>
      </c>
      <c r="E515" s="523">
        <f>SUM(E510:E514)</f>
      </c>
      <c r="F515" s="522">
        <f>SUM(F510:F514)</f>
      </c>
      <c r="G515" s="522">
        <f t="shared" si="66"/>
      </c>
      <c r="H515" s="524">
        <f t="shared" si="365"/>
      </c>
      <c r="I515" s="525">
        <f t="shared" si="301"/>
      </c>
      <c r="J515" s="526">
        <f t="shared" si="237"/>
      </c>
      <c r="K515" s="527">
        <f t="shared" si="646"/>
      </c>
      <c r="L515" s="524">
        <f t="shared" si="433"/>
      </c>
      <c r="M515" s="528">
        <f t="shared" si="520"/>
      </c>
      <c r="N515" s="528">
        <f t="shared" si="559"/>
      </c>
      <c r="O515" s="528">
        <f t="shared" si="464"/>
      </c>
      <c r="P515" s="528">
        <f t="shared" si="396"/>
      </c>
      <c r="Q515" s="524">
        <f t="shared" si="334"/>
      </c>
      <c r="R515" s="526">
        <f t="shared" si="270"/>
      </c>
      <c r="S515" s="528">
        <f t="shared" si="173"/>
      </c>
      <c r="T515" s="528">
        <f t="shared" si="103"/>
      </c>
      <c r="U515" s="528">
        <f t="shared" si="29"/>
      </c>
      <c r="V515" s="528">
        <f t="shared" si="590"/>
      </c>
      <c r="W515" s="528"/>
      <c r="X515" s="529"/>
      <c r="Y515" s="522">
        <f>SUM(Y510:Y514)</f>
      </c>
      <c r="Z515" s="522">
        <f>SUM(Z510:Z514)</f>
      </c>
      <c r="AA515" s="522">
        <f>SUM(AA510:AA514)</f>
      </c>
      <c r="AB515" s="522">
        <f>SUM(AB510:AB514)</f>
      </c>
      <c r="AC515" s="522">
        <f>SUM(AC510:AC514)</f>
      </c>
      <c r="AD515" s="522">
        <f>SUM(AD510:AD514)</f>
      </c>
      <c r="AE515" s="522">
        <f>SUM(AE510:AE514)</f>
      </c>
      <c r="AF515" s="522">
        <f>SUM(AF510:AF514)</f>
      </c>
      <c r="AG515" s="522">
        <f>SUM(AG510:AG514)</f>
      </c>
      <c r="AH515" s="522">
        <f>SUM(AH510:AH514)</f>
      </c>
    </row>
    <row r="516">
      <c r="A516" s="498"/>
      <c r="B516" s="499" t="s">
        <v>271</v>
      </c>
      <c r="C516" s="531" t="s">
        <v>263</v>
      </c>
      <c r="D516" s="532">
        <v>1909.458</v>
      </c>
      <c r="E516" s="502">
        <v>3</v>
      </c>
      <c r="F516" s="503">
        <v>588</v>
      </c>
      <c r="G516" s="504">
        <f t="shared" si="66"/>
      </c>
      <c r="H516" s="505">
        <f t="shared" si="365"/>
      </c>
      <c r="I516" s="506">
        <f t="shared" si="301"/>
      </c>
      <c r="J516" s="507">
        <f t="shared" si="237"/>
      </c>
      <c r="K516" s="508">
        <f t="shared" si="646"/>
      </c>
      <c r="L516" s="505">
        <f t="shared" si="433"/>
      </c>
      <c r="M516" s="509">
        <f t="shared" si="520"/>
      </c>
      <c r="N516" s="509">
        <f t="shared" si="559"/>
      </c>
      <c r="O516" s="509">
        <f t="shared" si="464"/>
      </c>
      <c r="P516" s="509">
        <f t="shared" si="396"/>
      </c>
      <c r="Q516" s="505">
        <f t="shared" si="334"/>
      </c>
      <c r="R516" s="507">
        <f t="shared" si="270"/>
      </c>
      <c r="S516" s="509">
        <f t="shared" si="173"/>
      </c>
      <c r="T516" s="509">
        <f t="shared" si="103"/>
      </c>
      <c r="U516" s="509">
        <f t="shared" si="29"/>
      </c>
      <c r="V516" s="509">
        <f t="shared" si="590"/>
      </c>
      <c r="W516" s="520" t="s">
        <v>255</v>
      </c>
      <c r="X516" s="511" t="s">
        <v>285</v>
      </c>
      <c r="Y516" s="512">
        <v>399687</v>
      </c>
      <c r="Z516" s="512">
        <v>6434</v>
      </c>
      <c r="AA516" s="512">
        <v>286748</v>
      </c>
      <c r="AB516" s="513">
        <v>840</v>
      </c>
      <c r="AC516" s="513">
        <v>3</v>
      </c>
      <c r="AD516" s="512">
        <v>10095</v>
      </c>
      <c r="AE516" s="513">
        <v>303</v>
      </c>
      <c r="AF516" s="513">
        <v>130</v>
      </c>
      <c r="AG516" s="513">
        <v>22</v>
      </c>
      <c r="AH516" s="514">
        <v>0</v>
      </c>
    </row>
    <row r="517">
      <c r="A517" s="498"/>
      <c r="B517" s="499" t="s">
        <v>271</v>
      </c>
      <c r="C517" s="533" t="s">
        <v>264</v>
      </c>
      <c r="D517" s="532">
        <v>1471.464</v>
      </c>
      <c r="E517" s="518">
        <v>0</v>
      </c>
      <c r="F517" s="519">
        <v>0</v>
      </c>
      <c r="G517" s="504">
        <f t="shared" si="66"/>
      </c>
      <c r="H517" s="505">
        <f t="shared" si="365"/>
      </c>
      <c r="I517" s="506">
        <f t="shared" si="301"/>
      </c>
      <c r="J517" s="507">
        <f t="shared" si="237"/>
      </c>
      <c r="K517" s="508">
        <f t="shared" si="646"/>
      </c>
      <c r="L517" s="505">
        <f t="shared" si="433"/>
      </c>
      <c r="M517" s="509">
        <f t="shared" si="520"/>
      </c>
      <c r="N517" s="509">
        <f t="shared" si="559"/>
      </c>
      <c r="O517" s="509">
        <f t="shared" si="464"/>
      </c>
      <c r="P517" s="509">
        <f t="shared" si="396"/>
      </c>
      <c r="Q517" s="505">
        <f t="shared" si="334"/>
      </c>
      <c r="R517" s="507">
        <f t="shared" si="270"/>
      </c>
      <c r="S517" s="509">
        <f t="shared" si="173"/>
      </c>
      <c r="T517" s="509">
        <f t="shared" si="103"/>
      </c>
      <c r="U517" s="509">
        <f t="shared" si="29"/>
      </c>
      <c r="V517" s="509">
        <f t="shared" si="590"/>
      </c>
      <c r="W517" s="520" t="s">
        <v>255</v>
      </c>
      <c r="X517" s="511" t="s">
        <v>285</v>
      </c>
      <c r="Y517" s="513">
        <v>222561</v>
      </c>
      <c r="Z517" s="513">
        <v>5099</v>
      </c>
      <c r="AA517" s="513">
        <v>110312</v>
      </c>
      <c r="AB517" s="513">
        <v>827</v>
      </c>
      <c r="AC517" s="513">
        <v>0</v>
      </c>
      <c r="AD517" s="513">
        <v>5389</v>
      </c>
      <c r="AE517" s="513">
        <v>325</v>
      </c>
      <c r="AF517" s="513">
        <v>90</v>
      </c>
      <c r="AG517" s="513">
        <v>9</v>
      </c>
      <c r="AH517" s="514">
        <v>0</v>
      </c>
    </row>
    <row r="518">
      <c r="A518" s="498"/>
      <c r="B518" s="499" t="s">
        <v>271</v>
      </c>
      <c r="C518" s="534" t="s">
        <v>265</v>
      </c>
      <c r="D518" s="532">
        <v>1052.439</v>
      </c>
      <c r="E518" s="518">
        <v>0</v>
      </c>
      <c r="F518" s="519">
        <v>0</v>
      </c>
      <c r="G518" s="504">
        <f t="shared" si="66"/>
      </c>
      <c r="H518" s="505">
        <f t="shared" si="365"/>
      </c>
      <c r="I518" s="506">
        <f t="shared" si="301"/>
      </c>
      <c r="J518" s="507">
        <f t="shared" si="237"/>
      </c>
      <c r="K518" s="508">
        <f t="shared" si="646"/>
      </c>
      <c r="L518" s="505">
        <f t="shared" si="433"/>
      </c>
      <c r="M518" s="509">
        <f t="shared" si="520"/>
      </c>
      <c r="N518" s="509">
        <f t="shared" si="559"/>
      </c>
      <c r="O518" s="509">
        <f t="shared" si="464"/>
      </c>
      <c r="P518" s="509">
        <f t="shared" si="396"/>
      </c>
      <c r="Q518" s="505">
        <f t="shared" si="334"/>
      </c>
      <c r="R518" s="507">
        <f t="shared" si="270"/>
      </c>
      <c r="S518" s="509">
        <f t="shared" si="173"/>
      </c>
      <c r="T518" s="509">
        <f t="shared" si="103"/>
      </c>
      <c r="U518" s="509">
        <f t="shared" si="29"/>
      </c>
      <c r="V518" s="509">
        <f t="shared" si="590"/>
      </c>
      <c r="W518" s="520" t="s">
        <v>255</v>
      </c>
      <c r="X518" s="511" t="s">
        <v>285</v>
      </c>
      <c r="Y518" s="513">
        <v>193956</v>
      </c>
      <c r="Z518" s="513">
        <v>4213</v>
      </c>
      <c r="AA518" s="513">
        <v>149749</v>
      </c>
      <c r="AB518" s="513">
        <v>424</v>
      </c>
      <c r="AC518" s="513">
        <v>0</v>
      </c>
      <c r="AD518" s="513">
        <v>6374</v>
      </c>
      <c r="AE518" s="513">
        <v>137</v>
      </c>
      <c r="AF518" s="513">
        <v>65</v>
      </c>
      <c r="AG518" s="513">
        <v>7</v>
      </c>
      <c r="AH518" s="514">
        <v>0</v>
      </c>
    </row>
    <row r="519">
      <c r="A519" s="498"/>
      <c r="B519" s="499" t="s">
        <v>271</v>
      </c>
      <c r="C519" s="537" t="s">
        <v>266</v>
      </c>
      <c r="D519" s="532">
        <v>659.832</v>
      </c>
      <c r="E519" s="518">
        <v>2</v>
      </c>
      <c r="F519" s="519">
        <v>424</v>
      </c>
      <c r="G519" s="504">
        <f t="shared" si="66"/>
      </c>
      <c r="H519" s="505">
        <f t="shared" si="365"/>
      </c>
      <c r="I519" s="506">
        <f t="shared" si="301"/>
      </c>
      <c r="J519" s="507">
        <f t="shared" si="237"/>
      </c>
      <c r="K519" s="508">
        <f t="shared" si="646"/>
      </c>
      <c r="L519" s="505">
        <f t="shared" si="433"/>
      </c>
      <c r="M519" s="509">
        <f t="shared" si="520"/>
      </c>
      <c r="N519" s="509">
        <f t="shared" si="559"/>
      </c>
      <c r="O519" s="509">
        <f t="shared" si="464"/>
      </c>
      <c r="P519" s="509">
        <f t="shared" si="396"/>
      </c>
      <c r="Q519" s="505">
        <f t="shared" si="334"/>
      </c>
      <c r="R519" s="507">
        <f t="shared" si="270"/>
      </c>
      <c r="S519" s="509">
        <f t="shared" si="173"/>
      </c>
      <c r="T519" s="509">
        <f t="shared" si="103"/>
      </c>
      <c r="U519" s="509">
        <f t="shared" si="29"/>
      </c>
      <c r="V519" s="509">
        <f t="shared" si="590"/>
      </c>
      <c r="W519" s="520" t="s">
        <v>255</v>
      </c>
      <c r="X519" s="511" t="s">
        <v>282</v>
      </c>
      <c r="Y519" s="513">
        <v>128443</v>
      </c>
      <c r="Z519" s="513">
        <v>3068</v>
      </c>
      <c r="AA519" s="513">
        <v>111610</v>
      </c>
      <c r="AB519" s="513">
        <v>261</v>
      </c>
      <c r="AC519" s="513">
        <v>2</v>
      </c>
      <c r="AD519" s="513">
        <v>4618</v>
      </c>
      <c r="AE519" s="513">
        <v>67</v>
      </c>
      <c r="AF519" s="513">
        <v>39</v>
      </c>
      <c r="AG519" s="513">
        <v>9</v>
      </c>
      <c r="AH519" s="514">
        <v>0</v>
      </c>
    </row>
    <row r="520">
      <c r="A520" s="498"/>
      <c r="B520" s="499" t="s">
        <v>271</v>
      </c>
      <c r="C520" s="540" t="s">
        <v>269</v>
      </c>
      <c r="D520" s="532">
        <v>690.367</v>
      </c>
      <c r="E520" s="518">
        <v>3</v>
      </c>
      <c r="F520" s="519">
        <v>578.2999999999997</v>
      </c>
      <c r="G520" s="504">
        <f t="shared" si="66"/>
      </c>
      <c r="H520" s="505">
        <f t="shared" si="365"/>
      </c>
      <c r="I520" s="506">
        <f t="shared" si="301"/>
      </c>
      <c r="J520" s="507">
        <f t="shared" si="237"/>
      </c>
      <c r="K520" s="508">
        <f t="shared" si="646"/>
      </c>
      <c r="L520" s="505">
        <f t="shared" si="433"/>
      </c>
      <c r="M520" s="509">
        <f t="shared" si="520"/>
      </c>
      <c r="N520" s="509">
        <f t="shared" si="559"/>
      </c>
      <c r="O520" s="509">
        <f t="shared" si="464"/>
      </c>
      <c r="P520" s="509">
        <f t="shared" si="396"/>
      </c>
      <c r="Q520" s="505">
        <f t="shared" si="334"/>
      </c>
      <c r="R520" s="507">
        <f t="shared" si="270"/>
      </c>
      <c r="S520" s="509">
        <f t="shared" si="173"/>
      </c>
      <c r="T520" s="509">
        <f t="shared" si="103"/>
      </c>
      <c r="U520" s="509">
        <f t="shared" si="29"/>
      </c>
      <c r="V520" s="509">
        <f t="shared" si="590"/>
      </c>
      <c r="W520" s="520" t="s">
        <v>255</v>
      </c>
      <c r="X520" s="511" t="s">
        <v>282</v>
      </c>
      <c r="Y520" s="513">
        <v>111715</v>
      </c>
      <c r="Z520" s="513">
        <v>3719</v>
      </c>
      <c r="AA520" s="513">
        <v>93206</v>
      </c>
      <c r="AB520" s="513">
        <v>365</v>
      </c>
      <c r="AC520" s="513">
        <v>2</v>
      </c>
      <c r="AD520" s="513">
        <v>5757</v>
      </c>
      <c r="AE520" s="513">
        <v>158</v>
      </c>
      <c r="AF520" s="513">
        <v>56</v>
      </c>
      <c r="AG520" s="513">
        <v>10</v>
      </c>
      <c r="AH520" s="514">
        <v>1</v>
      </c>
    </row>
    <row r="521">
      <c r="A521" s="498"/>
      <c r="B521" s="521" t="s">
        <v>261</v>
      </c>
      <c r="C521" s="521"/>
      <c r="D521" s="522">
        <f>SUM(D516:D520)</f>
      </c>
      <c r="E521" s="522">
        <f>SUM(E516:E520)</f>
      </c>
      <c r="F521" s="522">
        <f>SUM(F516:F520)</f>
      </c>
      <c r="G521" s="522">
        <f t="shared" si="66"/>
      </c>
      <c r="H521" s="524">
        <f t="shared" si="365"/>
      </c>
      <c r="I521" s="525">
        <f t="shared" si="301"/>
      </c>
      <c r="J521" s="526">
        <f t="shared" si="237"/>
      </c>
      <c r="K521" s="527">
        <f t="shared" si="646"/>
      </c>
      <c r="L521" s="524">
        <f t="shared" si="433"/>
      </c>
      <c r="M521" s="528">
        <f t="shared" si="520"/>
      </c>
      <c r="N521" s="528">
        <f t="shared" si="559"/>
      </c>
      <c r="O521" s="528">
        <f t="shared" si="464"/>
      </c>
      <c r="P521" s="528">
        <f t="shared" si="396"/>
      </c>
      <c r="Q521" s="524">
        <f t="shared" si="334"/>
      </c>
      <c r="R521" s="526">
        <f t="shared" si="270"/>
      </c>
      <c r="S521" s="528">
        <f t="shared" si="173"/>
      </c>
      <c r="T521" s="528">
        <f t="shared" si="103"/>
      </c>
      <c r="U521" s="528">
        <f t="shared" si="29"/>
      </c>
      <c r="V521" s="528">
        <f t="shared" si="590"/>
      </c>
      <c r="W521" s="528"/>
      <c r="X521" s="529"/>
      <c r="Y521" s="522">
        <f>SUM(Y516:Y520)</f>
      </c>
      <c r="Z521" s="522">
        <f>SUM(Z516:Z520)</f>
      </c>
      <c r="AA521" s="522">
        <f>SUM(AA516:AA520)</f>
      </c>
      <c r="AB521" s="522">
        <f>SUM(AB516:AB520)</f>
      </c>
      <c r="AC521" s="522">
        <f>SUM(AC516:AC520)</f>
      </c>
      <c r="AD521" s="522">
        <f>SUM(AD516:AD520)</f>
      </c>
      <c r="AE521" s="522">
        <f>SUM(AE516:AE520)</f>
      </c>
      <c r="AF521" s="522">
        <f>SUM(AF516:AF520)</f>
      </c>
      <c r="AG521" s="522">
        <f>SUM(AG516:AG520)</f>
      </c>
      <c r="AH521" s="522">
        <f>SUM(AH516:AH520)</f>
      </c>
    </row>
    <row r="522">
      <c r="A522" s="498"/>
      <c r="B522" s="574" t="s">
        <v>268</v>
      </c>
      <c r="C522" s="534" t="s">
        <v>270</v>
      </c>
      <c r="D522" s="541">
        <v>623.3589999999999</v>
      </c>
      <c r="E522" s="542">
        <v>2</v>
      </c>
      <c r="F522" s="519">
        <v>1656</v>
      </c>
      <c r="G522" s="504">
        <f t="shared" si="66"/>
      </c>
      <c r="H522" s="505">
        <f t="shared" si="365"/>
      </c>
      <c r="I522" s="506">
        <f t="shared" si="301"/>
      </c>
      <c r="J522" s="507">
        <f t="shared" si="237"/>
      </c>
      <c r="K522" s="508">
        <f t="shared" si="646"/>
      </c>
      <c r="L522" s="505">
        <f t="shared" si="433"/>
      </c>
      <c r="M522" s="509">
        <f t="shared" si="520"/>
      </c>
      <c r="N522" s="509">
        <f t="shared" si="559"/>
      </c>
      <c r="O522" s="509">
        <f t="shared" si="464"/>
      </c>
      <c r="P522" s="509">
        <f t="shared" si="396"/>
      </c>
      <c r="Q522" s="505">
        <f t="shared" si="334"/>
      </c>
      <c r="R522" s="507">
        <f t="shared" si="270"/>
      </c>
      <c r="S522" s="509">
        <f t="shared" si="173"/>
      </c>
      <c r="T522" s="509">
        <f t="shared" si="103"/>
      </c>
      <c r="U522" s="509">
        <f t="shared" si="29"/>
      </c>
      <c r="V522" s="509">
        <f t="shared" si="590"/>
      </c>
      <c r="W522" s="520" t="s">
        <v>255</v>
      </c>
      <c r="X522" s="511" t="s">
        <v>282</v>
      </c>
      <c r="Y522" s="513">
        <v>92246</v>
      </c>
      <c r="Z522" s="513">
        <v>3267</v>
      </c>
      <c r="AA522" s="513">
        <v>73011</v>
      </c>
      <c r="AB522" s="513">
        <v>316</v>
      </c>
      <c r="AC522" s="513">
        <v>2</v>
      </c>
      <c r="AD522" s="513">
        <v>4667</v>
      </c>
      <c r="AE522" s="513">
        <v>121</v>
      </c>
      <c r="AF522" s="513">
        <v>46</v>
      </c>
      <c r="AG522" s="513">
        <v>4</v>
      </c>
      <c r="AH522" s="514">
        <v>0</v>
      </c>
    </row>
    <row r="523">
      <c r="A523" s="498"/>
      <c r="B523" s="574" t="s">
        <v>268</v>
      </c>
      <c r="C523" s="534" t="s">
        <v>272</v>
      </c>
      <c r="D523" s="541">
        <v>520.393</v>
      </c>
      <c r="E523" s="542">
        <v>4</v>
      </c>
      <c r="F523" s="519">
        <v>806.3000000000011</v>
      </c>
      <c r="G523" s="504">
        <f t="shared" si="66"/>
      </c>
      <c r="H523" s="505">
        <f t="shared" si="365"/>
      </c>
      <c r="I523" s="506">
        <f t="shared" si="301"/>
      </c>
      <c r="J523" s="507">
        <f t="shared" si="237"/>
      </c>
      <c r="K523" s="508">
        <f t="shared" si="646"/>
      </c>
      <c r="L523" s="505">
        <f t="shared" si="433"/>
      </c>
      <c r="M523" s="509">
        <f t="shared" si="520"/>
      </c>
      <c r="N523" s="509">
        <f t="shared" si="559"/>
      </c>
      <c r="O523" s="509">
        <f t="shared" si="464"/>
      </c>
      <c r="P523" s="509">
        <f t="shared" si="396"/>
      </c>
      <c r="Q523" s="505">
        <f t="shared" si="334"/>
      </c>
      <c r="R523" s="507">
        <f t="shared" si="270"/>
      </c>
      <c r="S523" s="509">
        <f t="shared" si="173"/>
      </c>
      <c r="T523" s="509">
        <f t="shared" si="103"/>
      </c>
      <c r="U523" s="509">
        <f t="shared" si="29"/>
      </c>
      <c r="V523" s="509">
        <f t="shared" si="590"/>
      </c>
      <c r="W523" s="520" t="s">
        <v>255</v>
      </c>
      <c r="X523" s="511" t="s">
        <v>282</v>
      </c>
      <c r="Y523" s="513">
        <v>77129</v>
      </c>
      <c r="Z523" s="513">
        <v>2990</v>
      </c>
      <c r="AA523" s="513">
        <v>66135</v>
      </c>
      <c r="AB523" s="513">
        <v>287</v>
      </c>
      <c r="AC523" s="513">
        <v>4</v>
      </c>
      <c r="AD523" s="513">
        <v>4315</v>
      </c>
      <c r="AE523" s="513">
        <v>118</v>
      </c>
      <c r="AF523" s="513">
        <v>43</v>
      </c>
      <c r="AG523" s="513">
        <v>3</v>
      </c>
      <c r="AH523" s="514">
        <v>1</v>
      </c>
    </row>
    <row r="524">
      <c r="A524" s="498"/>
      <c r="B524" s="574" t="s">
        <v>268</v>
      </c>
      <c r="C524" s="537" t="s">
        <v>273</v>
      </c>
      <c r="D524" s="541">
        <v>931.192</v>
      </c>
      <c r="E524" s="542">
        <v>1</v>
      </c>
      <c r="F524" s="519">
        <v>228</v>
      </c>
      <c r="G524" s="504">
        <f t="shared" si="66"/>
      </c>
      <c r="H524" s="505">
        <f t="shared" si="365"/>
      </c>
      <c r="I524" s="506">
        <f t="shared" si="301"/>
      </c>
      <c r="J524" s="507">
        <f t="shared" si="237"/>
      </c>
      <c r="K524" s="508">
        <f t="shared" si="646"/>
      </c>
      <c r="L524" s="505">
        <f t="shared" si="433"/>
      </c>
      <c r="M524" s="509">
        <f t="shared" si="520"/>
      </c>
      <c r="N524" s="509">
        <f t="shared" si="559"/>
      </c>
      <c r="O524" s="509">
        <f t="shared" si="464"/>
      </c>
      <c r="P524" s="509">
        <f t="shared" si="396"/>
      </c>
      <c r="Q524" s="505">
        <f t="shared" si="334"/>
      </c>
      <c r="R524" s="507">
        <f t="shared" si="270"/>
      </c>
      <c r="S524" s="509">
        <f t="shared" si="173"/>
      </c>
      <c r="T524" s="509">
        <f t="shared" si="103"/>
      </c>
      <c r="U524" s="509">
        <f t="shared" si="29"/>
      </c>
      <c r="V524" s="509">
        <f t="shared" si="590"/>
      </c>
      <c r="W524" s="520" t="s">
        <v>255</v>
      </c>
      <c r="X524" s="511" t="s">
        <v>282</v>
      </c>
      <c r="Y524" s="513">
        <v>181690</v>
      </c>
      <c r="Z524" s="513">
        <v>4050</v>
      </c>
      <c r="AA524" s="513">
        <v>154495</v>
      </c>
      <c r="AB524" s="513">
        <v>418</v>
      </c>
      <c r="AC524" s="513">
        <v>1</v>
      </c>
      <c r="AD524" s="513">
        <v>5759</v>
      </c>
      <c r="AE524" s="513">
        <v>108</v>
      </c>
      <c r="AF524" s="513">
        <v>59</v>
      </c>
      <c r="AG524" s="514">
        <v>5</v>
      </c>
      <c r="AH524" s="514">
        <v>0</v>
      </c>
    </row>
    <row r="525">
      <c r="A525" s="498"/>
      <c r="B525" s="574" t="s">
        <v>268</v>
      </c>
      <c r="C525" s="534" t="s">
        <v>274</v>
      </c>
      <c r="D525" s="535">
        <v>1099.876</v>
      </c>
      <c r="E525" s="502">
        <v>2</v>
      </c>
      <c r="F525" s="503">
        <v>399.59999999999854</v>
      </c>
      <c r="G525" s="504">
        <f t="shared" si="66"/>
      </c>
      <c r="H525" s="505">
        <f t="shared" si="365"/>
      </c>
      <c r="I525" s="560">
        <f t="shared" si="301"/>
      </c>
      <c r="J525" s="559">
        <f t="shared" si="237"/>
      </c>
      <c r="K525" s="556">
        <f t="shared" ref="K525:K526" si="142">D525/AB525</f>
      </c>
      <c r="L525" s="557">
        <f t="shared" si="433"/>
      </c>
      <c r="M525" s="558">
        <f t="shared" ref="M525:M526" si="204">AC525/AB525</f>
      </c>
      <c r="N525" s="558">
        <f t="shared" si="559"/>
      </c>
      <c r="O525" s="558">
        <f t="shared" si="464"/>
      </c>
      <c r="P525" s="558">
        <f t="shared" si="396"/>
      </c>
      <c r="Q525" s="557">
        <f t="shared" si="334"/>
      </c>
      <c r="R525" s="559">
        <f t="shared" si="270"/>
      </c>
      <c r="S525" s="558">
        <f t="shared" si="173"/>
      </c>
      <c r="T525" s="558">
        <f t="shared" si="103"/>
      </c>
      <c r="U525" s="558">
        <f t="shared" si="29"/>
      </c>
      <c r="V525" s="558">
        <f t="shared" si="590"/>
      </c>
      <c r="W525" s="520" t="s">
        <v>255</v>
      </c>
      <c r="X525" s="511" t="s">
        <v>282</v>
      </c>
      <c r="Y525" s="513">
        <v>264268</v>
      </c>
      <c r="Z525" s="513">
        <v>4633</v>
      </c>
      <c r="AA525" s="513">
        <v>219935</v>
      </c>
      <c r="AB525" s="536">
        <v>528</v>
      </c>
      <c r="AC525" s="536">
        <v>1</v>
      </c>
      <c r="AD525" s="536">
        <v>7409</v>
      </c>
      <c r="AE525" s="536">
        <v>145</v>
      </c>
      <c r="AF525" s="536">
        <v>83</v>
      </c>
      <c r="AG525" s="536">
        <v>15</v>
      </c>
      <c r="AH525" s="514">
        <v>1</v>
      </c>
    </row>
    <row r="526">
      <c r="A526" s="498"/>
      <c r="B526" s="574" t="s">
        <v>268</v>
      </c>
      <c r="C526" s="555" t="s">
        <v>275</v>
      </c>
      <c r="D526" s="541">
        <v>1356.633</v>
      </c>
      <c r="E526" s="542">
        <v>0</v>
      </c>
      <c r="F526" s="519">
        <v>0</v>
      </c>
      <c r="G526" s="504">
        <f t="shared" si="66"/>
      </c>
      <c r="H526" s="505">
        <f t="shared" si="365"/>
      </c>
      <c r="I526" s="560">
        <f t="shared" si="301"/>
      </c>
      <c r="J526" s="559">
        <f t="shared" si="237"/>
      </c>
      <c r="K526" s="556">
        <f t="shared" si="142"/>
      </c>
      <c r="L526" s="557">
        <f t="shared" si="433"/>
      </c>
      <c r="M526" s="558">
        <f t="shared" si="204"/>
      </c>
      <c r="N526" s="558">
        <f t="shared" si="559"/>
      </c>
      <c r="O526" s="558">
        <f t="shared" si="464"/>
      </c>
      <c r="P526" s="558">
        <f t="shared" si="396"/>
      </c>
      <c r="Q526" s="557">
        <f t="shared" si="334"/>
      </c>
      <c r="R526" s="559">
        <f t="shared" si="270"/>
      </c>
      <c r="S526" s="558">
        <f t="shared" si="173"/>
      </c>
      <c r="T526" s="558">
        <f t="shared" si="103"/>
      </c>
      <c r="U526" s="558">
        <f t="shared" si="29"/>
      </c>
      <c r="V526" s="558">
        <f t="shared" si="590"/>
      </c>
      <c r="W526" s="520" t="s">
        <v>255</v>
      </c>
      <c r="X526" s="511" t="s">
        <v>282</v>
      </c>
      <c r="Y526" s="513">
        <v>272806</v>
      </c>
      <c r="Z526" s="513">
        <v>6289</v>
      </c>
      <c r="AA526" s="513">
        <v>237675</v>
      </c>
      <c r="AB526" s="513">
        <v>634</v>
      </c>
      <c r="AC526" s="513">
        <v>0</v>
      </c>
      <c r="AD526" s="513">
        <v>10304</v>
      </c>
      <c r="AE526" s="513">
        <v>176</v>
      </c>
      <c r="AF526" s="513">
        <v>126</v>
      </c>
      <c r="AG526" s="514">
        <v>17</v>
      </c>
      <c r="AH526" s="514">
        <v>0</v>
      </c>
    </row>
    <row r="527">
      <c r="A527" s="498"/>
      <c r="B527" s="538" t="s">
        <v>261</v>
      </c>
      <c r="C527" s="538"/>
      <c r="D527" s="522">
        <f>SUM(D522:D526)</f>
      </c>
      <c r="E527" s="522">
        <f>SUM(E522:E526)</f>
      </c>
      <c r="F527" s="522">
        <f>SUM(F522:F526)</f>
      </c>
      <c r="G527" s="522">
        <f t="shared" si="66"/>
      </c>
      <c r="H527" s="524">
        <f t="shared" si="365"/>
      </c>
      <c r="I527" s="525">
        <f t="shared" si="301"/>
      </c>
      <c r="J527" s="526">
        <f t="shared" si="237"/>
      </c>
      <c r="K527" s="527">
        <f t="shared" ref="K527:K528" si="647">D527/AA527</f>
      </c>
      <c r="L527" s="524">
        <f t="shared" si="433"/>
      </c>
      <c r="M527" s="528">
        <f t="shared" ref="M527:M528" si="521">AB527/AA527</f>
      </c>
      <c r="N527" s="528">
        <f t="shared" si="559"/>
      </c>
      <c r="O527" s="528">
        <f t="shared" si="464"/>
      </c>
      <c r="P527" s="528">
        <f t="shared" si="396"/>
      </c>
      <c r="Q527" s="524">
        <f t="shared" si="334"/>
      </c>
      <c r="R527" s="526">
        <f t="shared" si="270"/>
      </c>
      <c r="S527" s="528">
        <f t="shared" si="173"/>
      </c>
      <c r="T527" s="528">
        <f t="shared" si="103"/>
      </c>
      <c r="U527" s="528">
        <f t="shared" si="29"/>
      </c>
      <c r="V527" s="528">
        <f t="shared" si="590"/>
      </c>
      <c r="W527" s="528"/>
      <c r="X527" s="529"/>
      <c r="Y527" s="522">
        <f>SUM(Y522:Y526)</f>
      </c>
      <c r="Z527" s="522">
        <f>SUM(Z522:Z526)</f>
      </c>
      <c r="AA527" s="522">
        <f>SUM(AA522:AA526)</f>
      </c>
      <c r="AB527" s="522">
        <f>SUM(AB522:AB526)</f>
      </c>
      <c r="AC527" s="522">
        <f>SUM(AC522:AC526)</f>
      </c>
      <c r="AD527" s="522">
        <f>SUM(AD522:AD526)</f>
      </c>
      <c r="AE527" s="522">
        <f>SUM(AE522:AE526)</f>
      </c>
      <c r="AF527" s="522">
        <f>SUM(AF522:AF526)</f>
      </c>
      <c r="AG527" s="522">
        <f>SUM(AG522:AG526)</f>
      </c>
      <c r="AH527" s="522">
        <f>SUM(AH522:AH526)</f>
      </c>
    </row>
    <row r="528">
      <c r="A528" s="498"/>
      <c r="B528" s="543" t="s">
        <v>276</v>
      </c>
      <c r="C528" s="543"/>
      <c r="D528" s="554">
        <f>SUM(D515+D527+D521)</f>
      </c>
      <c r="E528" s="554">
        <f>SUM(E515+E527+E521)</f>
      </c>
      <c r="F528" s="554">
        <f>SUM(F515+F527+F521)</f>
      </c>
      <c r="G528" s="544">
        <f t="shared" si="66"/>
      </c>
      <c r="H528" s="545">
        <f t="shared" si="365"/>
      </c>
      <c r="I528" s="546">
        <f t="shared" si="301"/>
      </c>
      <c r="J528" s="547">
        <f t="shared" si="237"/>
      </c>
      <c r="K528" s="548">
        <f t="shared" si="647"/>
      </c>
      <c r="L528" s="548">
        <f t="shared" si="433"/>
      </c>
      <c r="M528" s="550">
        <f t="shared" si="521"/>
      </c>
      <c r="N528" s="550">
        <f t="shared" si="559"/>
      </c>
      <c r="O528" s="550">
        <f t="shared" si="464"/>
      </c>
      <c r="P528" s="550">
        <f t="shared" si="396"/>
      </c>
      <c r="Q528" s="549">
        <f t="shared" si="334"/>
      </c>
      <c r="R528" s="551">
        <f t="shared" si="270"/>
      </c>
      <c r="S528" s="552">
        <f t="shared" si="173"/>
      </c>
      <c r="T528" s="552">
        <f t="shared" si="103"/>
      </c>
      <c r="U528" s="552">
        <f t="shared" si="29"/>
      </c>
      <c r="V528" s="552">
        <f t="shared" si="590"/>
      </c>
      <c r="W528" s="552"/>
      <c r="X528" s="553"/>
      <c r="Y528" s="544">
        <f>SUM(Y527+Y515+Y521)</f>
      </c>
      <c r="Z528" s="544">
        <f>SUM(Z527+Z515+Z521)</f>
      </c>
      <c r="AA528" s="544">
        <f>SUM(AA527+AA515+AA521)</f>
      </c>
      <c r="AB528" s="544">
        <f>SUM(AB527+AB515+AB521)</f>
      </c>
      <c r="AC528" s="544">
        <f>SUM(AC527+AC515+AC521)</f>
      </c>
      <c r="AD528" s="544">
        <f>SUM(AD527+AD515+AD521)</f>
      </c>
      <c r="AE528" s="544">
        <f>SUM(AE527+AE515+AE521)</f>
      </c>
      <c r="AF528" s="544">
        <f>SUM(AF527+AF515+AF521)</f>
      </c>
      <c r="AG528" s="544">
        <f>SUM(AG527+AG515+AG521)</f>
      </c>
      <c r="AH528" s="544">
        <f>SUM(AH527+AH515+AH521)</f>
      </c>
    </row>
    <row r="529">
      <c r="A529" s="486" t="s">
        <v>218</v>
      </c>
      <c r="B529" s="561" t="s">
        <v>219</v>
      </c>
      <c r="C529" s="562" t="s">
        <v>220</v>
      </c>
      <c r="D529" s="487" t="s">
        <v>221</v>
      </c>
      <c r="E529" s="488" t="s">
        <v>222</v>
      </c>
      <c r="F529" s="489" t="s">
        <v>223</v>
      </c>
      <c r="G529" s="489" t="s">
        <v>224</v>
      </c>
      <c r="H529" s="490" t="s">
        <v>225</v>
      </c>
      <c r="I529" s="490" t="s">
        <v>226</v>
      </c>
      <c r="J529" s="490" t="s">
        <v>227</v>
      </c>
      <c r="K529" s="491" t="s">
        <v>228</v>
      </c>
      <c r="L529" s="491" t="s">
        <v>229</v>
      </c>
      <c r="M529" s="491" t="s">
        <v>231</v>
      </c>
      <c r="N529" s="491" t="s">
        <v>232</v>
      </c>
      <c r="O529" s="491" t="s">
        <v>233</v>
      </c>
      <c r="P529" s="491" t="s">
        <v>234</v>
      </c>
      <c r="Q529" s="491" t="s">
        <v>235</v>
      </c>
      <c r="R529" s="491" t="s">
        <v>236</v>
      </c>
      <c r="S529" s="492" t="s">
        <v>237</v>
      </c>
      <c r="T529" s="492" t="s">
        <v>238</v>
      </c>
      <c r="U529" s="492" t="s">
        <v>239</v>
      </c>
      <c r="V529" s="492" t="s">
        <v>240</v>
      </c>
      <c r="W529" s="493" t="s">
        <v>241</v>
      </c>
      <c r="X529" s="493" t="s">
        <v>242</v>
      </c>
      <c r="Y529" s="494" t="s">
        <v>243</v>
      </c>
      <c r="Z529" s="494" t="s">
        <v>244</v>
      </c>
      <c r="AA529" s="494" t="s">
        <v>245</v>
      </c>
      <c r="AB529" s="495" t="s">
        <v>246</v>
      </c>
      <c r="AC529" s="495" t="s">
        <v>247</v>
      </c>
      <c r="AD529" s="496" t="s">
        <v>248</v>
      </c>
      <c r="AE529" s="495" t="s">
        <v>249</v>
      </c>
      <c r="AF529" s="495" t="s">
        <v>250</v>
      </c>
      <c r="AG529" s="497" t="s">
        <v>251</v>
      </c>
      <c r="AH529" s="495" t="s">
        <v>252</v>
      </c>
    </row>
    <row r="530">
      <c r="A530" s="498">
        <v>46230</v>
      </c>
      <c r="B530" s="530" t="s">
        <v>277</v>
      </c>
      <c r="C530" s="500" t="s">
        <v>254</v>
      </c>
      <c r="D530" s="501">
        <v>882.132</v>
      </c>
      <c r="E530" s="502">
        <v>1</v>
      </c>
      <c r="F530" s="503">
        <v>828</v>
      </c>
      <c r="G530" s="504">
        <f t="shared" ref="G530:G548" si="67">D530/AC530</f>
      </c>
      <c r="H530" s="505">
        <f t="shared" ref="H530:H548" si="366">F530/E530</f>
      </c>
      <c r="I530" s="506">
        <f t="shared" ref="I530:I548" si="302">D530/E530</f>
      </c>
      <c r="J530" s="507">
        <f t="shared" ref="J530:J548" si="238">F530/D530</f>
      </c>
      <c r="K530" s="508">
        <f t="shared" ref="K530:K544" si="648">D530/AA530</f>
      </c>
      <c r="L530" s="505">
        <f t="shared" ref="L530:L548" si="434">D530/AB530</f>
      </c>
      <c r="M530" s="509">
        <f t="shared" ref="M530:M544" si="522">AB530/AA530</f>
      </c>
      <c r="N530" s="509">
        <f t="shared" ref="N530:N548" si="560">AC530/AB530</f>
      </c>
      <c r="O530" s="509">
        <f t="shared" ref="O530:O548" si="465">Z530/Y530</f>
      </c>
      <c r="P530" s="509">
        <f t="shared" ref="P530:P548" si="397">AC530/Z530</f>
      </c>
      <c r="Q530" s="505">
        <f t="shared" ref="Q530:Q548" si="335">D530/Y530*1000</f>
      </c>
      <c r="R530" s="507">
        <f t="shared" ref="R530:R548" si="271">D530/Z530</f>
      </c>
      <c r="S530" s="509">
        <f t="shared" ref="S530:S548" si="174">AD530/AA530</f>
      </c>
      <c r="T530" s="509">
        <f t="shared" ref="T530:T548" si="104">AE530/AA530</f>
      </c>
      <c r="U530" s="509">
        <f t="shared" ref="U530:U548" si="30">AF530/AA530</f>
      </c>
      <c r="V530" s="509">
        <f t="shared" ref="V530:V548" si="591">AG530/AA530</f>
      </c>
      <c r="W530" s="510" t="s">
        <v>255</v>
      </c>
      <c r="X530" s="511" t="s">
        <v>279</v>
      </c>
      <c r="Y530" s="512">
        <v>108141</v>
      </c>
      <c r="Z530" s="512">
        <v>2010</v>
      </c>
      <c r="AA530" s="512">
        <v>104842</v>
      </c>
      <c r="AB530" s="512">
        <v>382</v>
      </c>
      <c r="AC530" s="514">
        <v>1</v>
      </c>
      <c r="AD530" s="512">
        <v>9897</v>
      </c>
      <c r="AE530" s="513">
        <v>132</v>
      </c>
      <c r="AF530" s="513">
        <v>67</v>
      </c>
      <c r="AG530" s="513">
        <v>7</v>
      </c>
      <c r="AH530" s="514">
        <v>0</v>
      </c>
    </row>
    <row r="531">
      <c r="A531" s="498"/>
      <c r="B531" s="530" t="s">
        <v>277</v>
      </c>
      <c r="C531" s="500" t="s">
        <v>257</v>
      </c>
      <c r="D531" s="501">
        <v>1270.915</v>
      </c>
      <c r="E531" s="502">
        <v>2</v>
      </c>
      <c r="F531" s="503">
        <v>1014.3</v>
      </c>
      <c r="G531" s="504">
        <f t="shared" si="67"/>
      </c>
      <c r="H531" s="505">
        <f t="shared" si="366"/>
      </c>
      <c r="I531" s="506">
        <f t="shared" si="302"/>
      </c>
      <c r="J531" s="507">
        <f t="shared" si="238"/>
      </c>
      <c r="K531" s="508">
        <f t="shared" si="648"/>
      </c>
      <c r="L531" s="505">
        <f t="shared" si="434"/>
      </c>
      <c r="M531" s="509">
        <f t="shared" si="522"/>
      </c>
      <c r="N531" s="509">
        <f t="shared" si="560"/>
      </c>
      <c r="O531" s="509">
        <f t="shared" si="465"/>
      </c>
      <c r="P531" s="509">
        <f t="shared" si="397"/>
      </c>
      <c r="Q531" s="505">
        <f t="shared" si="335"/>
      </c>
      <c r="R531" s="507">
        <f t="shared" si="271"/>
      </c>
      <c r="S531" s="509">
        <f t="shared" si="174"/>
      </c>
      <c r="T531" s="509">
        <f t="shared" si="104"/>
      </c>
      <c r="U531" s="509">
        <f t="shared" si="30"/>
      </c>
      <c r="V531" s="509">
        <f t="shared" si="591"/>
      </c>
      <c r="W531" s="510" t="s">
        <v>255</v>
      </c>
      <c r="X531" s="511" t="s">
        <v>279</v>
      </c>
      <c r="Y531" s="514">
        <v>184989</v>
      </c>
      <c r="Z531" s="512">
        <v>3849</v>
      </c>
      <c r="AA531" s="512">
        <v>177743</v>
      </c>
      <c r="AB531" s="512">
        <v>578</v>
      </c>
      <c r="AC531" s="513">
        <v>2</v>
      </c>
      <c r="AD531" s="512">
        <v>15046</v>
      </c>
      <c r="AE531" s="513">
        <v>261</v>
      </c>
      <c r="AF531" s="513">
        <v>99</v>
      </c>
      <c r="AG531" s="514">
        <v>16</v>
      </c>
      <c r="AH531" s="514">
        <v>1</v>
      </c>
    </row>
    <row r="532">
      <c r="A532" s="498"/>
      <c r="B532" s="530" t="s">
        <v>277</v>
      </c>
      <c r="C532" s="515" t="s">
        <v>258</v>
      </c>
      <c r="D532" s="565">
        <v>1192.9589999999998</v>
      </c>
      <c r="E532" s="502">
        <v>2</v>
      </c>
      <c r="F532" s="503">
        <v>424.0000000000002</v>
      </c>
      <c r="G532" s="504">
        <f t="shared" si="67"/>
      </c>
      <c r="H532" s="505">
        <f t="shared" si="366"/>
      </c>
      <c r="I532" s="506">
        <f t="shared" si="302"/>
      </c>
      <c r="J532" s="507">
        <f t="shared" si="238"/>
      </c>
      <c r="K532" s="508">
        <f t="shared" si="648"/>
      </c>
      <c r="L532" s="505">
        <f t="shared" si="434"/>
      </c>
      <c r="M532" s="509">
        <f t="shared" si="522"/>
      </c>
      <c r="N532" s="509">
        <f t="shared" si="560"/>
      </c>
      <c r="O532" s="509">
        <f t="shared" si="465"/>
      </c>
      <c r="P532" s="509">
        <f t="shared" si="397"/>
      </c>
      <c r="Q532" s="505">
        <f t="shared" si="335"/>
      </c>
      <c r="R532" s="507">
        <f t="shared" si="271"/>
      </c>
      <c r="S532" s="509">
        <f t="shared" si="174"/>
      </c>
      <c r="T532" s="509">
        <f t="shared" si="104"/>
      </c>
      <c r="U532" s="509">
        <f t="shared" si="30"/>
      </c>
      <c r="V532" s="509">
        <f t="shared" si="591"/>
      </c>
      <c r="W532" s="510" t="s">
        <v>255</v>
      </c>
      <c r="X532" s="511" t="s">
        <v>279</v>
      </c>
      <c r="Y532" s="513">
        <v>157900</v>
      </c>
      <c r="Z532" s="512">
        <v>4215</v>
      </c>
      <c r="AA532" s="512">
        <v>131961</v>
      </c>
      <c r="AB532" s="512">
        <v>617</v>
      </c>
      <c r="AC532" s="513">
        <v>1</v>
      </c>
      <c r="AD532" s="512">
        <v>13378</v>
      </c>
      <c r="AE532" s="513">
        <v>177</v>
      </c>
      <c r="AF532" s="513">
        <v>100</v>
      </c>
      <c r="AG532" s="513">
        <v>11</v>
      </c>
      <c r="AH532" s="514">
        <v>0</v>
      </c>
    </row>
    <row r="533">
      <c r="A533" s="498"/>
      <c r="B533" s="530" t="s">
        <v>277</v>
      </c>
      <c r="C533" s="572" t="s">
        <v>259</v>
      </c>
      <c r="D533" s="573">
        <v>1086.282</v>
      </c>
      <c r="E533" s="568">
        <v>2</v>
      </c>
      <c r="F533" s="503">
        <v>445.1999999999998</v>
      </c>
      <c r="G533" s="504">
        <f t="shared" si="67"/>
      </c>
      <c r="H533" s="505">
        <f t="shared" si="366"/>
      </c>
      <c r="I533" s="506">
        <f t="shared" si="302"/>
      </c>
      <c r="J533" s="507">
        <f t="shared" si="238"/>
      </c>
      <c r="K533" s="508">
        <f t="shared" si="648"/>
      </c>
      <c r="L533" s="505">
        <f t="shared" si="434"/>
      </c>
      <c r="M533" s="509">
        <f t="shared" si="522"/>
      </c>
      <c r="N533" s="509">
        <f t="shared" si="560"/>
      </c>
      <c r="O533" s="509">
        <f t="shared" si="465"/>
      </c>
      <c r="P533" s="509">
        <f t="shared" si="397"/>
      </c>
      <c r="Q533" s="505">
        <f t="shared" si="335"/>
      </c>
      <c r="R533" s="507">
        <f t="shared" si="271"/>
      </c>
      <c r="S533" s="509">
        <f t="shared" si="174"/>
      </c>
      <c r="T533" s="509">
        <f t="shared" si="104"/>
      </c>
      <c r="U533" s="509">
        <f t="shared" si="30"/>
      </c>
      <c r="V533" s="509">
        <f t="shared" si="591"/>
      </c>
      <c r="W533" s="504" t="s">
        <v>255</v>
      </c>
      <c r="X533" s="511" t="s">
        <v>279</v>
      </c>
      <c r="Y533" s="513">
        <v>164326</v>
      </c>
      <c r="Z533" s="513">
        <v>4803</v>
      </c>
      <c r="AA533" s="513">
        <v>127450</v>
      </c>
      <c r="AB533" s="513">
        <v>603</v>
      </c>
      <c r="AC533" s="513">
        <v>2</v>
      </c>
      <c r="AD533" s="513">
        <v>13047</v>
      </c>
      <c r="AE533" s="513">
        <v>173</v>
      </c>
      <c r="AF533" s="513">
        <v>124</v>
      </c>
      <c r="AG533" s="514">
        <v>18</v>
      </c>
      <c r="AH533" s="514">
        <v>1</v>
      </c>
    </row>
    <row r="534">
      <c r="A534" s="498"/>
      <c r="B534" s="530" t="s">
        <v>277</v>
      </c>
      <c r="C534" s="516" t="s">
        <v>260</v>
      </c>
      <c r="D534" s="517">
        <v>1075.0130000000001</v>
      </c>
      <c r="E534" s="518">
        <v>1</v>
      </c>
      <c r="F534" s="519">
        <v>228</v>
      </c>
      <c r="G534" s="504">
        <f t="shared" si="67"/>
      </c>
      <c r="H534" s="505">
        <f t="shared" si="366"/>
      </c>
      <c r="I534" s="506">
        <f t="shared" si="302"/>
      </c>
      <c r="J534" s="507">
        <f t="shared" si="238"/>
      </c>
      <c r="K534" s="508">
        <f t="shared" si="648"/>
      </c>
      <c r="L534" s="505">
        <f t="shared" si="434"/>
      </c>
      <c r="M534" s="509">
        <f t="shared" si="522"/>
      </c>
      <c r="N534" s="509">
        <f t="shared" si="560"/>
      </c>
      <c r="O534" s="509">
        <f t="shared" si="465"/>
      </c>
      <c r="P534" s="509">
        <f t="shared" si="397"/>
      </c>
      <c r="Q534" s="505">
        <f t="shared" si="335"/>
      </c>
      <c r="R534" s="507">
        <f t="shared" si="271"/>
      </c>
      <c r="S534" s="509">
        <f t="shared" si="174"/>
      </c>
      <c r="T534" s="509">
        <f t="shared" si="104"/>
      </c>
      <c r="U534" s="509">
        <f t="shared" si="30"/>
      </c>
      <c r="V534" s="509">
        <f t="shared" si="591"/>
      </c>
      <c r="W534" s="520" t="s">
        <v>255</v>
      </c>
      <c r="X534" s="511" t="s">
        <v>279</v>
      </c>
      <c r="Y534" s="513">
        <v>164066</v>
      </c>
      <c r="Z534" s="513">
        <v>4468</v>
      </c>
      <c r="AA534" s="513">
        <v>129263</v>
      </c>
      <c r="AB534" s="513">
        <v>647</v>
      </c>
      <c r="AC534" s="513">
        <v>1</v>
      </c>
      <c r="AD534" s="513">
        <v>10678</v>
      </c>
      <c r="AE534" s="513">
        <v>163</v>
      </c>
      <c r="AF534" s="513">
        <v>86</v>
      </c>
      <c r="AG534" s="514">
        <v>12</v>
      </c>
      <c r="AH534" s="514">
        <v>0</v>
      </c>
    </row>
    <row r="535">
      <c r="A535" s="498"/>
      <c r="B535" s="521" t="s">
        <v>261</v>
      </c>
      <c r="C535" s="521"/>
      <c r="D535" s="522">
        <f>SUM(D530:D534)</f>
      </c>
      <c r="E535" s="523">
        <f>SUM(E530:E534)</f>
      </c>
      <c r="F535" s="522">
        <f>SUM(F530:F534)</f>
      </c>
      <c r="G535" s="522">
        <f t="shared" si="67"/>
      </c>
      <c r="H535" s="524">
        <f t="shared" si="366"/>
      </c>
      <c r="I535" s="525">
        <f t="shared" si="302"/>
      </c>
      <c r="J535" s="526">
        <f t="shared" si="238"/>
      </c>
      <c r="K535" s="527">
        <f t="shared" si="648"/>
      </c>
      <c r="L535" s="524">
        <f t="shared" si="434"/>
      </c>
      <c r="M535" s="528">
        <f t="shared" si="522"/>
      </c>
      <c r="N535" s="528">
        <f t="shared" si="560"/>
      </c>
      <c r="O535" s="528">
        <f t="shared" si="465"/>
      </c>
      <c r="P535" s="528">
        <f t="shared" si="397"/>
      </c>
      <c r="Q535" s="524">
        <f t="shared" si="335"/>
      </c>
      <c r="R535" s="526">
        <f t="shared" si="271"/>
      </c>
      <c r="S535" s="528">
        <f t="shared" si="174"/>
      </c>
      <c r="T535" s="528">
        <f t="shared" si="104"/>
      </c>
      <c r="U535" s="528">
        <f t="shared" si="30"/>
      </c>
      <c r="V535" s="528">
        <f t="shared" si="591"/>
      </c>
      <c r="W535" s="528"/>
      <c r="X535" s="529"/>
      <c r="Y535" s="522">
        <f>SUM(Y530:Y534)</f>
      </c>
      <c r="Z535" s="522">
        <f>SUM(Z530:Z534)</f>
      </c>
      <c r="AA535" s="522">
        <f>SUM(AA530:AA534)</f>
      </c>
      <c r="AB535" s="522">
        <f>SUM(AB530:AB534)</f>
      </c>
      <c r="AC535" s="522">
        <f>SUM(AC530:AC534)</f>
      </c>
      <c r="AD535" s="522">
        <f>SUM(AD530:AD534)</f>
      </c>
      <c r="AE535" s="522">
        <f>SUM(AE530:AE534)</f>
      </c>
      <c r="AF535" s="522">
        <f>SUM(AF530:AF534)</f>
      </c>
      <c r="AG535" s="522">
        <f>SUM(AG530:AG534)</f>
      </c>
      <c r="AH535" s="522">
        <f>SUM(AH530:AH534)</f>
      </c>
    </row>
    <row r="536">
      <c r="A536" s="498"/>
      <c r="B536" s="499" t="s">
        <v>271</v>
      </c>
      <c r="C536" s="531" t="s">
        <v>263</v>
      </c>
      <c r="D536" s="532">
        <v>1168.122</v>
      </c>
      <c r="E536" s="502">
        <v>0</v>
      </c>
      <c r="F536" s="503">
        <v>0</v>
      </c>
      <c r="G536" s="504">
        <f t="shared" si="67"/>
      </c>
      <c r="H536" s="505">
        <f t="shared" si="366"/>
      </c>
      <c r="I536" s="506">
        <f t="shared" si="302"/>
      </c>
      <c r="J536" s="507">
        <f t="shared" si="238"/>
      </c>
      <c r="K536" s="508">
        <f t="shared" si="648"/>
      </c>
      <c r="L536" s="505">
        <f t="shared" si="434"/>
      </c>
      <c r="M536" s="509">
        <f t="shared" si="522"/>
      </c>
      <c r="N536" s="509">
        <f t="shared" si="560"/>
      </c>
      <c r="O536" s="509">
        <f t="shared" si="465"/>
      </c>
      <c r="P536" s="509">
        <f t="shared" si="397"/>
      </c>
      <c r="Q536" s="505">
        <f t="shared" si="335"/>
      </c>
      <c r="R536" s="507">
        <f t="shared" si="271"/>
      </c>
      <c r="S536" s="509">
        <f t="shared" si="174"/>
      </c>
      <c r="T536" s="509">
        <f t="shared" si="104"/>
      </c>
      <c r="U536" s="509">
        <f t="shared" si="30"/>
      </c>
      <c r="V536" s="509">
        <f t="shared" si="591"/>
      </c>
      <c r="W536" s="520" t="s">
        <v>255</v>
      </c>
      <c r="X536" s="511" t="s">
        <v>279</v>
      </c>
      <c r="Y536" s="512">
        <v>190206</v>
      </c>
      <c r="Z536" s="512">
        <v>4280</v>
      </c>
      <c r="AA536" s="512">
        <v>150348</v>
      </c>
      <c r="AB536" s="513">
        <v>597</v>
      </c>
      <c r="AC536" s="513">
        <v>0</v>
      </c>
      <c r="AD536" s="512">
        <v>9956</v>
      </c>
      <c r="AE536" s="513">
        <v>198</v>
      </c>
      <c r="AF536" s="513">
        <v>98</v>
      </c>
      <c r="AG536" s="513">
        <v>11</v>
      </c>
      <c r="AH536" s="514">
        <v>0</v>
      </c>
    </row>
    <row r="537">
      <c r="A537" s="498"/>
      <c r="B537" s="499" t="s">
        <v>271</v>
      </c>
      <c r="C537" s="533" t="s">
        <v>264</v>
      </c>
      <c r="D537" s="532">
        <v>981.8109999999999</v>
      </c>
      <c r="E537" s="518">
        <v>1</v>
      </c>
      <c r="F537" s="519">
        <v>228</v>
      </c>
      <c r="G537" s="504">
        <f t="shared" si="67"/>
      </c>
      <c r="H537" s="505">
        <f t="shared" si="366"/>
      </c>
      <c r="I537" s="506">
        <f t="shared" si="302"/>
      </c>
      <c r="J537" s="507">
        <f t="shared" si="238"/>
      </c>
      <c r="K537" s="508">
        <f t="shared" si="648"/>
      </c>
      <c r="L537" s="505">
        <f t="shared" si="434"/>
      </c>
      <c r="M537" s="509">
        <f t="shared" si="522"/>
      </c>
      <c r="N537" s="509">
        <f t="shared" si="560"/>
      </c>
      <c r="O537" s="509">
        <f t="shared" si="465"/>
      </c>
      <c r="P537" s="509">
        <f t="shared" si="397"/>
      </c>
      <c r="Q537" s="505">
        <f t="shared" si="335"/>
      </c>
      <c r="R537" s="507">
        <f t="shared" si="271"/>
      </c>
      <c r="S537" s="509">
        <f t="shared" si="174"/>
      </c>
      <c r="T537" s="509">
        <f t="shared" si="104"/>
      </c>
      <c r="U537" s="509">
        <f t="shared" si="30"/>
      </c>
      <c r="V537" s="509">
        <f t="shared" si="591"/>
      </c>
      <c r="W537" s="520" t="s">
        <v>255</v>
      </c>
      <c r="X537" s="511" t="s">
        <v>279</v>
      </c>
      <c r="Y537" s="513">
        <v>167460</v>
      </c>
      <c r="Z537" s="513">
        <v>3787</v>
      </c>
      <c r="AA537" s="513">
        <v>144054</v>
      </c>
      <c r="AB537" s="513">
        <v>442</v>
      </c>
      <c r="AC537" s="513">
        <v>1</v>
      </c>
      <c r="AD537" s="513">
        <v>8215</v>
      </c>
      <c r="AE537" s="513">
        <v>105</v>
      </c>
      <c r="AF537" s="513">
        <v>70</v>
      </c>
      <c r="AG537" s="513">
        <v>20</v>
      </c>
      <c r="AH537" s="514">
        <v>0</v>
      </c>
    </row>
    <row r="538">
      <c r="A538" s="498"/>
      <c r="B538" s="499" t="s">
        <v>271</v>
      </c>
      <c r="C538" s="534" t="s">
        <v>265</v>
      </c>
      <c r="D538" s="532">
        <v>1298.992</v>
      </c>
      <c r="E538" s="518">
        <v>2</v>
      </c>
      <c r="F538" s="519">
        <v>1056</v>
      </c>
      <c r="G538" s="504">
        <f t="shared" si="67"/>
      </c>
      <c r="H538" s="505">
        <f t="shared" si="366"/>
      </c>
      <c r="I538" s="506">
        <f t="shared" si="302"/>
      </c>
      <c r="J538" s="507">
        <f t="shared" si="238"/>
      </c>
      <c r="K538" s="508">
        <f t="shared" si="648"/>
      </c>
      <c r="L538" s="505">
        <f t="shared" si="434"/>
      </c>
      <c r="M538" s="509">
        <f t="shared" si="522"/>
      </c>
      <c r="N538" s="509">
        <f t="shared" si="560"/>
      </c>
      <c r="O538" s="509">
        <f t="shared" si="465"/>
      </c>
      <c r="P538" s="509">
        <f t="shared" si="397"/>
      </c>
      <c r="Q538" s="505">
        <f t="shared" si="335"/>
      </c>
      <c r="R538" s="507">
        <f t="shared" si="271"/>
      </c>
      <c r="S538" s="509">
        <f t="shared" si="174"/>
      </c>
      <c r="T538" s="509">
        <f t="shared" si="104"/>
      </c>
      <c r="U538" s="509">
        <f t="shared" si="30"/>
      </c>
      <c r="V538" s="509">
        <f t="shared" si="591"/>
      </c>
      <c r="W538" s="520" t="s">
        <v>255</v>
      </c>
      <c r="X538" s="511" t="s">
        <v>279</v>
      </c>
      <c r="Y538" s="513">
        <v>230589</v>
      </c>
      <c r="Z538" s="513">
        <v>5522</v>
      </c>
      <c r="AA538" s="513">
        <v>221730</v>
      </c>
      <c r="AB538" s="513">
        <v>469</v>
      </c>
      <c r="AC538" s="513">
        <v>2</v>
      </c>
      <c r="AD538" s="513">
        <v>11487</v>
      </c>
      <c r="AE538" s="513">
        <v>132</v>
      </c>
      <c r="AF538" s="513">
        <v>130</v>
      </c>
      <c r="AG538" s="513">
        <v>7</v>
      </c>
      <c r="AH538" s="514">
        <v>0</v>
      </c>
    </row>
    <row r="539">
      <c r="A539" s="498"/>
      <c r="B539" s="499" t="s">
        <v>271</v>
      </c>
      <c r="C539" s="537" t="s">
        <v>266</v>
      </c>
      <c r="D539" s="532">
        <v>1614.219</v>
      </c>
      <c r="E539" s="518">
        <v>1</v>
      </c>
      <c r="F539" s="519">
        <v>196</v>
      </c>
      <c r="G539" s="504">
        <f t="shared" si="67"/>
      </c>
      <c r="H539" s="505">
        <f t="shared" si="366"/>
      </c>
      <c r="I539" s="506">
        <f t="shared" si="302"/>
      </c>
      <c r="J539" s="507">
        <f t="shared" si="238"/>
      </c>
      <c r="K539" s="508">
        <f t="shared" si="648"/>
      </c>
      <c r="L539" s="505">
        <f t="shared" si="434"/>
      </c>
      <c r="M539" s="509">
        <f t="shared" si="522"/>
      </c>
      <c r="N539" s="509">
        <f t="shared" si="560"/>
      </c>
      <c r="O539" s="509">
        <f t="shared" si="465"/>
      </c>
      <c r="P539" s="509">
        <f t="shared" si="397"/>
      </c>
      <c r="Q539" s="505">
        <f t="shared" si="335"/>
      </c>
      <c r="R539" s="507">
        <f t="shared" si="271"/>
      </c>
      <c r="S539" s="509">
        <f t="shared" si="174"/>
      </c>
      <c r="T539" s="509">
        <f t="shared" si="104"/>
      </c>
      <c r="U539" s="509">
        <f t="shared" si="30"/>
      </c>
      <c r="V539" s="509">
        <f t="shared" si="591"/>
      </c>
      <c r="W539" s="520" t="s">
        <v>255</v>
      </c>
      <c r="X539" s="511" t="s">
        <v>284</v>
      </c>
      <c r="Y539" s="513">
        <v>303805</v>
      </c>
      <c r="Z539" s="513">
        <v>8325</v>
      </c>
      <c r="AA539" s="513">
        <v>283454</v>
      </c>
      <c r="AB539" s="513">
        <v>578</v>
      </c>
      <c r="AC539" s="513">
        <v>1</v>
      </c>
      <c r="AD539" s="513">
        <v>15383</v>
      </c>
      <c r="AE539" s="513">
        <v>193</v>
      </c>
      <c r="AF539" s="513">
        <v>199</v>
      </c>
      <c r="AG539" s="513">
        <v>11</v>
      </c>
      <c r="AH539" s="514">
        <v>0</v>
      </c>
    </row>
    <row r="540">
      <c r="A540" s="498"/>
      <c r="B540" s="499" t="s">
        <v>271</v>
      </c>
      <c r="C540" s="540" t="s">
        <v>269</v>
      </c>
      <c r="D540" s="532">
        <v>3033.044</v>
      </c>
      <c r="E540" s="518">
        <v>2</v>
      </c>
      <c r="F540" s="519">
        <v>424</v>
      </c>
      <c r="G540" s="504">
        <f t="shared" si="67"/>
      </c>
      <c r="H540" s="505">
        <f t="shared" si="366"/>
      </c>
      <c r="I540" s="506">
        <f t="shared" si="302"/>
      </c>
      <c r="J540" s="507">
        <f t="shared" si="238"/>
      </c>
      <c r="K540" s="508">
        <f t="shared" si="648"/>
      </c>
      <c r="L540" s="505">
        <f t="shared" si="434"/>
      </c>
      <c r="M540" s="509">
        <f t="shared" si="522"/>
      </c>
      <c r="N540" s="509">
        <f t="shared" si="560"/>
      </c>
      <c r="O540" s="509">
        <f t="shared" si="465"/>
      </c>
      <c r="P540" s="509">
        <f t="shared" si="397"/>
      </c>
      <c r="Q540" s="505">
        <f t="shared" si="335"/>
      </c>
      <c r="R540" s="507">
        <f t="shared" si="271"/>
      </c>
      <c r="S540" s="509">
        <f t="shared" si="174"/>
      </c>
      <c r="T540" s="509">
        <f t="shared" si="104"/>
      </c>
      <c r="U540" s="509">
        <f t="shared" si="30"/>
      </c>
      <c r="V540" s="509">
        <f t="shared" si="591"/>
      </c>
      <c r="W540" s="520" t="s">
        <v>255</v>
      </c>
      <c r="X540" s="511" t="s">
        <v>284</v>
      </c>
      <c r="Y540" s="513">
        <v>357292</v>
      </c>
      <c r="Z540" s="513">
        <v>19752</v>
      </c>
      <c r="AA540" s="513">
        <v>351485</v>
      </c>
      <c r="AB540" s="513">
        <v>1317</v>
      </c>
      <c r="AC540" s="513">
        <v>2</v>
      </c>
      <c r="AD540" s="513">
        <v>39501</v>
      </c>
      <c r="AE540" s="513">
        <v>586</v>
      </c>
      <c r="AF540" s="513">
        <v>533</v>
      </c>
      <c r="AG540" s="513">
        <v>18</v>
      </c>
      <c r="AH540" s="514">
        <v>0</v>
      </c>
    </row>
    <row r="541">
      <c r="A541" s="498"/>
      <c r="B541" s="521" t="s">
        <v>261</v>
      </c>
      <c r="C541" s="521"/>
      <c r="D541" s="522">
        <f>SUM(D536:D540)</f>
      </c>
      <c r="E541" s="522">
        <f>SUM(E536:E540)</f>
      </c>
      <c r="F541" s="522">
        <f>SUM(F536:F540)</f>
      </c>
      <c r="G541" s="522">
        <f t="shared" si="67"/>
      </c>
      <c r="H541" s="524">
        <f t="shared" si="366"/>
      </c>
      <c r="I541" s="525">
        <f t="shared" si="302"/>
      </c>
      <c r="J541" s="526">
        <f t="shared" si="238"/>
      </c>
      <c r="K541" s="527">
        <f t="shared" si="648"/>
      </c>
      <c r="L541" s="524">
        <f t="shared" si="434"/>
      </c>
      <c r="M541" s="528">
        <f t="shared" si="522"/>
      </c>
      <c r="N541" s="528">
        <f t="shared" si="560"/>
      </c>
      <c r="O541" s="528">
        <f t="shared" si="465"/>
      </c>
      <c r="P541" s="528">
        <f t="shared" si="397"/>
      </c>
      <c r="Q541" s="524">
        <f t="shared" si="335"/>
      </c>
      <c r="R541" s="526">
        <f t="shared" si="271"/>
      </c>
      <c r="S541" s="528">
        <f t="shared" si="174"/>
      </c>
      <c r="T541" s="528">
        <f t="shared" si="104"/>
      </c>
      <c r="U541" s="528">
        <f t="shared" si="30"/>
      </c>
      <c r="V541" s="528">
        <f t="shared" si="591"/>
      </c>
      <c r="W541" s="528"/>
      <c r="X541" s="529"/>
      <c r="Y541" s="522">
        <f>SUM(Y536:Y540)</f>
      </c>
      <c r="Z541" s="522">
        <f>SUM(Z536:Z540)</f>
      </c>
      <c r="AA541" s="522">
        <f>SUM(AA536:AA540)</f>
      </c>
      <c r="AB541" s="522">
        <f>SUM(AB536:AB540)</f>
      </c>
      <c r="AC541" s="522">
        <f>SUM(AC536:AC540)</f>
      </c>
      <c r="AD541" s="522">
        <f>SUM(AD536:AD540)</f>
      </c>
      <c r="AE541" s="522">
        <f>SUM(AE536:AE540)</f>
      </c>
      <c r="AF541" s="522">
        <f>SUM(AF536:AF540)</f>
      </c>
      <c r="AG541" s="522">
        <f>SUM(AG536:AG540)</f>
      </c>
      <c r="AH541" s="522">
        <f>SUM(AH536:AH540)</f>
      </c>
    </row>
    <row r="542">
      <c r="A542" s="498"/>
      <c r="B542" s="574" t="s">
        <v>253</v>
      </c>
      <c r="C542" s="534" t="s">
        <v>270</v>
      </c>
      <c r="D542" s="541">
        <v>3023.237</v>
      </c>
      <c r="E542" s="542">
        <v>4</v>
      </c>
      <c r="F542" s="519">
        <v>880</v>
      </c>
      <c r="G542" s="504">
        <f t="shared" si="67"/>
      </c>
      <c r="H542" s="505">
        <f t="shared" si="366"/>
      </c>
      <c r="I542" s="506">
        <f t="shared" si="302"/>
      </c>
      <c r="J542" s="507">
        <f t="shared" si="238"/>
      </c>
      <c r="K542" s="508">
        <f t="shared" si="648"/>
      </c>
      <c r="L542" s="505">
        <f t="shared" si="434"/>
      </c>
      <c r="M542" s="509">
        <f t="shared" si="522"/>
      </c>
      <c r="N542" s="509">
        <f t="shared" si="560"/>
      </c>
      <c r="O542" s="509">
        <f t="shared" si="465"/>
      </c>
      <c r="P542" s="509">
        <f t="shared" si="397"/>
      </c>
      <c r="Q542" s="505">
        <f t="shared" si="335"/>
      </c>
      <c r="R542" s="507">
        <f t="shared" si="271"/>
      </c>
      <c r="S542" s="509">
        <f t="shared" si="174"/>
      </c>
      <c r="T542" s="509">
        <f t="shared" si="104"/>
      </c>
      <c r="U542" s="509">
        <f t="shared" si="30"/>
      </c>
      <c r="V542" s="509">
        <f t="shared" si="591"/>
      </c>
      <c r="W542" s="520" t="s">
        <v>255</v>
      </c>
      <c r="X542" s="511" t="s">
        <v>284</v>
      </c>
      <c r="Y542" s="513">
        <v>354952</v>
      </c>
      <c r="Z542" s="513">
        <v>16508</v>
      </c>
      <c r="AA542" s="513">
        <v>334266</v>
      </c>
      <c r="AB542" s="513">
        <v>1271</v>
      </c>
      <c r="AC542" s="513">
        <v>4</v>
      </c>
      <c r="AD542" s="513">
        <v>37690</v>
      </c>
      <c r="AE542" s="513">
        <v>444</v>
      </c>
      <c r="AF542" s="513">
        <v>470</v>
      </c>
      <c r="AG542" s="513">
        <v>27</v>
      </c>
      <c r="AH542" s="514">
        <v>0</v>
      </c>
    </row>
    <row r="543">
      <c r="A543" s="498"/>
      <c r="B543" s="574" t="s">
        <v>253</v>
      </c>
      <c r="C543" s="534" t="s">
        <v>272</v>
      </c>
      <c r="D543" s="541">
        <v>3086.472</v>
      </c>
      <c r="E543" s="542">
        <v>4</v>
      </c>
      <c r="F543" s="519">
        <v>1473.6000000000004</v>
      </c>
      <c r="G543" s="504">
        <f t="shared" si="67"/>
      </c>
      <c r="H543" s="505">
        <f t="shared" si="366"/>
      </c>
      <c r="I543" s="506">
        <f t="shared" si="302"/>
      </c>
      <c r="J543" s="507">
        <f t="shared" si="238"/>
      </c>
      <c r="K543" s="508">
        <f t="shared" si="648"/>
      </c>
      <c r="L543" s="505">
        <f t="shared" si="434"/>
      </c>
      <c r="M543" s="509">
        <f t="shared" si="522"/>
      </c>
      <c r="N543" s="509">
        <f t="shared" si="560"/>
      </c>
      <c r="O543" s="509">
        <f t="shared" si="465"/>
      </c>
      <c r="P543" s="509">
        <f t="shared" si="397"/>
      </c>
      <c r="Q543" s="505">
        <f t="shared" si="335"/>
      </c>
      <c r="R543" s="507">
        <f t="shared" si="271"/>
      </c>
      <c r="S543" s="509">
        <f t="shared" si="174"/>
      </c>
      <c r="T543" s="509">
        <f t="shared" si="104"/>
      </c>
      <c r="U543" s="509">
        <f t="shared" si="30"/>
      </c>
      <c r="V543" s="509">
        <f t="shared" si="591"/>
      </c>
      <c r="W543" s="520" t="s">
        <v>255</v>
      </c>
      <c r="X543" s="511" t="s">
        <v>284</v>
      </c>
      <c r="Y543" s="513">
        <v>381499</v>
      </c>
      <c r="Z543" s="513">
        <v>22320</v>
      </c>
      <c r="AA543" s="513">
        <v>366453</v>
      </c>
      <c r="AB543" s="513">
        <v>1363</v>
      </c>
      <c r="AC543" s="513">
        <v>3</v>
      </c>
      <c r="AD543" s="513">
        <v>38669</v>
      </c>
      <c r="AE543" s="513">
        <v>480</v>
      </c>
      <c r="AF543" s="513">
        <v>540</v>
      </c>
      <c r="AG543" s="513">
        <v>23</v>
      </c>
      <c r="AH543" s="514">
        <v>1</v>
      </c>
    </row>
    <row r="544">
      <c r="A544" s="498"/>
      <c r="B544" s="574" t="s">
        <v>253</v>
      </c>
      <c r="C544" s="537" t="s">
        <v>273</v>
      </c>
      <c r="D544" s="541">
        <v>3381.437</v>
      </c>
      <c r="E544" s="542">
        <v>3</v>
      </c>
      <c r="F544" s="519">
        <v>620</v>
      </c>
      <c r="G544" s="504">
        <f t="shared" si="67"/>
      </c>
      <c r="H544" s="505">
        <f t="shared" si="366"/>
      </c>
      <c r="I544" s="506">
        <f t="shared" si="302"/>
      </c>
      <c r="J544" s="507">
        <f t="shared" si="238"/>
      </c>
      <c r="K544" s="508">
        <f t="shared" si="648"/>
      </c>
      <c r="L544" s="505">
        <f t="shared" si="434"/>
      </c>
      <c r="M544" s="509">
        <f t="shared" si="522"/>
      </c>
      <c r="N544" s="509">
        <f t="shared" si="560"/>
      </c>
      <c r="O544" s="509">
        <f t="shared" si="465"/>
      </c>
      <c r="P544" s="509">
        <f t="shared" si="397"/>
      </c>
      <c r="Q544" s="505">
        <f t="shared" si="335"/>
      </c>
      <c r="R544" s="507">
        <f t="shared" si="271"/>
      </c>
      <c r="S544" s="509">
        <f t="shared" si="174"/>
      </c>
      <c r="T544" s="509">
        <f t="shared" si="104"/>
      </c>
      <c r="U544" s="509">
        <f t="shared" si="30"/>
      </c>
      <c r="V544" s="509">
        <f t="shared" si="591"/>
      </c>
      <c r="W544" s="520" t="s">
        <v>255</v>
      </c>
      <c r="X544" s="511" t="s">
        <v>284</v>
      </c>
      <c r="Y544" s="513">
        <v>305685</v>
      </c>
      <c r="Z544" s="513">
        <v>27145</v>
      </c>
      <c r="AA544" s="513">
        <v>326005</v>
      </c>
      <c r="AB544" s="513">
        <v>1634</v>
      </c>
      <c r="AC544" s="513">
        <v>3</v>
      </c>
      <c r="AD544" s="513">
        <v>53918</v>
      </c>
      <c r="AE544" s="513">
        <v>638</v>
      </c>
      <c r="AF544" s="513">
        <v>710</v>
      </c>
      <c r="AG544" s="514">
        <v>37</v>
      </c>
      <c r="AH544" s="514">
        <v>0</v>
      </c>
    </row>
    <row r="545">
      <c r="A545" s="498"/>
      <c r="B545" s="574" t="s">
        <v>253</v>
      </c>
      <c r="C545" s="534" t="s">
        <v>274</v>
      </c>
      <c r="D545" s="535">
        <v>2004.103</v>
      </c>
      <c r="E545" s="502">
        <v>5</v>
      </c>
      <c r="F545" s="503">
        <v>2582.3999999999996</v>
      </c>
      <c r="G545" s="504">
        <f t="shared" si="67"/>
      </c>
      <c r="H545" s="505">
        <f t="shared" si="366"/>
      </c>
      <c r="I545" s="560">
        <f t="shared" si="302"/>
      </c>
      <c r="J545" s="559">
        <f t="shared" si="238"/>
      </c>
      <c r="K545" s="556">
        <f t="shared" ref="K545:K546" si="143">D545/AB545</f>
      </c>
      <c r="L545" s="557">
        <f t="shared" si="434"/>
      </c>
      <c r="M545" s="558">
        <f t="shared" ref="M545:M546" si="205">AC545/AB545</f>
      </c>
      <c r="N545" s="558">
        <f t="shared" si="560"/>
      </c>
      <c r="O545" s="558">
        <f t="shared" si="465"/>
      </c>
      <c r="P545" s="558">
        <f t="shared" si="397"/>
      </c>
      <c r="Q545" s="557">
        <f t="shared" si="335"/>
      </c>
      <c r="R545" s="559">
        <f t="shared" si="271"/>
      </c>
      <c r="S545" s="558">
        <f t="shared" si="174"/>
      </c>
      <c r="T545" s="558">
        <f t="shared" si="104"/>
      </c>
      <c r="U545" s="558">
        <f t="shared" si="30"/>
      </c>
      <c r="V545" s="558">
        <f t="shared" si="591"/>
      </c>
      <c r="W545" s="520" t="s">
        <v>255</v>
      </c>
      <c r="X545" s="511" t="s">
        <v>284</v>
      </c>
      <c r="Y545" s="513">
        <v>220372</v>
      </c>
      <c r="Z545" s="513">
        <v>14846</v>
      </c>
      <c r="AA545" s="513">
        <v>248703</v>
      </c>
      <c r="AB545" s="536">
        <v>954</v>
      </c>
      <c r="AC545" s="536">
        <v>3</v>
      </c>
      <c r="AD545" s="536">
        <v>32217</v>
      </c>
      <c r="AE545" s="536">
        <v>328</v>
      </c>
      <c r="AF545" s="536">
        <v>400</v>
      </c>
      <c r="AG545" s="536">
        <v>42</v>
      </c>
      <c r="AH545" s="514">
        <v>1</v>
      </c>
    </row>
    <row r="546">
      <c r="A546" s="498"/>
      <c r="B546" s="574" t="s">
        <v>253</v>
      </c>
      <c r="C546" s="555" t="s">
        <v>275</v>
      </c>
      <c r="D546" s="541">
        <v>2314.587</v>
      </c>
      <c r="E546" s="542">
        <v>2</v>
      </c>
      <c r="F546" s="519">
        <v>456</v>
      </c>
      <c r="G546" s="504">
        <f t="shared" si="67"/>
      </c>
      <c r="H546" s="505">
        <f t="shared" si="366"/>
      </c>
      <c r="I546" s="560">
        <f t="shared" si="302"/>
      </c>
      <c r="J546" s="559">
        <f t="shared" si="238"/>
      </c>
      <c r="K546" s="556">
        <f t="shared" si="143"/>
      </c>
      <c r="L546" s="557">
        <f t="shared" si="434"/>
      </c>
      <c r="M546" s="558">
        <f t="shared" si="205"/>
      </c>
      <c r="N546" s="558">
        <f t="shared" si="560"/>
      </c>
      <c r="O546" s="558">
        <f t="shared" si="465"/>
      </c>
      <c r="P546" s="558">
        <f t="shared" si="397"/>
      </c>
      <c r="Q546" s="557">
        <f t="shared" si="335"/>
      </c>
      <c r="R546" s="559">
        <f t="shared" si="271"/>
      </c>
      <c r="S546" s="558">
        <f t="shared" si="174"/>
      </c>
      <c r="T546" s="558">
        <f t="shared" si="104"/>
      </c>
      <c r="U546" s="558">
        <f t="shared" si="30"/>
      </c>
      <c r="V546" s="558">
        <f t="shared" si="591"/>
      </c>
      <c r="W546" s="520" t="s">
        <v>255</v>
      </c>
      <c r="X546" s="511" t="s">
        <v>284</v>
      </c>
      <c r="Y546" s="513">
        <v>260932</v>
      </c>
      <c r="Z546" s="513">
        <v>22935</v>
      </c>
      <c r="AA546" s="513">
        <v>278692</v>
      </c>
      <c r="AB546" s="513">
        <v>1371</v>
      </c>
      <c r="AC546" s="513">
        <v>2</v>
      </c>
      <c r="AD546" s="513">
        <v>39008</v>
      </c>
      <c r="AE546" s="513">
        <v>525</v>
      </c>
      <c r="AF546" s="513">
        <v>620</v>
      </c>
      <c r="AG546" s="514">
        <v>42</v>
      </c>
      <c r="AH546" s="514">
        <v>0</v>
      </c>
    </row>
    <row r="547">
      <c r="A547" s="498"/>
      <c r="B547" s="538" t="s">
        <v>261</v>
      </c>
      <c r="C547" s="538"/>
      <c r="D547" s="522">
        <f>SUM(D542:D546)</f>
      </c>
      <c r="E547" s="522">
        <f>SUM(E542:E546)</f>
      </c>
      <c r="F547" s="522">
        <f>SUM(F542:F546)</f>
      </c>
      <c r="G547" s="522">
        <f t="shared" si="67"/>
      </c>
      <c r="H547" s="524">
        <f t="shared" si="366"/>
      </c>
      <c r="I547" s="525">
        <f t="shared" si="302"/>
      </c>
      <c r="J547" s="526">
        <f t="shared" si="238"/>
      </c>
      <c r="K547" s="527">
        <f t="shared" ref="K547:K548" si="649">D547/AA547</f>
      </c>
      <c r="L547" s="524">
        <f t="shared" si="434"/>
      </c>
      <c r="M547" s="528">
        <f t="shared" ref="M547:M548" si="523">AB547/AA547</f>
      </c>
      <c r="N547" s="528">
        <f t="shared" si="560"/>
      </c>
      <c r="O547" s="528">
        <f t="shared" si="465"/>
      </c>
      <c r="P547" s="528">
        <f t="shared" si="397"/>
      </c>
      <c r="Q547" s="524">
        <f t="shared" si="335"/>
      </c>
      <c r="R547" s="526">
        <f t="shared" si="271"/>
      </c>
      <c r="S547" s="528">
        <f t="shared" si="174"/>
      </c>
      <c r="T547" s="528">
        <f t="shared" si="104"/>
      </c>
      <c r="U547" s="528">
        <f t="shared" si="30"/>
      </c>
      <c r="V547" s="528">
        <f t="shared" si="591"/>
      </c>
      <c r="W547" s="528"/>
      <c r="X547" s="529"/>
      <c r="Y547" s="522">
        <f>SUM(Y542:Y546)</f>
      </c>
      <c r="Z547" s="522">
        <f>SUM(Z542:Z546)</f>
      </c>
      <c r="AA547" s="522">
        <f>SUM(AA542:AA546)</f>
      </c>
      <c r="AB547" s="522">
        <f>SUM(AB542:AB546)</f>
      </c>
      <c r="AC547" s="522">
        <f>SUM(AC542:AC546)</f>
      </c>
      <c r="AD547" s="522">
        <f>SUM(AD542:AD546)</f>
      </c>
      <c r="AE547" s="522">
        <f>SUM(AE542:AE546)</f>
      </c>
      <c r="AF547" s="522">
        <f>SUM(AF542:AF546)</f>
      </c>
      <c r="AG547" s="522">
        <f>SUM(AG542:AG546)</f>
      </c>
      <c r="AH547" s="522">
        <f>SUM(AH542:AH546)</f>
      </c>
    </row>
    <row r="548">
      <c r="A548" s="498"/>
      <c r="B548" s="543" t="s">
        <v>276</v>
      </c>
      <c r="C548" s="543"/>
      <c r="D548" s="554">
        <f>SUM(D535+D547+D541)</f>
      </c>
      <c r="E548" s="554">
        <f>SUM(E535+E547+E541)</f>
      </c>
      <c r="F548" s="554">
        <f>SUM(F535+F547+F541)</f>
      </c>
      <c r="G548" s="544">
        <f t="shared" si="67"/>
      </c>
      <c r="H548" s="545">
        <f t="shared" si="366"/>
      </c>
      <c r="I548" s="546">
        <f t="shared" si="302"/>
      </c>
      <c r="J548" s="547">
        <f t="shared" si="238"/>
      </c>
      <c r="K548" s="548">
        <f t="shared" si="649"/>
      </c>
      <c r="L548" s="548">
        <f t="shared" si="434"/>
      </c>
      <c r="M548" s="550">
        <f t="shared" si="523"/>
      </c>
      <c r="N548" s="550">
        <f t="shared" si="560"/>
      </c>
      <c r="O548" s="550">
        <f t="shared" si="465"/>
      </c>
      <c r="P548" s="550">
        <f t="shared" si="397"/>
      </c>
      <c r="Q548" s="549">
        <f t="shared" si="335"/>
      </c>
      <c r="R548" s="551">
        <f t="shared" si="271"/>
      </c>
      <c r="S548" s="552">
        <f t="shared" si="174"/>
      </c>
      <c r="T548" s="552">
        <f t="shared" si="104"/>
      </c>
      <c r="U548" s="552">
        <f t="shared" si="30"/>
      </c>
      <c r="V548" s="552">
        <f t="shared" si="591"/>
      </c>
      <c r="W548" s="552"/>
      <c r="X548" s="553"/>
      <c r="Y548" s="544">
        <f>SUM(Y547+Y535+Y541)</f>
      </c>
      <c r="Z548" s="544">
        <f>SUM(Z547+Z535+Z541)</f>
      </c>
      <c r="AA548" s="544">
        <f>SUM(AA547+AA535+AA541)</f>
      </c>
      <c r="AB548" s="544">
        <f>SUM(AB547+AB535+AB541)</f>
      </c>
      <c r="AC548" s="544">
        <f>SUM(AC547+AC535+AC541)</f>
      </c>
      <c r="AD548" s="544">
        <f>SUM(AD547+AD535+AD541)</f>
      </c>
      <c r="AE548" s="544">
        <f>SUM(AE547+AE535+AE541)</f>
      </c>
      <c r="AF548" s="544">
        <f>SUM(AF547+AF535+AF541)</f>
      </c>
      <c r="AG548" s="544">
        <f>SUM(AG547+AG535+AG541)</f>
      </c>
      <c r="AH548" s="544">
        <f>SUM(AH547+AH535+AH541)</f>
      </c>
    </row>
    <row r="549">
      <c r="A549" s="486" t="s">
        <v>218</v>
      </c>
      <c r="B549" s="561" t="s">
        <v>219</v>
      </c>
      <c r="C549" s="562" t="s">
        <v>220</v>
      </c>
      <c r="D549" s="487" t="s">
        <v>221</v>
      </c>
      <c r="E549" s="488" t="s">
        <v>222</v>
      </c>
      <c r="F549" s="489" t="s">
        <v>223</v>
      </c>
      <c r="G549" s="489" t="s">
        <v>224</v>
      </c>
      <c r="H549" s="490" t="s">
        <v>225</v>
      </c>
      <c r="I549" s="490" t="s">
        <v>226</v>
      </c>
      <c r="J549" s="490" t="s">
        <v>227</v>
      </c>
      <c r="K549" s="491" t="s">
        <v>228</v>
      </c>
      <c r="L549" s="491" t="s">
        <v>229</v>
      </c>
      <c r="M549" s="491" t="s">
        <v>231</v>
      </c>
      <c r="N549" s="491" t="s">
        <v>232</v>
      </c>
      <c r="O549" s="491" t="s">
        <v>233</v>
      </c>
      <c r="P549" s="491" t="s">
        <v>234</v>
      </c>
      <c r="Q549" s="491" t="s">
        <v>235</v>
      </c>
      <c r="R549" s="491" t="s">
        <v>236</v>
      </c>
      <c r="S549" s="492" t="s">
        <v>237</v>
      </c>
      <c r="T549" s="492" t="s">
        <v>238</v>
      </c>
      <c r="U549" s="492" t="s">
        <v>239</v>
      </c>
      <c r="V549" s="492" t="s">
        <v>240</v>
      </c>
      <c r="W549" s="493" t="s">
        <v>241</v>
      </c>
      <c r="X549" s="493" t="s">
        <v>242</v>
      </c>
      <c r="Y549" s="494" t="s">
        <v>243</v>
      </c>
      <c r="Z549" s="494" t="s">
        <v>244</v>
      </c>
      <c r="AA549" s="494" t="s">
        <v>245</v>
      </c>
      <c r="AB549" s="495" t="s">
        <v>246</v>
      </c>
      <c r="AC549" s="495" t="s">
        <v>247</v>
      </c>
      <c r="AD549" s="496" t="s">
        <v>248</v>
      </c>
      <c r="AE549" s="495" t="s">
        <v>249</v>
      </c>
      <c r="AF549" s="495" t="s">
        <v>250</v>
      </c>
      <c r="AG549" s="497" t="s">
        <v>251</v>
      </c>
      <c r="AH549" s="495" t="s">
        <v>252</v>
      </c>
    </row>
    <row r="550">
      <c r="A550" s="498">
        <v>46231</v>
      </c>
      <c r="B550" s="499" t="s">
        <v>271</v>
      </c>
      <c r="C550" s="500" t="s">
        <v>254</v>
      </c>
      <c r="D550" s="501">
        <v>2315.625</v>
      </c>
      <c r="E550" s="502">
        <v>1</v>
      </c>
      <c r="F550" s="503">
        <v>196</v>
      </c>
      <c r="G550" s="504">
        <f t="shared" ref="G550:G568" si="68">D550/AC550</f>
      </c>
      <c r="H550" s="505">
        <f t="shared" ref="H550:H568" si="367">F550/E550</f>
      </c>
      <c r="I550" s="506">
        <f t="shared" ref="I550:I568" si="303">D550/E550</f>
      </c>
      <c r="J550" s="507">
        <f t="shared" ref="J550:J568" si="239">F550/D550</f>
      </c>
      <c r="K550" s="508">
        <f t="shared" ref="K550:K564" si="650">D550/AA550</f>
      </c>
      <c r="L550" s="505">
        <f t="shared" ref="L550:L568" si="435">D550/AB550</f>
      </c>
      <c r="M550" s="509">
        <f t="shared" ref="M550:M564" si="524">AB550/AA550</f>
      </c>
      <c r="N550" s="509">
        <f t="shared" ref="N550:N568" si="561">AC550/AB550</f>
      </c>
      <c r="O550" s="509">
        <f t="shared" ref="O550:O568" si="466">Z550/Y550</f>
      </c>
      <c r="P550" s="509">
        <f t="shared" ref="P550:P568" si="398">AC550/Z550</f>
      </c>
      <c r="Q550" s="505">
        <f t="shared" ref="Q550:Q568" si="336">D550/Y550*1000</f>
      </c>
      <c r="R550" s="507">
        <f t="shared" ref="R550:R568" si="272">D550/Z550</f>
      </c>
      <c r="S550" s="509">
        <f t="shared" ref="S550:S568" si="175">AD550/AA550</f>
      </c>
      <c r="T550" s="509">
        <f t="shared" ref="T550:T568" si="105">AE550/AA550</f>
      </c>
      <c r="U550" s="509">
        <f t="shared" ref="U550:U568" si="31">AF550/AA550</f>
      </c>
      <c r="V550" s="509">
        <f t="shared" ref="V550:V568" si="592">AG550/AA550</f>
      </c>
      <c r="W550" s="510" t="s">
        <v>255</v>
      </c>
      <c r="X550" s="511" t="s">
        <v>279</v>
      </c>
      <c r="Y550" s="512">
        <v>192672</v>
      </c>
      <c r="Z550" s="512">
        <v>9304</v>
      </c>
      <c r="AA550" s="512">
        <v>197291</v>
      </c>
      <c r="AB550" s="512">
        <v>1442</v>
      </c>
      <c r="AC550" s="514">
        <v>1</v>
      </c>
      <c r="AD550" s="512">
        <v>49848</v>
      </c>
      <c r="AE550" s="513">
        <v>598</v>
      </c>
      <c r="AF550" s="513">
        <v>553</v>
      </c>
      <c r="AG550" s="513">
        <v>30</v>
      </c>
      <c r="AH550" s="514">
        <v>0</v>
      </c>
    </row>
    <row r="551">
      <c r="A551" s="498"/>
      <c r="B551" s="499" t="s">
        <v>271</v>
      </c>
      <c r="C551" s="500" t="s">
        <v>257</v>
      </c>
      <c r="D551" s="501">
        <v>4191.0960000000005</v>
      </c>
      <c r="E551" s="502">
        <v>8</v>
      </c>
      <c r="F551" s="503">
        <v>2225.1</v>
      </c>
      <c r="G551" s="504">
        <f t="shared" si="68"/>
      </c>
      <c r="H551" s="505">
        <f t="shared" si="367"/>
      </c>
      <c r="I551" s="506">
        <f t="shared" si="303"/>
      </c>
      <c r="J551" s="507">
        <f t="shared" si="239"/>
      </c>
      <c r="K551" s="508">
        <f t="shared" si="650"/>
      </c>
      <c r="L551" s="505">
        <f t="shared" si="435"/>
      </c>
      <c r="M551" s="509">
        <f t="shared" si="524"/>
      </c>
      <c r="N551" s="509">
        <f t="shared" si="561"/>
      </c>
      <c r="O551" s="509">
        <f t="shared" si="466"/>
      </c>
      <c r="P551" s="509">
        <f t="shared" si="398"/>
      </c>
      <c r="Q551" s="505">
        <f t="shared" si="336"/>
      </c>
      <c r="R551" s="507">
        <f t="shared" si="272"/>
      </c>
      <c r="S551" s="509">
        <f t="shared" si="175"/>
      </c>
      <c r="T551" s="509">
        <f t="shared" si="105"/>
      </c>
      <c r="U551" s="509">
        <f t="shared" si="31"/>
      </c>
      <c r="V551" s="509">
        <f t="shared" si="592"/>
      </c>
      <c r="W551" s="510" t="s">
        <v>255</v>
      </c>
      <c r="X551" s="511" t="s">
        <v>279</v>
      </c>
      <c r="Y551" s="514">
        <v>311550</v>
      </c>
      <c r="Z551" s="512">
        <v>15971</v>
      </c>
      <c r="AA551" s="512">
        <v>316625</v>
      </c>
      <c r="AB551" s="512">
        <v>2093</v>
      </c>
      <c r="AC551" s="513">
        <v>6</v>
      </c>
      <c r="AD551" s="512">
        <v>68709</v>
      </c>
      <c r="AE551" s="513">
        <v>845</v>
      </c>
      <c r="AF551" s="513">
        <v>791</v>
      </c>
      <c r="AG551" s="514">
        <v>53</v>
      </c>
      <c r="AH551" s="514">
        <v>3</v>
      </c>
    </row>
    <row r="552">
      <c r="A552" s="498"/>
      <c r="B552" s="499" t="s">
        <v>271</v>
      </c>
      <c r="C552" s="515" t="s">
        <v>258</v>
      </c>
      <c r="D552" s="565">
        <v>3223.085</v>
      </c>
      <c r="E552" s="502">
        <v>6</v>
      </c>
      <c r="F552" s="503">
        <v>1872.0000000000005</v>
      </c>
      <c r="G552" s="504">
        <f t="shared" si="68"/>
      </c>
      <c r="H552" s="505">
        <f t="shared" si="367"/>
      </c>
      <c r="I552" s="506">
        <f t="shared" si="303"/>
      </c>
      <c r="J552" s="507">
        <f t="shared" si="239"/>
      </c>
      <c r="K552" s="508">
        <f t="shared" si="650"/>
      </c>
      <c r="L552" s="505">
        <f t="shared" si="435"/>
      </c>
      <c r="M552" s="509">
        <f t="shared" si="524"/>
      </c>
      <c r="N552" s="509">
        <f t="shared" si="561"/>
      </c>
      <c r="O552" s="509">
        <f t="shared" si="466"/>
      </c>
      <c r="P552" s="509">
        <f t="shared" si="398"/>
      </c>
      <c r="Q552" s="505">
        <f t="shared" si="336"/>
      </c>
      <c r="R552" s="507">
        <f t="shared" si="272"/>
      </c>
      <c r="S552" s="509">
        <f t="shared" si="175"/>
      </c>
      <c r="T552" s="509">
        <f t="shared" si="105"/>
      </c>
      <c r="U552" s="509">
        <f t="shared" si="31"/>
      </c>
      <c r="V552" s="509">
        <f t="shared" si="592"/>
      </c>
      <c r="W552" s="510" t="s">
        <v>255</v>
      </c>
      <c r="X552" s="511" t="s">
        <v>279</v>
      </c>
      <c r="Y552" s="513">
        <v>275175</v>
      </c>
      <c r="Z552" s="512">
        <v>16294</v>
      </c>
      <c r="AA552" s="512">
        <v>251117</v>
      </c>
      <c r="AB552" s="512">
        <v>1998</v>
      </c>
      <c r="AC552" s="513">
        <v>5</v>
      </c>
      <c r="AD552" s="512">
        <v>51685</v>
      </c>
      <c r="AE552" s="513">
        <v>897</v>
      </c>
      <c r="AF552" s="513">
        <v>682</v>
      </c>
      <c r="AG552" s="513">
        <v>48</v>
      </c>
      <c r="AH552" s="514">
        <v>0</v>
      </c>
    </row>
    <row r="553">
      <c r="A553" s="498"/>
      <c r="B553" s="499" t="s">
        <v>271</v>
      </c>
      <c r="C553" s="572" t="s">
        <v>259</v>
      </c>
      <c r="D553" s="573">
        <v>2322.7490000000003</v>
      </c>
      <c r="E553" s="568">
        <v>2</v>
      </c>
      <c r="F553" s="503">
        <v>456</v>
      </c>
      <c r="G553" s="504">
        <f t="shared" si="68"/>
      </c>
      <c r="H553" s="505">
        <f t="shared" si="367"/>
      </c>
      <c r="I553" s="506">
        <f t="shared" si="303"/>
      </c>
      <c r="J553" s="507">
        <f t="shared" si="239"/>
      </c>
      <c r="K553" s="508">
        <f t="shared" si="650"/>
      </c>
      <c r="L553" s="505">
        <f t="shared" si="435"/>
      </c>
      <c r="M553" s="509">
        <f t="shared" si="524"/>
      </c>
      <c r="N553" s="509">
        <f t="shared" si="561"/>
      </c>
      <c r="O553" s="509">
        <f t="shared" si="466"/>
      </c>
      <c r="P553" s="509">
        <f t="shared" si="398"/>
      </c>
      <c r="Q553" s="505">
        <f t="shared" si="336"/>
      </c>
      <c r="R553" s="507">
        <f t="shared" si="272"/>
      </c>
      <c r="S553" s="509">
        <f t="shared" si="175"/>
      </c>
      <c r="T553" s="509">
        <f t="shared" si="105"/>
      </c>
      <c r="U553" s="509">
        <f t="shared" si="31"/>
      </c>
      <c r="V553" s="509">
        <f t="shared" si="592"/>
      </c>
      <c r="W553" s="504" t="s">
        <v>255</v>
      </c>
      <c r="X553" s="511" t="s">
        <v>279</v>
      </c>
      <c r="Y553" s="513">
        <v>235604</v>
      </c>
      <c r="Z553" s="513">
        <v>15214</v>
      </c>
      <c r="AA553" s="513">
        <v>210486</v>
      </c>
      <c r="AB553" s="513">
        <v>1443</v>
      </c>
      <c r="AC553" s="513">
        <v>2</v>
      </c>
      <c r="AD553" s="513">
        <v>41860</v>
      </c>
      <c r="AE553" s="513">
        <v>566</v>
      </c>
      <c r="AF553" s="513">
        <v>505</v>
      </c>
      <c r="AG553" s="514">
        <v>33</v>
      </c>
      <c r="AH553" s="514">
        <v>0</v>
      </c>
    </row>
    <row r="554">
      <c r="A554" s="498"/>
      <c r="B554" s="499" t="s">
        <v>271</v>
      </c>
      <c r="C554" s="516" t="s">
        <v>260</v>
      </c>
      <c r="D554" s="517">
        <v>2010.828</v>
      </c>
      <c r="E554" s="518">
        <v>11</v>
      </c>
      <c r="F554" s="519">
        <v>3292.7</v>
      </c>
      <c r="G554" s="504">
        <f t="shared" si="68"/>
      </c>
      <c r="H554" s="505">
        <f t="shared" si="367"/>
      </c>
      <c r="I554" s="506">
        <f t="shared" si="303"/>
      </c>
      <c r="J554" s="507">
        <f t="shared" si="239"/>
      </c>
      <c r="K554" s="508">
        <f t="shared" si="650"/>
      </c>
      <c r="L554" s="505">
        <f t="shared" si="435"/>
      </c>
      <c r="M554" s="509">
        <f t="shared" si="524"/>
      </c>
      <c r="N554" s="509">
        <f t="shared" si="561"/>
      </c>
      <c r="O554" s="509">
        <f t="shared" si="466"/>
      </c>
      <c r="P554" s="509">
        <f t="shared" si="398"/>
      </c>
      <c r="Q554" s="505">
        <f t="shared" si="336"/>
      </c>
      <c r="R554" s="507">
        <f t="shared" si="272"/>
      </c>
      <c r="S554" s="509">
        <f t="shared" si="175"/>
      </c>
      <c r="T554" s="509">
        <f t="shared" si="105"/>
      </c>
      <c r="U554" s="509">
        <f t="shared" si="31"/>
      </c>
      <c r="V554" s="509">
        <f t="shared" si="592"/>
      </c>
      <c r="W554" s="520" t="s">
        <v>255</v>
      </c>
      <c r="X554" s="511" t="s">
        <v>279</v>
      </c>
      <c r="Y554" s="513">
        <v>216480</v>
      </c>
      <c r="Z554" s="513">
        <v>12095</v>
      </c>
      <c r="AA554" s="513">
        <v>182496</v>
      </c>
      <c r="AB554" s="513">
        <v>1185</v>
      </c>
      <c r="AC554" s="513">
        <v>7</v>
      </c>
      <c r="AD554" s="513">
        <v>35243</v>
      </c>
      <c r="AE554" s="513">
        <v>447</v>
      </c>
      <c r="AF554" s="513">
        <v>408</v>
      </c>
      <c r="AG554" s="514">
        <v>35</v>
      </c>
      <c r="AH554" s="514">
        <v>4</v>
      </c>
    </row>
    <row r="555">
      <c r="A555" s="498"/>
      <c r="B555" s="521" t="s">
        <v>261</v>
      </c>
      <c r="C555" s="521"/>
      <c r="D555" s="522">
        <f>SUM(D550:D554)</f>
      </c>
      <c r="E555" s="523">
        <f>SUM(E550:E554)</f>
      </c>
      <c r="F555" s="522">
        <f>SUM(F550:F554)</f>
      </c>
      <c r="G555" s="522">
        <f t="shared" si="68"/>
      </c>
      <c r="H555" s="524">
        <f t="shared" si="367"/>
      </c>
      <c r="I555" s="525">
        <f t="shared" si="303"/>
      </c>
      <c r="J555" s="526">
        <f t="shared" si="239"/>
      </c>
      <c r="K555" s="527">
        <f t="shared" si="650"/>
      </c>
      <c r="L555" s="524">
        <f t="shared" si="435"/>
      </c>
      <c r="M555" s="528">
        <f t="shared" si="524"/>
      </c>
      <c r="N555" s="528">
        <f t="shared" si="561"/>
      </c>
      <c r="O555" s="528">
        <f t="shared" si="466"/>
      </c>
      <c r="P555" s="528">
        <f t="shared" si="398"/>
      </c>
      <c r="Q555" s="524">
        <f t="shared" si="336"/>
      </c>
      <c r="R555" s="526">
        <f t="shared" si="272"/>
      </c>
      <c r="S555" s="528">
        <f t="shared" si="175"/>
      </c>
      <c r="T555" s="528">
        <f t="shared" si="105"/>
      </c>
      <c r="U555" s="528">
        <f t="shared" si="31"/>
      </c>
      <c r="V555" s="528">
        <f t="shared" si="592"/>
      </c>
      <c r="W555" s="528"/>
      <c r="X555" s="529"/>
      <c r="Y555" s="522">
        <f>SUM(Y550:Y554)</f>
      </c>
      <c r="Z555" s="522">
        <f>SUM(Z550:Z554)</f>
      </c>
      <c r="AA555" s="522">
        <f>SUM(AA550:AA554)</f>
      </c>
      <c r="AB555" s="522">
        <f>SUM(AB550:AB554)</f>
      </c>
      <c r="AC555" s="522">
        <f>SUM(AC550:AC554)</f>
      </c>
      <c r="AD555" s="522">
        <f>SUM(AD550:AD554)</f>
      </c>
      <c r="AE555" s="522">
        <f>SUM(AE550:AE554)</f>
      </c>
      <c r="AF555" s="522">
        <f>SUM(AF550:AF554)</f>
      </c>
      <c r="AG555" s="522">
        <f>SUM(AG550:AG554)</f>
      </c>
      <c r="AH555" s="522">
        <f>SUM(AH550:AH554)</f>
      </c>
    </row>
    <row r="556">
      <c r="A556" s="498"/>
      <c r="B556" s="574" t="s">
        <v>268</v>
      </c>
      <c r="C556" s="531" t="s">
        <v>263</v>
      </c>
      <c r="D556" s="532">
        <v>1515.252</v>
      </c>
      <c r="E556" s="502">
        <v>1</v>
      </c>
      <c r="F556" s="503">
        <v>227.9999999999991</v>
      </c>
      <c r="G556" s="504">
        <f t="shared" si="68"/>
      </c>
      <c r="H556" s="505">
        <f t="shared" si="367"/>
      </c>
      <c r="I556" s="506">
        <f t="shared" si="303"/>
      </c>
      <c r="J556" s="507">
        <f t="shared" si="239"/>
      </c>
      <c r="K556" s="508">
        <f t="shared" si="650"/>
      </c>
      <c r="L556" s="505">
        <f t="shared" si="435"/>
      </c>
      <c r="M556" s="509">
        <f t="shared" si="524"/>
      </c>
      <c r="N556" s="509">
        <f t="shared" si="561"/>
      </c>
      <c r="O556" s="509">
        <f t="shared" si="466"/>
      </c>
      <c r="P556" s="509">
        <f t="shared" si="398"/>
      </c>
      <c r="Q556" s="505">
        <f t="shared" si="336"/>
      </c>
      <c r="R556" s="507">
        <f t="shared" si="272"/>
      </c>
      <c r="S556" s="509">
        <f t="shared" si="175"/>
      </c>
      <c r="T556" s="509">
        <f t="shared" si="105"/>
      </c>
      <c r="U556" s="509">
        <f t="shared" si="31"/>
      </c>
      <c r="V556" s="509">
        <f t="shared" si="592"/>
      </c>
      <c r="W556" s="520" t="s">
        <v>255</v>
      </c>
      <c r="X556" s="511" t="s">
        <v>279</v>
      </c>
      <c r="Y556" s="512">
        <v>161660</v>
      </c>
      <c r="Z556" s="512">
        <v>9555</v>
      </c>
      <c r="AA556" s="512">
        <v>129642</v>
      </c>
      <c r="AB556" s="513">
        <v>851</v>
      </c>
      <c r="AC556" s="513">
        <v>0</v>
      </c>
      <c r="AD556" s="512">
        <v>22902</v>
      </c>
      <c r="AE556" s="513">
        <v>350</v>
      </c>
      <c r="AF556" s="513">
        <v>285</v>
      </c>
      <c r="AG556" s="513">
        <v>31</v>
      </c>
      <c r="AH556" s="514">
        <v>0</v>
      </c>
    </row>
    <row r="557">
      <c r="A557" s="498"/>
      <c r="B557" s="574" t="s">
        <v>268</v>
      </c>
      <c r="C557" s="533" t="s">
        <v>264</v>
      </c>
      <c r="D557" s="532">
        <v>1415.3480000000002</v>
      </c>
      <c r="E557" s="518">
        <v>2</v>
      </c>
      <c r="F557" s="519">
        <v>1656</v>
      </c>
      <c r="G557" s="504">
        <f t="shared" si="68"/>
      </c>
      <c r="H557" s="505">
        <f t="shared" si="367"/>
      </c>
      <c r="I557" s="506">
        <f t="shared" si="303"/>
      </c>
      <c r="J557" s="507">
        <f t="shared" si="239"/>
      </c>
      <c r="K557" s="508">
        <f t="shared" si="650"/>
      </c>
      <c r="L557" s="505">
        <f t="shared" si="435"/>
      </c>
      <c r="M557" s="509">
        <f t="shared" si="524"/>
      </c>
      <c r="N557" s="509">
        <f t="shared" si="561"/>
      </c>
      <c r="O557" s="509">
        <f t="shared" si="466"/>
      </c>
      <c r="P557" s="509">
        <f t="shared" si="398"/>
      </c>
      <c r="Q557" s="505">
        <f t="shared" si="336"/>
      </c>
      <c r="R557" s="507">
        <f t="shared" si="272"/>
      </c>
      <c r="S557" s="509">
        <f t="shared" si="175"/>
      </c>
      <c r="T557" s="509">
        <f t="shared" si="105"/>
      </c>
      <c r="U557" s="509">
        <f t="shared" si="31"/>
      </c>
      <c r="V557" s="509">
        <f t="shared" si="592"/>
      </c>
      <c r="W557" s="520" t="s">
        <v>255</v>
      </c>
      <c r="X557" s="511" t="s">
        <v>279</v>
      </c>
      <c r="Y557" s="513">
        <v>152079</v>
      </c>
      <c r="Z557" s="513">
        <v>11010</v>
      </c>
      <c r="AA557" s="513">
        <v>125672</v>
      </c>
      <c r="AB557" s="513">
        <v>801</v>
      </c>
      <c r="AC557" s="513">
        <v>3</v>
      </c>
      <c r="AD557" s="513">
        <v>23501</v>
      </c>
      <c r="AE557" s="513">
        <v>287</v>
      </c>
      <c r="AF557" s="513">
        <v>255</v>
      </c>
      <c r="AG557" s="513">
        <v>29</v>
      </c>
      <c r="AH557" s="514">
        <v>0</v>
      </c>
    </row>
    <row r="558">
      <c r="A558" s="498"/>
      <c r="B558" s="574" t="s">
        <v>268</v>
      </c>
      <c r="C558" s="534" t="s">
        <v>265</v>
      </c>
      <c r="D558" s="532">
        <v>856.5059999999999</v>
      </c>
      <c r="E558" s="518">
        <v>4</v>
      </c>
      <c r="F558" s="519">
        <v>848</v>
      </c>
      <c r="G558" s="504">
        <f t="shared" si="68"/>
      </c>
      <c r="H558" s="505">
        <f t="shared" si="367"/>
      </c>
      <c r="I558" s="506">
        <f t="shared" si="303"/>
      </c>
      <c r="J558" s="507">
        <f t="shared" si="239"/>
      </c>
      <c r="K558" s="508">
        <f t="shared" si="650"/>
      </c>
      <c r="L558" s="505">
        <f t="shared" si="435"/>
      </c>
      <c r="M558" s="509">
        <f t="shared" si="524"/>
      </c>
      <c r="N558" s="509">
        <f t="shared" si="561"/>
      </c>
      <c r="O558" s="509">
        <f t="shared" si="466"/>
      </c>
      <c r="P558" s="509">
        <f t="shared" si="398"/>
      </c>
      <c r="Q558" s="505">
        <f t="shared" si="336"/>
      </c>
      <c r="R558" s="507">
        <f t="shared" si="272"/>
      </c>
      <c r="S558" s="509">
        <f t="shared" si="175"/>
      </c>
      <c r="T558" s="509">
        <f t="shared" si="105"/>
      </c>
      <c r="U558" s="509">
        <f t="shared" si="31"/>
      </c>
      <c r="V558" s="509">
        <f t="shared" si="592"/>
      </c>
      <c r="W558" s="520" t="s">
        <v>255</v>
      </c>
      <c r="X558" s="511" t="s">
        <v>279</v>
      </c>
      <c r="Y558" s="513">
        <v>110788</v>
      </c>
      <c r="Z558" s="513">
        <v>8755</v>
      </c>
      <c r="AA558" s="513">
        <v>87164</v>
      </c>
      <c r="AB558" s="513">
        <v>534</v>
      </c>
      <c r="AC558" s="513">
        <v>4</v>
      </c>
      <c r="AD558" s="513">
        <v>14834</v>
      </c>
      <c r="AE558" s="513">
        <v>193</v>
      </c>
      <c r="AF558" s="513">
        <v>164</v>
      </c>
      <c r="AG558" s="513">
        <v>16</v>
      </c>
      <c r="AH558" s="514">
        <v>0</v>
      </c>
    </row>
    <row r="559">
      <c r="A559" s="498"/>
      <c r="B559" s="574" t="s">
        <v>268</v>
      </c>
      <c r="C559" s="537" t="s">
        <v>266</v>
      </c>
      <c r="D559" s="532">
        <v>659.715</v>
      </c>
      <c r="E559" s="518">
        <v>1</v>
      </c>
      <c r="F559" s="519">
        <v>228</v>
      </c>
      <c r="G559" s="504">
        <f t="shared" si="68"/>
      </c>
      <c r="H559" s="505">
        <f t="shared" si="367"/>
      </c>
      <c r="I559" s="506">
        <f t="shared" si="303"/>
      </c>
      <c r="J559" s="507">
        <f t="shared" si="239"/>
      </c>
      <c r="K559" s="508">
        <f t="shared" si="650"/>
      </c>
      <c r="L559" s="505">
        <f t="shared" si="435"/>
      </c>
      <c r="M559" s="509">
        <f t="shared" si="524"/>
      </c>
      <c r="N559" s="509">
        <f t="shared" si="561"/>
      </c>
      <c r="O559" s="509">
        <f t="shared" si="466"/>
      </c>
      <c r="P559" s="509">
        <f t="shared" si="398"/>
      </c>
      <c r="Q559" s="505">
        <f t="shared" si="336"/>
      </c>
      <c r="R559" s="507">
        <f t="shared" si="272"/>
      </c>
      <c r="S559" s="509">
        <f t="shared" si="175"/>
      </c>
      <c r="T559" s="509">
        <f t="shared" si="105"/>
      </c>
      <c r="U559" s="509">
        <f t="shared" si="31"/>
      </c>
      <c r="V559" s="509">
        <f t="shared" si="592"/>
      </c>
      <c r="W559" s="520" t="s">
        <v>255</v>
      </c>
      <c r="X559" s="511" t="s">
        <v>284</v>
      </c>
      <c r="Y559" s="513">
        <v>87374</v>
      </c>
      <c r="Z559" s="513">
        <v>7975</v>
      </c>
      <c r="AA559" s="513">
        <v>66705</v>
      </c>
      <c r="AB559" s="513">
        <v>474</v>
      </c>
      <c r="AC559" s="513">
        <v>1</v>
      </c>
      <c r="AD559" s="513">
        <v>10506</v>
      </c>
      <c r="AE559" s="513">
        <v>195</v>
      </c>
      <c r="AF559" s="513">
        <v>147</v>
      </c>
      <c r="AG559" s="513">
        <v>9</v>
      </c>
      <c r="AH559" s="514">
        <v>0</v>
      </c>
    </row>
    <row r="560">
      <c r="A560" s="498"/>
      <c r="B560" s="574" t="s">
        <v>268</v>
      </c>
      <c r="C560" s="540" t="s">
        <v>269</v>
      </c>
      <c r="D560" s="532">
        <v>798.2480000000002</v>
      </c>
      <c r="E560" s="518">
        <v>2</v>
      </c>
      <c r="F560" s="519">
        <v>1056</v>
      </c>
      <c r="G560" s="504">
        <f t="shared" si="68"/>
      </c>
      <c r="H560" s="505">
        <f t="shared" si="367"/>
      </c>
      <c r="I560" s="506">
        <f t="shared" si="303"/>
      </c>
      <c r="J560" s="507">
        <f t="shared" si="239"/>
      </c>
      <c r="K560" s="508">
        <f t="shared" si="650"/>
      </c>
      <c r="L560" s="505">
        <f t="shared" si="435"/>
      </c>
      <c r="M560" s="509">
        <f t="shared" si="524"/>
      </c>
      <c r="N560" s="509">
        <f t="shared" si="561"/>
      </c>
      <c r="O560" s="509">
        <f t="shared" si="466"/>
      </c>
      <c r="P560" s="509">
        <f t="shared" si="398"/>
      </c>
      <c r="Q560" s="505">
        <f t="shared" si="336"/>
      </c>
      <c r="R560" s="507">
        <f t="shared" si="272"/>
      </c>
      <c r="S560" s="509">
        <f t="shared" si="175"/>
      </c>
      <c r="T560" s="509">
        <f t="shared" si="105"/>
      </c>
      <c r="U560" s="509">
        <f t="shared" si="31"/>
      </c>
      <c r="V560" s="509">
        <f t="shared" si="592"/>
      </c>
      <c r="W560" s="520" t="s">
        <v>255</v>
      </c>
      <c r="X560" s="511" t="s">
        <v>284</v>
      </c>
      <c r="Y560" s="513">
        <v>88809</v>
      </c>
      <c r="Z560" s="513">
        <v>8843</v>
      </c>
      <c r="AA560" s="513">
        <v>75225</v>
      </c>
      <c r="AB560" s="513">
        <v>528</v>
      </c>
      <c r="AC560" s="513">
        <v>2</v>
      </c>
      <c r="AD560" s="513">
        <v>13447</v>
      </c>
      <c r="AE560" s="513">
        <v>226</v>
      </c>
      <c r="AF560" s="513">
        <v>151</v>
      </c>
      <c r="AG560" s="513">
        <v>10</v>
      </c>
      <c r="AH560" s="514">
        <v>0</v>
      </c>
    </row>
    <row r="561">
      <c r="A561" s="498"/>
      <c r="B561" s="521" t="s">
        <v>261</v>
      </c>
      <c r="C561" s="521"/>
      <c r="D561" s="522">
        <f>SUM(D556:D560)</f>
      </c>
      <c r="E561" s="522">
        <f>SUM(E556:E560)</f>
      </c>
      <c r="F561" s="522">
        <f>SUM(F556:F560)</f>
      </c>
      <c r="G561" s="522">
        <f t="shared" si="68"/>
      </c>
      <c r="H561" s="524">
        <f t="shared" si="367"/>
      </c>
      <c r="I561" s="525">
        <f t="shared" si="303"/>
      </c>
      <c r="J561" s="526">
        <f t="shared" si="239"/>
      </c>
      <c r="K561" s="527">
        <f t="shared" si="650"/>
      </c>
      <c r="L561" s="524">
        <f t="shared" si="435"/>
      </c>
      <c r="M561" s="528">
        <f t="shared" si="524"/>
      </c>
      <c r="N561" s="528">
        <f t="shared" si="561"/>
      </c>
      <c r="O561" s="528">
        <f t="shared" si="466"/>
      </c>
      <c r="P561" s="528">
        <f t="shared" si="398"/>
      </c>
      <c r="Q561" s="524">
        <f t="shared" si="336"/>
      </c>
      <c r="R561" s="526">
        <f t="shared" si="272"/>
      </c>
      <c r="S561" s="528">
        <f t="shared" si="175"/>
      </c>
      <c r="T561" s="528">
        <f t="shared" si="105"/>
      </c>
      <c r="U561" s="528">
        <f t="shared" si="31"/>
      </c>
      <c r="V561" s="528">
        <f t="shared" si="592"/>
      </c>
      <c r="W561" s="528"/>
      <c r="X561" s="529"/>
      <c r="Y561" s="522">
        <f>SUM(Y556:Y560)</f>
      </c>
      <c r="Z561" s="522">
        <f>SUM(Z556:Z560)</f>
      </c>
      <c r="AA561" s="522">
        <f>SUM(AA556:AA560)</f>
      </c>
      <c r="AB561" s="522">
        <f>SUM(AB556:AB560)</f>
      </c>
      <c r="AC561" s="522">
        <f>SUM(AC556:AC560)</f>
      </c>
      <c r="AD561" s="522">
        <f>SUM(AD556:AD560)</f>
      </c>
      <c r="AE561" s="522">
        <f>SUM(AE556:AE560)</f>
      </c>
      <c r="AF561" s="522">
        <f>SUM(AF556:AF560)</f>
      </c>
      <c r="AG561" s="522">
        <f>SUM(AG556:AG560)</f>
      </c>
      <c r="AH561" s="522">
        <f>SUM(AH556:AH560)</f>
      </c>
    </row>
    <row r="562">
      <c r="A562" s="498"/>
      <c r="B562" s="574" t="s">
        <v>253</v>
      </c>
      <c r="C562" s="534" t="s">
        <v>270</v>
      </c>
      <c r="D562" s="541">
        <v>496.088</v>
      </c>
      <c r="E562" s="542">
        <v>1</v>
      </c>
      <c r="F562" s="519">
        <v>228</v>
      </c>
      <c r="G562" s="504">
        <f t="shared" si="68"/>
      </c>
      <c r="H562" s="505">
        <f t="shared" si="367"/>
      </c>
      <c r="I562" s="506">
        <f t="shared" si="303"/>
      </c>
      <c r="J562" s="507">
        <f t="shared" si="239"/>
      </c>
      <c r="K562" s="508">
        <f t="shared" si="650"/>
      </c>
      <c r="L562" s="505">
        <f t="shared" si="435"/>
      </c>
      <c r="M562" s="509">
        <f t="shared" si="524"/>
      </c>
      <c r="N562" s="509">
        <f t="shared" si="561"/>
      </c>
      <c r="O562" s="509">
        <f t="shared" si="466"/>
      </c>
      <c r="P562" s="509">
        <f t="shared" si="398"/>
      </c>
      <c r="Q562" s="505">
        <f t="shared" si="336"/>
      </c>
      <c r="R562" s="507">
        <f t="shared" si="272"/>
      </c>
      <c r="S562" s="509">
        <f t="shared" si="175"/>
      </c>
      <c r="T562" s="509">
        <f t="shared" si="105"/>
      </c>
      <c r="U562" s="509">
        <f t="shared" si="31"/>
      </c>
      <c r="V562" s="509">
        <f t="shared" si="592"/>
      </c>
      <c r="W562" s="520" t="s">
        <v>255</v>
      </c>
      <c r="X562" s="511" t="s">
        <v>284</v>
      </c>
      <c r="Y562" s="513">
        <v>56402</v>
      </c>
      <c r="Z562" s="513">
        <v>5256</v>
      </c>
      <c r="AA562" s="513">
        <v>44882</v>
      </c>
      <c r="AB562" s="513">
        <v>332</v>
      </c>
      <c r="AC562" s="513">
        <v>1</v>
      </c>
      <c r="AD562" s="513">
        <v>7633</v>
      </c>
      <c r="AE562" s="513">
        <v>144</v>
      </c>
      <c r="AF562" s="513">
        <v>95</v>
      </c>
      <c r="AG562" s="513">
        <v>8</v>
      </c>
      <c r="AH562" s="514">
        <v>0</v>
      </c>
    </row>
    <row r="563">
      <c r="A563" s="498"/>
      <c r="B563" s="574" t="s">
        <v>253</v>
      </c>
      <c r="C563" s="534" t="s">
        <v>272</v>
      </c>
      <c r="D563" s="541">
        <v>612.9929999999999</v>
      </c>
      <c r="E563" s="542">
        <v>1</v>
      </c>
      <c r="F563" s="519">
        <v>828</v>
      </c>
      <c r="G563" s="504">
        <f t="shared" si="68"/>
      </c>
      <c r="H563" s="505">
        <f t="shared" si="367"/>
      </c>
      <c r="I563" s="506">
        <f t="shared" si="303"/>
      </c>
      <c r="J563" s="507">
        <f t="shared" si="239"/>
      </c>
      <c r="K563" s="508">
        <f t="shared" si="650"/>
      </c>
      <c r="L563" s="505">
        <f t="shared" si="435"/>
      </c>
      <c r="M563" s="509">
        <f t="shared" si="524"/>
      </c>
      <c r="N563" s="509">
        <f t="shared" si="561"/>
      </c>
      <c r="O563" s="509">
        <f t="shared" si="466"/>
      </c>
      <c r="P563" s="509">
        <f t="shared" si="398"/>
      </c>
      <c r="Q563" s="505">
        <f t="shared" si="336"/>
      </c>
      <c r="R563" s="507">
        <f t="shared" si="272"/>
      </c>
      <c r="S563" s="509">
        <f t="shared" si="175"/>
      </c>
      <c r="T563" s="509">
        <f t="shared" si="105"/>
      </c>
      <c r="U563" s="509">
        <f t="shared" si="31"/>
      </c>
      <c r="V563" s="509">
        <f t="shared" si="592"/>
      </c>
      <c r="W563" s="520" t="s">
        <v>255</v>
      </c>
      <c r="X563" s="511" t="s">
        <v>284</v>
      </c>
      <c r="Y563" s="513">
        <v>67572</v>
      </c>
      <c r="Z563" s="513">
        <v>5461</v>
      </c>
      <c r="AA563" s="513">
        <v>52136</v>
      </c>
      <c r="AB563" s="513">
        <v>340</v>
      </c>
      <c r="AC563" s="513">
        <v>1</v>
      </c>
      <c r="AD563" s="513">
        <v>7284</v>
      </c>
      <c r="AE563" s="513">
        <v>128</v>
      </c>
      <c r="AF563" s="513">
        <v>103</v>
      </c>
      <c r="AG563" s="513">
        <v>5</v>
      </c>
      <c r="AH563" s="514">
        <v>0</v>
      </c>
    </row>
    <row r="564">
      <c r="A564" s="498"/>
      <c r="B564" s="574" t="s">
        <v>253</v>
      </c>
      <c r="C564" s="537" t="s">
        <v>273</v>
      </c>
      <c r="D564" s="541">
        <v>666.472</v>
      </c>
      <c r="E564" s="542">
        <v>4</v>
      </c>
      <c r="F564" s="519">
        <v>837.2000000000007</v>
      </c>
      <c r="G564" s="504">
        <f t="shared" si="68"/>
      </c>
      <c r="H564" s="505">
        <f t="shared" si="367"/>
      </c>
      <c r="I564" s="506">
        <f t="shared" si="303"/>
      </c>
      <c r="J564" s="507">
        <f t="shared" si="239"/>
      </c>
      <c r="K564" s="508">
        <f t="shared" si="650"/>
      </c>
      <c r="L564" s="505">
        <f t="shared" si="435"/>
      </c>
      <c r="M564" s="509">
        <f t="shared" si="524"/>
      </c>
      <c r="N564" s="509">
        <f t="shared" si="561"/>
      </c>
      <c r="O564" s="509">
        <f t="shared" si="466"/>
      </c>
      <c r="P564" s="509">
        <f t="shared" si="398"/>
      </c>
      <c r="Q564" s="505">
        <f t="shared" si="336"/>
      </c>
      <c r="R564" s="507">
        <f t="shared" si="272"/>
      </c>
      <c r="S564" s="509">
        <f t="shared" si="175"/>
      </c>
      <c r="T564" s="509">
        <f t="shared" si="105"/>
      </c>
      <c r="U564" s="509">
        <f t="shared" si="31"/>
      </c>
      <c r="V564" s="509">
        <f t="shared" si="592"/>
      </c>
      <c r="W564" s="520" t="s">
        <v>255</v>
      </c>
      <c r="X564" s="511" t="s">
        <v>284</v>
      </c>
      <c r="Y564" s="513">
        <v>73040</v>
      </c>
      <c r="Z564" s="513">
        <v>4671</v>
      </c>
      <c r="AA564" s="513">
        <v>52678</v>
      </c>
      <c r="AB564" s="513">
        <v>335</v>
      </c>
      <c r="AC564" s="513">
        <v>3</v>
      </c>
      <c r="AD564" s="513">
        <v>7255</v>
      </c>
      <c r="AE564" s="513">
        <v>156</v>
      </c>
      <c r="AF564" s="513">
        <v>82</v>
      </c>
      <c r="AG564" s="514">
        <v>12</v>
      </c>
      <c r="AH564" s="514">
        <v>1</v>
      </c>
    </row>
    <row r="565">
      <c r="A565" s="498"/>
      <c r="B565" s="574" t="s">
        <v>253</v>
      </c>
      <c r="C565" s="534" t="s">
        <v>274</v>
      </c>
      <c r="D565" s="535">
        <v>952.1650000000001</v>
      </c>
      <c r="E565" s="502">
        <v>1</v>
      </c>
      <c r="F565" s="503">
        <v>828</v>
      </c>
      <c r="G565" s="504">
        <f t="shared" si="68"/>
      </c>
      <c r="H565" s="505">
        <f t="shared" si="367"/>
      </c>
      <c r="I565" s="560">
        <f t="shared" si="303"/>
      </c>
      <c r="J565" s="559">
        <f t="shared" si="239"/>
      </c>
      <c r="K565" s="556">
        <f t="shared" ref="K565:K566" si="144">D565/AB565</f>
      </c>
      <c r="L565" s="557">
        <f t="shared" si="435"/>
      </c>
      <c r="M565" s="558">
        <f t="shared" ref="M565:M566" si="206">AC565/AB565</f>
      </c>
      <c r="N565" s="558">
        <f t="shared" si="561"/>
      </c>
      <c r="O565" s="558">
        <f t="shared" si="466"/>
      </c>
      <c r="P565" s="558">
        <f t="shared" si="398"/>
      </c>
      <c r="Q565" s="557">
        <f t="shared" si="336"/>
      </c>
      <c r="R565" s="559">
        <f t="shared" si="272"/>
      </c>
      <c r="S565" s="558">
        <f t="shared" si="175"/>
      </c>
      <c r="T565" s="558">
        <f t="shared" si="105"/>
      </c>
      <c r="U565" s="558">
        <f t="shared" si="31"/>
      </c>
      <c r="V565" s="558">
        <f t="shared" si="592"/>
      </c>
      <c r="W565" s="520" t="s">
        <v>255</v>
      </c>
      <c r="X565" s="511" t="s">
        <v>284</v>
      </c>
      <c r="Y565" s="513">
        <v>116741</v>
      </c>
      <c r="Z565" s="513">
        <v>5416</v>
      </c>
      <c r="AA565" s="513">
        <v>73168</v>
      </c>
      <c r="AB565" s="536">
        <v>388</v>
      </c>
      <c r="AC565" s="536">
        <v>1</v>
      </c>
      <c r="AD565" s="536">
        <v>9278</v>
      </c>
      <c r="AE565" s="536">
        <v>200</v>
      </c>
      <c r="AF565" s="536">
        <v>113</v>
      </c>
      <c r="AG565" s="536">
        <v>12</v>
      </c>
      <c r="AH565" s="514">
        <v>0</v>
      </c>
    </row>
    <row r="566">
      <c r="A566" s="498"/>
      <c r="B566" s="574" t="s">
        <v>253</v>
      </c>
      <c r="C566" s="555" t="s">
        <v>275</v>
      </c>
      <c r="D566" s="541">
        <f>2014.207+D589</f>
      </c>
      <c r="E566" s="542">
        <v>8</v>
      </c>
      <c r="F566" s="519">
        <v>2884.7999999999993</v>
      </c>
      <c r="G566" s="504">
        <f t="shared" si="68"/>
      </c>
      <c r="H566" s="505">
        <f t="shared" si="367"/>
      </c>
      <c r="I566" s="560">
        <f t="shared" si="303"/>
      </c>
      <c r="J566" s="559">
        <f t="shared" si="239"/>
      </c>
      <c r="K566" s="556">
        <f t="shared" si="144"/>
      </c>
      <c r="L566" s="557">
        <f t="shared" si="435"/>
      </c>
      <c r="M566" s="558">
        <f t="shared" si="206"/>
      </c>
      <c r="N566" s="558">
        <f t="shared" si="561"/>
      </c>
      <c r="O566" s="558">
        <f t="shared" si="466"/>
      </c>
      <c r="P566" s="558">
        <f t="shared" si="398"/>
      </c>
      <c r="Q566" s="557">
        <f t="shared" si="336"/>
      </c>
      <c r="R566" s="559">
        <f t="shared" si="272"/>
      </c>
      <c r="S566" s="558">
        <f t="shared" si="175"/>
      </c>
      <c r="T566" s="558">
        <f t="shared" si="105"/>
      </c>
      <c r="U566" s="558">
        <f t="shared" si="31"/>
      </c>
      <c r="V566" s="558">
        <f t="shared" si="592"/>
      </c>
      <c r="W566" s="520" t="s">
        <v>255</v>
      </c>
      <c r="X566" s="511" t="s">
        <v>284</v>
      </c>
      <c r="Y566" s="513">
        <v>289980</v>
      </c>
      <c r="Z566" s="513">
        <v>8934</v>
      </c>
      <c r="AA566" s="513">
        <v>197631</v>
      </c>
      <c r="AB566" s="513">
        <v>861</v>
      </c>
      <c r="AC566" s="513">
        <v>5</v>
      </c>
      <c r="AD566" s="513">
        <v>16062</v>
      </c>
      <c r="AE566" s="513">
        <v>242</v>
      </c>
      <c r="AF566" s="513">
        <v>214</v>
      </c>
      <c r="AG566" s="514">
        <v>24</v>
      </c>
      <c r="AH566" s="514">
        <v>1</v>
      </c>
    </row>
    <row r="567">
      <c r="A567" s="498"/>
      <c r="B567" s="538" t="s">
        <v>261</v>
      </c>
      <c r="C567" s="538"/>
      <c r="D567" s="522">
        <f>SUM(D562:D566)</f>
      </c>
      <c r="E567" s="522">
        <f>SUM(E562:E566)</f>
      </c>
      <c r="F567" s="522">
        <f>SUM(F562:F566)</f>
      </c>
      <c r="G567" s="522">
        <f t="shared" si="68"/>
      </c>
      <c r="H567" s="524">
        <f t="shared" si="367"/>
      </c>
      <c r="I567" s="525">
        <f t="shared" si="303"/>
      </c>
      <c r="J567" s="526">
        <f t="shared" si="239"/>
      </c>
      <c r="K567" s="527">
        <f t="shared" ref="K567:K568" si="651">D567/AA567</f>
      </c>
      <c r="L567" s="524">
        <f t="shared" si="435"/>
      </c>
      <c r="M567" s="528">
        <f t="shared" ref="M567:M568" si="525">AB567/AA567</f>
      </c>
      <c r="N567" s="528">
        <f t="shared" si="561"/>
      </c>
      <c r="O567" s="528">
        <f t="shared" si="466"/>
      </c>
      <c r="P567" s="528">
        <f t="shared" si="398"/>
      </c>
      <c r="Q567" s="524">
        <f t="shared" si="336"/>
      </c>
      <c r="R567" s="526">
        <f t="shared" si="272"/>
      </c>
      <c r="S567" s="528">
        <f t="shared" si="175"/>
      </c>
      <c r="T567" s="528">
        <f t="shared" si="105"/>
      </c>
      <c r="U567" s="528">
        <f t="shared" si="31"/>
      </c>
      <c r="V567" s="528">
        <f t="shared" si="592"/>
      </c>
      <c r="W567" s="528"/>
      <c r="X567" s="529"/>
      <c r="Y567" s="522">
        <f>SUM(Y562:Y566)</f>
      </c>
      <c r="Z567" s="522">
        <f>SUM(Z562:Z566)</f>
      </c>
      <c r="AA567" s="522">
        <f>SUM(AA562:AA566)</f>
      </c>
      <c r="AB567" s="522">
        <f>SUM(AB562:AB566)</f>
      </c>
      <c r="AC567" s="522">
        <f>SUM(AC562:AC566)</f>
      </c>
      <c r="AD567" s="522">
        <f>SUM(AD562:AD566)</f>
      </c>
      <c r="AE567" s="522">
        <f>SUM(AE562:AE566)</f>
      </c>
      <c r="AF567" s="522">
        <f>SUM(AF562:AF566)</f>
      </c>
      <c r="AG567" s="522">
        <f>SUM(AG562:AG566)</f>
      </c>
      <c r="AH567" s="522">
        <f>SUM(AH562:AH566)</f>
      </c>
    </row>
    <row r="568">
      <c r="A568" s="498"/>
      <c r="B568" s="543" t="s">
        <v>276</v>
      </c>
      <c r="C568" s="543"/>
      <c r="D568" s="554">
        <f>SUM(D555+D567+D561)</f>
      </c>
      <c r="E568" s="554">
        <f>SUM(E555+E567+E561)</f>
      </c>
      <c r="F568" s="554">
        <f>SUM(F555+F567+F561)</f>
      </c>
      <c r="G568" s="544">
        <f t="shared" si="68"/>
      </c>
      <c r="H568" s="545">
        <f t="shared" si="367"/>
      </c>
      <c r="I568" s="546">
        <f t="shared" si="303"/>
      </c>
      <c r="J568" s="547">
        <f t="shared" si="239"/>
      </c>
      <c r="K568" s="548">
        <f t="shared" si="651"/>
      </c>
      <c r="L568" s="548">
        <f t="shared" si="435"/>
      </c>
      <c r="M568" s="550">
        <f t="shared" si="525"/>
      </c>
      <c r="N568" s="550">
        <f t="shared" si="561"/>
      </c>
      <c r="O568" s="550">
        <f t="shared" si="466"/>
      </c>
      <c r="P568" s="550">
        <f t="shared" si="398"/>
      </c>
      <c r="Q568" s="549">
        <f t="shared" si="336"/>
      </c>
      <c r="R568" s="551">
        <f t="shared" si="272"/>
      </c>
      <c r="S568" s="552">
        <f t="shared" si="175"/>
      </c>
      <c r="T568" s="552">
        <f t="shared" si="105"/>
      </c>
      <c r="U568" s="552">
        <f t="shared" si="31"/>
      </c>
      <c r="V568" s="552">
        <f t="shared" si="592"/>
      </c>
      <c r="W568" s="552"/>
      <c r="X568" s="553"/>
      <c r="Y568" s="544">
        <f>SUM(Y567+Y555+Y561)</f>
      </c>
      <c r="Z568" s="544">
        <f>SUM(Z567+Z555+Z561)</f>
      </c>
      <c r="AA568" s="544">
        <f>SUM(AA567+AA555+AA561)</f>
      </c>
      <c r="AB568" s="544">
        <f>SUM(AB567+AB555+AB561)</f>
      </c>
      <c r="AC568" s="544">
        <f>SUM(AC567+AC555+AC561)</f>
      </c>
      <c r="AD568" s="544">
        <f>SUM(AD567+AD555+AD561)</f>
      </c>
      <c r="AE568" s="544">
        <f>SUM(AE567+AE555+AE561)</f>
      </c>
      <c r="AF568" s="544">
        <f>SUM(AF567+AF555+AF561)</f>
      </c>
      <c r="AG568" s="544">
        <f>SUM(AG567+AG555+AG561)</f>
      </c>
      <c r="AH568" s="544">
        <f>SUM(AH567+AH555+AH561)</f>
      </c>
    </row>
    <row r="569">
      <c r="A569" s="486" t="s">
        <v>218</v>
      </c>
      <c r="B569" s="561" t="s">
        <v>219</v>
      </c>
      <c r="C569" s="562" t="s">
        <v>220</v>
      </c>
      <c r="D569" s="487" t="s">
        <v>221</v>
      </c>
      <c r="E569" s="488" t="s">
        <v>222</v>
      </c>
      <c r="F569" s="489" t="s">
        <v>223</v>
      </c>
      <c r="G569" s="489" t="s">
        <v>224</v>
      </c>
      <c r="H569" s="490" t="s">
        <v>225</v>
      </c>
      <c r="I569" s="490" t="s">
        <v>226</v>
      </c>
      <c r="J569" s="490" t="s">
        <v>227</v>
      </c>
      <c r="K569" s="491" t="s">
        <v>228</v>
      </c>
      <c r="L569" s="491" t="s">
        <v>229</v>
      </c>
      <c r="M569" s="491" t="s">
        <v>231</v>
      </c>
      <c r="N569" s="491" t="s">
        <v>232</v>
      </c>
      <c r="O569" s="491" t="s">
        <v>233</v>
      </c>
      <c r="P569" s="491" t="s">
        <v>234</v>
      </c>
      <c r="Q569" s="491" t="s">
        <v>235</v>
      </c>
      <c r="R569" s="491" t="s">
        <v>236</v>
      </c>
      <c r="S569" s="492" t="s">
        <v>237</v>
      </c>
      <c r="T569" s="492" t="s">
        <v>238</v>
      </c>
      <c r="U569" s="492" t="s">
        <v>239</v>
      </c>
      <c r="V569" s="492" t="s">
        <v>240</v>
      </c>
      <c r="W569" s="493" t="s">
        <v>241</v>
      </c>
      <c r="X569" s="493" t="s">
        <v>242</v>
      </c>
      <c r="Y569" s="494" t="s">
        <v>243</v>
      </c>
      <c r="Z569" s="494" t="s">
        <v>244</v>
      </c>
      <c r="AA569" s="494" t="s">
        <v>245</v>
      </c>
      <c r="AB569" s="495" t="s">
        <v>246</v>
      </c>
      <c r="AC569" s="495" t="s">
        <v>247</v>
      </c>
      <c r="AD569" s="496" t="s">
        <v>248</v>
      </c>
      <c r="AE569" s="495" t="s">
        <v>249</v>
      </c>
      <c r="AF569" s="495" t="s">
        <v>250</v>
      </c>
      <c r="AG569" s="497" t="s">
        <v>251</v>
      </c>
      <c r="AH569" s="495" t="s">
        <v>252</v>
      </c>
    </row>
    <row r="570">
      <c r="A570" s="498">
        <v>46232</v>
      </c>
      <c r="B570" s="499" t="s">
        <v>277</v>
      </c>
      <c r="C570" s="500" t="s">
        <v>254</v>
      </c>
      <c r="D570" s="501">
        <v>2237.235</v>
      </c>
      <c r="E570" s="502">
        <v>4</v>
      </c>
      <c r="F570" s="503">
        <v>1480</v>
      </c>
      <c r="G570" s="504">
        <f t="shared" ref="G570:G588" si="69">D570/AC570</f>
      </c>
      <c r="H570" s="505">
        <f t="shared" ref="H570:H588" si="368">F570/E570</f>
      </c>
      <c r="I570" s="506">
        <f t="shared" ref="I570:I588" si="304">D570/E570</f>
      </c>
      <c r="J570" s="507">
        <f t="shared" ref="J570:J588" si="240">F570/D570</f>
      </c>
      <c r="K570" s="508">
        <f t="shared" ref="K570:K584" si="652">D570/AA570</f>
      </c>
      <c r="L570" s="505">
        <f t="shared" ref="L570:L588" si="436">D570/AB570</f>
      </c>
      <c r="M570" s="509">
        <f t="shared" ref="M570:M584" si="526">AB570/AA570</f>
      </c>
      <c r="N570" s="509">
        <f t="shared" ref="N570:N588" si="562">AC570/AB570</f>
      </c>
      <c r="O570" s="509">
        <f t="shared" ref="O570:O588" si="467">Z570/Y570</f>
      </c>
      <c r="P570" s="509">
        <f t="shared" ref="P570:P588" si="399">AC570/Z570</f>
      </c>
      <c r="Q570" s="505">
        <f t="shared" ref="Q570:Q588" si="337">D570/Y570*1000</f>
      </c>
      <c r="R570" s="507">
        <f t="shared" ref="R570:R588" si="273">D570/Z570</f>
      </c>
      <c r="S570" s="509">
        <f t="shared" ref="S570:S588" si="176">AD570/AA570</f>
      </c>
      <c r="T570" s="509">
        <f t="shared" ref="T570:T588" si="106">AE570/AA570</f>
      </c>
      <c r="U570" s="509">
        <f t="shared" ref="U570:U588" si="32">AF570/AA570</f>
      </c>
      <c r="V570" s="509">
        <f t="shared" ref="V570:V588" si="593">AG570/AA570</f>
      </c>
      <c r="W570" s="510" t="s">
        <v>255</v>
      </c>
      <c r="X570" s="511" t="s">
        <v>286</v>
      </c>
      <c r="Y570" s="512">
        <v>189961</v>
      </c>
      <c r="Z570" s="512">
        <v>7833</v>
      </c>
      <c r="AA570" s="512">
        <v>184599</v>
      </c>
      <c r="AB570" s="512">
        <v>1489</v>
      </c>
      <c r="AC570" s="514">
        <v>3</v>
      </c>
      <c r="AD570" s="512">
        <v>52740</v>
      </c>
      <c r="AE570" s="513">
        <v>652</v>
      </c>
      <c r="AF570" s="513">
        <v>437</v>
      </c>
      <c r="AG570" s="513">
        <v>50</v>
      </c>
      <c r="AH570" s="514">
        <v>0</v>
      </c>
    </row>
    <row r="571">
      <c r="A571" s="498"/>
      <c r="B571" s="499" t="s">
        <v>277</v>
      </c>
      <c r="C571" s="500" t="s">
        <v>257</v>
      </c>
      <c r="D571" s="501">
        <v>1891.45</v>
      </c>
      <c r="E571" s="502">
        <v>8</v>
      </c>
      <c r="F571" s="503">
        <v>3496</v>
      </c>
      <c r="G571" s="504">
        <f t="shared" si="69"/>
      </c>
      <c r="H571" s="505">
        <f t="shared" si="368"/>
      </c>
      <c r="I571" s="506">
        <f t="shared" si="304"/>
      </c>
      <c r="J571" s="507">
        <f t="shared" si="240"/>
      </c>
      <c r="K571" s="508">
        <f t="shared" si="652"/>
      </c>
      <c r="L571" s="505">
        <f t="shared" si="436"/>
      </c>
      <c r="M571" s="509">
        <f t="shared" si="526"/>
      </c>
      <c r="N571" s="509">
        <f t="shared" si="562"/>
      </c>
      <c r="O571" s="509">
        <f t="shared" si="467"/>
      </c>
      <c r="P571" s="509">
        <f t="shared" si="399"/>
      </c>
      <c r="Q571" s="505">
        <f t="shared" si="337"/>
      </c>
      <c r="R571" s="507">
        <f t="shared" si="273"/>
      </c>
      <c r="S571" s="509">
        <f t="shared" si="176"/>
      </c>
      <c r="T571" s="509">
        <f t="shared" si="106"/>
      </c>
      <c r="U571" s="509">
        <f t="shared" si="32"/>
      </c>
      <c r="V571" s="509">
        <f t="shared" si="593"/>
      </c>
      <c r="W571" s="510" t="s">
        <v>255</v>
      </c>
      <c r="X571" s="511" t="s">
        <v>286</v>
      </c>
      <c r="Y571" s="514">
        <v>163558</v>
      </c>
      <c r="Z571" s="512">
        <v>6872</v>
      </c>
      <c r="AA571" s="512">
        <v>131128</v>
      </c>
      <c r="AB571" s="512">
        <v>1092</v>
      </c>
      <c r="AC571" s="513">
        <v>10</v>
      </c>
      <c r="AD571" s="512">
        <v>32669</v>
      </c>
      <c r="AE571" s="513">
        <v>497</v>
      </c>
      <c r="AF571" s="513">
        <v>303</v>
      </c>
      <c r="AG571" s="514">
        <v>23</v>
      </c>
      <c r="AH571" s="514">
        <v>0</v>
      </c>
    </row>
    <row r="572">
      <c r="A572" s="498"/>
      <c r="B572" s="499" t="s">
        <v>277</v>
      </c>
      <c r="C572" s="515" t="s">
        <v>258</v>
      </c>
      <c r="D572" s="565">
        <v>1789.344</v>
      </c>
      <c r="E572" s="502">
        <v>5</v>
      </c>
      <c r="F572" s="503">
        <v>1076</v>
      </c>
      <c r="G572" s="504">
        <f t="shared" si="69"/>
      </c>
      <c r="H572" s="505">
        <f t="shared" si="368"/>
      </c>
      <c r="I572" s="506">
        <f t="shared" si="304"/>
      </c>
      <c r="J572" s="507">
        <f t="shared" si="240"/>
      </c>
      <c r="K572" s="508">
        <f t="shared" si="652"/>
      </c>
      <c r="L572" s="505">
        <f t="shared" si="436"/>
      </c>
      <c r="M572" s="509">
        <f t="shared" si="526"/>
      </c>
      <c r="N572" s="509">
        <f t="shared" si="562"/>
      </c>
      <c r="O572" s="509">
        <f t="shared" si="467"/>
      </c>
      <c r="P572" s="509">
        <f t="shared" si="399"/>
      </c>
      <c r="Q572" s="505">
        <f t="shared" si="337"/>
      </c>
      <c r="R572" s="507">
        <f t="shared" si="273"/>
      </c>
      <c r="S572" s="509">
        <f t="shared" si="176"/>
      </c>
      <c r="T572" s="509">
        <f t="shared" si="106"/>
      </c>
      <c r="U572" s="509">
        <f t="shared" si="32"/>
      </c>
      <c r="V572" s="509">
        <f t="shared" si="593"/>
      </c>
      <c r="W572" s="510" t="s">
        <v>255</v>
      </c>
      <c r="X572" s="511" t="s">
        <v>286</v>
      </c>
      <c r="Y572" s="513">
        <v>169647</v>
      </c>
      <c r="Z572" s="512">
        <v>8151</v>
      </c>
      <c r="AA572" s="512">
        <v>120849</v>
      </c>
      <c r="AB572" s="512">
        <v>895</v>
      </c>
      <c r="AC572" s="513">
        <v>2</v>
      </c>
      <c r="AD572" s="512">
        <v>26425</v>
      </c>
      <c r="AE572" s="513">
        <v>357</v>
      </c>
      <c r="AF572" s="513">
        <v>240</v>
      </c>
      <c r="AG572" s="513">
        <v>23</v>
      </c>
      <c r="AH572" s="514">
        <v>0</v>
      </c>
    </row>
    <row r="573">
      <c r="A573" s="498"/>
      <c r="B573" s="499" t="s">
        <v>277</v>
      </c>
      <c r="C573" s="572" t="s">
        <v>259</v>
      </c>
      <c r="D573" s="573">
        <v>923.7080000000001</v>
      </c>
      <c r="E573" s="568">
        <v>2</v>
      </c>
      <c r="F573" s="503">
        <v>424</v>
      </c>
      <c r="G573" s="504">
        <f t="shared" si="69"/>
      </c>
      <c r="H573" s="505">
        <f t="shared" si="368"/>
      </c>
      <c r="I573" s="506">
        <f t="shared" si="304"/>
      </c>
      <c r="J573" s="507">
        <f t="shared" si="240"/>
      </c>
      <c r="K573" s="508">
        <f t="shared" si="652"/>
      </c>
      <c r="L573" s="505">
        <f t="shared" si="436"/>
      </c>
      <c r="M573" s="509">
        <f t="shared" si="526"/>
      </c>
      <c r="N573" s="509">
        <f t="shared" si="562"/>
      </c>
      <c r="O573" s="509">
        <f t="shared" si="467"/>
      </c>
      <c r="P573" s="509">
        <f t="shared" si="399"/>
      </c>
      <c r="Q573" s="505">
        <f t="shared" si="337"/>
      </c>
      <c r="R573" s="507">
        <f t="shared" si="273"/>
      </c>
      <c r="S573" s="509">
        <f t="shared" si="176"/>
      </c>
      <c r="T573" s="509">
        <f t="shared" si="106"/>
      </c>
      <c r="U573" s="509">
        <f t="shared" si="32"/>
      </c>
      <c r="V573" s="509">
        <f t="shared" si="593"/>
      </c>
      <c r="W573" s="504" t="s">
        <v>255</v>
      </c>
      <c r="X573" s="511" t="s">
        <v>286</v>
      </c>
      <c r="Y573" s="513">
        <v>110781</v>
      </c>
      <c r="Z573" s="513">
        <v>5342</v>
      </c>
      <c r="AA573" s="513">
        <v>67598</v>
      </c>
      <c r="AB573" s="513">
        <v>501</v>
      </c>
      <c r="AC573" s="513">
        <v>4</v>
      </c>
      <c r="AD573" s="513">
        <v>12049</v>
      </c>
      <c r="AE573" s="513">
        <v>196</v>
      </c>
      <c r="AF573" s="513">
        <v>116</v>
      </c>
      <c r="AG573" s="514">
        <v>12</v>
      </c>
      <c r="AH573" s="514">
        <v>0</v>
      </c>
    </row>
    <row r="574">
      <c r="A574" s="498"/>
      <c r="B574" s="499" t="s">
        <v>277</v>
      </c>
      <c r="C574" s="516" t="s">
        <v>260</v>
      </c>
      <c r="D574" s="517">
        <v>1086.481</v>
      </c>
      <c r="E574" s="518">
        <v>5</v>
      </c>
      <c r="F574" s="519">
        <v>1076</v>
      </c>
      <c r="G574" s="504">
        <f t="shared" si="69"/>
      </c>
      <c r="H574" s="505">
        <f t="shared" si="368"/>
      </c>
      <c r="I574" s="506">
        <f t="shared" si="304"/>
      </c>
      <c r="J574" s="507">
        <f t="shared" si="240"/>
      </c>
      <c r="K574" s="508">
        <f t="shared" si="652"/>
      </c>
      <c r="L574" s="505">
        <f t="shared" si="436"/>
      </c>
      <c r="M574" s="509">
        <f t="shared" si="526"/>
      </c>
      <c r="N574" s="509">
        <f t="shared" si="562"/>
      </c>
      <c r="O574" s="509">
        <f t="shared" si="467"/>
      </c>
      <c r="P574" s="509">
        <f t="shared" si="399"/>
      </c>
      <c r="Q574" s="505">
        <f t="shared" si="337"/>
      </c>
      <c r="R574" s="507">
        <f t="shared" si="273"/>
      </c>
      <c r="S574" s="509">
        <f t="shared" si="176"/>
      </c>
      <c r="T574" s="509">
        <f t="shared" si="106"/>
      </c>
      <c r="U574" s="509">
        <f t="shared" si="32"/>
      </c>
      <c r="V574" s="509">
        <f t="shared" si="593"/>
      </c>
      <c r="W574" s="520" t="s">
        <v>255</v>
      </c>
      <c r="X574" s="511" t="s">
        <v>286</v>
      </c>
      <c r="Y574" s="513">
        <v>115245</v>
      </c>
      <c r="Z574" s="513">
        <v>7257</v>
      </c>
      <c r="AA574" s="513">
        <v>73278</v>
      </c>
      <c r="AB574" s="513">
        <v>520</v>
      </c>
      <c r="AC574" s="513">
        <v>4</v>
      </c>
      <c r="AD574" s="513">
        <v>13015</v>
      </c>
      <c r="AE574" s="513">
        <v>214</v>
      </c>
      <c r="AF574" s="513">
        <v>172</v>
      </c>
      <c r="AG574" s="514">
        <v>8</v>
      </c>
      <c r="AH574" s="514">
        <v>0</v>
      </c>
    </row>
    <row r="575">
      <c r="A575" s="498"/>
      <c r="B575" s="521" t="s">
        <v>261</v>
      </c>
      <c r="C575" s="521"/>
      <c r="D575" s="522">
        <f>SUM(D570:D574)</f>
      </c>
      <c r="E575" s="523">
        <f>SUM(E570:E574)</f>
      </c>
      <c r="F575" s="522">
        <f>SUM(F570:F574)</f>
      </c>
      <c r="G575" s="522">
        <f t="shared" si="69"/>
      </c>
      <c r="H575" s="524">
        <f t="shared" si="368"/>
      </c>
      <c r="I575" s="525">
        <f t="shared" si="304"/>
      </c>
      <c r="J575" s="526">
        <f t="shared" si="240"/>
      </c>
      <c r="K575" s="527">
        <f t="shared" si="652"/>
      </c>
      <c r="L575" s="524">
        <f t="shared" si="436"/>
      </c>
      <c r="M575" s="528">
        <f t="shared" si="526"/>
      </c>
      <c r="N575" s="528">
        <f t="shared" si="562"/>
      </c>
      <c r="O575" s="528">
        <f t="shared" si="467"/>
      </c>
      <c r="P575" s="528">
        <f t="shared" si="399"/>
      </c>
      <c r="Q575" s="524">
        <f t="shared" si="337"/>
      </c>
      <c r="R575" s="526">
        <f t="shared" si="273"/>
      </c>
      <c r="S575" s="528">
        <f t="shared" si="176"/>
      </c>
      <c r="T575" s="528">
        <f t="shared" si="106"/>
      </c>
      <c r="U575" s="528">
        <f t="shared" si="32"/>
      </c>
      <c r="V575" s="528">
        <f t="shared" si="593"/>
      </c>
      <c r="W575" s="528"/>
      <c r="X575" s="529"/>
      <c r="Y575" s="522">
        <f>SUM(Y570:Y574)</f>
      </c>
      <c r="Z575" s="522">
        <f>SUM(Z570:Z574)</f>
      </c>
      <c r="AA575" s="522">
        <f>SUM(AA570:AA574)</f>
      </c>
      <c r="AB575" s="522">
        <f>SUM(AB570:AB574)</f>
      </c>
      <c r="AC575" s="522">
        <f>SUM(AC570:AC574)</f>
      </c>
      <c r="AD575" s="522">
        <f>SUM(AD570:AD574)</f>
      </c>
      <c r="AE575" s="522">
        <f>SUM(AE570:AE574)</f>
      </c>
      <c r="AF575" s="522">
        <f>SUM(AF570:AF574)</f>
      </c>
      <c r="AG575" s="522">
        <f>SUM(AG570:AG574)</f>
      </c>
      <c r="AH575" s="522">
        <f>SUM(AH570:AH574)</f>
      </c>
    </row>
    <row r="576">
      <c r="A576" s="498"/>
      <c r="B576" s="499" t="s">
        <v>271</v>
      </c>
      <c r="C576" s="531" t="s">
        <v>263</v>
      </c>
      <c r="D576" s="532">
        <v>1422.089</v>
      </c>
      <c r="E576" s="502">
        <v>1</v>
      </c>
      <c r="F576" s="503">
        <v>217.19999999999982</v>
      </c>
      <c r="G576" s="504">
        <f t="shared" si="69"/>
      </c>
      <c r="H576" s="505">
        <f t="shared" si="368"/>
      </c>
      <c r="I576" s="506">
        <f t="shared" si="304"/>
      </c>
      <c r="J576" s="507">
        <f t="shared" si="240"/>
      </c>
      <c r="K576" s="508">
        <f t="shared" si="652"/>
      </c>
      <c r="L576" s="505">
        <f t="shared" si="436"/>
      </c>
      <c r="M576" s="509">
        <f t="shared" si="526"/>
      </c>
      <c r="N576" s="509">
        <f t="shared" si="562"/>
      </c>
      <c r="O576" s="509">
        <f t="shared" si="467"/>
      </c>
      <c r="P576" s="509">
        <f t="shared" si="399"/>
      </c>
      <c r="Q576" s="505">
        <f t="shared" si="337"/>
      </c>
      <c r="R576" s="507">
        <f t="shared" si="273"/>
      </c>
      <c r="S576" s="509">
        <f t="shared" si="176"/>
      </c>
      <c r="T576" s="509">
        <f t="shared" si="106"/>
      </c>
      <c r="U576" s="509">
        <f t="shared" si="32"/>
      </c>
      <c r="V576" s="509">
        <f t="shared" si="593"/>
      </c>
      <c r="W576" s="520" t="s">
        <v>255</v>
      </c>
      <c r="X576" s="511" t="s">
        <v>286</v>
      </c>
      <c r="Y576" s="512">
        <v>132882</v>
      </c>
      <c r="Z576" s="512">
        <v>8076</v>
      </c>
      <c r="AA576" s="512">
        <v>91755</v>
      </c>
      <c r="AB576" s="513">
        <v>670</v>
      </c>
      <c r="AC576" s="513">
        <v>2</v>
      </c>
      <c r="AD576" s="512">
        <v>15326</v>
      </c>
      <c r="AE576" s="513">
        <v>253</v>
      </c>
      <c r="AF576" s="513">
        <v>172</v>
      </c>
      <c r="AG576" s="513">
        <v>24</v>
      </c>
      <c r="AH576" s="514">
        <v>0</v>
      </c>
    </row>
    <row r="577">
      <c r="A577" s="498"/>
      <c r="B577" s="499" t="s">
        <v>271</v>
      </c>
      <c r="C577" s="533" t="s">
        <v>264</v>
      </c>
      <c r="D577" s="532">
        <v>1202.2440000000001</v>
      </c>
      <c r="E577" s="518">
        <v>2</v>
      </c>
      <c r="F577" s="519">
        <v>413.1999999999998</v>
      </c>
      <c r="G577" s="504">
        <f t="shared" si="69"/>
      </c>
      <c r="H577" s="505">
        <f t="shared" si="368"/>
      </c>
      <c r="I577" s="506">
        <f t="shared" si="304"/>
      </c>
      <c r="J577" s="507">
        <f t="shared" si="240"/>
      </c>
      <c r="K577" s="508">
        <f t="shared" si="652"/>
      </c>
      <c r="L577" s="505">
        <f t="shared" si="436"/>
      </c>
      <c r="M577" s="509">
        <f t="shared" si="526"/>
      </c>
      <c r="N577" s="509">
        <f t="shared" si="562"/>
      </c>
      <c r="O577" s="509">
        <f t="shared" si="467"/>
      </c>
      <c r="P577" s="509">
        <f t="shared" si="399"/>
      </c>
      <c r="Q577" s="505">
        <f t="shared" si="337"/>
      </c>
      <c r="R577" s="507">
        <f t="shared" si="273"/>
      </c>
      <c r="S577" s="509">
        <f t="shared" si="176"/>
      </c>
      <c r="T577" s="509">
        <f t="shared" si="106"/>
      </c>
      <c r="U577" s="509">
        <f t="shared" si="32"/>
      </c>
      <c r="V577" s="509">
        <f t="shared" si="593"/>
      </c>
      <c r="W577" s="520" t="s">
        <v>255</v>
      </c>
      <c r="X577" s="511" t="s">
        <v>279</v>
      </c>
      <c r="Y577" s="513">
        <v>111090</v>
      </c>
      <c r="Z577" s="513">
        <v>7397</v>
      </c>
      <c r="AA577" s="513">
        <v>82018</v>
      </c>
      <c r="AB577" s="513">
        <v>605</v>
      </c>
      <c r="AC577" s="513">
        <v>1</v>
      </c>
      <c r="AD577" s="513">
        <v>14175</v>
      </c>
      <c r="AE577" s="513">
        <v>226</v>
      </c>
      <c r="AF577" s="513">
        <v>163</v>
      </c>
      <c r="AG577" s="513">
        <v>21</v>
      </c>
      <c r="AH577" s="514">
        <v>1</v>
      </c>
    </row>
    <row r="578">
      <c r="A578" s="498"/>
      <c r="B578" s="499" t="s">
        <v>271</v>
      </c>
      <c r="C578" s="534" t="s">
        <v>265</v>
      </c>
      <c r="D578" s="532">
        <v>1257.062</v>
      </c>
      <c r="E578" s="518">
        <v>4</v>
      </c>
      <c r="F578" s="519">
        <v>869.2000000000007</v>
      </c>
      <c r="G578" s="504">
        <f t="shared" si="69"/>
      </c>
      <c r="H578" s="505">
        <f t="shared" si="368"/>
      </c>
      <c r="I578" s="506">
        <f t="shared" si="304"/>
      </c>
      <c r="J578" s="507">
        <f t="shared" si="240"/>
      </c>
      <c r="K578" s="508">
        <f t="shared" si="652"/>
      </c>
      <c r="L578" s="505">
        <f t="shared" si="436"/>
      </c>
      <c r="M578" s="509">
        <f t="shared" si="526"/>
      </c>
      <c r="N578" s="509">
        <f t="shared" si="562"/>
      </c>
      <c r="O578" s="509">
        <f t="shared" si="467"/>
      </c>
      <c r="P578" s="509">
        <f t="shared" si="399"/>
      </c>
      <c r="Q578" s="505">
        <f t="shared" si="337"/>
      </c>
      <c r="R578" s="507">
        <f t="shared" si="273"/>
      </c>
      <c r="S578" s="509">
        <f t="shared" si="176"/>
      </c>
      <c r="T578" s="509">
        <f t="shared" si="106"/>
      </c>
      <c r="U578" s="509">
        <f t="shared" si="32"/>
      </c>
      <c r="V578" s="509">
        <f t="shared" si="593"/>
      </c>
      <c r="W578" s="520" t="s">
        <v>255</v>
      </c>
      <c r="X578" s="511" t="s">
        <v>279</v>
      </c>
      <c r="Y578" s="513">
        <v>106071</v>
      </c>
      <c r="Z578" s="513">
        <v>7957</v>
      </c>
      <c r="AA578" s="513">
        <v>79501</v>
      </c>
      <c r="AB578" s="513">
        <v>557</v>
      </c>
      <c r="AC578" s="513">
        <v>3</v>
      </c>
      <c r="AD578" s="513">
        <v>13368</v>
      </c>
      <c r="AE578" s="513">
        <v>206</v>
      </c>
      <c r="AF578" s="513">
        <v>180</v>
      </c>
      <c r="AG578" s="513">
        <v>25</v>
      </c>
      <c r="AH578" s="514">
        <v>1</v>
      </c>
    </row>
    <row r="579">
      <c r="A579" s="498"/>
      <c r="B579" s="499" t="s">
        <v>271</v>
      </c>
      <c r="C579" s="537" t="s">
        <v>266</v>
      </c>
      <c r="D579" s="532">
        <v>1582.861</v>
      </c>
      <c r="E579" s="518">
        <v>3</v>
      </c>
      <c r="F579" s="519">
        <v>2552</v>
      </c>
      <c r="G579" s="504">
        <f t="shared" si="69"/>
      </c>
      <c r="H579" s="505">
        <f t="shared" si="368"/>
      </c>
      <c r="I579" s="506">
        <f t="shared" si="304"/>
      </c>
      <c r="J579" s="507">
        <f t="shared" si="240"/>
      </c>
      <c r="K579" s="508">
        <f t="shared" si="652"/>
      </c>
      <c r="L579" s="505">
        <f t="shared" si="436"/>
      </c>
      <c r="M579" s="509">
        <f t="shared" si="526"/>
      </c>
      <c r="N579" s="509">
        <f t="shared" si="562"/>
      </c>
      <c r="O579" s="509">
        <f t="shared" si="467"/>
      </c>
      <c r="P579" s="509">
        <f t="shared" si="399"/>
      </c>
      <c r="Q579" s="505">
        <f t="shared" si="337"/>
      </c>
      <c r="R579" s="507">
        <f t="shared" si="273"/>
      </c>
      <c r="S579" s="509">
        <f t="shared" si="176"/>
      </c>
      <c r="T579" s="509">
        <f t="shared" si="106"/>
      </c>
      <c r="U579" s="509">
        <f t="shared" si="32"/>
      </c>
      <c r="V579" s="509">
        <f t="shared" si="593"/>
      </c>
      <c r="W579" s="520" t="s">
        <v>255</v>
      </c>
      <c r="X579" s="511" t="s">
        <v>279</v>
      </c>
      <c r="Y579" s="513">
        <v>123202</v>
      </c>
      <c r="Z579" s="513">
        <v>9156</v>
      </c>
      <c r="AA579" s="513">
        <v>90388</v>
      </c>
      <c r="AB579" s="513">
        <v>488</v>
      </c>
      <c r="AC579" s="513">
        <v>2</v>
      </c>
      <c r="AD579" s="513">
        <v>15480</v>
      </c>
      <c r="AE579" s="513">
        <v>265</v>
      </c>
      <c r="AF579" s="513">
        <v>166</v>
      </c>
      <c r="AG579" s="513">
        <v>18</v>
      </c>
      <c r="AH579" s="514">
        <v>0</v>
      </c>
    </row>
    <row r="580">
      <c r="A580" s="498"/>
      <c r="B580" s="499" t="s">
        <v>271</v>
      </c>
      <c r="C580" s="540" t="s">
        <v>269</v>
      </c>
      <c r="D580" s="532">
        <v>1616.5690000000002</v>
      </c>
      <c r="E580" s="518">
        <v>1</v>
      </c>
      <c r="F580" s="519">
        <v>228</v>
      </c>
      <c r="G580" s="504">
        <f t="shared" si="69"/>
      </c>
      <c r="H580" s="505">
        <f t="shared" si="368"/>
      </c>
      <c r="I580" s="506">
        <f t="shared" si="304"/>
      </c>
      <c r="J580" s="507">
        <f t="shared" si="240"/>
      </c>
      <c r="K580" s="508">
        <f t="shared" si="652"/>
      </c>
      <c r="L580" s="505">
        <f t="shared" si="436"/>
      </c>
      <c r="M580" s="509">
        <f t="shared" si="526"/>
      </c>
      <c r="N580" s="509">
        <f t="shared" si="562"/>
      </c>
      <c r="O580" s="509">
        <f t="shared" si="467"/>
      </c>
      <c r="P580" s="509">
        <f t="shared" si="399"/>
      </c>
      <c r="Q580" s="505">
        <f t="shared" si="337"/>
      </c>
      <c r="R580" s="507">
        <f t="shared" si="273"/>
      </c>
      <c r="S580" s="509">
        <f t="shared" si="176"/>
      </c>
      <c r="T580" s="509">
        <f t="shared" si="106"/>
      </c>
      <c r="U580" s="509">
        <f t="shared" si="32"/>
      </c>
      <c r="V580" s="509">
        <f t="shared" si="593"/>
      </c>
      <c r="W580" s="520" t="s">
        <v>255</v>
      </c>
      <c r="X580" s="511" t="s">
        <v>279</v>
      </c>
      <c r="Y580" s="513">
        <v>124342</v>
      </c>
      <c r="Z580" s="513">
        <v>10126</v>
      </c>
      <c r="AA580" s="513">
        <v>101891</v>
      </c>
      <c r="AB580" s="513">
        <v>598</v>
      </c>
      <c r="AC580" s="513">
        <v>1</v>
      </c>
      <c r="AD580" s="513">
        <v>17223</v>
      </c>
      <c r="AE580" s="513">
        <v>223</v>
      </c>
      <c r="AF580" s="513">
        <v>214</v>
      </c>
      <c r="AG580" s="513">
        <v>15</v>
      </c>
      <c r="AH580" s="514">
        <v>0</v>
      </c>
    </row>
    <row r="581">
      <c r="A581" s="498"/>
      <c r="B581" s="521" t="s">
        <v>261</v>
      </c>
      <c r="C581" s="521"/>
      <c r="D581" s="522">
        <f>SUM(D576:D580)</f>
      </c>
      <c r="E581" s="522">
        <f>SUM(E576:E580)</f>
      </c>
      <c r="F581" s="522">
        <f>SUM(F576:F580)</f>
      </c>
      <c r="G581" s="522">
        <f t="shared" si="69"/>
      </c>
      <c r="H581" s="524">
        <f t="shared" si="368"/>
      </c>
      <c r="I581" s="525">
        <f t="shared" si="304"/>
      </c>
      <c r="J581" s="526">
        <f t="shared" si="240"/>
      </c>
      <c r="K581" s="527">
        <f t="shared" si="652"/>
      </c>
      <c r="L581" s="524">
        <f t="shared" si="436"/>
      </c>
      <c r="M581" s="528">
        <f t="shared" si="526"/>
      </c>
      <c r="N581" s="528">
        <f t="shared" si="562"/>
      </c>
      <c r="O581" s="528">
        <f t="shared" si="467"/>
      </c>
      <c r="P581" s="528">
        <f t="shared" si="399"/>
      </c>
      <c r="Q581" s="524">
        <f t="shared" si="337"/>
      </c>
      <c r="R581" s="526">
        <f t="shared" si="273"/>
      </c>
      <c r="S581" s="528">
        <f t="shared" si="176"/>
      </c>
      <c r="T581" s="528">
        <f t="shared" si="106"/>
      </c>
      <c r="U581" s="528">
        <f t="shared" si="32"/>
      </c>
      <c r="V581" s="528">
        <f t="shared" si="593"/>
      </c>
      <c r="W581" s="528"/>
      <c r="X581" s="529"/>
      <c r="Y581" s="522">
        <f>SUM(Y576:Y580)</f>
      </c>
      <c r="Z581" s="522">
        <f>SUM(Z576:Z580)</f>
      </c>
      <c r="AA581" s="522">
        <f>SUM(AA576:AA580)</f>
      </c>
      <c r="AB581" s="522">
        <f>SUM(AB576:AB580)</f>
      </c>
      <c r="AC581" s="522">
        <f>SUM(AC576:AC580)</f>
      </c>
      <c r="AD581" s="522">
        <f>SUM(AD576:AD580)</f>
      </c>
      <c r="AE581" s="522">
        <f>SUM(AE576:AE580)</f>
      </c>
      <c r="AF581" s="522">
        <f>SUM(AF576:AF580)</f>
      </c>
      <c r="AG581" s="522">
        <f>SUM(AG576:AG580)</f>
      </c>
      <c r="AH581" s="522">
        <f>SUM(AH576:AH580)</f>
      </c>
    </row>
    <row r="582">
      <c r="A582" s="498"/>
      <c r="B582" s="574" t="s">
        <v>268</v>
      </c>
      <c r="C582" s="534" t="s">
        <v>270</v>
      </c>
      <c r="D582" s="541">
        <v>1395.1840000000002</v>
      </c>
      <c r="E582" s="542">
        <v>1</v>
      </c>
      <c r="F582" s="519">
        <v>228</v>
      </c>
      <c r="G582" s="504">
        <f t="shared" si="69"/>
      </c>
      <c r="H582" s="505">
        <f t="shared" si="368"/>
      </c>
      <c r="I582" s="506">
        <f t="shared" si="304"/>
      </c>
      <c r="J582" s="507">
        <f t="shared" si="240"/>
      </c>
      <c r="K582" s="508">
        <f t="shared" si="652"/>
      </c>
      <c r="L582" s="505">
        <f t="shared" si="436"/>
      </c>
      <c r="M582" s="509">
        <f t="shared" si="526"/>
      </c>
      <c r="N582" s="509">
        <f t="shared" si="562"/>
      </c>
      <c r="O582" s="509">
        <f t="shared" si="467"/>
      </c>
      <c r="P582" s="509">
        <f t="shared" si="399"/>
      </c>
      <c r="Q582" s="505">
        <f t="shared" si="337"/>
      </c>
      <c r="R582" s="507">
        <f t="shared" si="273"/>
      </c>
      <c r="S582" s="509">
        <f t="shared" si="176"/>
      </c>
      <c r="T582" s="509">
        <f t="shared" si="106"/>
      </c>
      <c r="U582" s="509">
        <f t="shared" si="32"/>
      </c>
      <c r="V582" s="509">
        <f t="shared" si="593"/>
      </c>
      <c r="W582" s="520" t="s">
        <v>255</v>
      </c>
      <c r="X582" s="511" t="s">
        <v>279</v>
      </c>
      <c r="Y582" s="513">
        <v>125597</v>
      </c>
      <c r="Z582" s="513">
        <v>9846</v>
      </c>
      <c r="AA582" s="513">
        <v>121658</v>
      </c>
      <c r="AB582" s="513">
        <v>613</v>
      </c>
      <c r="AC582" s="513">
        <v>1</v>
      </c>
      <c r="AD582" s="513">
        <v>16430</v>
      </c>
      <c r="AE582" s="513">
        <v>240</v>
      </c>
      <c r="AF582" s="513">
        <v>190</v>
      </c>
      <c r="AG582" s="513">
        <v>13</v>
      </c>
      <c r="AH582" s="514">
        <v>0</v>
      </c>
    </row>
    <row r="583">
      <c r="A583" s="498"/>
      <c r="B583" s="574" t="s">
        <v>268</v>
      </c>
      <c r="C583" s="534" t="s">
        <v>272</v>
      </c>
      <c r="D583" s="541">
        <v>1338.876</v>
      </c>
      <c r="E583" s="542">
        <v>1</v>
      </c>
      <c r="F583" s="519">
        <v>228</v>
      </c>
      <c r="G583" s="504">
        <f t="shared" si="69"/>
      </c>
      <c r="H583" s="505">
        <f t="shared" si="368"/>
      </c>
      <c r="I583" s="506">
        <f t="shared" si="304"/>
      </c>
      <c r="J583" s="507">
        <f t="shared" si="240"/>
      </c>
      <c r="K583" s="508">
        <f t="shared" si="652"/>
      </c>
      <c r="L583" s="505">
        <f t="shared" si="436"/>
      </c>
      <c r="M583" s="509">
        <f t="shared" si="526"/>
      </c>
      <c r="N583" s="509">
        <f t="shared" si="562"/>
      </c>
      <c r="O583" s="509">
        <f t="shared" si="467"/>
      </c>
      <c r="P583" s="509">
        <f t="shared" si="399"/>
      </c>
      <c r="Q583" s="505">
        <f t="shared" si="337"/>
      </c>
      <c r="R583" s="507">
        <f t="shared" si="273"/>
      </c>
      <c r="S583" s="509">
        <f t="shared" si="176"/>
      </c>
      <c r="T583" s="509">
        <f t="shared" si="106"/>
      </c>
      <c r="U583" s="509">
        <f t="shared" si="32"/>
      </c>
      <c r="V583" s="509">
        <f t="shared" si="593"/>
      </c>
      <c r="W583" s="520" t="s">
        <v>255</v>
      </c>
      <c r="X583" s="511" t="s">
        <v>279</v>
      </c>
      <c r="Y583" s="513">
        <v>142277</v>
      </c>
      <c r="Z583" s="513">
        <v>10145</v>
      </c>
      <c r="AA583" s="513">
        <v>138004</v>
      </c>
      <c r="AB583" s="513">
        <v>534</v>
      </c>
      <c r="AC583" s="513">
        <v>1</v>
      </c>
      <c r="AD583" s="513">
        <v>15974</v>
      </c>
      <c r="AE583" s="513">
        <v>232</v>
      </c>
      <c r="AF583" s="513">
        <v>206</v>
      </c>
      <c r="AG583" s="514">
        <v>8</v>
      </c>
      <c r="AH583" s="514">
        <v>0</v>
      </c>
    </row>
    <row r="584">
      <c r="A584" s="498"/>
      <c r="B584" s="574" t="s">
        <v>268</v>
      </c>
      <c r="C584" s="537" t="s">
        <v>273</v>
      </c>
      <c r="D584" s="541">
        <v>1398.605</v>
      </c>
      <c r="E584" s="542">
        <v>5</v>
      </c>
      <c r="F584" s="519">
        <v>1707.6000000000004</v>
      </c>
      <c r="G584" s="504">
        <f t="shared" si="69"/>
      </c>
      <c r="H584" s="505">
        <f t="shared" si="368"/>
      </c>
      <c r="I584" s="506">
        <f t="shared" si="304"/>
      </c>
      <c r="J584" s="507">
        <f t="shared" si="240"/>
      </c>
      <c r="K584" s="508">
        <f t="shared" si="652"/>
      </c>
      <c r="L584" s="505">
        <f t="shared" si="436"/>
      </c>
      <c r="M584" s="509">
        <f t="shared" si="526"/>
      </c>
      <c r="N584" s="509">
        <f t="shared" si="562"/>
      </c>
      <c r="O584" s="509">
        <f t="shared" si="467"/>
      </c>
      <c r="P584" s="509">
        <f t="shared" si="399"/>
      </c>
      <c r="Q584" s="505">
        <f t="shared" si="337"/>
      </c>
      <c r="R584" s="507">
        <f t="shared" si="273"/>
      </c>
      <c r="S584" s="509">
        <f t="shared" si="176"/>
      </c>
      <c r="T584" s="509">
        <f t="shared" si="106"/>
      </c>
      <c r="U584" s="509">
        <f t="shared" si="32"/>
      </c>
      <c r="V584" s="509">
        <f t="shared" si="593"/>
      </c>
      <c r="W584" s="520" t="s">
        <v>255</v>
      </c>
      <c r="X584" s="511" t="s">
        <v>279</v>
      </c>
      <c r="Y584" s="513">
        <v>155535</v>
      </c>
      <c r="Z584" s="513">
        <v>8926</v>
      </c>
      <c r="AA584" s="513">
        <v>130419</v>
      </c>
      <c r="AB584" s="513">
        <v>635</v>
      </c>
      <c r="AC584" s="513">
        <v>4</v>
      </c>
      <c r="AD584" s="513">
        <v>16261</v>
      </c>
      <c r="AE584" s="513">
        <v>246</v>
      </c>
      <c r="AF584" s="513">
        <v>191</v>
      </c>
      <c r="AG584" s="514">
        <v>9</v>
      </c>
      <c r="AH584" s="514">
        <v>2</v>
      </c>
    </row>
    <row r="585">
      <c r="A585" s="498"/>
      <c r="B585" s="574" t="s">
        <v>268</v>
      </c>
      <c r="C585" s="534" t="s">
        <v>274</v>
      </c>
      <c r="D585" s="535">
        <v>1830.612</v>
      </c>
      <c r="E585" s="502">
        <v>6</v>
      </c>
      <c r="F585" s="503">
        <v>1926.2999999999993</v>
      </c>
      <c r="G585" s="504">
        <f t="shared" si="69"/>
      </c>
      <c r="H585" s="505">
        <f t="shared" si="368"/>
      </c>
      <c r="I585" s="560">
        <f t="shared" si="304"/>
      </c>
      <c r="J585" s="559">
        <f t="shared" si="240"/>
      </c>
      <c r="K585" s="556">
        <f t="shared" ref="K585:K586" si="145">D585/AB585</f>
      </c>
      <c r="L585" s="557">
        <f t="shared" si="436"/>
      </c>
      <c r="M585" s="558">
        <f t="shared" ref="M585:M586" si="207">AC585/AB585</f>
      </c>
      <c r="N585" s="558">
        <f t="shared" si="562"/>
      </c>
      <c r="O585" s="558">
        <f t="shared" si="467"/>
      </c>
      <c r="P585" s="558">
        <f t="shared" si="399"/>
      </c>
      <c r="Q585" s="557">
        <f t="shared" si="337"/>
      </c>
      <c r="R585" s="559">
        <f t="shared" si="273"/>
      </c>
      <c r="S585" s="558">
        <f t="shared" si="176"/>
      </c>
      <c r="T585" s="558">
        <f t="shared" si="106"/>
      </c>
      <c r="U585" s="558">
        <f t="shared" si="32"/>
      </c>
      <c r="V585" s="558">
        <f t="shared" si="593"/>
      </c>
      <c r="W585" s="520" t="s">
        <v>255</v>
      </c>
      <c r="X585" s="511" t="s">
        <v>279</v>
      </c>
      <c r="Y585" s="513">
        <v>248468</v>
      </c>
      <c r="Z585" s="513">
        <v>12447</v>
      </c>
      <c r="AA585" s="513">
        <v>188797</v>
      </c>
      <c r="AB585" s="536">
        <v>1025</v>
      </c>
      <c r="AC585" s="536">
        <v>5</v>
      </c>
      <c r="AD585" s="536">
        <v>23932</v>
      </c>
      <c r="AE585" s="536">
        <v>409</v>
      </c>
      <c r="AF585" s="536">
        <v>300</v>
      </c>
      <c r="AG585" s="536">
        <v>18</v>
      </c>
      <c r="AH585" s="514">
        <v>1</v>
      </c>
    </row>
    <row r="586">
      <c r="A586" s="498"/>
      <c r="B586" s="574" t="s">
        <v>268</v>
      </c>
      <c r="C586" s="555" t="s">
        <v>275</v>
      </c>
      <c r="D586" s="541">
        <v>1637.757</v>
      </c>
      <c r="E586" s="542">
        <v>3</v>
      </c>
      <c r="F586" s="519">
        <v>1852</v>
      </c>
      <c r="G586" s="504">
        <f t="shared" si="69"/>
      </c>
      <c r="H586" s="505">
        <f t="shared" si="368"/>
      </c>
      <c r="I586" s="560">
        <f t="shared" si="304"/>
      </c>
      <c r="J586" s="559">
        <f t="shared" si="240"/>
      </c>
      <c r="K586" s="556">
        <f t="shared" si="145"/>
      </c>
      <c r="L586" s="557">
        <f t="shared" si="436"/>
      </c>
      <c r="M586" s="558">
        <f t="shared" si="207"/>
      </c>
      <c r="N586" s="558">
        <f t="shared" si="562"/>
      </c>
      <c r="O586" s="558">
        <f t="shared" si="467"/>
      </c>
      <c r="P586" s="558">
        <f t="shared" si="399"/>
      </c>
      <c r="Q586" s="557">
        <f t="shared" si="337"/>
      </c>
      <c r="R586" s="559">
        <f t="shared" si="273"/>
      </c>
      <c r="S586" s="558">
        <f t="shared" si="176"/>
      </c>
      <c r="T586" s="558">
        <f t="shared" si="106"/>
      </c>
      <c r="U586" s="558">
        <f t="shared" si="32"/>
      </c>
      <c r="V586" s="558">
        <f t="shared" si="593"/>
      </c>
      <c r="W586" s="520" t="s">
        <v>255</v>
      </c>
      <c r="X586" s="511" t="s">
        <v>279</v>
      </c>
      <c r="Y586" s="513">
        <v>255027</v>
      </c>
      <c r="Z586" s="513">
        <v>10221</v>
      </c>
      <c r="AA586" s="513">
        <v>167500</v>
      </c>
      <c r="AB586" s="513">
        <v>1007</v>
      </c>
      <c r="AC586" s="513">
        <v>3</v>
      </c>
      <c r="AD586" s="513">
        <v>18990</v>
      </c>
      <c r="AE586" s="513">
        <v>373</v>
      </c>
      <c r="AF586" s="513">
        <v>262</v>
      </c>
      <c r="AG586" s="514">
        <v>29</v>
      </c>
      <c r="AH586" s="514">
        <v>0</v>
      </c>
    </row>
    <row r="587">
      <c r="A587" s="498"/>
      <c r="B587" s="538" t="s">
        <v>261</v>
      </c>
      <c r="C587" s="538"/>
      <c r="D587" s="522">
        <f>SUM(D582:D586)</f>
      </c>
      <c r="E587" s="522">
        <f>SUM(E582:E586)</f>
      </c>
      <c r="F587" s="522">
        <f>SUM(F582:F586)</f>
      </c>
      <c r="G587" s="522">
        <f t="shared" si="69"/>
      </c>
      <c r="H587" s="524">
        <f t="shared" si="368"/>
      </c>
      <c r="I587" s="525">
        <f t="shared" si="304"/>
      </c>
      <c r="J587" s="526">
        <f t="shared" si="240"/>
      </c>
      <c r="K587" s="527">
        <f t="shared" ref="K587:K588" si="653">D587/AA587</f>
      </c>
      <c r="L587" s="524">
        <f t="shared" si="436"/>
      </c>
      <c r="M587" s="528">
        <f t="shared" ref="M587:M588" si="527">AB587/AA587</f>
      </c>
      <c r="N587" s="528">
        <f t="shared" si="562"/>
      </c>
      <c r="O587" s="528">
        <f t="shared" si="467"/>
      </c>
      <c r="P587" s="528">
        <f t="shared" si="399"/>
      </c>
      <c r="Q587" s="524">
        <f t="shared" si="337"/>
      </c>
      <c r="R587" s="526">
        <f t="shared" si="273"/>
      </c>
      <c r="S587" s="528">
        <f t="shared" si="176"/>
      </c>
      <c r="T587" s="528">
        <f t="shared" si="106"/>
      </c>
      <c r="U587" s="528">
        <f t="shared" si="32"/>
      </c>
      <c r="V587" s="528">
        <f t="shared" si="593"/>
      </c>
      <c r="W587" s="528"/>
      <c r="X587" s="529"/>
      <c r="Y587" s="522">
        <f>SUM(Y582:Y586)</f>
      </c>
      <c r="Z587" s="522">
        <f>SUM(Z582:Z586)</f>
      </c>
      <c r="AA587" s="522">
        <f>SUM(AA582:AA586)</f>
      </c>
      <c r="AB587" s="522">
        <f>SUM(AB582:AB586)</f>
      </c>
      <c r="AC587" s="522">
        <f>SUM(AC582:AC586)</f>
      </c>
      <c r="AD587" s="522">
        <f>SUM(AD582:AD586)</f>
      </c>
      <c r="AE587" s="522">
        <f>SUM(AE582:AE586)</f>
      </c>
      <c r="AF587" s="522">
        <f>SUM(AF582:AF586)</f>
      </c>
      <c r="AG587" s="522">
        <f>SUM(AG582:AG586)</f>
      </c>
      <c r="AH587" s="522">
        <f>SUM(AH582:AH586)</f>
      </c>
    </row>
    <row r="588">
      <c r="A588" s="498"/>
      <c r="B588" s="543" t="s">
        <v>276</v>
      </c>
      <c r="C588" s="543"/>
      <c r="D588" s="554">
        <f>SUM(D575+D587+D581)</f>
      </c>
      <c r="E588" s="554">
        <f>SUM(E575+E587+E581)</f>
      </c>
      <c r="F588" s="554">
        <f>SUM(F575+F587+F581)</f>
      </c>
      <c r="G588" s="544">
        <f t="shared" si="69"/>
      </c>
      <c r="H588" s="545">
        <f t="shared" si="368"/>
      </c>
      <c r="I588" s="546">
        <f t="shared" si="304"/>
      </c>
      <c r="J588" s="547">
        <f t="shared" si="240"/>
      </c>
      <c r="K588" s="548">
        <f t="shared" si="653"/>
      </c>
      <c r="L588" s="548">
        <f t="shared" si="436"/>
      </c>
      <c r="M588" s="550">
        <f t="shared" si="527"/>
      </c>
      <c r="N588" s="550">
        <f t="shared" si="562"/>
      </c>
      <c r="O588" s="550">
        <f t="shared" si="467"/>
      </c>
      <c r="P588" s="550">
        <f t="shared" si="399"/>
      </c>
      <c r="Q588" s="549">
        <f t="shared" si="337"/>
      </c>
      <c r="R588" s="551">
        <f t="shared" si="273"/>
      </c>
      <c r="S588" s="552">
        <f t="shared" si="176"/>
      </c>
      <c r="T588" s="552">
        <f t="shared" si="106"/>
      </c>
      <c r="U588" s="552">
        <f t="shared" si="32"/>
      </c>
      <c r="V588" s="552">
        <f t="shared" si="593"/>
      </c>
      <c r="W588" s="552"/>
      <c r="X588" s="553"/>
      <c r="Y588" s="544">
        <f>SUM(Y587+Y575+Y581)</f>
      </c>
      <c r="Z588" s="544">
        <f>SUM(Z587+Z575+Z581)</f>
      </c>
      <c r="AA588" s="544">
        <f>SUM(AA587+AA575+AA581)</f>
      </c>
      <c r="AB588" s="544">
        <f>SUM(AB587+AB575+AB581)</f>
      </c>
      <c r="AC588" s="544">
        <f>SUM(AC587+AC575+AC581)</f>
      </c>
      <c r="AD588" s="544">
        <f>SUM(AD587+AD575+AD581)</f>
      </c>
      <c r="AE588" s="544">
        <f>SUM(AE587+AE575+AE581)</f>
      </c>
      <c r="AF588" s="544">
        <f>SUM(AF587+AF575+AF581)</f>
      </c>
      <c r="AG588" s="544">
        <f>SUM(AG587+AG575+AG581)</f>
      </c>
      <c r="AH588" s="544">
        <f>SUM(AH587+AH575+AH581)</f>
      </c>
    </row>
    <row r="589">
      <c r="A589" s="486" t="s">
        <v>218</v>
      </c>
      <c r="B589" s="561" t="s">
        <v>219</v>
      </c>
      <c r="C589" s="562" t="s">
        <v>220</v>
      </c>
      <c r="D589" s="487" t="s">
        <v>221</v>
      </c>
      <c r="E589" s="488" t="s">
        <v>222</v>
      </c>
      <c r="F589" s="489" t="s">
        <v>223</v>
      </c>
      <c r="G589" s="489" t="s">
        <v>224</v>
      </c>
      <c r="H589" s="490" t="s">
        <v>225</v>
      </c>
      <c r="I589" s="490" t="s">
        <v>226</v>
      </c>
      <c r="J589" s="490" t="s">
        <v>227</v>
      </c>
      <c r="K589" s="491" t="s">
        <v>228</v>
      </c>
      <c r="L589" s="491" t="s">
        <v>229</v>
      </c>
      <c r="M589" s="491" t="s">
        <v>231</v>
      </c>
      <c r="N589" s="491" t="s">
        <v>232</v>
      </c>
      <c r="O589" s="491" t="s">
        <v>233</v>
      </c>
      <c r="P589" s="491" t="s">
        <v>234</v>
      </c>
      <c r="Q589" s="491" t="s">
        <v>235</v>
      </c>
      <c r="R589" s="491" t="s">
        <v>236</v>
      </c>
      <c r="S589" s="492" t="s">
        <v>237</v>
      </c>
      <c r="T589" s="492" t="s">
        <v>238</v>
      </c>
      <c r="U589" s="492" t="s">
        <v>239</v>
      </c>
      <c r="V589" s="492" t="s">
        <v>240</v>
      </c>
      <c r="W589" s="493" t="s">
        <v>241</v>
      </c>
      <c r="X589" s="493" t="s">
        <v>242</v>
      </c>
      <c r="Y589" s="494" t="s">
        <v>243</v>
      </c>
      <c r="Z589" s="494" t="s">
        <v>244</v>
      </c>
      <c r="AA589" s="494" t="s">
        <v>245</v>
      </c>
      <c r="AB589" s="495" t="s">
        <v>246</v>
      </c>
      <c r="AC589" s="495" t="s">
        <v>247</v>
      </c>
      <c r="AD589" s="496" t="s">
        <v>248</v>
      </c>
      <c r="AE589" s="495" t="s">
        <v>249</v>
      </c>
      <c r="AF589" s="495" t="s">
        <v>250</v>
      </c>
      <c r="AG589" s="497" t="s">
        <v>251</v>
      </c>
      <c r="AH589" s="495" t="s">
        <v>252</v>
      </c>
    </row>
    <row r="590">
      <c r="A590" s="498">
        <v>46233</v>
      </c>
      <c r="B590" s="499" t="s">
        <v>277</v>
      </c>
      <c r="C590" s="500" t="s">
        <v>254</v>
      </c>
      <c r="D590" s="501">
        <v>670.476</v>
      </c>
      <c r="E590" s="502">
        <v>0</v>
      </c>
      <c r="F590" s="503">
        <v>0</v>
      </c>
      <c r="G590" s="504">
        <f t="shared" ref="G590:G608" si="70">D590/AC590</f>
      </c>
      <c r="H590" s="505">
        <f t="shared" ref="H590:H608" si="369">F590/E590</f>
      </c>
      <c r="I590" s="506">
        <f t="shared" ref="I590:I608" si="305">D590/E590</f>
      </c>
      <c r="J590" s="507">
        <f t="shared" ref="J590:J608" si="241">F590/D590</f>
      </c>
      <c r="K590" s="508">
        <f t="shared" ref="K590:K604" si="654">D590/AA590</f>
      </c>
      <c r="L590" s="505">
        <f t="shared" ref="L590:L608" si="437">D590/AB590</f>
      </c>
      <c r="M590" s="509">
        <f t="shared" ref="M590:M604" si="528">AB590/AA590</f>
      </c>
      <c r="N590" s="509">
        <f t="shared" ref="N590:N608" si="563">AC590/AB590</f>
      </c>
      <c r="O590" s="509">
        <f t="shared" ref="O590:O608" si="468">Z590/Y590</f>
      </c>
      <c r="P590" s="509">
        <f t="shared" ref="P590:P608" si="400">AC590/Z590</f>
      </c>
      <c r="Q590" s="505">
        <f t="shared" ref="Q590:Q608" si="338">D590/Y590*1000</f>
      </c>
      <c r="R590" s="507">
        <f t="shared" ref="R590:R608" si="274">D590/Z590</f>
      </c>
      <c r="S590" s="509">
        <f t="shared" ref="S590:S608" si="177">AD590/AA590</f>
      </c>
      <c r="T590" s="509">
        <f t="shared" ref="T590:T608" si="107">AE590/AA590</f>
      </c>
      <c r="U590" s="509">
        <f t="shared" ref="U590:U608" si="33">AF590/AA590</f>
      </c>
      <c r="V590" s="509">
        <f t="shared" ref="V590:V608" si="594">AG590/AA590</f>
      </c>
      <c r="W590" s="510" t="s">
        <v>255</v>
      </c>
      <c r="X590" s="511" t="s">
        <v>286</v>
      </c>
      <c r="Y590" s="512">
        <v>61991</v>
      </c>
      <c r="Z590" s="512">
        <v>3981</v>
      </c>
      <c r="AA590" s="512">
        <v>45605</v>
      </c>
      <c r="AB590" s="512">
        <v>502</v>
      </c>
      <c r="AC590" s="514">
        <v>4</v>
      </c>
      <c r="AD590" s="512">
        <v>11270</v>
      </c>
      <c r="AE590" s="513">
        <v>281</v>
      </c>
      <c r="AF590" s="513">
        <v>93</v>
      </c>
      <c r="AG590" s="513">
        <v>12</v>
      </c>
      <c r="AH590" s="514">
        <v>0</v>
      </c>
    </row>
    <row r="591">
      <c r="A591" s="498"/>
      <c r="B591" s="499" t="s">
        <v>277</v>
      </c>
      <c r="C591" s="500" t="s">
        <v>257</v>
      </c>
      <c r="D591" s="501">
        <v>2645.093</v>
      </c>
      <c r="E591" s="502">
        <v>5</v>
      </c>
      <c r="F591" s="503">
        <v>1740</v>
      </c>
      <c r="G591" s="504">
        <f t="shared" si="70"/>
      </c>
      <c r="H591" s="505">
        <f t="shared" si="369"/>
      </c>
      <c r="I591" s="506">
        <f t="shared" si="305"/>
      </c>
      <c r="J591" s="507">
        <f t="shared" si="241"/>
      </c>
      <c r="K591" s="508">
        <f t="shared" si="654"/>
      </c>
      <c r="L591" s="505">
        <f t="shared" si="437"/>
      </c>
      <c r="M591" s="509">
        <f t="shared" si="528"/>
      </c>
      <c r="N591" s="509">
        <f t="shared" si="563"/>
      </c>
      <c r="O591" s="509">
        <f t="shared" si="468"/>
      </c>
      <c r="P591" s="509">
        <f t="shared" si="400"/>
      </c>
      <c r="Q591" s="505">
        <f t="shared" si="338"/>
      </c>
      <c r="R591" s="507">
        <f t="shared" si="274"/>
      </c>
      <c r="S591" s="509">
        <f t="shared" si="177"/>
      </c>
      <c r="T591" s="509">
        <f t="shared" si="107"/>
      </c>
      <c r="U591" s="509">
        <f t="shared" si="33"/>
      </c>
      <c r="V591" s="509">
        <f t="shared" si="594"/>
      </c>
      <c r="W591" s="510" t="s">
        <v>255</v>
      </c>
      <c r="X591" s="511" t="s">
        <v>286</v>
      </c>
      <c r="Y591" s="514">
        <v>229143</v>
      </c>
      <c r="Z591" s="512">
        <v>11075</v>
      </c>
      <c r="AA591" s="512">
        <v>212159</v>
      </c>
      <c r="AB591" s="512">
        <v>1509</v>
      </c>
      <c r="AC591" s="513">
        <v>2</v>
      </c>
      <c r="AD591" s="512">
        <v>44998</v>
      </c>
      <c r="AE591" s="513">
        <v>617</v>
      </c>
      <c r="AF591" s="513">
        <v>429</v>
      </c>
      <c r="AG591" s="514">
        <v>41</v>
      </c>
      <c r="AH591" s="514">
        <v>0</v>
      </c>
    </row>
    <row r="592">
      <c r="A592" s="498"/>
      <c r="B592" s="499" t="s">
        <v>277</v>
      </c>
      <c r="C592" s="515" t="s">
        <v>258</v>
      </c>
      <c r="D592" s="565">
        <v>3448.471</v>
      </c>
      <c r="E592" s="502">
        <v>14</v>
      </c>
      <c r="F592" s="503">
        <v>5771.5</v>
      </c>
      <c r="G592" s="504">
        <f t="shared" si="70"/>
      </c>
      <c r="H592" s="505">
        <f t="shared" si="369"/>
      </c>
      <c r="I592" s="506">
        <f t="shared" si="305"/>
      </c>
      <c r="J592" s="507">
        <f t="shared" si="241"/>
      </c>
      <c r="K592" s="508">
        <f t="shared" si="654"/>
      </c>
      <c r="L592" s="505">
        <f t="shared" si="437"/>
      </c>
      <c r="M592" s="509">
        <f t="shared" si="528"/>
      </c>
      <c r="N592" s="509">
        <f t="shared" si="563"/>
      </c>
      <c r="O592" s="509">
        <f t="shared" si="468"/>
      </c>
      <c r="P592" s="509">
        <f t="shared" si="400"/>
      </c>
      <c r="Q592" s="505">
        <f t="shared" si="338"/>
      </c>
      <c r="R592" s="507">
        <f t="shared" si="274"/>
      </c>
      <c r="S592" s="509">
        <f t="shared" si="177"/>
      </c>
      <c r="T592" s="509">
        <f t="shared" si="107"/>
      </c>
      <c r="U592" s="509">
        <f t="shared" si="33"/>
      </c>
      <c r="V592" s="509">
        <f t="shared" si="594"/>
      </c>
      <c r="W592" s="510" t="s">
        <v>255</v>
      </c>
      <c r="X592" s="511" t="s">
        <v>286</v>
      </c>
      <c r="Y592" s="513">
        <v>292866</v>
      </c>
      <c r="Z592" s="512">
        <v>14658</v>
      </c>
      <c r="AA592" s="512">
        <v>265434</v>
      </c>
      <c r="AB592" s="512">
        <v>1854</v>
      </c>
      <c r="AC592" s="513">
        <v>12</v>
      </c>
      <c r="AD592" s="512">
        <v>46902</v>
      </c>
      <c r="AE592" s="513">
        <v>875</v>
      </c>
      <c r="AF592" s="513">
        <v>474</v>
      </c>
      <c r="AG592" s="513">
        <v>56</v>
      </c>
      <c r="AH592" s="514">
        <v>3</v>
      </c>
    </row>
    <row r="593">
      <c r="A593" s="498"/>
      <c r="B593" s="499" t="s">
        <v>277</v>
      </c>
      <c r="C593" s="572" t="s">
        <v>259</v>
      </c>
      <c r="D593" s="573">
        <v>2194.3940000000002</v>
      </c>
      <c r="E593" s="568">
        <v>6</v>
      </c>
      <c r="F593" s="503">
        <v>1894.2999999999993</v>
      </c>
      <c r="G593" s="504">
        <f t="shared" si="70"/>
      </c>
      <c r="H593" s="505">
        <f t="shared" si="369"/>
      </c>
      <c r="I593" s="506">
        <f t="shared" si="305"/>
      </c>
      <c r="J593" s="507">
        <f t="shared" si="241"/>
      </c>
      <c r="K593" s="508">
        <f t="shared" si="654"/>
      </c>
      <c r="L593" s="505">
        <f t="shared" si="437"/>
      </c>
      <c r="M593" s="509">
        <f t="shared" si="528"/>
      </c>
      <c r="N593" s="509">
        <f t="shared" si="563"/>
      </c>
      <c r="O593" s="509">
        <f t="shared" si="468"/>
      </c>
      <c r="P593" s="509">
        <f t="shared" si="400"/>
      </c>
      <c r="Q593" s="505">
        <f t="shared" si="338"/>
      </c>
      <c r="R593" s="507">
        <f t="shared" si="274"/>
      </c>
      <c r="S593" s="509">
        <f t="shared" si="177"/>
      </c>
      <c r="T593" s="509">
        <f t="shared" si="107"/>
      </c>
      <c r="U593" s="509">
        <f t="shared" si="33"/>
      </c>
      <c r="V593" s="509">
        <f t="shared" si="594"/>
      </c>
      <c r="W593" s="504" t="s">
        <v>255</v>
      </c>
      <c r="X593" s="511" t="s">
        <v>286</v>
      </c>
      <c r="Y593" s="513">
        <v>216784</v>
      </c>
      <c r="Z593" s="513">
        <v>9512</v>
      </c>
      <c r="AA593" s="513">
        <v>163491</v>
      </c>
      <c r="AB593" s="513">
        <v>1164</v>
      </c>
      <c r="AC593" s="513">
        <v>7</v>
      </c>
      <c r="AD593" s="513">
        <v>25204</v>
      </c>
      <c r="AE593" s="513">
        <v>387</v>
      </c>
      <c r="AF593" s="513">
        <v>274</v>
      </c>
      <c r="AG593" s="514">
        <v>23</v>
      </c>
      <c r="AH593" s="514">
        <v>1</v>
      </c>
    </row>
    <row r="594">
      <c r="A594" s="498"/>
      <c r="B594" s="499" t="s">
        <v>277</v>
      </c>
      <c r="C594" s="516" t="s">
        <v>260</v>
      </c>
      <c r="D594" s="517">
        <v>4822.041</v>
      </c>
      <c r="E594" s="518">
        <v>6</v>
      </c>
      <c r="F594" s="519">
        <v>1872</v>
      </c>
      <c r="G594" s="504">
        <f t="shared" si="70"/>
      </c>
      <c r="H594" s="505">
        <f t="shared" si="369"/>
      </c>
      <c r="I594" s="506">
        <f t="shared" si="305"/>
      </c>
      <c r="J594" s="507">
        <f t="shared" si="241"/>
      </c>
      <c r="K594" s="508">
        <f t="shared" si="654"/>
      </c>
      <c r="L594" s="505">
        <f t="shared" si="437"/>
      </c>
      <c r="M594" s="509">
        <f t="shared" si="528"/>
      </c>
      <c r="N594" s="509">
        <f t="shared" si="563"/>
      </c>
      <c r="O594" s="509">
        <f t="shared" si="468"/>
      </c>
      <c r="P594" s="509">
        <f t="shared" si="400"/>
      </c>
      <c r="Q594" s="505">
        <f t="shared" si="338"/>
      </c>
      <c r="R594" s="507">
        <f t="shared" si="274"/>
      </c>
      <c r="S594" s="509">
        <f t="shared" si="177"/>
      </c>
      <c r="T594" s="509">
        <f t="shared" si="107"/>
      </c>
      <c r="U594" s="509">
        <f t="shared" si="33"/>
      </c>
      <c r="V594" s="509">
        <f t="shared" si="594"/>
      </c>
      <c r="W594" s="520" t="s">
        <v>255</v>
      </c>
      <c r="X594" s="511" t="s">
        <v>286</v>
      </c>
      <c r="Y594" s="513">
        <v>418859</v>
      </c>
      <c r="Z594" s="513">
        <v>20201</v>
      </c>
      <c r="AA594" s="513">
        <v>352960</v>
      </c>
      <c r="AB594" s="513">
        <v>2376</v>
      </c>
      <c r="AC594" s="513">
        <v>6</v>
      </c>
      <c r="AD594" s="513">
        <v>56507</v>
      </c>
      <c r="AE594" s="513">
        <v>940</v>
      </c>
      <c r="AF594" s="513">
        <v>711</v>
      </c>
      <c r="AG594" s="514">
        <v>88</v>
      </c>
      <c r="AH594" s="514">
        <v>0</v>
      </c>
    </row>
    <row r="595">
      <c r="A595" s="498"/>
      <c r="B595" s="521" t="s">
        <v>261</v>
      </c>
      <c r="C595" s="521"/>
      <c r="D595" s="522">
        <f>SUM(D590:D594)</f>
      </c>
      <c r="E595" s="523">
        <f>SUM(E590:E594)</f>
      </c>
      <c r="F595" s="522">
        <f>SUM(F590:F594)</f>
      </c>
      <c r="G595" s="522">
        <f t="shared" si="70"/>
      </c>
      <c r="H595" s="524">
        <f t="shared" si="369"/>
      </c>
      <c r="I595" s="525">
        <f t="shared" si="305"/>
      </c>
      <c r="J595" s="526">
        <f t="shared" si="241"/>
      </c>
      <c r="K595" s="527">
        <f t="shared" si="654"/>
      </c>
      <c r="L595" s="524">
        <f t="shared" si="437"/>
      </c>
      <c r="M595" s="528">
        <f t="shared" si="528"/>
      </c>
      <c r="N595" s="528">
        <f t="shared" si="563"/>
      </c>
      <c r="O595" s="528">
        <f t="shared" si="468"/>
      </c>
      <c r="P595" s="528">
        <f t="shared" si="400"/>
      </c>
      <c r="Q595" s="524">
        <f t="shared" si="338"/>
      </c>
      <c r="R595" s="526">
        <f t="shared" si="274"/>
      </c>
      <c r="S595" s="528">
        <f t="shared" si="177"/>
      </c>
      <c r="T595" s="528">
        <f t="shared" si="107"/>
      </c>
      <c r="U595" s="528">
        <f t="shared" si="33"/>
      </c>
      <c r="V595" s="528">
        <f t="shared" si="594"/>
      </c>
      <c r="W595" s="528"/>
      <c r="X595" s="529"/>
      <c r="Y595" s="522">
        <f>SUM(Y590:Y594)</f>
      </c>
      <c r="Z595" s="522">
        <f>SUM(Z590:Z594)</f>
      </c>
      <c r="AA595" s="522">
        <f>SUM(AA590:AA594)</f>
      </c>
      <c r="AB595" s="522">
        <f>SUM(AB590:AB594)</f>
      </c>
      <c r="AC595" s="522">
        <f>SUM(AC590:AC594)</f>
      </c>
      <c r="AD595" s="522">
        <f>SUM(AD590:AD594)</f>
      </c>
      <c r="AE595" s="522">
        <f>SUM(AE590:AE594)</f>
      </c>
      <c r="AF595" s="522">
        <f>SUM(AF590:AF594)</f>
      </c>
      <c r="AG595" s="522">
        <f>SUM(AG590:AG594)</f>
      </c>
      <c r="AH595" s="522">
        <f>SUM(AH590:AH594)</f>
      </c>
    </row>
    <row r="596">
      <c r="A596" s="498"/>
      <c r="B596" s="499" t="s">
        <v>253</v>
      </c>
      <c r="C596" s="531" t="s">
        <v>263</v>
      </c>
      <c r="D596" s="532">
        <v>3195.049</v>
      </c>
      <c r="E596" s="502">
        <v>6</v>
      </c>
      <c r="F596" s="503">
        <v>1893.2000000000007</v>
      </c>
      <c r="G596" s="504">
        <f t="shared" si="70"/>
      </c>
      <c r="H596" s="505">
        <f t="shared" si="369"/>
      </c>
      <c r="I596" s="506">
        <f t="shared" si="305"/>
      </c>
      <c r="J596" s="507">
        <f t="shared" si="241"/>
      </c>
      <c r="K596" s="508">
        <f t="shared" si="654"/>
      </c>
      <c r="L596" s="505">
        <f t="shared" si="437"/>
      </c>
      <c r="M596" s="509">
        <f t="shared" si="528"/>
      </c>
      <c r="N596" s="509">
        <f t="shared" si="563"/>
      </c>
      <c r="O596" s="509">
        <f t="shared" si="468"/>
      </c>
      <c r="P596" s="509">
        <f t="shared" si="400"/>
      </c>
      <c r="Q596" s="505">
        <f t="shared" si="338"/>
      </c>
      <c r="R596" s="507">
        <f t="shared" si="274"/>
      </c>
      <c r="S596" s="509">
        <f t="shared" si="177"/>
      </c>
      <c r="T596" s="509">
        <f t="shared" si="107"/>
      </c>
      <c r="U596" s="509">
        <f t="shared" si="33"/>
      </c>
      <c r="V596" s="509">
        <f t="shared" si="594"/>
      </c>
      <c r="W596" s="520" t="s">
        <v>255</v>
      </c>
      <c r="X596" s="511" t="s">
        <v>286</v>
      </c>
      <c r="Y596" s="512">
        <v>215592</v>
      </c>
      <c r="Z596" s="512">
        <v>12722</v>
      </c>
      <c r="AA596" s="512">
        <v>207683</v>
      </c>
      <c r="AB596" s="513">
        <v>1296</v>
      </c>
      <c r="AC596" s="513">
        <v>5</v>
      </c>
      <c r="AD596" s="512">
        <v>32625</v>
      </c>
      <c r="AE596" s="513">
        <v>504</v>
      </c>
      <c r="AF596" s="513">
        <v>386</v>
      </c>
      <c r="AG596" s="513">
        <v>52</v>
      </c>
      <c r="AH596" s="514">
        <v>1</v>
      </c>
    </row>
    <row r="597">
      <c r="A597" s="498"/>
      <c r="B597" s="499" t="s">
        <v>253</v>
      </c>
      <c r="C597" s="533" t="s">
        <v>264</v>
      </c>
      <c r="D597" s="532">
        <v>2736.415</v>
      </c>
      <c r="E597" s="518">
        <v>17</v>
      </c>
      <c r="F597" s="519">
        <v>6655.5999999999985</v>
      </c>
      <c r="G597" s="504">
        <f t="shared" si="70"/>
      </c>
      <c r="H597" s="505">
        <f t="shared" si="369"/>
      </c>
      <c r="I597" s="506">
        <f t="shared" si="305"/>
      </c>
      <c r="J597" s="507">
        <f t="shared" si="241"/>
      </c>
      <c r="K597" s="508">
        <f t="shared" si="654"/>
      </c>
      <c r="L597" s="505">
        <f t="shared" si="437"/>
      </c>
      <c r="M597" s="509">
        <f t="shared" si="528"/>
      </c>
      <c r="N597" s="509">
        <f t="shared" si="563"/>
      </c>
      <c r="O597" s="509">
        <f t="shared" si="468"/>
      </c>
      <c r="P597" s="509">
        <f t="shared" si="400"/>
      </c>
      <c r="Q597" s="505">
        <f t="shared" si="338"/>
      </c>
      <c r="R597" s="507">
        <f t="shared" si="274"/>
      </c>
      <c r="S597" s="509">
        <f t="shared" si="177"/>
      </c>
      <c r="T597" s="509">
        <f t="shared" si="107"/>
      </c>
      <c r="U597" s="509">
        <f t="shared" si="33"/>
      </c>
      <c r="V597" s="509">
        <f t="shared" si="594"/>
      </c>
      <c r="W597" s="520" t="s">
        <v>255</v>
      </c>
      <c r="X597" s="511" t="s">
        <v>286</v>
      </c>
      <c r="Y597" s="513">
        <v>155962</v>
      </c>
      <c r="Z597" s="513">
        <v>8425</v>
      </c>
      <c r="AA597" s="513">
        <v>140609</v>
      </c>
      <c r="AB597" s="513">
        <v>1045</v>
      </c>
      <c r="AC597" s="513">
        <v>12</v>
      </c>
      <c r="AD597" s="513">
        <v>22960</v>
      </c>
      <c r="AE597" s="513">
        <v>412</v>
      </c>
      <c r="AF597" s="513">
        <v>268</v>
      </c>
      <c r="AG597" s="513">
        <v>29</v>
      </c>
      <c r="AH597" s="514">
        <v>2</v>
      </c>
    </row>
    <row r="598">
      <c r="A598" s="498"/>
      <c r="B598" s="499" t="s">
        <v>253</v>
      </c>
      <c r="C598" s="534" t="s">
        <v>265</v>
      </c>
      <c r="D598" s="532">
        <v>2343.217</v>
      </c>
      <c r="E598" s="518">
        <v>6</v>
      </c>
      <c r="F598" s="519">
        <v>1925.2000000000007</v>
      </c>
      <c r="G598" s="504">
        <f t="shared" si="70"/>
      </c>
      <c r="H598" s="505">
        <f t="shared" si="369"/>
      </c>
      <c r="I598" s="506">
        <f t="shared" si="305"/>
      </c>
      <c r="J598" s="507">
        <f t="shared" si="241"/>
      </c>
      <c r="K598" s="508">
        <f t="shared" si="654"/>
      </c>
      <c r="L598" s="505">
        <f t="shared" si="437"/>
      </c>
      <c r="M598" s="509">
        <f t="shared" si="528"/>
      </c>
      <c r="N598" s="509">
        <f t="shared" si="563"/>
      </c>
      <c r="O598" s="509">
        <f t="shared" si="468"/>
      </c>
      <c r="P598" s="509">
        <f t="shared" si="400"/>
      </c>
      <c r="Q598" s="505">
        <f t="shared" si="338"/>
      </c>
      <c r="R598" s="507">
        <f t="shared" si="274"/>
      </c>
      <c r="S598" s="509">
        <f t="shared" si="177"/>
      </c>
      <c r="T598" s="509">
        <f t="shared" si="107"/>
      </c>
      <c r="U598" s="509">
        <f t="shared" si="33"/>
      </c>
      <c r="V598" s="509">
        <f t="shared" si="594"/>
      </c>
      <c r="W598" s="520" t="s">
        <v>255</v>
      </c>
      <c r="X598" s="511" t="s">
        <v>286</v>
      </c>
      <c r="Y598" s="513">
        <v>159673</v>
      </c>
      <c r="Z598" s="513">
        <v>7896</v>
      </c>
      <c r="AA598" s="513">
        <v>147429</v>
      </c>
      <c r="AB598" s="513">
        <v>891</v>
      </c>
      <c r="AC598" s="513">
        <v>5</v>
      </c>
      <c r="AD598" s="513">
        <v>19770</v>
      </c>
      <c r="AE598" s="513">
        <v>309</v>
      </c>
      <c r="AF598" s="513">
        <v>211</v>
      </c>
      <c r="AG598" s="513">
        <v>24</v>
      </c>
      <c r="AH598" s="514">
        <v>4</v>
      </c>
    </row>
    <row r="599">
      <c r="A599" s="498"/>
      <c r="B599" s="499" t="s">
        <v>253</v>
      </c>
      <c r="C599" s="537" t="s">
        <v>266</v>
      </c>
      <c r="D599" s="532">
        <v>5363.9439999999995</v>
      </c>
      <c r="E599" s="518">
        <v>12</v>
      </c>
      <c r="F599" s="519">
        <v>6331.600000000002</v>
      </c>
      <c r="G599" s="504">
        <f t="shared" si="70"/>
      </c>
      <c r="H599" s="505">
        <f t="shared" si="369"/>
      </c>
      <c r="I599" s="506">
        <f t="shared" si="305"/>
      </c>
      <c r="J599" s="507">
        <f t="shared" si="241"/>
      </c>
      <c r="K599" s="508">
        <f t="shared" si="654"/>
      </c>
      <c r="L599" s="505">
        <f t="shared" si="437"/>
      </c>
      <c r="M599" s="509">
        <f t="shared" si="528"/>
      </c>
      <c r="N599" s="509">
        <f t="shared" si="563"/>
      </c>
      <c r="O599" s="509">
        <f t="shared" si="468"/>
      </c>
      <c r="P599" s="509">
        <f t="shared" si="400"/>
      </c>
      <c r="Q599" s="505">
        <f t="shared" si="338"/>
      </c>
      <c r="R599" s="507">
        <f t="shared" si="274"/>
      </c>
      <c r="S599" s="509">
        <f t="shared" si="177"/>
      </c>
      <c r="T599" s="509">
        <f t="shared" si="107"/>
      </c>
      <c r="U599" s="509">
        <f t="shared" si="33"/>
      </c>
      <c r="V599" s="509">
        <f t="shared" si="594"/>
      </c>
      <c r="W599" s="520" t="s">
        <v>255</v>
      </c>
      <c r="X599" s="511" t="s">
        <v>279</v>
      </c>
      <c r="Y599" s="513">
        <v>748339</v>
      </c>
      <c r="Z599" s="513">
        <v>27017</v>
      </c>
      <c r="AA599" s="513">
        <v>754499</v>
      </c>
      <c r="AB599" s="513">
        <v>2458</v>
      </c>
      <c r="AC599" s="513">
        <v>7</v>
      </c>
      <c r="AD599" s="513">
        <v>59968</v>
      </c>
      <c r="AE599" s="513">
        <v>1058</v>
      </c>
      <c r="AF599" s="513">
        <v>649</v>
      </c>
      <c r="AG599" s="513">
        <v>36</v>
      </c>
      <c r="AH599" s="514">
        <v>1</v>
      </c>
    </row>
    <row r="600">
      <c r="A600" s="498"/>
      <c r="B600" s="499" t="s">
        <v>253</v>
      </c>
      <c r="C600" s="540" t="s">
        <v>269</v>
      </c>
      <c r="D600" s="532">
        <v>2230.8710000000005</v>
      </c>
      <c r="E600" s="518">
        <v>8</v>
      </c>
      <c r="F600" s="519">
        <v>6967.199999999997</v>
      </c>
      <c r="G600" s="504">
        <f t="shared" si="70"/>
      </c>
      <c r="H600" s="505">
        <f t="shared" si="369"/>
      </c>
      <c r="I600" s="506">
        <f t="shared" si="305"/>
      </c>
      <c r="J600" s="507">
        <f t="shared" si="241"/>
      </c>
      <c r="K600" s="508">
        <f t="shared" si="654"/>
      </c>
      <c r="L600" s="505">
        <f t="shared" si="437"/>
      </c>
      <c r="M600" s="509">
        <f t="shared" si="528"/>
      </c>
      <c r="N600" s="509">
        <f t="shared" si="563"/>
      </c>
      <c r="O600" s="509">
        <f t="shared" si="468"/>
      </c>
      <c r="P600" s="509">
        <f t="shared" si="400"/>
      </c>
      <c r="Q600" s="505">
        <f t="shared" si="338"/>
      </c>
      <c r="R600" s="507">
        <f t="shared" si="274"/>
      </c>
      <c r="S600" s="509">
        <f t="shared" si="177"/>
      </c>
      <c r="T600" s="509">
        <f t="shared" si="107"/>
      </c>
      <c r="U600" s="509">
        <f t="shared" si="33"/>
      </c>
      <c r="V600" s="509">
        <f t="shared" si="594"/>
      </c>
      <c r="W600" s="520" t="s">
        <v>255</v>
      </c>
      <c r="X600" s="511" t="s">
        <v>279</v>
      </c>
      <c r="Y600" s="513">
        <v>328499</v>
      </c>
      <c r="Z600" s="513">
        <v>10783</v>
      </c>
      <c r="AA600" s="513">
        <v>271078</v>
      </c>
      <c r="AB600" s="513">
        <v>1237</v>
      </c>
      <c r="AC600" s="513">
        <v>6</v>
      </c>
      <c r="AD600" s="513">
        <v>23436</v>
      </c>
      <c r="AE600" s="513">
        <v>428</v>
      </c>
      <c r="AF600" s="513">
        <v>219</v>
      </c>
      <c r="AG600" s="514">
        <v>19</v>
      </c>
      <c r="AH600" s="514">
        <v>1</v>
      </c>
    </row>
    <row r="601">
      <c r="A601" s="498"/>
      <c r="B601" s="521" t="s">
        <v>261</v>
      </c>
      <c r="C601" s="521"/>
      <c r="D601" s="522">
        <f>SUM(D596:D600)</f>
      </c>
      <c r="E601" s="522">
        <f>SUM(E596:E600)</f>
      </c>
      <c r="F601" s="522">
        <f>SUM(F596:F600)</f>
      </c>
      <c r="G601" s="522">
        <f t="shared" si="70"/>
      </c>
      <c r="H601" s="524">
        <f t="shared" si="369"/>
      </c>
      <c r="I601" s="525">
        <f t="shared" si="305"/>
      </c>
      <c r="J601" s="526">
        <f t="shared" si="241"/>
      </c>
      <c r="K601" s="527">
        <f t="shared" si="654"/>
      </c>
      <c r="L601" s="524">
        <f t="shared" si="437"/>
      </c>
      <c r="M601" s="528">
        <f t="shared" si="528"/>
      </c>
      <c r="N601" s="528">
        <f t="shared" si="563"/>
      </c>
      <c r="O601" s="528">
        <f t="shared" si="468"/>
      </c>
      <c r="P601" s="528">
        <f t="shared" si="400"/>
      </c>
      <c r="Q601" s="524">
        <f t="shared" si="338"/>
      </c>
      <c r="R601" s="526">
        <f t="shared" si="274"/>
      </c>
      <c r="S601" s="528">
        <f t="shared" si="177"/>
      </c>
      <c r="T601" s="528">
        <f t="shared" si="107"/>
      </c>
      <c r="U601" s="528">
        <f t="shared" si="33"/>
      </c>
      <c r="V601" s="528">
        <f t="shared" si="594"/>
      </c>
      <c r="W601" s="528"/>
      <c r="X601" s="529"/>
      <c r="Y601" s="522">
        <f>SUM(Y596:Y600)</f>
      </c>
      <c r="Z601" s="522">
        <f>SUM(Z596:Z600)</f>
      </c>
      <c r="AA601" s="522">
        <f>SUM(AA596:AA600)</f>
      </c>
      <c r="AB601" s="522">
        <f>SUM(AB596:AB600)</f>
      </c>
      <c r="AC601" s="522">
        <f>SUM(AC596:AC600)</f>
      </c>
      <c r="AD601" s="522">
        <f>SUM(AD596:AD600)</f>
      </c>
      <c r="AE601" s="522">
        <f>SUM(AE596:AE600)</f>
      </c>
      <c r="AF601" s="522">
        <f>SUM(AF596:AF600)</f>
      </c>
      <c r="AG601" s="522">
        <f>SUM(AG596:AG600)</f>
      </c>
      <c r="AH601" s="522">
        <f>SUM(AH596:AH600)</f>
      </c>
    </row>
    <row r="602">
      <c r="A602" s="498"/>
      <c r="B602" s="574" t="s">
        <v>268</v>
      </c>
      <c r="C602" s="534" t="s">
        <v>270</v>
      </c>
      <c r="D602" s="541">
        <v>2967.03</v>
      </c>
      <c r="E602" s="542">
        <v>5</v>
      </c>
      <c r="F602" s="519">
        <v>1076</v>
      </c>
      <c r="G602" s="504">
        <f t="shared" si="70"/>
      </c>
      <c r="H602" s="505">
        <f t="shared" si="369"/>
      </c>
      <c r="I602" s="506">
        <f t="shared" si="305"/>
      </c>
      <c r="J602" s="507">
        <f t="shared" si="241"/>
      </c>
      <c r="K602" s="508">
        <f t="shared" si="654"/>
      </c>
      <c r="L602" s="505">
        <f t="shared" si="437"/>
      </c>
      <c r="M602" s="509">
        <f t="shared" si="528"/>
      </c>
      <c r="N602" s="509">
        <f t="shared" si="563"/>
      </c>
      <c r="O602" s="509">
        <f t="shared" si="468"/>
      </c>
      <c r="P602" s="509">
        <f t="shared" si="400"/>
      </c>
      <c r="Q602" s="505">
        <f t="shared" si="338"/>
      </c>
      <c r="R602" s="507">
        <f t="shared" si="274"/>
      </c>
      <c r="S602" s="509">
        <f t="shared" si="177"/>
      </c>
      <c r="T602" s="509">
        <f t="shared" si="107"/>
      </c>
      <c r="U602" s="509">
        <f t="shared" si="33"/>
      </c>
      <c r="V602" s="509">
        <f t="shared" si="594"/>
      </c>
      <c r="W602" s="520" t="s">
        <v>255</v>
      </c>
      <c r="X602" s="511" t="s">
        <v>279</v>
      </c>
      <c r="Y602" s="513">
        <v>453000</v>
      </c>
      <c r="Z602" s="513">
        <v>11311</v>
      </c>
      <c r="AA602" s="513">
        <v>319054</v>
      </c>
      <c r="AB602" s="513">
        <v>1402</v>
      </c>
      <c r="AC602" s="513">
        <v>6</v>
      </c>
      <c r="AD602" s="513">
        <v>23517</v>
      </c>
      <c r="AE602" s="513">
        <v>343</v>
      </c>
      <c r="AF602" s="513">
        <v>217</v>
      </c>
      <c r="AG602" s="513">
        <v>12</v>
      </c>
      <c r="AH602" s="514">
        <v>1</v>
      </c>
    </row>
    <row r="603">
      <c r="A603" s="498"/>
      <c r="B603" s="574" t="s">
        <v>268</v>
      </c>
      <c r="C603" s="534" t="s">
        <v>272</v>
      </c>
      <c r="D603" s="541">
        <v>5517.024</v>
      </c>
      <c r="E603" s="542">
        <v>15</v>
      </c>
      <c r="F603" s="519">
        <v>4509.5999999999985</v>
      </c>
      <c r="G603" s="504">
        <f t="shared" si="70"/>
      </c>
      <c r="H603" s="505">
        <f t="shared" si="369"/>
      </c>
      <c r="I603" s="506">
        <f t="shared" si="305"/>
      </c>
      <c r="J603" s="507">
        <f t="shared" si="241"/>
      </c>
      <c r="K603" s="508">
        <f t="shared" si="654"/>
      </c>
      <c r="L603" s="505">
        <f t="shared" si="437"/>
      </c>
      <c r="M603" s="509">
        <f t="shared" si="528"/>
      </c>
      <c r="N603" s="509">
        <f t="shared" si="563"/>
      </c>
      <c r="O603" s="509">
        <f t="shared" si="468"/>
      </c>
      <c r="P603" s="509">
        <f t="shared" si="400"/>
      </c>
      <c r="Q603" s="505">
        <f t="shared" si="338"/>
      </c>
      <c r="R603" s="507">
        <f t="shared" si="274"/>
      </c>
      <c r="S603" s="509">
        <f t="shared" si="177"/>
      </c>
      <c r="T603" s="509">
        <f t="shared" si="107"/>
      </c>
      <c r="U603" s="509">
        <f t="shared" si="33"/>
      </c>
      <c r="V603" s="509">
        <f t="shared" si="594"/>
      </c>
      <c r="W603" s="520" t="s">
        <v>255</v>
      </c>
      <c r="X603" s="511" t="s">
        <v>279</v>
      </c>
      <c r="Y603" s="513">
        <v>670170</v>
      </c>
      <c r="Z603" s="513">
        <v>23447</v>
      </c>
      <c r="AA603" s="513">
        <v>630606</v>
      </c>
      <c r="AB603" s="513">
        <v>1935</v>
      </c>
      <c r="AC603" s="513">
        <v>11</v>
      </c>
      <c r="AD603" s="513">
        <v>47985</v>
      </c>
      <c r="AE603" s="513">
        <v>710</v>
      </c>
      <c r="AF603" s="513">
        <v>500</v>
      </c>
      <c r="AG603" s="514">
        <v>32</v>
      </c>
      <c r="AH603" s="514">
        <v>5</v>
      </c>
    </row>
    <row r="604">
      <c r="A604" s="498"/>
      <c r="B604" s="574" t="s">
        <v>268</v>
      </c>
      <c r="C604" s="537" t="s">
        <v>273</v>
      </c>
      <c r="D604" s="541">
        <v>6252.947</v>
      </c>
      <c r="E604" s="542">
        <v>6</v>
      </c>
      <c r="F604" s="519">
        <v>1904</v>
      </c>
      <c r="G604" s="504">
        <f t="shared" si="70"/>
      </c>
      <c r="H604" s="505">
        <f t="shared" si="369"/>
      </c>
      <c r="I604" s="506">
        <f t="shared" si="305"/>
      </c>
      <c r="J604" s="507">
        <f t="shared" si="241"/>
      </c>
      <c r="K604" s="508">
        <f t="shared" si="654"/>
      </c>
      <c r="L604" s="505">
        <f t="shared" si="437"/>
      </c>
      <c r="M604" s="509">
        <f t="shared" si="528"/>
      </c>
      <c r="N604" s="509">
        <f t="shared" si="563"/>
      </c>
      <c r="O604" s="509">
        <f t="shared" si="468"/>
      </c>
      <c r="P604" s="509">
        <f t="shared" si="400"/>
      </c>
      <c r="Q604" s="505">
        <f t="shared" si="338"/>
      </c>
      <c r="R604" s="507">
        <f t="shared" si="274"/>
      </c>
      <c r="S604" s="509">
        <f t="shared" si="177"/>
      </c>
      <c r="T604" s="509">
        <f t="shared" si="107"/>
      </c>
      <c r="U604" s="509">
        <f t="shared" si="33"/>
      </c>
      <c r="V604" s="509">
        <f t="shared" si="594"/>
      </c>
      <c r="W604" s="520" t="s">
        <v>255</v>
      </c>
      <c r="X604" s="511" t="s">
        <v>279</v>
      </c>
      <c r="Y604" s="513">
        <v>972285</v>
      </c>
      <c r="Z604" s="513">
        <v>23414</v>
      </c>
      <c r="AA604" s="513">
        <v>807052</v>
      </c>
      <c r="AB604" s="513">
        <v>2784</v>
      </c>
      <c r="AC604" s="513">
        <v>6</v>
      </c>
      <c r="AD604" s="513">
        <v>52460</v>
      </c>
      <c r="AE604" s="513">
        <v>902</v>
      </c>
      <c r="AF604" s="513">
        <v>551</v>
      </c>
      <c r="AG604" s="514">
        <v>47</v>
      </c>
      <c r="AH604" s="514">
        <v>0</v>
      </c>
    </row>
    <row r="605">
      <c r="A605" s="498"/>
      <c r="B605" s="574" t="s">
        <v>268</v>
      </c>
      <c r="C605" s="534" t="s">
        <v>274</v>
      </c>
      <c r="D605" s="535">
        <v>3223.514</v>
      </c>
      <c r="E605" s="502">
        <v>8</v>
      </c>
      <c r="F605" s="503">
        <v>3422.300000000003</v>
      </c>
      <c r="G605" s="504">
        <f t="shared" si="70"/>
      </c>
      <c r="H605" s="505">
        <f t="shared" si="369"/>
      </c>
      <c r="I605" s="560">
        <f t="shared" si="305"/>
      </c>
      <c r="J605" s="559">
        <f t="shared" si="241"/>
      </c>
      <c r="K605" s="556">
        <f t="shared" ref="K605:K606" si="146">D605/AB605</f>
      </c>
      <c r="L605" s="557">
        <f t="shared" si="437"/>
      </c>
      <c r="M605" s="558">
        <f t="shared" ref="M605:M606" si="208">AC605/AB605</f>
      </c>
      <c r="N605" s="558">
        <f t="shared" si="563"/>
      </c>
      <c r="O605" s="558">
        <f t="shared" si="468"/>
      </c>
      <c r="P605" s="558">
        <f t="shared" si="400"/>
      </c>
      <c r="Q605" s="557">
        <f t="shared" si="338"/>
      </c>
      <c r="R605" s="559">
        <f t="shared" si="274"/>
      </c>
      <c r="S605" s="558">
        <f t="shared" si="177"/>
      </c>
      <c r="T605" s="558">
        <f t="shared" si="107"/>
      </c>
      <c r="U605" s="558">
        <f t="shared" si="33"/>
      </c>
      <c r="V605" s="558">
        <f t="shared" si="594"/>
      </c>
      <c r="W605" s="520" t="s">
        <v>255</v>
      </c>
      <c r="X605" s="511" t="s">
        <v>279</v>
      </c>
      <c r="Y605" s="513">
        <v>789887</v>
      </c>
      <c r="Z605" s="513">
        <v>12821</v>
      </c>
      <c r="AA605" s="513">
        <v>339697</v>
      </c>
      <c r="AB605" s="536">
        <v>2106</v>
      </c>
      <c r="AC605" s="536">
        <v>7</v>
      </c>
      <c r="AD605" s="536">
        <v>18213</v>
      </c>
      <c r="AE605" s="536">
        <v>354</v>
      </c>
      <c r="AF605" s="536">
        <v>206</v>
      </c>
      <c r="AG605" s="536">
        <v>12</v>
      </c>
      <c r="AH605" s="514">
        <v>1</v>
      </c>
    </row>
    <row r="606">
      <c r="A606" s="498"/>
      <c r="B606" s="574" t="s">
        <v>268</v>
      </c>
      <c r="C606" s="555" t="s">
        <v>275</v>
      </c>
      <c r="D606" s="541">
        <v>2238.719</v>
      </c>
      <c r="E606" s="542">
        <v>2</v>
      </c>
      <c r="F606" s="519">
        <v>1056</v>
      </c>
      <c r="G606" s="504">
        <f t="shared" si="70"/>
      </c>
      <c r="H606" s="505">
        <f t="shared" si="369"/>
      </c>
      <c r="I606" s="560">
        <f t="shared" si="305"/>
      </c>
      <c r="J606" s="559">
        <f t="shared" si="241"/>
      </c>
      <c r="K606" s="556">
        <f t="shared" si="146"/>
      </c>
      <c r="L606" s="557">
        <f t="shared" si="437"/>
      </c>
      <c r="M606" s="558">
        <f t="shared" si="208"/>
      </c>
      <c r="N606" s="558">
        <f t="shared" si="563"/>
      </c>
      <c r="O606" s="558">
        <f t="shared" si="468"/>
      </c>
      <c r="P606" s="558">
        <f t="shared" si="400"/>
      </c>
      <c r="Q606" s="557">
        <f t="shared" si="338"/>
      </c>
      <c r="R606" s="559">
        <f t="shared" si="274"/>
      </c>
      <c r="S606" s="558">
        <f t="shared" si="177"/>
      </c>
      <c r="T606" s="558">
        <f t="shared" si="107"/>
      </c>
      <c r="U606" s="558">
        <f t="shared" si="33"/>
      </c>
      <c r="V606" s="558">
        <f t="shared" si="594"/>
      </c>
      <c r="W606" s="520" t="s">
        <v>255</v>
      </c>
      <c r="X606" s="511" t="s">
        <v>279</v>
      </c>
      <c r="Y606" s="513">
        <v>531479</v>
      </c>
      <c r="Z606" s="513">
        <v>8907</v>
      </c>
      <c r="AA606" s="513">
        <v>235681</v>
      </c>
      <c r="AB606" s="513">
        <v>1682</v>
      </c>
      <c r="AC606" s="513">
        <v>2</v>
      </c>
      <c r="AD606" s="513">
        <v>13744</v>
      </c>
      <c r="AE606" s="513">
        <v>249</v>
      </c>
      <c r="AF606" s="513">
        <v>170</v>
      </c>
      <c r="AG606" s="514">
        <v>19</v>
      </c>
      <c r="AH606" s="514">
        <v>0</v>
      </c>
    </row>
    <row r="607">
      <c r="A607" s="498"/>
      <c r="B607" s="538" t="s">
        <v>261</v>
      </c>
      <c r="C607" s="538"/>
      <c r="D607" s="522">
        <f>SUM(D602:D606)</f>
      </c>
      <c r="E607" s="522">
        <f>SUM(E602:E606)</f>
      </c>
      <c r="F607" s="522">
        <f>SUM(F602:F606)</f>
      </c>
      <c r="G607" s="522">
        <f t="shared" si="70"/>
      </c>
      <c r="H607" s="524">
        <f t="shared" si="369"/>
      </c>
      <c r="I607" s="525">
        <f t="shared" si="305"/>
      </c>
      <c r="J607" s="526">
        <f t="shared" si="241"/>
      </c>
      <c r="K607" s="527">
        <f t="shared" ref="K607:K608" si="655">D607/AA607</f>
      </c>
      <c r="L607" s="524">
        <f t="shared" si="437"/>
      </c>
      <c r="M607" s="528">
        <f t="shared" ref="M607:M608" si="529">AB607/AA607</f>
      </c>
      <c r="N607" s="528">
        <f t="shared" si="563"/>
      </c>
      <c r="O607" s="528">
        <f t="shared" si="468"/>
      </c>
      <c r="P607" s="528">
        <f t="shared" si="400"/>
      </c>
      <c r="Q607" s="524">
        <f t="shared" si="338"/>
      </c>
      <c r="R607" s="526">
        <f t="shared" si="274"/>
      </c>
      <c r="S607" s="528">
        <f t="shared" si="177"/>
      </c>
      <c r="T607" s="528">
        <f t="shared" si="107"/>
      </c>
      <c r="U607" s="528">
        <f t="shared" si="33"/>
      </c>
      <c r="V607" s="528">
        <f t="shared" si="594"/>
      </c>
      <c r="W607" s="528"/>
      <c r="X607" s="529"/>
      <c r="Y607" s="522">
        <f>SUM(Y602:Y606)</f>
      </c>
      <c r="Z607" s="522">
        <f>SUM(Z602:Z606)</f>
      </c>
      <c r="AA607" s="522">
        <f>SUM(AA602:AA606)</f>
      </c>
      <c r="AB607" s="522">
        <f>SUM(AB602:AB606)</f>
      </c>
      <c r="AC607" s="522">
        <f>SUM(AC602:AC606)</f>
      </c>
      <c r="AD607" s="522">
        <f>SUM(AD602:AD606)</f>
      </c>
      <c r="AE607" s="522">
        <f>SUM(AE602:AE606)</f>
      </c>
      <c r="AF607" s="522">
        <f>SUM(AF602:AF606)</f>
      </c>
      <c r="AG607" s="522">
        <f>SUM(AG602:AG606)</f>
      </c>
      <c r="AH607" s="522">
        <f>SUM(AH602:AH606)</f>
      </c>
    </row>
    <row r="608">
      <c r="A608" s="498"/>
      <c r="B608" s="543" t="s">
        <v>276</v>
      </c>
      <c r="C608" s="543"/>
      <c r="D608" s="554">
        <f>SUM(D595+D607+D601)</f>
      </c>
      <c r="E608" s="554">
        <f>SUM(E595+E607+E601)</f>
      </c>
      <c r="F608" s="554">
        <f>SUM(F595+F607+F601)</f>
      </c>
      <c r="G608" s="544">
        <f t="shared" si="70"/>
      </c>
      <c r="H608" s="545">
        <f t="shared" si="369"/>
      </c>
      <c r="I608" s="546">
        <f t="shared" si="305"/>
      </c>
      <c r="J608" s="547">
        <f t="shared" si="241"/>
      </c>
      <c r="K608" s="548">
        <f t="shared" si="655"/>
      </c>
      <c r="L608" s="548">
        <f t="shared" si="437"/>
      </c>
      <c r="M608" s="550">
        <f t="shared" si="529"/>
      </c>
      <c r="N608" s="550">
        <f t="shared" si="563"/>
      </c>
      <c r="O608" s="550">
        <f t="shared" si="468"/>
      </c>
      <c r="P608" s="550">
        <f t="shared" si="400"/>
      </c>
      <c r="Q608" s="549">
        <f t="shared" si="338"/>
      </c>
      <c r="R608" s="551">
        <f t="shared" si="274"/>
      </c>
      <c r="S608" s="552">
        <f t="shared" si="177"/>
      </c>
      <c r="T608" s="552">
        <f t="shared" si="107"/>
      </c>
      <c r="U608" s="552">
        <f t="shared" si="33"/>
      </c>
      <c r="V608" s="552">
        <f t="shared" si="594"/>
      </c>
      <c r="W608" s="552"/>
      <c r="X608" s="553"/>
      <c r="Y608" s="544">
        <f>SUM(Y607+Y595+Y601)</f>
      </c>
      <c r="Z608" s="544">
        <f>SUM(Z607+Z595+Z601)</f>
      </c>
      <c r="AA608" s="544">
        <f>SUM(AA607+AA595+AA601)</f>
      </c>
      <c r="AB608" s="544">
        <f>SUM(AB607+AB595+AB601)</f>
      </c>
      <c r="AC608" s="544">
        <f>SUM(AC607+AC595+AC601)</f>
      </c>
      <c r="AD608" s="544">
        <f>SUM(AD607+AD595+AD601)</f>
      </c>
      <c r="AE608" s="544">
        <f>SUM(AE607+AE595+AE601)</f>
      </c>
      <c r="AF608" s="544">
        <f>SUM(AF607+AF595+AF601)</f>
      </c>
      <c r="AG608" s="544">
        <f>SUM(AG607+AG595+AG601)</f>
      </c>
      <c r="AH608" s="544">
        <f>SUM(AH607+AH595+AH601)</f>
      </c>
    </row>
    <row r="609">
      <c r="A609" s="486" t="s">
        <v>218</v>
      </c>
      <c r="B609" s="561" t="s">
        <v>219</v>
      </c>
      <c r="C609" s="562" t="s">
        <v>220</v>
      </c>
      <c r="D609" s="487" t="s">
        <v>221</v>
      </c>
      <c r="E609" s="488" t="s">
        <v>222</v>
      </c>
      <c r="F609" s="489" t="s">
        <v>223</v>
      </c>
      <c r="G609" s="489" t="s">
        <v>224</v>
      </c>
      <c r="H609" s="490" t="s">
        <v>225</v>
      </c>
      <c r="I609" s="490" t="s">
        <v>226</v>
      </c>
      <c r="J609" s="490" t="s">
        <v>227</v>
      </c>
      <c r="K609" s="491" t="s">
        <v>228</v>
      </c>
      <c r="L609" s="491" t="s">
        <v>229</v>
      </c>
      <c r="M609" s="491" t="s">
        <v>231</v>
      </c>
      <c r="N609" s="491" t="s">
        <v>232</v>
      </c>
      <c r="O609" s="491" t="s">
        <v>233</v>
      </c>
      <c r="P609" s="491" t="s">
        <v>234</v>
      </c>
      <c r="Q609" s="491" t="s">
        <v>235</v>
      </c>
      <c r="R609" s="491" t="s">
        <v>236</v>
      </c>
      <c r="S609" s="492" t="s">
        <v>237</v>
      </c>
      <c r="T609" s="492" t="s">
        <v>238</v>
      </c>
      <c r="U609" s="492" t="s">
        <v>239</v>
      </c>
      <c r="V609" s="492" t="s">
        <v>240</v>
      </c>
      <c r="W609" s="493" t="s">
        <v>241</v>
      </c>
      <c r="X609" s="493" t="s">
        <v>242</v>
      </c>
      <c r="Y609" s="494" t="s">
        <v>243</v>
      </c>
      <c r="Z609" s="494" t="s">
        <v>244</v>
      </c>
      <c r="AA609" s="494" t="s">
        <v>245</v>
      </c>
      <c r="AB609" s="495" t="s">
        <v>246</v>
      </c>
      <c r="AC609" s="495" t="s">
        <v>247</v>
      </c>
      <c r="AD609" s="496" t="s">
        <v>248</v>
      </c>
      <c r="AE609" s="495" t="s">
        <v>249</v>
      </c>
      <c r="AF609" s="495" t="s">
        <v>250</v>
      </c>
      <c r="AG609" s="497" t="s">
        <v>251</v>
      </c>
      <c r="AH609" s="495" t="s">
        <v>252</v>
      </c>
    </row>
    <row r="610">
      <c r="A610" s="498">
        <v>46234</v>
      </c>
      <c r="B610" s="499" t="s">
        <v>277</v>
      </c>
      <c r="C610" s="500" t="s">
        <v>254</v>
      </c>
      <c r="D610" s="501">
        <v>2183.724</v>
      </c>
      <c r="E610" s="502">
        <v>2</v>
      </c>
      <c r="F610" s="503">
        <v>456</v>
      </c>
      <c r="G610" s="504">
        <f t="shared" ref="G610:G628" si="71">D610/AC610</f>
      </c>
      <c r="H610" s="505">
        <f t="shared" ref="H610:H628" si="370">F610/E610</f>
      </c>
      <c r="I610" s="506">
        <f t="shared" ref="I610:I628" si="306">D610/E610</f>
      </c>
      <c r="J610" s="507">
        <f t="shared" ref="J610:J628" si="242">F610/D610</f>
      </c>
      <c r="K610" s="508">
        <f t="shared" ref="K610:K624" si="656">D610/AA610</f>
      </c>
      <c r="L610" s="505">
        <f t="shared" ref="L610:L628" si="438">D610/AB610</f>
      </c>
      <c r="M610" s="509">
        <f t="shared" ref="M610:M624" si="530">AB610/AA610</f>
      </c>
      <c r="N610" s="509">
        <f t="shared" ref="N610:N628" si="564">AC610/AB610</f>
      </c>
      <c r="O610" s="509">
        <f t="shared" ref="O610:O628" si="469">Z610/Y610</f>
      </c>
      <c r="P610" s="509">
        <f t="shared" ref="P610:P628" si="401">AC610/Z610</f>
      </c>
      <c r="Q610" s="505">
        <f t="shared" ref="Q610:Q628" si="339">D610/Y610*1000</f>
      </c>
      <c r="R610" s="507">
        <f t="shared" ref="R610:R628" si="275">D610/Z610</f>
      </c>
      <c r="S610" s="509">
        <f t="shared" ref="S610:S628" si="178">AD610/AA610</f>
      </c>
      <c r="T610" s="509">
        <f t="shared" ref="T610:T628" si="108">AE610/AA610</f>
      </c>
      <c r="U610" s="509">
        <f t="shared" ref="U610:U628" si="34">AF610/AA610</f>
      </c>
      <c r="V610" s="509">
        <f t="shared" ref="V610:V628" si="595">AG610/AA610</f>
      </c>
      <c r="W610" s="510" t="s">
        <v>255</v>
      </c>
      <c r="X610" s="511" t="s">
        <v>282</v>
      </c>
      <c r="Y610" s="512">
        <v>248010</v>
      </c>
      <c r="Z610" s="512">
        <v>6308</v>
      </c>
      <c r="AA610" s="512">
        <v>177280</v>
      </c>
      <c r="AB610" s="512">
        <v>1298</v>
      </c>
      <c r="AC610" s="514">
        <v>2</v>
      </c>
      <c r="AD610" s="512">
        <v>25158</v>
      </c>
      <c r="AE610" s="513">
        <v>310</v>
      </c>
      <c r="AF610" s="513">
        <v>155</v>
      </c>
      <c r="AG610" s="513">
        <v>27</v>
      </c>
      <c r="AH610" s="514">
        <v>0</v>
      </c>
    </row>
    <row r="611">
      <c r="A611" s="498"/>
      <c r="B611" s="499" t="s">
        <v>277</v>
      </c>
      <c r="C611" s="500" t="s">
        <v>257</v>
      </c>
      <c r="D611" s="501">
        <v>6204.012</v>
      </c>
      <c r="E611" s="502">
        <v>16</v>
      </c>
      <c r="F611" s="503">
        <v>4013.2</v>
      </c>
      <c r="G611" s="504">
        <f t="shared" si="71"/>
      </c>
      <c r="H611" s="505">
        <f t="shared" si="370"/>
      </c>
      <c r="I611" s="506">
        <f t="shared" si="306"/>
      </c>
      <c r="J611" s="507">
        <f t="shared" si="242"/>
      </c>
      <c r="K611" s="508">
        <f t="shared" si="656"/>
      </c>
      <c r="L611" s="505">
        <f t="shared" si="438"/>
      </c>
      <c r="M611" s="509">
        <f t="shared" si="530"/>
      </c>
      <c r="N611" s="509">
        <f t="shared" si="564"/>
      </c>
      <c r="O611" s="509">
        <f t="shared" si="469"/>
      </c>
      <c r="P611" s="509">
        <f t="shared" si="401"/>
      </c>
      <c r="Q611" s="505">
        <f t="shared" si="339"/>
      </c>
      <c r="R611" s="507">
        <f t="shared" si="275"/>
      </c>
      <c r="S611" s="509">
        <f t="shared" si="178"/>
      </c>
      <c r="T611" s="509">
        <f t="shared" si="108"/>
      </c>
      <c r="U611" s="509">
        <f t="shared" si="34"/>
      </c>
      <c r="V611" s="509">
        <f t="shared" si="595"/>
      </c>
      <c r="W611" s="510" t="s">
        <v>255</v>
      </c>
      <c r="X611" s="511" t="s">
        <v>282</v>
      </c>
      <c r="Y611" s="514">
        <v>435587</v>
      </c>
      <c r="Z611" s="512">
        <v>12791</v>
      </c>
      <c r="AA611" s="512">
        <v>365306</v>
      </c>
      <c r="AB611" s="512">
        <v>2541</v>
      </c>
      <c r="AC611" s="513">
        <v>16</v>
      </c>
      <c r="AD611" s="512">
        <v>56087</v>
      </c>
      <c r="AE611" s="513">
        <v>760</v>
      </c>
      <c r="AF611" s="513">
        <v>469</v>
      </c>
      <c r="AG611" s="514">
        <v>39</v>
      </c>
      <c r="AH611" s="514">
        <v>1</v>
      </c>
    </row>
    <row r="612">
      <c r="A612" s="498"/>
      <c r="B612" s="499" t="s">
        <v>277</v>
      </c>
      <c r="C612" s="515" t="s">
        <v>258</v>
      </c>
      <c r="D612" s="565">
        <v>1753.5140000000001</v>
      </c>
      <c r="E612" s="502">
        <v>9</v>
      </c>
      <c r="F612" s="503">
        <v>3124.7000000000007</v>
      </c>
      <c r="G612" s="504">
        <f t="shared" si="71"/>
      </c>
      <c r="H612" s="505">
        <f t="shared" si="370"/>
      </c>
      <c r="I612" s="506">
        <f t="shared" si="306"/>
      </c>
      <c r="J612" s="507">
        <f t="shared" si="242"/>
      </c>
      <c r="K612" s="508">
        <f t="shared" si="656"/>
      </c>
      <c r="L612" s="505">
        <f t="shared" si="438"/>
      </c>
      <c r="M612" s="509">
        <f t="shared" si="530"/>
      </c>
      <c r="N612" s="509">
        <f t="shared" si="564"/>
      </c>
      <c r="O612" s="509">
        <f t="shared" si="469"/>
      </c>
      <c r="P612" s="509">
        <f t="shared" si="401"/>
      </c>
      <c r="Q612" s="505">
        <f t="shared" si="339"/>
      </c>
      <c r="R612" s="507">
        <f t="shared" si="275"/>
      </c>
      <c r="S612" s="509">
        <f t="shared" si="178"/>
      </c>
      <c r="T612" s="509">
        <f t="shared" si="108"/>
      </c>
      <c r="U612" s="509">
        <f t="shared" si="34"/>
      </c>
      <c r="V612" s="509">
        <f t="shared" si="595"/>
      </c>
      <c r="W612" s="510" t="s">
        <v>255</v>
      </c>
      <c r="X612" s="511" t="s">
        <v>282</v>
      </c>
      <c r="Y612" s="513">
        <v>147350</v>
      </c>
      <c r="Z612" s="512">
        <v>7540</v>
      </c>
      <c r="AA612" s="512">
        <v>114775</v>
      </c>
      <c r="AB612" s="512">
        <v>1052</v>
      </c>
      <c r="AC612" s="513">
        <v>6</v>
      </c>
      <c r="AD612" s="512">
        <v>22389</v>
      </c>
      <c r="AE612" s="513">
        <v>441</v>
      </c>
      <c r="AF612" s="513">
        <v>216</v>
      </c>
      <c r="AG612" s="513">
        <v>37</v>
      </c>
      <c r="AH612" s="514">
        <v>1</v>
      </c>
    </row>
    <row r="613">
      <c r="A613" s="498"/>
      <c r="B613" s="499" t="s">
        <v>277</v>
      </c>
      <c r="C613" s="572" t="s">
        <v>259</v>
      </c>
      <c r="D613" s="573">
        <v>1361.932</v>
      </c>
      <c r="E613" s="568">
        <v>3</v>
      </c>
      <c r="F613" s="503">
        <v>1823.999999999999</v>
      </c>
      <c r="G613" s="504">
        <f t="shared" si="71"/>
      </c>
      <c r="H613" s="505">
        <f t="shared" si="370"/>
      </c>
      <c r="I613" s="506">
        <f t="shared" si="306"/>
      </c>
      <c r="J613" s="507">
        <f t="shared" si="242"/>
      </c>
      <c r="K613" s="508">
        <f t="shared" si="656"/>
      </c>
      <c r="L613" s="505">
        <f t="shared" si="438"/>
      </c>
      <c r="M613" s="509">
        <f t="shared" si="530"/>
      </c>
      <c r="N613" s="509">
        <f t="shared" si="564"/>
      </c>
      <c r="O613" s="509">
        <f t="shared" si="469"/>
      </c>
      <c r="P613" s="509">
        <f t="shared" si="401"/>
      </c>
      <c r="Q613" s="505">
        <f t="shared" si="339"/>
      </c>
      <c r="R613" s="507">
        <f t="shared" si="275"/>
      </c>
      <c r="S613" s="509">
        <f t="shared" si="178"/>
      </c>
      <c r="T613" s="509">
        <f t="shared" si="108"/>
      </c>
      <c r="U613" s="509">
        <f t="shared" si="34"/>
      </c>
      <c r="V613" s="509">
        <f t="shared" si="595"/>
      </c>
      <c r="W613" s="504" t="s">
        <v>255</v>
      </c>
      <c r="X613" s="511" t="s">
        <v>282</v>
      </c>
      <c r="Y613" s="513">
        <v>130668</v>
      </c>
      <c r="Z613" s="513">
        <v>5818</v>
      </c>
      <c r="AA613" s="513">
        <v>104282</v>
      </c>
      <c r="AB613" s="513">
        <v>718</v>
      </c>
      <c r="AC613" s="513">
        <v>3</v>
      </c>
      <c r="AD613" s="513">
        <v>16208</v>
      </c>
      <c r="AE613" s="513">
        <v>296</v>
      </c>
      <c r="AF613" s="513">
        <v>111</v>
      </c>
      <c r="AG613" s="514">
        <v>14</v>
      </c>
      <c r="AH613" s="514">
        <v>0</v>
      </c>
    </row>
    <row r="614">
      <c r="A614" s="498"/>
      <c r="B614" s="499" t="s">
        <v>277</v>
      </c>
      <c r="C614" s="516" t="s">
        <v>260</v>
      </c>
      <c r="D614" s="517">
        <v>2354.5919999999996</v>
      </c>
      <c r="E614" s="518">
        <v>8</v>
      </c>
      <c r="F614" s="519">
        <v>2907.5</v>
      </c>
      <c r="G614" s="504">
        <f t="shared" si="71"/>
      </c>
      <c r="H614" s="505">
        <f t="shared" si="370"/>
      </c>
      <c r="I614" s="506">
        <f t="shared" si="306"/>
      </c>
      <c r="J614" s="507">
        <f t="shared" si="242"/>
      </c>
      <c r="K614" s="508">
        <f t="shared" si="656"/>
      </c>
      <c r="L614" s="505">
        <f t="shared" si="438"/>
      </c>
      <c r="M614" s="509">
        <f t="shared" si="530"/>
      </c>
      <c r="N614" s="509">
        <f t="shared" si="564"/>
      </c>
      <c r="O614" s="509">
        <f t="shared" si="469"/>
      </c>
      <c r="P614" s="509">
        <f t="shared" si="401"/>
      </c>
      <c r="Q614" s="505">
        <f t="shared" si="339"/>
      </c>
      <c r="R614" s="507">
        <f t="shared" si="275"/>
      </c>
      <c r="S614" s="509">
        <f t="shared" si="178"/>
      </c>
      <c r="T614" s="509">
        <f t="shared" si="108"/>
      </c>
      <c r="U614" s="509">
        <f t="shared" si="34"/>
      </c>
      <c r="V614" s="509">
        <f t="shared" si="595"/>
      </c>
      <c r="W614" s="520" t="s">
        <v>255</v>
      </c>
      <c r="X614" s="511" t="s">
        <v>282</v>
      </c>
      <c r="Y614" s="513">
        <v>336249</v>
      </c>
      <c r="Z614" s="513">
        <v>10535</v>
      </c>
      <c r="AA614" s="513">
        <v>269868</v>
      </c>
      <c r="AB614" s="513">
        <v>1509</v>
      </c>
      <c r="AC614" s="513">
        <v>7</v>
      </c>
      <c r="AD614" s="513">
        <v>27802</v>
      </c>
      <c r="AE614" s="513">
        <v>481</v>
      </c>
      <c r="AF614" s="513">
        <v>238</v>
      </c>
      <c r="AG614" s="514">
        <v>31</v>
      </c>
      <c r="AH614" s="514">
        <v>1</v>
      </c>
    </row>
    <row r="615">
      <c r="A615" s="498"/>
      <c r="B615" s="521" t="s">
        <v>261</v>
      </c>
      <c r="C615" s="521"/>
      <c r="D615" s="522">
        <f>SUM(D610:D614)</f>
      </c>
      <c r="E615" s="523">
        <f>SUM(E610:E614)</f>
      </c>
      <c r="F615" s="522">
        <f>SUM(F610:F614)</f>
      </c>
      <c r="G615" s="522">
        <f t="shared" si="71"/>
      </c>
      <c r="H615" s="524">
        <f t="shared" si="370"/>
      </c>
      <c r="I615" s="525">
        <f t="shared" si="306"/>
      </c>
      <c r="J615" s="526">
        <f t="shared" si="242"/>
      </c>
      <c r="K615" s="527">
        <f t="shared" si="656"/>
      </c>
      <c r="L615" s="524">
        <f t="shared" si="438"/>
      </c>
      <c r="M615" s="528">
        <f t="shared" si="530"/>
      </c>
      <c r="N615" s="528">
        <f t="shared" si="564"/>
      </c>
      <c r="O615" s="528">
        <f t="shared" si="469"/>
      </c>
      <c r="P615" s="528">
        <f t="shared" si="401"/>
      </c>
      <c r="Q615" s="524">
        <f t="shared" si="339"/>
      </c>
      <c r="R615" s="526">
        <f t="shared" si="275"/>
      </c>
      <c r="S615" s="528">
        <f t="shared" si="178"/>
      </c>
      <c r="T615" s="528">
        <f t="shared" si="108"/>
      </c>
      <c r="U615" s="528">
        <f t="shared" si="34"/>
      </c>
      <c r="V615" s="528">
        <f t="shared" si="595"/>
      </c>
      <c r="W615" s="528"/>
      <c r="X615" s="529"/>
      <c r="Y615" s="522">
        <f>SUM(Y610:Y614)</f>
      </c>
      <c r="Z615" s="522">
        <f>SUM(Z610:Z614)</f>
      </c>
      <c r="AA615" s="522">
        <f>SUM(AA610:AA614)</f>
      </c>
      <c r="AB615" s="522">
        <f>SUM(AB610:AB614)</f>
      </c>
      <c r="AC615" s="522">
        <f>SUM(AC610:AC614)</f>
      </c>
      <c r="AD615" s="522">
        <f>SUM(AD610:AD614)</f>
      </c>
      <c r="AE615" s="522">
        <f>SUM(AE610:AE614)</f>
      </c>
      <c r="AF615" s="522">
        <f>SUM(AF610:AF614)</f>
      </c>
      <c r="AG615" s="522">
        <f>SUM(AG610:AG614)</f>
      </c>
      <c r="AH615" s="522">
        <f>SUM(AH610:AH614)</f>
      </c>
    </row>
    <row r="616">
      <c r="A616" s="498"/>
      <c r="B616" s="499" t="s">
        <v>271</v>
      </c>
      <c r="C616" s="531" t="s">
        <v>263</v>
      </c>
      <c r="D616" s="532">
        <v>2708.5959999999995</v>
      </c>
      <c r="E616" s="502">
        <v>9</v>
      </c>
      <c r="F616" s="503">
        <v>3178.3999999999996</v>
      </c>
      <c r="G616" s="504">
        <f t="shared" si="71"/>
      </c>
      <c r="H616" s="505">
        <f t="shared" si="370"/>
      </c>
      <c r="I616" s="506">
        <f t="shared" si="306"/>
      </c>
      <c r="J616" s="507">
        <f t="shared" si="242"/>
      </c>
      <c r="K616" s="508">
        <f t="shared" si="656"/>
      </c>
      <c r="L616" s="505">
        <f t="shared" si="438"/>
      </c>
      <c r="M616" s="509">
        <f t="shared" si="530"/>
      </c>
      <c r="N616" s="509">
        <f t="shared" si="564"/>
      </c>
      <c r="O616" s="509">
        <f t="shared" si="469"/>
      </c>
      <c r="P616" s="509">
        <f t="shared" si="401"/>
      </c>
      <c r="Q616" s="505">
        <f t="shared" si="339"/>
      </c>
      <c r="R616" s="507">
        <f t="shared" si="275"/>
      </c>
      <c r="S616" s="509">
        <f t="shared" si="178"/>
      </c>
      <c r="T616" s="509">
        <f t="shared" si="108"/>
      </c>
      <c r="U616" s="509">
        <f t="shared" si="34"/>
      </c>
      <c r="V616" s="509">
        <f t="shared" si="595"/>
      </c>
      <c r="W616" s="520" t="s">
        <v>255</v>
      </c>
      <c r="X616" s="511" t="s">
        <v>282</v>
      </c>
      <c r="Y616" s="512">
        <v>318410</v>
      </c>
      <c r="Z616" s="512">
        <v>11381</v>
      </c>
      <c r="AA616" s="512">
        <v>278036</v>
      </c>
      <c r="AB616" s="513">
        <v>1538</v>
      </c>
      <c r="AC616" s="513">
        <v>7</v>
      </c>
      <c r="AD616" s="512">
        <v>31750</v>
      </c>
      <c r="AE616" s="513">
        <v>572</v>
      </c>
      <c r="AF616" s="513">
        <v>291</v>
      </c>
      <c r="AG616" s="513">
        <v>40</v>
      </c>
      <c r="AH616" s="514">
        <v>1</v>
      </c>
    </row>
    <row r="617">
      <c r="A617" s="498"/>
      <c r="B617" s="499" t="s">
        <v>271</v>
      </c>
      <c r="C617" s="533" t="s">
        <v>264</v>
      </c>
      <c r="D617" s="532">
        <v>2567.6659999999997</v>
      </c>
      <c r="E617" s="518">
        <v>12</v>
      </c>
      <c r="F617" s="519">
        <v>4454.799999999999</v>
      </c>
      <c r="G617" s="504">
        <f t="shared" si="71"/>
      </c>
      <c r="H617" s="505">
        <f t="shared" si="370"/>
      </c>
      <c r="I617" s="506">
        <f t="shared" si="306"/>
      </c>
      <c r="J617" s="507">
        <f t="shared" si="242"/>
      </c>
      <c r="K617" s="508">
        <f t="shared" si="656"/>
      </c>
      <c r="L617" s="505">
        <f t="shared" si="438"/>
      </c>
      <c r="M617" s="509">
        <f t="shared" si="530"/>
      </c>
      <c r="N617" s="509">
        <f t="shared" si="564"/>
      </c>
      <c r="O617" s="509">
        <f t="shared" si="469"/>
      </c>
      <c r="P617" s="509">
        <f t="shared" si="401"/>
      </c>
      <c r="Q617" s="505">
        <f t="shared" si="339"/>
      </c>
      <c r="R617" s="507">
        <f t="shared" si="275"/>
      </c>
      <c r="S617" s="509">
        <f t="shared" si="178"/>
      </c>
      <c r="T617" s="509">
        <f t="shared" si="108"/>
      </c>
      <c r="U617" s="509">
        <f t="shared" si="34"/>
      </c>
      <c r="V617" s="509">
        <f t="shared" si="595"/>
      </c>
      <c r="W617" s="520" t="s">
        <v>255</v>
      </c>
      <c r="X617" s="511" t="s">
        <v>282</v>
      </c>
      <c r="Y617" s="513">
        <v>332876</v>
      </c>
      <c r="Z617" s="513">
        <v>13271</v>
      </c>
      <c r="AA617" s="513">
        <v>263306</v>
      </c>
      <c r="AB617" s="513">
        <v>1755</v>
      </c>
      <c r="AC617" s="513">
        <v>11</v>
      </c>
      <c r="AD617" s="513">
        <v>30287</v>
      </c>
      <c r="AE617" s="513">
        <v>637</v>
      </c>
      <c r="AF617" s="513">
        <v>299</v>
      </c>
      <c r="AG617" s="513">
        <v>45</v>
      </c>
      <c r="AH617" s="514">
        <v>2</v>
      </c>
    </row>
    <row r="618">
      <c r="A618" s="498"/>
      <c r="B618" s="499" t="s">
        <v>271</v>
      </c>
      <c r="C618" s="534" t="s">
        <v>265</v>
      </c>
      <c r="D618" s="532">
        <v>3437.8299999999995</v>
      </c>
      <c r="E618" s="518">
        <v>8</v>
      </c>
      <c r="F618" s="519">
        <v>3430.7000000000007</v>
      </c>
      <c r="G618" s="504">
        <f t="shared" si="71"/>
      </c>
      <c r="H618" s="505">
        <f t="shared" si="370"/>
      </c>
      <c r="I618" s="506">
        <f t="shared" si="306"/>
      </c>
      <c r="J618" s="507">
        <f t="shared" si="242"/>
      </c>
      <c r="K618" s="508">
        <f t="shared" si="656"/>
      </c>
      <c r="L618" s="505">
        <f t="shared" si="438"/>
      </c>
      <c r="M618" s="509">
        <f t="shared" si="530"/>
      </c>
      <c r="N618" s="509">
        <f t="shared" si="564"/>
      </c>
      <c r="O618" s="509">
        <f t="shared" si="469"/>
      </c>
      <c r="P618" s="509">
        <f t="shared" si="401"/>
      </c>
      <c r="Q618" s="505">
        <f t="shared" si="339"/>
      </c>
      <c r="R618" s="507">
        <f t="shared" si="275"/>
      </c>
      <c r="S618" s="509">
        <f t="shared" si="178"/>
      </c>
      <c r="T618" s="509">
        <f t="shared" si="108"/>
      </c>
      <c r="U618" s="509">
        <f t="shared" si="34"/>
      </c>
      <c r="V618" s="509">
        <f t="shared" si="595"/>
      </c>
      <c r="W618" s="520" t="s">
        <v>255</v>
      </c>
      <c r="X618" s="511" t="s">
        <v>282</v>
      </c>
      <c r="Y618" s="513">
        <v>478653</v>
      </c>
      <c r="Z618" s="513">
        <v>19662</v>
      </c>
      <c r="AA618" s="513">
        <v>345726</v>
      </c>
      <c r="AB618" s="513">
        <v>2291</v>
      </c>
      <c r="AC618" s="513">
        <v>6</v>
      </c>
      <c r="AD618" s="513">
        <v>36207</v>
      </c>
      <c r="AE618" s="513">
        <v>697</v>
      </c>
      <c r="AF618" s="513">
        <v>383</v>
      </c>
      <c r="AG618" s="514">
        <v>39</v>
      </c>
      <c r="AH618" s="514">
        <v>3</v>
      </c>
    </row>
    <row r="619">
      <c r="A619" s="498"/>
      <c r="B619" s="499" t="s">
        <v>271</v>
      </c>
      <c r="C619" s="537" t="s">
        <v>266</v>
      </c>
      <c r="D619" s="532">
        <v>4484.162</v>
      </c>
      <c r="E619" s="518">
        <v>10</v>
      </c>
      <c r="F619" s="519">
        <v>2939.2000000000007</v>
      </c>
      <c r="G619" s="504">
        <f t="shared" si="71"/>
      </c>
      <c r="H619" s="505">
        <f t="shared" si="370"/>
      </c>
      <c r="I619" s="506">
        <f t="shared" si="306"/>
      </c>
      <c r="J619" s="507">
        <f t="shared" si="242"/>
      </c>
      <c r="K619" s="508">
        <f t="shared" si="656"/>
      </c>
      <c r="L619" s="505">
        <f t="shared" si="438"/>
      </c>
      <c r="M619" s="509">
        <f t="shared" si="530"/>
      </c>
      <c r="N619" s="509">
        <f t="shared" si="564"/>
      </c>
      <c r="O619" s="509">
        <f t="shared" si="469"/>
      </c>
      <c r="P619" s="509">
        <f t="shared" si="401"/>
      </c>
      <c r="Q619" s="505">
        <f t="shared" si="339"/>
      </c>
      <c r="R619" s="507">
        <f t="shared" si="275"/>
      </c>
      <c r="S619" s="509">
        <f t="shared" si="178"/>
      </c>
      <c r="T619" s="509">
        <f t="shared" si="108"/>
      </c>
      <c r="U619" s="509">
        <f t="shared" si="34"/>
      </c>
      <c r="V619" s="509">
        <f t="shared" si="595"/>
      </c>
      <c r="W619" s="520" t="s">
        <v>255</v>
      </c>
      <c r="X619" s="511" t="s">
        <v>279</v>
      </c>
      <c r="Y619" s="513">
        <v>600160</v>
      </c>
      <c r="Z619" s="513">
        <v>25870</v>
      </c>
      <c r="AA619" s="513">
        <v>466922</v>
      </c>
      <c r="AB619" s="513">
        <v>2634</v>
      </c>
      <c r="AC619" s="513">
        <v>8</v>
      </c>
      <c r="AD619" s="513">
        <v>44248</v>
      </c>
      <c r="AE619" s="513">
        <v>891</v>
      </c>
      <c r="AF619" s="513">
        <v>506</v>
      </c>
      <c r="AG619" s="513">
        <v>47</v>
      </c>
      <c r="AH619" s="514">
        <v>1</v>
      </c>
    </row>
    <row r="620">
      <c r="A620" s="498"/>
      <c r="B620" s="499" t="s">
        <v>271</v>
      </c>
      <c r="C620" s="540" t="s">
        <v>269</v>
      </c>
      <c r="D620" s="532">
        <v>4501.277</v>
      </c>
      <c r="E620" s="518">
        <v>10</v>
      </c>
      <c r="F620" s="519">
        <v>2100.5999999999985</v>
      </c>
      <c r="G620" s="504">
        <f t="shared" si="71"/>
      </c>
      <c r="H620" s="505">
        <f t="shared" si="370"/>
      </c>
      <c r="I620" s="506">
        <f t="shared" si="306"/>
      </c>
      <c r="J620" s="507">
        <f t="shared" si="242"/>
      </c>
      <c r="K620" s="508">
        <f t="shared" si="656"/>
      </c>
      <c r="L620" s="505">
        <f t="shared" si="438"/>
      </c>
      <c r="M620" s="509">
        <f t="shared" si="530"/>
      </c>
      <c r="N620" s="509">
        <f t="shared" si="564"/>
      </c>
      <c r="O620" s="509">
        <f t="shared" si="469"/>
      </c>
      <c r="P620" s="509">
        <f t="shared" si="401"/>
      </c>
      <c r="Q620" s="505">
        <f t="shared" si="339"/>
      </c>
      <c r="R620" s="507">
        <f t="shared" si="275"/>
      </c>
      <c r="S620" s="509">
        <f t="shared" si="178"/>
      </c>
      <c r="T620" s="509">
        <f t="shared" si="108"/>
      </c>
      <c r="U620" s="509">
        <f t="shared" si="34"/>
      </c>
      <c r="V620" s="509">
        <f t="shared" si="595"/>
      </c>
      <c r="W620" s="520" t="s">
        <v>255</v>
      </c>
      <c r="X620" s="511" t="s">
        <v>279</v>
      </c>
      <c r="Y620" s="513">
        <v>588303</v>
      </c>
      <c r="Z620" s="513">
        <v>26489</v>
      </c>
      <c r="AA620" s="513">
        <v>561357</v>
      </c>
      <c r="AB620" s="513">
        <v>2237</v>
      </c>
      <c r="AC620" s="513">
        <v>9</v>
      </c>
      <c r="AD620" s="513">
        <v>52443</v>
      </c>
      <c r="AE620" s="513">
        <v>836</v>
      </c>
      <c r="AF620" s="513">
        <v>488</v>
      </c>
      <c r="AG620" s="514">
        <v>38</v>
      </c>
      <c r="AH620" s="514">
        <v>2</v>
      </c>
    </row>
    <row r="621">
      <c r="A621" s="498"/>
      <c r="B621" s="521" t="s">
        <v>261</v>
      </c>
      <c r="C621" s="521"/>
      <c r="D621" s="522">
        <f>SUM(D616:D620)</f>
      </c>
      <c r="E621" s="522">
        <f>SUM(E616:E620)</f>
      </c>
      <c r="F621" s="522">
        <f>SUM(F616:F620)</f>
      </c>
      <c r="G621" s="522">
        <f t="shared" si="71"/>
      </c>
      <c r="H621" s="524">
        <f t="shared" si="370"/>
      </c>
      <c r="I621" s="525">
        <f t="shared" si="306"/>
      </c>
      <c r="J621" s="526">
        <f t="shared" si="242"/>
      </c>
      <c r="K621" s="527">
        <f t="shared" si="656"/>
      </c>
      <c r="L621" s="524">
        <f t="shared" si="438"/>
      </c>
      <c r="M621" s="528">
        <f t="shared" si="530"/>
      </c>
      <c r="N621" s="528">
        <f t="shared" si="564"/>
      </c>
      <c r="O621" s="528">
        <f t="shared" si="469"/>
      </c>
      <c r="P621" s="528">
        <f t="shared" si="401"/>
      </c>
      <c r="Q621" s="524">
        <f t="shared" si="339"/>
      </c>
      <c r="R621" s="526">
        <f t="shared" si="275"/>
      </c>
      <c r="S621" s="528">
        <f t="shared" si="178"/>
      </c>
      <c r="T621" s="528">
        <f t="shared" si="108"/>
      </c>
      <c r="U621" s="528">
        <f t="shared" si="34"/>
      </c>
      <c r="V621" s="528">
        <f t="shared" si="595"/>
      </c>
      <c r="W621" s="528"/>
      <c r="X621" s="529"/>
      <c r="Y621" s="522">
        <f>SUM(Y616:Y620)</f>
      </c>
      <c r="Z621" s="522">
        <f>SUM(Z616:Z620)</f>
      </c>
      <c r="AA621" s="522">
        <f>SUM(AA616:AA620)</f>
      </c>
      <c r="AB621" s="522">
        <f>SUM(AB616:AB620)</f>
      </c>
      <c r="AC621" s="522">
        <f>SUM(AC616:AC620)</f>
      </c>
      <c r="AD621" s="522">
        <f>SUM(AD616:AD620)</f>
      </c>
      <c r="AE621" s="522">
        <f>SUM(AE616:AE620)</f>
      </c>
      <c r="AF621" s="522">
        <f>SUM(AF616:AF620)</f>
      </c>
      <c r="AG621" s="522">
        <f>SUM(AG616:AG620)</f>
      </c>
      <c r="AH621" s="522">
        <f>SUM(AH616:AH620)</f>
      </c>
    </row>
    <row r="622">
      <c r="A622" s="498"/>
      <c r="B622" s="574" t="s">
        <v>268</v>
      </c>
      <c r="C622" s="534" t="s">
        <v>270</v>
      </c>
      <c r="D622" s="541">
        <v>3859.4700000000003</v>
      </c>
      <c r="E622" s="542">
        <v>10</v>
      </c>
      <c r="F622" s="519">
        <v>2742.300000000003</v>
      </c>
      <c r="G622" s="504">
        <f t="shared" si="71"/>
      </c>
      <c r="H622" s="505">
        <f t="shared" si="370"/>
      </c>
      <c r="I622" s="506">
        <f t="shared" si="306"/>
      </c>
      <c r="J622" s="507">
        <f t="shared" si="242"/>
      </c>
      <c r="K622" s="508">
        <f t="shared" si="656"/>
      </c>
      <c r="L622" s="505">
        <f t="shared" si="438"/>
      </c>
      <c r="M622" s="509">
        <f t="shared" si="530"/>
      </c>
      <c r="N622" s="509">
        <f t="shared" si="564"/>
      </c>
      <c r="O622" s="509">
        <f t="shared" si="469"/>
      </c>
      <c r="P622" s="509">
        <f t="shared" si="401"/>
      </c>
      <c r="Q622" s="505">
        <f t="shared" si="339"/>
      </c>
      <c r="R622" s="507">
        <f t="shared" si="275"/>
      </c>
      <c r="S622" s="509">
        <f t="shared" si="178"/>
      </c>
      <c r="T622" s="509">
        <f t="shared" si="108"/>
      </c>
      <c r="U622" s="509">
        <f t="shared" si="34"/>
      </c>
      <c r="V622" s="509">
        <f t="shared" si="595"/>
      </c>
      <c r="W622" s="520" t="s">
        <v>255</v>
      </c>
      <c r="X622" s="511" t="s">
        <v>279</v>
      </c>
      <c r="Y622" s="513">
        <v>505900</v>
      </c>
      <c r="Z622" s="513">
        <v>23091</v>
      </c>
      <c r="AA622" s="513">
        <v>454283</v>
      </c>
      <c r="AB622" s="513">
        <v>2196</v>
      </c>
      <c r="AC622" s="513">
        <v>9</v>
      </c>
      <c r="AD622" s="513">
        <v>44732</v>
      </c>
      <c r="AE622" s="513">
        <v>696</v>
      </c>
      <c r="AF622" s="513">
        <v>447</v>
      </c>
      <c r="AG622" s="513">
        <v>40</v>
      </c>
      <c r="AH622" s="514">
        <v>1</v>
      </c>
    </row>
    <row r="623">
      <c r="A623" s="498"/>
      <c r="B623" s="574" t="s">
        <v>268</v>
      </c>
      <c r="C623" s="534" t="s">
        <v>272</v>
      </c>
      <c r="D623" s="541">
        <v>4218.013</v>
      </c>
      <c r="E623" s="542">
        <v>7</v>
      </c>
      <c r="F623" s="519">
        <v>2725.5999999999985</v>
      </c>
      <c r="G623" s="504">
        <f t="shared" si="71"/>
      </c>
      <c r="H623" s="505">
        <f t="shared" si="370"/>
      </c>
      <c r="I623" s="506">
        <f t="shared" si="306"/>
      </c>
      <c r="J623" s="507">
        <f t="shared" si="242"/>
      </c>
      <c r="K623" s="508">
        <f t="shared" si="656"/>
      </c>
      <c r="L623" s="505">
        <f t="shared" si="438"/>
      </c>
      <c r="M623" s="509">
        <f t="shared" si="530"/>
      </c>
      <c r="N623" s="509">
        <f t="shared" si="564"/>
      </c>
      <c r="O623" s="509">
        <f t="shared" si="469"/>
      </c>
      <c r="P623" s="509">
        <f t="shared" si="401"/>
      </c>
      <c r="Q623" s="505">
        <f t="shared" si="339"/>
      </c>
      <c r="R623" s="507">
        <f t="shared" si="275"/>
      </c>
      <c r="S623" s="509">
        <f t="shared" si="178"/>
      </c>
      <c r="T623" s="509">
        <f t="shared" si="108"/>
      </c>
      <c r="U623" s="509">
        <f t="shared" si="34"/>
      </c>
      <c r="V623" s="509">
        <f t="shared" si="595"/>
      </c>
      <c r="W623" s="520" t="s">
        <v>255</v>
      </c>
      <c r="X623" s="511" t="s">
        <v>279</v>
      </c>
      <c r="Y623" s="513">
        <v>646974</v>
      </c>
      <c r="Z623" s="513">
        <v>24590</v>
      </c>
      <c r="AA623" s="513">
        <v>478505</v>
      </c>
      <c r="AB623" s="513">
        <v>2836</v>
      </c>
      <c r="AC623" s="513">
        <v>6</v>
      </c>
      <c r="AD623" s="513">
        <v>46646</v>
      </c>
      <c r="AE623" s="513">
        <v>914</v>
      </c>
      <c r="AF623" s="513">
        <v>504</v>
      </c>
      <c r="AG623" s="514">
        <v>39</v>
      </c>
      <c r="AH623" s="514">
        <v>1</v>
      </c>
    </row>
    <row r="624">
      <c r="A624" s="498"/>
      <c r="B624" s="574" t="s">
        <v>268</v>
      </c>
      <c r="C624" s="537" t="s">
        <v>273</v>
      </c>
      <c r="D624" s="541">
        <v>3153.899</v>
      </c>
      <c r="E624" s="542">
        <v>14</v>
      </c>
      <c r="F624" s="519">
        <v>6678.800000000003</v>
      </c>
      <c r="G624" s="504">
        <f t="shared" si="71"/>
      </c>
      <c r="H624" s="505">
        <f t="shared" si="370"/>
      </c>
      <c r="I624" s="506">
        <f t="shared" si="306"/>
      </c>
      <c r="J624" s="507">
        <f t="shared" si="242"/>
      </c>
      <c r="K624" s="508">
        <f t="shared" si="656"/>
      </c>
      <c r="L624" s="505">
        <f t="shared" si="438"/>
      </c>
      <c r="M624" s="509">
        <f t="shared" si="530"/>
      </c>
      <c r="N624" s="509">
        <f t="shared" si="564"/>
      </c>
      <c r="O624" s="509">
        <f t="shared" si="469"/>
      </c>
      <c r="P624" s="509">
        <f t="shared" si="401"/>
      </c>
      <c r="Q624" s="505">
        <f t="shared" si="339"/>
      </c>
      <c r="R624" s="507">
        <f t="shared" si="275"/>
      </c>
      <c r="S624" s="509">
        <f t="shared" si="178"/>
      </c>
      <c r="T624" s="509">
        <f t="shared" si="108"/>
      </c>
      <c r="U624" s="509">
        <f t="shared" si="34"/>
      </c>
      <c r="V624" s="509">
        <f t="shared" si="595"/>
      </c>
      <c r="W624" s="520" t="s">
        <v>255</v>
      </c>
      <c r="X624" s="511" t="s">
        <v>279</v>
      </c>
      <c r="Y624" s="513">
        <v>567011</v>
      </c>
      <c r="Z624" s="513">
        <v>25942</v>
      </c>
      <c r="AA624" s="513">
        <v>479707</v>
      </c>
      <c r="AB624" s="513">
        <v>2450</v>
      </c>
      <c r="AC624" s="513">
        <v>12</v>
      </c>
      <c r="AD624" s="513">
        <v>47637</v>
      </c>
      <c r="AE624" s="513">
        <v>823</v>
      </c>
      <c r="AF624" s="513">
        <v>487</v>
      </c>
      <c r="AG624" s="514">
        <v>48</v>
      </c>
      <c r="AH624" s="514">
        <v>2</v>
      </c>
    </row>
    <row r="625">
      <c r="A625" s="498"/>
      <c r="B625" s="574" t="s">
        <v>268</v>
      </c>
      <c r="C625" s="534" t="s">
        <v>274</v>
      </c>
      <c r="D625" s="535">
        <v>1343.8039999999999</v>
      </c>
      <c r="E625" s="502">
        <v>4</v>
      </c>
      <c r="F625" s="503">
        <v>912</v>
      </c>
      <c r="G625" s="504">
        <f t="shared" si="71"/>
      </c>
      <c r="H625" s="505">
        <f t="shared" si="370"/>
      </c>
      <c r="I625" s="560">
        <f t="shared" si="306"/>
      </c>
      <c r="J625" s="559">
        <f t="shared" si="242"/>
      </c>
      <c r="K625" s="556">
        <f t="shared" ref="K625:K626" si="147">D625/AB625</f>
      </c>
      <c r="L625" s="557">
        <f t="shared" si="438"/>
      </c>
      <c r="M625" s="558">
        <f t="shared" ref="M625:M626" si="209">AC625/AB625</f>
      </c>
      <c r="N625" s="558">
        <f t="shared" si="564"/>
      </c>
      <c r="O625" s="558">
        <f t="shared" si="469"/>
      </c>
      <c r="P625" s="558">
        <f t="shared" si="401"/>
      </c>
      <c r="Q625" s="557">
        <f t="shared" si="339"/>
      </c>
      <c r="R625" s="559">
        <f t="shared" si="275"/>
      </c>
      <c r="S625" s="558">
        <f t="shared" si="178"/>
      </c>
      <c r="T625" s="558">
        <f t="shared" si="108"/>
      </c>
      <c r="U625" s="558">
        <f t="shared" si="34"/>
      </c>
      <c r="V625" s="558">
        <f t="shared" si="595"/>
      </c>
      <c r="W625" s="520" t="s">
        <v>255</v>
      </c>
      <c r="X625" s="511" t="s">
        <v>279</v>
      </c>
      <c r="Y625" s="513">
        <v>205524</v>
      </c>
      <c r="Z625" s="513">
        <v>17693</v>
      </c>
      <c r="AA625" s="513">
        <v>218604</v>
      </c>
      <c r="AB625" s="536">
        <v>1214</v>
      </c>
      <c r="AC625" s="536">
        <v>3</v>
      </c>
      <c r="AD625" s="536">
        <v>27860</v>
      </c>
      <c r="AE625" s="536">
        <v>556</v>
      </c>
      <c r="AF625" s="536">
        <v>318</v>
      </c>
      <c r="AG625" s="536">
        <v>29</v>
      </c>
      <c r="AH625" s="514">
        <v>0</v>
      </c>
    </row>
    <row r="626">
      <c r="A626" s="498"/>
      <c r="B626" s="574" t="s">
        <v>268</v>
      </c>
      <c r="C626" s="555" t="s">
        <v>275</v>
      </c>
      <c r="D626" s="541">
        <v>1295.385</v>
      </c>
      <c r="E626" s="542">
        <v>4</v>
      </c>
      <c r="F626" s="519">
        <v>1480</v>
      </c>
      <c r="G626" s="504">
        <f t="shared" si="71"/>
      </c>
      <c r="H626" s="505">
        <f t="shared" si="370"/>
      </c>
      <c r="I626" s="560">
        <f t="shared" si="306"/>
      </c>
      <c r="J626" s="559">
        <f t="shared" si="242"/>
      </c>
      <c r="K626" s="556">
        <f t="shared" si="147"/>
      </c>
      <c r="L626" s="557">
        <f t="shared" si="438"/>
      </c>
      <c r="M626" s="558">
        <f t="shared" si="209"/>
      </c>
      <c r="N626" s="558">
        <f t="shared" si="564"/>
      </c>
      <c r="O626" s="558">
        <f t="shared" si="469"/>
      </c>
      <c r="P626" s="558">
        <f t="shared" si="401"/>
      </c>
      <c r="Q626" s="557">
        <f t="shared" si="339"/>
      </c>
      <c r="R626" s="559">
        <f t="shared" si="275"/>
      </c>
      <c r="S626" s="558">
        <f t="shared" si="178"/>
      </c>
      <c r="T626" s="558">
        <f t="shared" si="108"/>
      </c>
      <c r="U626" s="558">
        <f t="shared" si="34"/>
      </c>
      <c r="V626" s="558">
        <f t="shared" si="595"/>
      </c>
      <c r="W626" s="520" t="s">
        <v>255</v>
      </c>
      <c r="X626" s="511" t="s">
        <v>279</v>
      </c>
      <c r="Y626" s="513">
        <v>188052</v>
      </c>
      <c r="Z626" s="513">
        <v>10851</v>
      </c>
      <c r="AA626" s="513">
        <v>190688</v>
      </c>
      <c r="AB626" s="513">
        <v>1158</v>
      </c>
      <c r="AC626" s="513">
        <v>5</v>
      </c>
      <c r="AD626" s="513">
        <v>21524</v>
      </c>
      <c r="AE626" s="513">
        <v>418</v>
      </c>
      <c r="AF626" s="513">
        <v>211</v>
      </c>
      <c r="AG626" s="514">
        <v>24</v>
      </c>
      <c r="AH626" s="514">
        <v>0</v>
      </c>
    </row>
    <row r="627">
      <c r="A627" s="498"/>
      <c r="B627" s="538" t="s">
        <v>261</v>
      </c>
      <c r="C627" s="538"/>
      <c r="D627" s="522">
        <f>SUM(D622:D626)</f>
      </c>
      <c r="E627" s="522">
        <f>SUM(E622:E626)</f>
      </c>
      <c r="F627" s="522">
        <f>SUM(F622:F626)</f>
      </c>
      <c r="G627" s="522">
        <f t="shared" si="71"/>
      </c>
      <c r="H627" s="524">
        <f t="shared" si="370"/>
      </c>
      <c r="I627" s="525">
        <f t="shared" si="306"/>
      </c>
      <c r="J627" s="526">
        <f t="shared" si="242"/>
      </c>
      <c r="K627" s="527">
        <f t="shared" ref="K627:K628" si="657">D627/AA627</f>
      </c>
      <c r="L627" s="524">
        <f t="shared" si="438"/>
      </c>
      <c r="M627" s="528">
        <f t="shared" ref="M627:M628" si="531">AB627/AA627</f>
      </c>
      <c r="N627" s="528">
        <f t="shared" si="564"/>
      </c>
      <c r="O627" s="528">
        <f t="shared" si="469"/>
      </c>
      <c r="P627" s="528">
        <f t="shared" si="401"/>
      </c>
      <c r="Q627" s="524">
        <f t="shared" si="339"/>
      </c>
      <c r="R627" s="526">
        <f t="shared" si="275"/>
      </c>
      <c r="S627" s="528">
        <f t="shared" si="178"/>
      </c>
      <c r="T627" s="528">
        <f t="shared" si="108"/>
      </c>
      <c r="U627" s="528">
        <f t="shared" si="34"/>
      </c>
      <c r="V627" s="528">
        <f t="shared" si="595"/>
      </c>
      <c r="W627" s="528"/>
      <c r="X627" s="529"/>
      <c r="Y627" s="522">
        <f>SUM(Y622:Y626)</f>
      </c>
      <c r="Z627" s="522">
        <f>SUM(Z622:Z626)</f>
      </c>
      <c r="AA627" s="522">
        <f>SUM(AA622:AA626)</f>
      </c>
      <c r="AB627" s="522">
        <f>SUM(AB622:AB626)</f>
      </c>
      <c r="AC627" s="522">
        <f>SUM(AC622:AC626)</f>
      </c>
      <c r="AD627" s="522">
        <f>SUM(AD622:AD626)</f>
      </c>
      <c r="AE627" s="522">
        <f>SUM(AE622:AE626)</f>
      </c>
      <c r="AF627" s="522">
        <f>SUM(AF622:AF626)</f>
      </c>
      <c r="AG627" s="522">
        <f>SUM(AG622:AG626)</f>
      </c>
      <c r="AH627" s="522">
        <f>SUM(AH622:AH626)</f>
      </c>
    </row>
    <row r="628">
      <c r="A628" s="498"/>
      <c r="B628" s="543" t="s">
        <v>276</v>
      </c>
      <c r="C628" s="543"/>
      <c r="D628" s="554">
        <f>SUM(D615+D627+D621)</f>
      </c>
      <c r="E628" s="554">
        <f>SUM(E615+E627+E621)</f>
      </c>
      <c r="F628" s="554">
        <f>SUM(F615+F627+F621)</f>
      </c>
      <c r="G628" s="544">
        <f t="shared" si="71"/>
      </c>
      <c r="H628" s="545">
        <f t="shared" si="370"/>
      </c>
      <c r="I628" s="546">
        <f t="shared" si="306"/>
      </c>
      <c r="J628" s="547">
        <f t="shared" si="242"/>
      </c>
      <c r="K628" s="548">
        <f t="shared" si="657"/>
      </c>
      <c r="L628" s="548">
        <f t="shared" si="438"/>
      </c>
      <c r="M628" s="550">
        <f t="shared" si="531"/>
      </c>
      <c r="N628" s="550">
        <f t="shared" si="564"/>
      </c>
      <c r="O628" s="550">
        <f t="shared" si="469"/>
      </c>
      <c r="P628" s="550">
        <f t="shared" si="401"/>
      </c>
      <c r="Q628" s="549">
        <f t="shared" si="339"/>
      </c>
      <c r="R628" s="551">
        <f t="shared" si="275"/>
      </c>
      <c r="S628" s="552">
        <f t="shared" si="178"/>
      </c>
      <c r="T628" s="552">
        <f t="shared" si="108"/>
      </c>
      <c r="U628" s="552">
        <f t="shared" si="34"/>
      </c>
      <c r="V628" s="552">
        <f t="shared" si="595"/>
      </c>
      <c r="W628" s="552"/>
      <c r="X628" s="553"/>
      <c r="Y628" s="544">
        <f>SUM(Y627+Y615+Y621)</f>
      </c>
      <c r="Z628" s="544">
        <f>SUM(Z627+Z615+Z621)</f>
      </c>
      <c r="AA628" s="544">
        <f>SUM(AA627+AA615+AA621)</f>
      </c>
      <c r="AB628" s="544">
        <f>SUM(AB627+AB615+AB621)</f>
      </c>
      <c r="AC628" s="544">
        <f>SUM(AC627+AC615+AC621)</f>
      </c>
      <c r="AD628" s="544">
        <f>SUM(AD627+AD615+AD621)</f>
      </c>
      <c r="AE628" s="544">
        <f>SUM(AE627+AE615+AE621)</f>
      </c>
      <c r="AF628" s="544">
        <f>SUM(AF627+AF615+AF621)</f>
      </c>
      <c r="AG628" s="544">
        <f>SUM(AG627+AG615+AG621)</f>
      </c>
      <c r="AH628" s="544">
        <f>SUM(AH627+AH615+AH621)</f>
      </c>
    </row>
    <row r="629">
      <c r="A629" s="575" t="s">
        <v>287</v>
      </c>
      <c r="B629" s="576"/>
      <c r="C629" s="576"/>
      <c r="D629" s="577">
        <f>D630+D631+D632+C630+C631+C632+D633+D634+C633+C634</f>
      </c>
      <c r="E629">
        <f>E630-E628</f>
      </c>
      <c r="F629">
        <f>F630-F628</f>
      </c>
      <c r="G629" s="576"/>
      <c r="H629" s="576"/>
      <c r="I629" s="576"/>
      <c r="J629" s="576"/>
      <c r="K629" s="576"/>
      <c r="L629" s="576"/>
      <c r="M629" s="576"/>
      <c r="N629" s="576"/>
      <c r="O629" s="576"/>
      <c r="P629" s="576"/>
      <c r="Q629" s="576"/>
      <c r="R629" s="576"/>
      <c r="S629" s="576"/>
      <c r="T629" s="576"/>
      <c r="U629" s="576"/>
      <c r="V629" s="576"/>
      <c r="W629" s="576"/>
      <c r="X629" s="576"/>
      <c r="Y629" s="576">
        <f>Y630+Y631+Y632+Y633+Y634</f>
      </c>
      <c r="Z629" s="576">
        <f>Z630+Z631+Z632+Z633+Z634</f>
      </c>
      <c r="AA629" s="576">
        <f>AA630+AA631+AA632+AA633+AA634</f>
      </c>
      <c r="AB629" s="576">
        <f>AB630+AB631+AB632+AB633+AB634</f>
      </c>
      <c r="AC629" s="576">
        <f>AC630+AC631+AC632+AC633+AC634</f>
      </c>
      <c r="AD629" s="576">
        <f>AD630+AD631+AD632+AD633+AD634</f>
      </c>
      <c r="AE629" s="576">
        <f>AE630+AE631+AE632+AE633+AE634</f>
      </c>
      <c r="AF629" s="576">
        <f>AF630+AF631+AF632+AF633+AF634</f>
      </c>
      <c r="AG629" s="576">
        <f>AG630+AG631+AG632+AG633+AG634</f>
      </c>
      <c r="AH629" s="576"/>
    </row>
    <row r="630">
      <c r="A630" s="576"/>
      <c r="B630" s="575"/>
      <c r="C630" s="575"/>
      <c r="D630" s="578">
        <v>1117.914</v>
      </c>
      <c r="E630" s="579">
        <v>126</v>
      </c>
      <c r="F630" s="580">
        <v>11801.3</v>
      </c>
      <c r="G630" s="576"/>
      <c r="H630" s="575"/>
      <c r="I630" s="576"/>
      <c r="J630" s="576"/>
      <c r="K630" s="576"/>
      <c r="L630" s="576"/>
      <c r="M630" s="576"/>
      <c r="N630" s="576"/>
      <c r="O630" s="576"/>
      <c r="P630" s="576"/>
      <c r="Q630" s="576"/>
      <c r="R630" s="576"/>
      <c r="S630" s="576"/>
      <c r="T630" s="576"/>
      <c r="U630" s="576"/>
      <c r="V630" s="576"/>
      <c r="W630" s="576"/>
      <c r="X630" s="576"/>
      <c r="Y630" s="581">
        <v>149372</v>
      </c>
      <c r="Z630" s="581">
        <v>10172</v>
      </c>
      <c r="AA630" s="581">
        <v>166980</v>
      </c>
      <c r="AB630" s="581">
        <v>914</v>
      </c>
      <c r="AC630" s="581">
        <v>4</v>
      </c>
      <c r="AD630" s="581">
        <v>20967</v>
      </c>
      <c r="AE630" s="581">
        <v>386</v>
      </c>
      <c r="AF630" s="581">
        <v>200</v>
      </c>
      <c r="AG630" s="582">
        <v>24</v>
      </c>
      <c r="AH630" s="583"/>
    </row>
    <row r="631">
      <c r="A631" s="584"/>
      <c r="B631" s="575"/>
      <c r="C631" s="575"/>
      <c r="D631" s="578">
        <v>177.445</v>
      </c>
      <c r="E631" s="585"/>
      <c r="F631" s="586"/>
      <c r="G631" s="587"/>
      <c r="H631" s="587"/>
      <c r="I631" s="586"/>
      <c r="J631" s="586"/>
      <c r="K631" s="586"/>
      <c r="L631" s="586"/>
      <c r="M631" s="576"/>
      <c r="N631" s="576"/>
      <c r="O631" s="576"/>
      <c r="P631" s="576"/>
      <c r="Q631" s="576"/>
      <c r="R631" s="576"/>
      <c r="S631" s="576"/>
      <c r="T631" s="576"/>
      <c r="U631" s="576"/>
      <c r="V631" s="576"/>
      <c r="W631" s="576"/>
      <c r="X631" s="576"/>
      <c r="Y631" s="581">
        <v>38580</v>
      </c>
      <c r="Z631" s="581">
        <v>679</v>
      </c>
      <c r="AA631" s="581">
        <v>23673</v>
      </c>
      <c r="AB631" s="581">
        <v>244</v>
      </c>
      <c r="AC631" s="581">
        <v>1</v>
      </c>
      <c r="AD631" s="581">
        <v>537</v>
      </c>
      <c r="AE631" s="581">
        <v>32</v>
      </c>
      <c r="AF631" s="581">
        <v>11</v>
      </c>
      <c r="AG631" s="582">
        <v>0</v>
      </c>
      <c r="AH631" s="588"/>
    </row>
    <row r="632">
      <c r="A632" s="584"/>
      <c r="B632" s="575"/>
      <c r="C632" s="575"/>
      <c r="D632" s="578">
        <v>0</v>
      </c>
      <c r="E632" s="581"/>
      <c r="F632" s="576"/>
      <c r="G632" s="576"/>
      <c r="H632" s="576"/>
      <c r="I632" s="576"/>
      <c r="J632" s="576"/>
      <c r="K632" s="576"/>
      <c r="L632" s="576"/>
      <c r="M632" s="576"/>
      <c r="N632" s="576"/>
      <c r="O632" s="576"/>
      <c r="P632" s="576"/>
      <c r="Q632" s="576"/>
      <c r="R632" s="576"/>
      <c r="S632" s="576"/>
      <c r="T632" s="576"/>
      <c r="U632" s="576"/>
      <c r="V632" s="576"/>
      <c r="W632" s="576"/>
      <c r="X632" s="576"/>
      <c r="Y632" s="581">
        <v>38</v>
      </c>
      <c r="Z632" s="581">
        <v>0</v>
      </c>
      <c r="AA632" s="581">
        <v>34</v>
      </c>
      <c r="AB632" s="581">
        <v>0</v>
      </c>
      <c r="AC632" s="581">
        <v>0</v>
      </c>
      <c r="AD632" s="581">
        <v>20</v>
      </c>
      <c r="AE632" s="581">
        <v>0</v>
      </c>
      <c r="AF632" s="581">
        <v>0</v>
      </c>
      <c r="AG632" s="582">
        <v>0</v>
      </c>
      <c r="AH632" s="588"/>
    </row>
    <row r="633">
      <c r="A633" s="584"/>
      <c r="B633" s="589"/>
      <c r="C633" s="575"/>
      <c r="D633" s="590">
        <v>0.026</v>
      </c>
      <c r="E633" s="581"/>
      <c r="F633" s="576"/>
      <c r="G633" s="588"/>
      <c r="H633" s="587"/>
      <c r="I633" s="588"/>
      <c r="J633" s="588"/>
      <c r="K633" s="588"/>
      <c r="L633" s="588"/>
      <c r="M633" s="588"/>
      <c r="N633" s="588"/>
      <c r="O633" s="588"/>
      <c r="P633" s="583"/>
      <c r="Q633" s="588"/>
      <c r="R633" s="576"/>
      <c r="S633" s="576"/>
      <c r="T633" s="576"/>
      <c r="U633" s="576"/>
      <c r="V633" s="576"/>
      <c r="W633" s="576"/>
      <c r="X633" s="576"/>
      <c r="Y633" s="581">
        <v>62</v>
      </c>
      <c r="Z633" s="581">
        <v>0</v>
      </c>
      <c r="AA633" s="581">
        <v>1</v>
      </c>
      <c r="AB633" s="581">
        <v>0</v>
      </c>
      <c r="AC633" s="581">
        <v>0</v>
      </c>
      <c r="AD633" s="581">
        <v>0</v>
      </c>
      <c r="AE633" s="581">
        <v>0</v>
      </c>
      <c r="AF633" s="581">
        <v>0</v>
      </c>
      <c r="AG633" s="581">
        <v>0</v>
      </c>
      <c r="AH633" s="581"/>
    </row>
    <row r="634">
      <c r="A634" s="584"/>
      <c r="B634" s="591"/>
      <c r="C634" s="575"/>
      <c r="D634" s="578"/>
      <c r="E634" s="592"/>
      <c r="F634" s="576"/>
      <c r="G634" s="589"/>
      <c r="H634" s="589"/>
      <c r="I634" s="589"/>
      <c r="J634" s="589"/>
      <c r="K634" s="589"/>
      <c r="L634" s="589"/>
      <c r="M634" s="589"/>
      <c r="N634" s="589"/>
      <c r="O634" s="583"/>
      <c r="P634" s="583"/>
      <c r="Q634" s="588"/>
      <c r="R634" s="576"/>
      <c r="S634" s="576"/>
      <c r="T634" s="576"/>
      <c r="U634" s="576"/>
      <c r="V634" s="576"/>
      <c r="W634" s="576"/>
      <c r="X634" s="576"/>
      <c r="Y634" s="592"/>
      <c r="Z634" s="592"/>
      <c r="AA634" s="592"/>
      <c r="AB634" s="592"/>
      <c r="AC634" s="592"/>
      <c r="AD634" s="592"/>
      <c r="AE634" s="592"/>
      <c r="AF634" s="592"/>
      <c r="AG634" s="593"/>
      <c r="AH634" s="576"/>
    </row>
    <row r="635">
      <c r="A635" s="584"/>
      <c r="B635" s="589"/>
      <c r="C635" s="575"/>
      <c r="D635" s="578"/>
      <c r="E635" s="592"/>
      <c r="F635" s="576"/>
      <c r="G635" s="589"/>
      <c r="H635" s="589"/>
      <c r="I635" s="589"/>
      <c r="J635" s="589"/>
      <c r="K635" s="589"/>
      <c r="L635" s="589"/>
      <c r="M635" s="589"/>
      <c r="N635" s="589"/>
      <c r="O635" s="583"/>
      <c r="P635" s="583"/>
      <c r="Q635" s="588"/>
      <c r="R635" s="576"/>
      <c r="S635" s="576"/>
      <c r="T635" s="576"/>
      <c r="U635" s="576"/>
      <c r="V635" s="576"/>
      <c r="W635" s="576"/>
      <c r="X635" s="576"/>
      <c r="Y635" s="592"/>
      <c r="Z635" s="592"/>
      <c r="AA635" s="592"/>
      <c r="AB635" s="592"/>
      <c r="AC635" s="592"/>
      <c r="AD635" s="592"/>
      <c r="AE635" s="592"/>
      <c r="AF635" s="592"/>
      <c r="AG635" s="593"/>
      <c r="AH635" s="576"/>
    </row>
    <row r="636">
      <c r="A636" s="584"/>
      <c r="B636" s="591"/>
      <c r="C636" s="575"/>
      <c r="D636" s="578"/>
      <c r="E636" s="592"/>
      <c r="F636" s="576"/>
      <c r="G636" s="589"/>
      <c r="H636" s="589"/>
      <c r="I636" s="589"/>
      <c r="J636" s="589"/>
      <c r="K636" s="589"/>
      <c r="L636" s="589"/>
      <c r="M636" s="589"/>
      <c r="N636" s="589"/>
      <c r="O636" s="583"/>
      <c r="P636" s="583"/>
      <c r="Q636" s="588"/>
      <c r="R636" s="576"/>
      <c r="S636" s="576"/>
      <c r="T636" s="576"/>
      <c r="U636" s="576"/>
      <c r="V636" s="576"/>
      <c r="W636" s="576"/>
      <c r="X636" s="576"/>
      <c r="Y636" s="592"/>
      <c r="Z636" s="592"/>
      <c r="AA636" s="592"/>
      <c r="AB636" s="592"/>
      <c r="AC636" s="592"/>
      <c r="AD636" s="592"/>
      <c r="AE636" s="592"/>
      <c r="AF636" s="592"/>
      <c r="AG636" s="593"/>
      <c r="AH636" s="576"/>
    </row>
    <row r="637">
      <c r="A637" s="584"/>
      <c r="B637" s="591"/>
      <c r="C637" s="575"/>
      <c r="D637" s="578"/>
      <c r="E637" s="592"/>
      <c r="F637" s="576"/>
      <c r="G637" s="589"/>
      <c r="H637" s="589"/>
      <c r="I637" s="589"/>
      <c r="J637" s="589"/>
      <c r="K637" s="589"/>
      <c r="L637" s="589"/>
      <c r="M637" s="589"/>
      <c r="N637" s="589"/>
      <c r="O637" s="583"/>
      <c r="P637" s="583"/>
      <c r="Q637" s="588"/>
      <c r="R637" s="576"/>
      <c r="S637" s="576"/>
      <c r="T637" s="576"/>
      <c r="U637" s="576"/>
      <c r="V637" s="576"/>
      <c r="W637" s="576"/>
      <c r="X637" s="576"/>
      <c r="Y637" s="592"/>
      <c r="Z637" s="592"/>
      <c r="AA637" s="592"/>
      <c r="AB637" s="592"/>
      <c r="AC637" s="592"/>
      <c r="AD637" s="592"/>
      <c r="AE637" s="592"/>
      <c r="AF637" s="592"/>
      <c r="AG637" s="593"/>
      <c r="AH637" s="576"/>
    </row>
    <row r="638">
      <c r="A638" s="584"/>
      <c r="B638" s="575"/>
      <c r="C638" s="575"/>
      <c r="D638" s="578"/>
      <c r="E638" s="592"/>
      <c r="F638" s="576"/>
      <c r="G638" s="589"/>
      <c r="H638" s="589"/>
      <c r="I638" s="589"/>
      <c r="J638" s="589"/>
      <c r="K638" s="589"/>
      <c r="L638" s="589"/>
      <c r="M638" s="589"/>
      <c r="N638" s="589"/>
      <c r="O638" s="583"/>
      <c r="P638" s="583"/>
      <c r="Q638" s="588"/>
      <c r="R638" s="576"/>
      <c r="S638" s="576"/>
      <c r="T638" s="576"/>
      <c r="U638" s="576"/>
      <c r="V638" s="576"/>
      <c r="W638" s="576"/>
      <c r="X638" s="576"/>
      <c r="Y638" s="592"/>
      <c r="Z638" s="592"/>
      <c r="AA638" s="592"/>
      <c r="AB638" s="592"/>
      <c r="AC638" s="592"/>
      <c r="AD638" s="592"/>
      <c r="AE638" s="592"/>
      <c r="AF638" s="592"/>
      <c r="AG638" s="593"/>
      <c r="AH638" s="576"/>
    </row>
    <row r="639">
      <c r="A639" s="584"/>
      <c r="B639" s="575"/>
      <c r="C639" s="575"/>
      <c r="D639" s="578"/>
      <c r="E639" s="592"/>
      <c r="F639" s="576"/>
      <c r="G639" s="589"/>
      <c r="H639" s="589"/>
      <c r="I639" s="589"/>
      <c r="J639" s="589"/>
      <c r="K639" s="589"/>
      <c r="L639" s="589"/>
      <c r="M639" s="589"/>
      <c r="N639" s="589"/>
      <c r="O639" s="583"/>
      <c r="P639" s="583"/>
      <c r="Q639" s="588"/>
      <c r="R639" s="576"/>
      <c r="S639" s="576"/>
      <c r="T639" s="576"/>
      <c r="U639" s="576"/>
      <c r="V639" s="576"/>
      <c r="W639" s="576"/>
      <c r="X639" s="576"/>
      <c r="Y639" s="592"/>
      <c r="Z639" s="592"/>
      <c r="AA639" s="592"/>
      <c r="AB639" s="592"/>
      <c r="AC639" s="592"/>
      <c r="AD639" s="592"/>
      <c r="AE639" s="592"/>
      <c r="AF639" s="592"/>
      <c r="AG639" s="593"/>
      <c r="AH639" s="576"/>
    </row>
    <row r="640">
      <c r="A640" s="584"/>
      <c r="B640" s="575"/>
      <c r="C640" s="575"/>
      <c r="D640" s="578"/>
      <c r="E640" s="592"/>
      <c r="F640" s="576"/>
      <c r="G640" s="589"/>
      <c r="H640" s="589"/>
      <c r="I640" s="589"/>
      <c r="J640" s="589"/>
      <c r="K640" s="589"/>
      <c r="L640" s="589"/>
      <c r="M640" s="589"/>
      <c r="N640" s="589"/>
      <c r="O640" s="583"/>
      <c r="P640" s="583"/>
      <c r="Q640" s="588"/>
      <c r="R640" s="576"/>
      <c r="S640" s="576"/>
      <c r="T640" s="576"/>
      <c r="U640" s="576"/>
      <c r="V640" s="576"/>
      <c r="W640" s="576"/>
      <c r="X640" s="576"/>
      <c r="Y640" s="592"/>
      <c r="Z640" s="592"/>
      <c r="AA640" s="592"/>
      <c r="AB640" s="592"/>
      <c r="AC640" s="592"/>
      <c r="AD640" s="592"/>
      <c r="AE640" s="592"/>
      <c r="AF640" s="592"/>
      <c r="AG640" s="593"/>
      <c r="AH640" s="576"/>
    </row>
    <row r="641">
      <c r="A641" s="584"/>
      <c r="B641" s="575"/>
      <c r="C641" s="575"/>
      <c r="D641" s="578"/>
      <c r="E641" s="592"/>
      <c r="F641" s="576"/>
      <c r="G641" s="589"/>
      <c r="H641" s="589"/>
      <c r="I641" s="589"/>
      <c r="J641" s="589"/>
      <c r="K641" s="589"/>
      <c r="L641" s="589"/>
      <c r="M641" s="589"/>
      <c r="N641" s="589"/>
      <c r="O641" s="583"/>
      <c r="P641" s="583"/>
      <c r="Q641" s="588"/>
      <c r="R641" s="576"/>
      <c r="S641" s="576"/>
      <c r="T641" s="576"/>
      <c r="U641" s="576"/>
      <c r="V641" s="576"/>
      <c r="W641" s="576"/>
      <c r="X641" s="576"/>
      <c r="Y641" s="592"/>
      <c r="Z641" s="592"/>
      <c r="AA641" s="592"/>
      <c r="AB641" s="592"/>
      <c r="AC641" s="592"/>
      <c r="AD641" s="592"/>
      <c r="AE641" s="592"/>
      <c r="AF641" s="592"/>
      <c r="AG641" s="593"/>
      <c r="AH641" s="576"/>
    </row>
    <row r="642">
      <c r="A642" s="584"/>
      <c r="B642" s="575"/>
      <c r="C642" s="575"/>
      <c r="D642" s="578"/>
      <c r="E642" s="592"/>
      <c r="F642" s="576"/>
      <c r="G642" s="589"/>
      <c r="H642" s="589"/>
      <c r="I642" s="589"/>
      <c r="J642" s="589"/>
      <c r="K642" s="589"/>
      <c r="L642" s="589"/>
      <c r="M642" s="589"/>
      <c r="N642" s="589"/>
      <c r="O642" s="583"/>
      <c r="P642" s="583"/>
      <c r="Q642" s="588"/>
      <c r="R642" s="576"/>
      <c r="S642" s="576"/>
      <c r="T642" s="576"/>
      <c r="U642" s="576"/>
      <c r="V642" s="576"/>
      <c r="W642" s="576"/>
      <c r="X642" s="576"/>
      <c r="Y642" s="592"/>
      <c r="Z642" s="592"/>
      <c r="AA642" s="592"/>
      <c r="AB642" s="592"/>
      <c r="AC642" s="592"/>
      <c r="AD642" s="592"/>
      <c r="AE642" s="592"/>
      <c r="AF642" s="592"/>
      <c r="AG642" s="593"/>
      <c r="AH642" s="576"/>
    </row>
    <row r="643">
      <c r="A643" s="584"/>
      <c r="B643" s="575"/>
      <c r="C643" s="575"/>
      <c r="D643" s="578"/>
      <c r="E643" s="592"/>
      <c r="F643" s="576"/>
      <c r="G643" s="589"/>
      <c r="H643" s="589"/>
      <c r="I643" s="589"/>
      <c r="J643" s="589"/>
      <c r="K643" s="589"/>
      <c r="L643" s="589"/>
      <c r="M643" s="589"/>
      <c r="N643" s="589"/>
      <c r="O643" s="583"/>
      <c r="P643" s="583"/>
      <c r="Q643" s="588"/>
      <c r="R643" s="576"/>
      <c r="S643" s="576"/>
      <c r="T643" s="576"/>
      <c r="U643" s="576"/>
      <c r="V643" s="576"/>
      <c r="W643" s="576"/>
      <c r="X643" s="576"/>
      <c r="Y643" s="592"/>
      <c r="Z643" s="592"/>
      <c r="AA643" s="592"/>
      <c r="AB643" s="592"/>
      <c r="AC643" s="592"/>
      <c r="AD643" s="592"/>
      <c r="AE643" s="592"/>
      <c r="AF643" s="592"/>
      <c r="AG643" s="593"/>
      <c r="AH643" s="576"/>
    </row>
    <row r="644">
      <c r="A644" s="584"/>
      <c r="B644" s="575"/>
      <c r="C644" s="575"/>
      <c r="D644" s="578"/>
      <c r="E644" s="592"/>
      <c r="F644" s="576"/>
      <c r="G644" s="589"/>
      <c r="H644" s="589"/>
      <c r="I644" s="589"/>
      <c r="J644" s="589"/>
      <c r="K644" s="589"/>
      <c r="L644" s="589"/>
      <c r="M644" s="589"/>
      <c r="N644" s="589"/>
      <c r="O644" s="583"/>
      <c r="P644" s="583"/>
      <c r="Q644" s="588"/>
      <c r="R644" s="576"/>
      <c r="S644" s="576"/>
      <c r="T644" s="576"/>
      <c r="U644" s="576"/>
      <c r="V644" s="576"/>
      <c r="W644" s="576"/>
      <c r="X644" s="576"/>
      <c r="Y644" s="592"/>
      <c r="Z644" s="592"/>
      <c r="AA644" s="592"/>
      <c r="AB644" s="592"/>
      <c r="AC644" s="592"/>
      <c r="AD644" s="592"/>
      <c r="AE644" s="592"/>
      <c r="AF644" s="592"/>
      <c r="AG644" s="593"/>
      <c r="AH644" s="576"/>
    </row>
    <row r="645">
      <c r="A645" s="584"/>
      <c r="B645" s="575"/>
      <c r="C645" s="575"/>
      <c r="D645" s="578"/>
      <c r="E645" s="592"/>
      <c r="F645" s="576"/>
      <c r="G645" s="589"/>
      <c r="H645" s="589"/>
      <c r="I645" s="589"/>
      <c r="J645" s="589"/>
      <c r="K645" s="589"/>
      <c r="L645" s="589"/>
      <c r="M645" s="589"/>
      <c r="N645" s="589"/>
      <c r="O645" s="583"/>
      <c r="P645" s="583"/>
      <c r="Q645" s="588"/>
      <c r="R645" s="576"/>
      <c r="S645" s="576"/>
      <c r="T645" s="576"/>
      <c r="U645" s="576"/>
      <c r="V645" s="576"/>
      <c r="W645" s="576"/>
      <c r="X645" s="576"/>
      <c r="Y645" s="592"/>
      <c r="Z645" s="592"/>
      <c r="AA645" s="592"/>
      <c r="AB645" s="592"/>
      <c r="AC645" s="592"/>
      <c r="AD645" s="592"/>
      <c r="AE645" s="592"/>
      <c r="AF645" s="592"/>
      <c r="AG645" s="593"/>
      <c r="AH645" s="576"/>
    </row>
    <row r="646">
      <c r="A646" s="584"/>
      <c r="B646" s="575"/>
      <c r="C646" s="575"/>
      <c r="D646" s="578"/>
      <c r="E646" s="592"/>
      <c r="F646" s="576"/>
      <c r="G646" s="589"/>
      <c r="H646" s="589"/>
      <c r="I646" s="589"/>
      <c r="J646" s="589"/>
      <c r="K646" s="589"/>
      <c r="L646" s="589"/>
      <c r="M646" s="589"/>
      <c r="N646" s="589"/>
      <c r="O646" s="583"/>
      <c r="P646" s="583"/>
      <c r="Q646" s="588"/>
      <c r="R646" s="576"/>
      <c r="S646" s="576"/>
      <c r="T646" s="576"/>
      <c r="U646" s="576"/>
      <c r="V646" s="576"/>
      <c r="W646" s="576"/>
      <c r="X646" s="576"/>
      <c r="Y646" s="592"/>
      <c r="Z646" s="592"/>
      <c r="AA646" s="592"/>
      <c r="AB646" s="592"/>
      <c r="AC646" s="592"/>
      <c r="AD646" s="592"/>
      <c r="AE646" s="592"/>
      <c r="AF646" s="592"/>
      <c r="AG646" s="593"/>
      <c r="AH646" s="576"/>
    </row>
    <row r="647">
      <c r="A647" s="584"/>
      <c r="B647" s="575"/>
      <c r="C647" s="575"/>
      <c r="D647" s="578"/>
      <c r="E647" s="592"/>
      <c r="F647" s="576"/>
      <c r="G647" s="589"/>
      <c r="H647" s="589"/>
      <c r="I647" s="589"/>
      <c r="J647" s="589"/>
      <c r="K647" s="589"/>
      <c r="L647" s="589"/>
      <c r="M647" s="589"/>
      <c r="N647" s="589"/>
      <c r="O647" s="583"/>
      <c r="P647" s="583"/>
      <c r="Q647" s="588"/>
      <c r="R647" s="576"/>
      <c r="S647" s="576"/>
      <c r="T647" s="576"/>
      <c r="U647" s="576"/>
      <c r="V647" s="576"/>
      <c r="W647" s="576"/>
      <c r="X647" s="576"/>
      <c r="Y647" s="592"/>
      <c r="Z647" s="592"/>
      <c r="AA647" s="592"/>
      <c r="AB647" s="592"/>
      <c r="AC647" s="592"/>
      <c r="AD647" s="592"/>
      <c r="AE647" s="592"/>
      <c r="AF647" s="592"/>
      <c r="AG647" s="593"/>
      <c r="AH647" s="576"/>
    </row>
    <row r="648">
      <c r="A648" s="584"/>
      <c r="B648" s="575"/>
      <c r="C648" s="575"/>
      <c r="D648" s="578"/>
      <c r="E648" s="592"/>
      <c r="F648" s="576"/>
      <c r="G648" s="589"/>
      <c r="H648" s="589"/>
      <c r="I648" s="589"/>
      <c r="J648" s="589"/>
      <c r="K648" s="589"/>
      <c r="L648" s="589"/>
      <c r="M648" s="589"/>
      <c r="N648" s="589"/>
      <c r="O648" s="583"/>
      <c r="P648" s="583"/>
      <c r="Q648" s="588"/>
      <c r="R648" s="576"/>
      <c r="S648" s="576"/>
      <c r="T648" s="576"/>
      <c r="U648" s="576"/>
      <c r="V648" s="576"/>
      <c r="W648" s="576"/>
      <c r="X648" s="576"/>
      <c r="Y648" s="592"/>
      <c r="Z648" s="592"/>
      <c r="AA648" s="592"/>
      <c r="AB648" s="592"/>
      <c r="AC648" s="592"/>
      <c r="AD648" s="592"/>
      <c r="AE648" s="592"/>
      <c r="AF648" s="592"/>
      <c r="AG648" s="593"/>
      <c r="AH648" s="576"/>
    </row>
    <row r="649">
      <c r="A649" s="584"/>
      <c r="B649" s="575"/>
      <c r="C649" s="575"/>
      <c r="D649" s="578"/>
      <c r="E649" s="592"/>
      <c r="F649" s="576"/>
      <c r="G649" s="589"/>
      <c r="H649" s="589"/>
      <c r="I649" s="589"/>
      <c r="J649" s="589"/>
      <c r="K649" s="589"/>
      <c r="L649" s="589"/>
      <c r="M649" s="589"/>
      <c r="N649" s="589"/>
      <c r="O649" s="583"/>
      <c r="P649" s="583"/>
      <c r="Q649" s="588"/>
      <c r="R649" s="576"/>
      <c r="S649" s="576"/>
      <c r="T649" s="576"/>
      <c r="U649" s="576"/>
      <c r="V649" s="576"/>
      <c r="W649" s="576"/>
      <c r="X649" s="576"/>
      <c r="Y649" s="592"/>
      <c r="Z649" s="592"/>
      <c r="AA649" s="592"/>
      <c r="AB649" s="592"/>
      <c r="AC649" s="592"/>
      <c r="AD649" s="592"/>
      <c r="AE649" s="592"/>
      <c r="AF649" s="592"/>
      <c r="AG649" s="593"/>
      <c r="AH649" s="576"/>
    </row>
    <row r="650">
      <c r="A650" s="584"/>
      <c r="B650" s="575"/>
      <c r="C650" s="575"/>
      <c r="D650" s="578"/>
      <c r="E650" s="592"/>
      <c r="F650" s="576"/>
      <c r="G650" s="589"/>
      <c r="H650" s="589"/>
      <c r="I650" s="589"/>
      <c r="J650" s="589"/>
      <c r="K650" s="589"/>
      <c r="L650" s="589"/>
      <c r="M650" s="589"/>
      <c r="N650" s="589"/>
      <c r="O650" s="583"/>
      <c r="P650" s="583"/>
      <c r="Q650" s="588"/>
      <c r="R650" s="576"/>
      <c r="S650" s="576"/>
      <c r="T650" s="576"/>
      <c r="U650" s="576"/>
      <c r="V650" s="576"/>
      <c r="W650" s="576"/>
      <c r="X650" s="576"/>
      <c r="Y650" s="592"/>
      <c r="Z650" s="592"/>
      <c r="AA650" s="592"/>
      <c r="AB650" s="592"/>
      <c r="AC650" s="592"/>
      <c r="AD650" s="592"/>
      <c r="AE650" s="592"/>
      <c r="AF650" s="592"/>
      <c r="AG650" s="593"/>
      <c r="AH650" s="576"/>
    </row>
    <row r="651">
      <c r="A651" s="584"/>
      <c r="B651" s="575"/>
      <c r="C651" s="575"/>
      <c r="D651" s="578"/>
      <c r="E651" s="592"/>
      <c r="F651" s="576"/>
      <c r="G651" s="589"/>
      <c r="H651" s="589"/>
      <c r="I651" s="589"/>
      <c r="J651" s="589"/>
      <c r="K651" s="589"/>
      <c r="L651" s="589"/>
      <c r="M651" s="589"/>
      <c r="N651" s="589"/>
      <c r="O651" s="583"/>
      <c r="P651" s="583"/>
      <c r="Q651" s="588"/>
      <c r="R651" s="576"/>
      <c r="S651" s="576"/>
      <c r="T651" s="576"/>
      <c r="U651" s="576"/>
      <c r="V651" s="576"/>
      <c r="W651" s="576"/>
      <c r="X651" s="576"/>
      <c r="Y651" s="592"/>
      <c r="Z651" s="592"/>
      <c r="AA651" s="592"/>
      <c r="AB651" s="592"/>
      <c r="AC651" s="592"/>
      <c r="AD651" s="592"/>
      <c r="AE651" s="592"/>
      <c r="AF651" s="592"/>
      <c r="AG651" s="593"/>
      <c r="AH651" s="576"/>
    </row>
    <row r="652">
      <c r="A652" s="584"/>
      <c r="B652" s="575"/>
      <c r="C652" s="575"/>
      <c r="D652" s="578"/>
      <c r="E652" s="592"/>
      <c r="F652" s="576"/>
      <c r="G652" s="589"/>
      <c r="H652" s="589"/>
      <c r="I652" s="589"/>
      <c r="J652" s="589"/>
      <c r="K652" s="589"/>
      <c r="L652" s="589"/>
      <c r="M652" s="589"/>
      <c r="N652" s="589"/>
      <c r="O652" s="583"/>
      <c r="P652" s="583"/>
      <c r="Q652" s="588"/>
      <c r="R652" s="576"/>
      <c r="S652" s="576"/>
      <c r="T652" s="576"/>
      <c r="U652" s="576"/>
      <c r="V652" s="576"/>
      <c r="W652" s="576"/>
      <c r="X652" s="576"/>
      <c r="Y652" s="592"/>
      <c r="Z652" s="592"/>
      <c r="AA652" s="592"/>
      <c r="AB652" s="592"/>
      <c r="AC652" s="592"/>
      <c r="AD652" s="592"/>
      <c r="AE652" s="592"/>
      <c r="AF652" s="592"/>
      <c r="AG652" s="593"/>
      <c r="AH652" s="576"/>
    </row>
    <row r="653">
      <c r="A653" s="584"/>
      <c r="B653" s="575"/>
      <c r="C653" s="575"/>
      <c r="D653" s="578"/>
      <c r="E653" s="592"/>
      <c r="F653" s="576"/>
      <c r="G653" s="589"/>
      <c r="H653" s="589"/>
      <c r="I653" s="589"/>
      <c r="J653" s="589"/>
      <c r="K653" s="589"/>
      <c r="L653" s="589"/>
      <c r="M653" s="589"/>
      <c r="N653" s="589"/>
      <c r="O653" s="583"/>
      <c r="P653" s="583"/>
      <c r="Q653" s="588"/>
      <c r="R653" s="576"/>
      <c r="S653" s="576"/>
      <c r="T653" s="576"/>
      <c r="U653" s="576"/>
      <c r="V653" s="576"/>
      <c r="W653" s="576"/>
      <c r="X653" s="576"/>
      <c r="Y653" s="592"/>
      <c r="Z653" s="592"/>
      <c r="AA653" s="592"/>
      <c r="AB653" s="592"/>
      <c r="AC653" s="592"/>
      <c r="AD653" s="592"/>
      <c r="AE653" s="592"/>
      <c r="AF653" s="592"/>
      <c r="AG653" s="593"/>
      <c r="AH653" s="576"/>
    </row>
    <row r="654">
      <c r="A654" s="584"/>
      <c r="B654" s="575"/>
      <c r="C654" s="575"/>
      <c r="D654" s="578"/>
      <c r="E654" s="592"/>
      <c r="F654" s="576"/>
      <c r="G654" s="589"/>
      <c r="H654" s="589"/>
      <c r="I654" s="589"/>
      <c r="J654" s="589"/>
      <c r="K654" s="589"/>
      <c r="L654" s="589"/>
      <c r="M654" s="589"/>
      <c r="N654" s="589"/>
      <c r="O654" s="583"/>
      <c r="P654" s="583"/>
      <c r="Q654" s="588"/>
      <c r="R654" s="576"/>
      <c r="S654" s="576"/>
      <c r="T654" s="576"/>
      <c r="U654" s="576"/>
      <c r="V654" s="576"/>
      <c r="W654" s="576"/>
      <c r="X654" s="576"/>
      <c r="Y654" s="592"/>
      <c r="Z654" s="592"/>
      <c r="AA654" s="592"/>
      <c r="AB654" s="592"/>
      <c r="AC654" s="592"/>
      <c r="AD654" s="592"/>
      <c r="AE654" s="592"/>
      <c r="AF654" s="592"/>
      <c r="AG654" s="593"/>
      <c r="AH654" s="576"/>
    </row>
    <row r="655">
      <c r="A655" s="584"/>
      <c r="B655" s="575"/>
      <c r="C655" s="575"/>
      <c r="D655" s="578"/>
      <c r="E655" s="592"/>
      <c r="F655" s="576"/>
      <c r="G655" s="589"/>
      <c r="H655" s="589"/>
      <c r="I655" s="589"/>
      <c r="J655" s="589"/>
      <c r="K655" s="589"/>
      <c r="L655" s="589"/>
      <c r="M655" s="589"/>
      <c r="N655" s="589"/>
      <c r="O655" s="583"/>
      <c r="P655" s="583"/>
      <c r="Q655" s="588"/>
      <c r="R655" s="576"/>
      <c r="S655" s="576"/>
      <c r="T655" s="576"/>
      <c r="U655" s="576"/>
      <c r="V655" s="576"/>
      <c r="W655" s="576"/>
      <c r="X655" s="576"/>
      <c r="Y655" s="592"/>
      <c r="Z655" s="592"/>
      <c r="AA655" s="592"/>
      <c r="AB655" s="592"/>
      <c r="AC655" s="592"/>
      <c r="AD655" s="592"/>
      <c r="AE655" s="592"/>
      <c r="AF655" s="592"/>
      <c r="AG655" s="593"/>
      <c r="AH655" s="576"/>
    </row>
    <row r="656">
      <c r="A656" s="584"/>
      <c r="B656" s="575"/>
      <c r="C656" s="575"/>
      <c r="D656" s="578"/>
      <c r="E656" s="592"/>
      <c r="F656" s="576"/>
      <c r="G656" s="589"/>
      <c r="H656" s="589"/>
      <c r="I656" s="589"/>
      <c r="J656" s="589"/>
      <c r="K656" s="589"/>
      <c r="L656" s="589"/>
      <c r="M656" s="589"/>
      <c r="N656" s="589"/>
      <c r="O656" s="583"/>
      <c r="P656" s="583"/>
      <c r="Q656" s="588"/>
      <c r="R656" s="576"/>
      <c r="S656" s="576"/>
      <c r="T656" s="576"/>
      <c r="U656" s="576"/>
      <c r="V656" s="576"/>
      <c r="W656" s="576"/>
      <c r="X656" s="576"/>
      <c r="Y656" s="592"/>
      <c r="Z656" s="592"/>
      <c r="AA656" s="592"/>
      <c r="AB656" s="592"/>
      <c r="AC656" s="592"/>
      <c r="AD656" s="592"/>
      <c r="AE656" s="592"/>
      <c r="AF656" s="592"/>
      <c r="AG656" s="593"/>
      <c r="AH656" s="576"/>
    </row>
    <row r="657">
      <c r="A657" s="584"/>
      <c r="B657" s="575"/>
      <c r="C657" s="575"/>
      <c r="D657" s="578"/>
      <c r="E657" s="592"/>
      <c r="F657" s="576"/>
      <c r="G657" s="589"/>
      <c r="H657" s="589"/>
      <c r="I657" s="589"/>
      <c r="J657" s="589"/>
      <c r="K657" s="589"/>
      <c r="L657" s="589"/>
      <c r="M657" s="589"/>
      <c r="N657" s="589"/>
      <c r="O657" s="583"/>
      <c r="P657" s="583"/>
      <c r="Q657" s="588"/>
      <c r="R657" s="576"/>
      <c r="S657" s="576"/>
      <c r="T657" s="576"/>
      <c r="U657" s="576"/>
      <c r="V657" s="576"/>
      <c r="W657" s="576"/>
      <c r="X657" s="576"/>
      <c r="Y657" s="592"/>
      <c r="Z657" s="592"/>
      <c r="AA657" s="592"/>
      <c r="AB657" s="592"/>
      <c r="AC657" s="592"/>
      <c r="AD657" s="592"/>
      <c r="AE657" s="592"/>
      <c r="AF657" s="592"/>
      <c r="AG657" s="593"/>
      <c r="AH657" s="576"/>
    </row>
    <row r="658">
      <c r="A658" s="584"/>
      <c r="B658" s="575"/>
      <c r="C658" s="575"/>
      <c r="D658" s="578"/>
      <c r="E658" s="592"/>
      <c r="F658" s="576"/>
      <c r="G658" s="589"/>
      <c r="H658" s="589"/>
      <c r="I658" s="589"/>
      <c r="J658" s="589"/>
      <c r="K658" s="589"/>
      <c r="L658" s="589"/>
      <c r="M658" s="589"/>
      <c r="N658" s="589"/>
      <c r="O658" s="583"/>
      <c r="P658" s="583"/>
      <c r="Q658" s="588"/>
      <c r="R658" s="576"/>
      <c r="S658" s="576"/>
      <c r="T658" s="576"/>
      <c r="U658" s="576"/>
      <c r="V658" s="576"/>
      <c r="W658" s="576"/>
      <c r="X658" s="576"/>
      <c r="Y658" s="592"/>
      <c r="Z658" s="592"/>
      <c r="AA658" s="592"/>
      <c r="AB658" s="592"/>
      <c r="AC658" s="592"/>
      <c r="AD658" s="592"/>
      <c r="AE658" s="592"/>
      <c r="AF658" s="592"/>
      <c r="AG658" s="593"/>
      <c r="AH658" s="576"/>
    </row>
    <row r="659">
      <c r="A659" s="584"/>
      <c r="B659" s="575"/>
      <c r="C659" s="575"/>
      <c r="D659" s="578"/>
      <c r="E659" s="592"/>
      <c r="F659" s="576"/>
      <c r="G659" s="589"/>
      <c r="H659" s="589"/>
      <c r="I659" s="589"/>
      <c r="J659" s="589"/>
      <c r="K659" s="589"/>
      <c r="L659" s="589"/>
      <c r="M659" s="589"/>
      <c r="N659" s="589"/>
      <c r="O659" s="583"/>
      <c r="P659" s="583"/>
      <c r="Q659" s="588"/>
      <c r="R659" s="576"/>
      <c r="S659" s="576"/>
      <c r="T659" s="576"/>
      <c r="U659" s="576"/>
      <c r="V659" s="576"/>
      <c r="W659" s="576"/>
      <c r="X659" s="576"/>
      <c r="Y659" s="592"/>
      <c r="Z659" s="592"/>
      <c r="AA659" s="592"/>
      <c r="AB659" s="592"/>
      <c r="AC659" s="592"/>
      <c r="AD659" s="592"/>
      <c r="AE659" s="592"/>
      <c r="AF659" s="592"/>
      <c r="AG659" s="593"/>
      <c r="AH659" s="576"/>
    </row>
    <row r="660">
      <c r="A660" s="584"/>
      <c r="B660" s="575"/>
      <c r="C660" s="575"/>
      <c r="D660" s="578"/>
      <c r="E660" s="592"/>
      <c r="F660" s="576"/>
      <c r="G660" s="589"/>
      <c r="H660" s="589"/>
      <c r="I660" s="589"/>
      <c r="J660" s="589"/>
      <c r="K660" s="589"/>
      <c r="L660" s="589"/>
      <c r="M660" s="589"/>
      <c r="N660" s="589"/>
      <c r="O660" s="583"/>
      <c r="P660" s="583"/>
      <c r="Q660" s="588"/>
      <c r="R660" s="576"/>
      <c r="S660" s="576"/>
      <c r="T660" s="576"/>
      <c r="U660" s="576"/>
      <c r="V660" s="576"/>
      <c r="W660" s="576"/>
      <c r="X660" s="576"/>
      <c r="Y660" s="592"/>
      <c r="Z660" s="592"/>
      <c r="AA660" s="592"/>
      <c r="AB660" s="592"/>
      <c r="AC660" s="592"/>
      <c r="AD660" s="592"/>
      <c r="AE660" s="592"/>
      <c r="AF660" s="592"/>
      <c r="AG660" s="593"/>
      <c r="AH660" s="576"/>
    </row>
    <row r="661">
      <c r="A661" s="584"/>
      <c r="B661" s="575"/>
      <c r="C661" s="575"/>
      <c r="D661" s="578"/>
      <c r="E661" s="592"/>
      <c r="F661" s="576"/>
      <c r="G661" s="589"/>
      <c r="H661" s="589"/>
      <c r="I661" s="589"/>
      <c r="J661" s="589"/>
      <c r="K661" s="589"/>
      <c r="L661" s="589"/>
      <c r="M661" s="589"/>
      <c r="N661" s="589"/>
      <c r="O661" s="583"/>
      <c r="P661" s="583"/>
      <c r="Q661" s="588"/>
      <c r="R661" s="576"/>
      <c r="S661" s="576"/>
      <c r="T661" s="576"/>
      <c r="U661" s="576"/>
      <c r="V661" s="576"/>
      <c r="W661" s="576"/>
      <c r="X661" s="576"/>
      <c r="Y661" s="592"/>
      <c r="Z661" s="592"/>
      <c r="AA661" s="592"/>
      <c r="AB661" s="592"/>
      <c r="AC661" s="592"/>
      <c r="AD661" s="592"/>
      <c r="AE661" s="592"/>
      <c r="AF661" s="592"/>
      <c r="AG661" s="593"/>
      <c r="AH661" s="576"/>
    </row>
    <row r="662">
      <c r="A662" s="584"/>
      <c r="B662" s="575"/>
      <c r="C662" s="575"/>
      <c r="D662" s="578"/>
      <c r="E662" s="592"/>
      <c r="F662" s="576"/>
      <c r="G662" s="589"/>
      <c r="H662" s="589"/>
      <c r="I662" s="589"/>
      <c r="J662" s="589"/>
      <c r="K662" s="589"/>
      <c r="L662" s="589"/>
      <c r="M662" s="589"/>
      <c r="N662" s="589"/>
      <c r="O662" s="583"/>
      <c r="P662" s="583"/>
      <c r="Q662" s="588"/>
      <c r="R662" s="576"/>
      <c r="S662" s="576"/>
      <c r="T662" s="576"/>
      <c r="U662" s="576"/>
      <c r="V662" s="576"/>
      <c r="W662" s="576"/>
      <c r="X662" s="576"/>
      <c r="Y662" s="592"/>
      <c r="Z662" s="592"/>
      <c r="AA662" s="592"/>
      <c r="AB662" s="592"/>
      <c r="AC662" s="592"/>
      <c r="AD662" s="592"/>
      <c r="AE662" s="592"/>
      <c r="AF662" s="592"/>
      <c r="AG662" s="593"/>
      <c r="AH662" s="576"/>
    </row>
    <row r="663">
      <c r="A663" s="584"/>
      <c r="B663" s="575"/>
      <c r="C663" s="575"/>
      <c r="D663" s="578"/>
      <c r="E663" s="592"/>
      <c r="F663" s="576"/>
      <c r="G663" s="589"/>
      <c r="H663" s="589"/>
      <c r="I663" s="589"/>
      <c r="J663" s="589"/>
      <c r="K663" s="589"/>
      <c r="L663" s="589"/>
      <c r="M663" s="589"/>
      <c r="N663" s="589"/>
      <c r="O663" s="583"/>
      <c r="P663" s="583"/>
      <c r="Q663" s="588"/>
      <c r="R663" s="576"/>
      <c r="S663" s="576"/>
      <c r="T663" s="576"/>
      <c r="U663" s="576"/>
      <c r="V663" s="576"/>
      <c r="W663" s="576"/>
      <c r="X663" s="576"/>
      <c r="Y663" s="592"/>
      <c r="Z663" s="592"/>
      <c r="AA663" s="592"/>
      <c r="AB663" s="592"/>
      <c r="AC663" s="592"/>
      <c r="AD663" s="592"/>
      <c r="AE663" s="592"/>
      <c r="AF663" s="592"/>
      <c r="AG663" s="593"/>
      <c r="AH663" s="576"/>
    </row>
    <row r="664">
      <c r="A664" s="584"/>
      <c r="B664" s="575"/>
      <c r="C664" s="575"/>
      <c r="D664" s="578"/>
      <c r="E664" s="592"/>
      <c r="F664" s="576"/>
      <c r="G664" s="589"/>
      <c r="H664" s="589"/>
      <c r="I664" s="589"/>
      <c r="J664" s="589"/>
      <c r="K664" s="589"/>
      <c r="L664" s="589"/>
      <c r="M664" s="589"/>
      <c r="N664" s="589"/>
      <c r="O664" s="583"/>
      <c r="P664" s="583"/>
      <c r="Q664" s="588"/>
      <c r="R664" s="576"/>
      <c r="S664" s="576"/>
      <c r="T664" s="576"/>
      <c r="U664" s="576"/>
      <c r="V664" s="576"/>
      <c r="W664" s="576"/>
      <c r="X664" s="576"/>
      <c r="Y664" s="592"/>
      <c r="Z664" s="592"/>
      <c r="AA664" s="592"/>
      <c r="AB664" s="592"/>
      <c r="AC664" s="592"/>
      <c r="AD664" s="592"/>
      <c r="AE664" s="592"/>
      <c r="AF664" s="592"/>
      <c r="AG664" s="593"/>
      <c r="AH664" s="576"/>
    </row>
    <row r="665">
      <c r="A665" s="584"/>
      <c r="B665" s="575"/>
      <c r="C665" s="575"/>
      <c r="D665" s="578"/>
      <c r="E665" s="592"/>
      <c r="F665" s="576"/>
      <c r="G665" s="589"/>
      <c r="H665" s="589"/>
      <c r="I665" s="589"/>
      <c r="J665" s="589"/>
      <c r="K665" s="589"/>
      <c r="L665" s="589"/>
      <c r="M665" s="589"/>
      <c r="N665" s="589"/>
      <c r="O665" s="583"/>
      <c r="P665" s="583"/>
      <c r="Q665" s="588"/>
      <c r="R665" s="576"/>
      <c r="S665" s="576"/>
      <c r="T665" s="576"/>
      <c r="U665" s="576"/>
      <c r="V665" s="576"/>
      <c r="W665" s="576"/>
      <c r="X665" s="576"/>
      <c r="Y665" s="592"/>
      <c r="Z665" s="592"/>
      <c r="AA665" s="592"/>
      <c r="AB665" s="592"/>
      <c r="AC665" s="592"/>
      <c r="AD665" s="592"/>
      <c r="AE665" s="592"/>
      <c r="AF665" s="592"/>
      <c r="AG665" s="593"/>
      <c r="AH665" s="576"/>
    </row>
    <row r="666">
      <c r="A666" s="584"/>
      <c r="B666" s="575"/>
      <c r="C666" s="575"/>
      <c r="D666" s="578"/>
      <c r="E666" s="592"/>
      <c r="F666" s="576"/>
      <c r="G666" s="589"/>
      <c r="H666" s="589"/>
      <c r="I666" s="589"/>
      <c r="J666" s="589"/>
      <c r="K666" s="589"/>
      <c r="L666" s="589"/>
      <c r="M666" s="589"/>
      <c r="N666" s="589"/>
      <c r="O666" s="583"/>
      <c r="P666" s="583"/>
      <c r="Q666" s="588"/>
      <c r="R666" s="576"/>
      <c r="S666" s="576"/>
      <c r="T666" s="576"/>
      <c r="U666" s="576"/>
      <c r="V666" s="576"/>
      <c r="W666" s="576"/>
      <c r="X666" s="576"/>
      <c r="Y666" s="592"/>
      <c r="Z666" s="592"/>
      <c r="AA666" s="592"/>
      <c r="AB666" s="592"/>
      <c r="AC666" s="592"/>
      <c r="AD666" s="592"/>
      <c r="AE666" s="592"/>
      <c r="AF666" s="592"/>
      <c r="AG666" s="593"/>
      <c r="AH666" s="576"/>
    </row>
    <row r="667">
      <c r="A667" s="584"/>
      <c r="B667" s="575"/>
      <c r="C667" s="575"/>
      <c r="D667" s="578"/>
      <c r="E667" s="592"/>
      <c r="F667" s="576"/>
      <c r="G667" s="589"/>
      <c r="H667" s="589"/>
      <c r="I667" s="589"/>
      <c r="J667" s="589"/>
      <c r="K667" s="589"/>
      <c r="L667" s="589"/>
      <c r="M667" s="589"/>
      <c r="N667" s="589"/>
      <c r="O667" s="583"/>
      <c r="P667" s="583"/>
      <c r="Q667" s="588"/>
      <c r="R667" s="576"/>
      <c r="S667" s="576"/>
      <c r="T667" s="576"/>
      <c r="U667" s="576"/>
      <c r="V667" s="576"/>
      <c r="W667" s="576"/>
      <c r="X667" s="576"/>
      <c r="Y667" s="592"/>
      <c r="Z667" s="592"/>
      <c r="AA667" s="592"/>
      <c r="AB667" s="592"/>
      <c r="AC667" s="592"/>
      <c r="AD667" s="592"/>
      <c r="AE667" s="592"/>
      <c r="AF667" s="592"/>
      <c r="AG667" s="593"/>
      <c r="AH667" s="576"/>
    </row>
    <row r="668">
      <c r="A668" s="584"/>
      <c r="B668" s="575"/>
      <c r="C668" s="575"/>
      <c r="D668" s="578"/>
      <c r="E668" s="592"/>
      <c r="F668" s="576"/>
      <c r="G668" s="589"/>
      <c r="H668" s="589"/>
      <c r="I668" s="589"/>
      <c r="J668" s="589"/>
      <c r="K668" s="589"/>
      <c r="L668" s="589"/>
      <c r="M668" s="589"/>
      <c r="N668" s="589"/>
      <c r="O668" s="583"/>
      <c r="P668" s="583"/>
      <c r="Q668" s="588"/>
      <c r="R668" s="576"/>
      <c r="S668" s="576"/>
      <c r="T668" s="576"/>
      <c r="U668" s="576"/>
      <c r="V668" s="576"/>
      <c r="W668" s="576"/>
      <c r="X668" s="576"/>
      <c r="Y668" s="592"/>
      <c r="Z668" s="592"/>
      <c r="AA668" s="592"/>
      <c r="AB668" s="592"/>
      <c r="AC668" s="592"/>
      <c r="AD668" s="592"/>
      <c r="AE668" s="592"/>
      <c r="AF668" s="592"/>
      <c r="AG668" s="593"/>
      <c r="AH668" s="576"/>
    </row>
    <row r="669">
      <c r="A669" s="584"/>
      <c r="B669" s="575"/>
      <c r="C669" s="575"/>
      <c r="D669" s="578"/>
      <c r="E669" s="592"/>
      <c r="F669" s="576"/>
      <c r="G669" s="589"/>
      <c r="H669" s="589"/>
      <c r="I669" s="589"/>
      <c r="J669" s="589"/>
      <c r="K669" s="589"/>
      <c r="L669" s="589"/>
      <c r="M669" s="589"/>
      <c r="N669" s="589"/>
      <c r="O669" s="583"/>
      <c r="P669" s="583"/>
      <c r="Q669" s="588"/>
      <c r="R669" s="576"/>
      <c r="S669" s="576"/>
      <c r="T669" s="576"/>
      <c r="U669" s="576"/>
      <c r="V669" s="576"/>
      <c r="W669" s="576"/>
      <c r="X669" s="576"/>
      <c r="Y669" s="592"/>
      <c r="Z669" s="592"/>
      <c r="AA669" s="592"/>
      <c r="AB669" s="592"/>
      <c r="AC669" s="592"/>
      <c r="AD669" s="592"/>
      <c r="AE669" s="592"/>
      <c r="AF669" s="592"/>
      <c r="AG669" s="593"/>
      <c r="AH669" s="576"/>
    </row>
    <row r="670">
      <c r="A670" s="584"/>
      <c r="B670" s="575"/>
      <c r="C670" s="575"/>
      <c r="D670" s="578"/>
      <c r="E670" s="592"/>
      <c r="F670" s="576"/>
      <c r="G670" s="589"/>
      <c r="H670" s="589"/>
      <c r="I670" s="589"/>
      <c r="J670" s="589"/>
      <c r="K670" s="589"/>
      <c r="L670" s="589"/>
      <c r="M670" s="589"/>
      <c r="N670" s="589"/>
      <c r="O670" s="583"/>
      <c r="P670" s="583"/>
      <c r="Q670" s="588"/>
      <c r="R670" s="576"/>
      <c r="S670" s="576"/>
      <c r="T670" s="576"/>
      <c r="U670" s="576"/>
      <c r="V670" s="576"/>
      <c r="W670" s="576"/>
      <c r="X670" s="576"/>
      <c r="Y670" s="592"/>
      <c r="Z670" s="592"/>
      <c r="AA670" s="592"/>
      <c r="AB670" s="592"/>
      <c r="AC670" s="592"/>
      <c r="AD670" s="592"/>
      <c r="AE670" s="592"/>
      <c r="AF670" s="592"/>
      <c r="AG670" s="593"/>
      <c r="AH670" s="576"/>
    </row>
    <row r="671">
      <c r="A671" s="584"/>
      <c r="B671" s="575"/>
      <c r="C671" s="575"/>
      <c r="D671" s="578"/>
      <c r="E671" s="592"/>
      <c r="F671" s="576"/>
      <c r="G671" s="589"/>
      <c r="H671" s="589"/>
      <c r="I671" s="589"/>
      <c r="J671" s="589"/>
      <c r="K671" s="589"/>
      <c r="L671" s="589"/>
      <c r="M671" s="589"/>
      <c r="N671" s="589"/>
      <c r="O671" s="583"/>
      <c r="P671" s="583"/>
      <c r="Q671" s="588"/>
      <c r="R671" s="576"/>
      <c r="S671" s="576"/>
      <c r="T671" s="576"/>
      <c r="U671" s="576"/>
      <c r="V671" s="576"/>
      <c r="W671" s="576"/>
      <c r="X671" s="576"/>
      <c r="Y671" s="592"/>
      <c r="Z671" s="592"/>
      <c r="AA671" s="592"/>
      <c r="AB671" s="592"/>
      <c r="AC671" s="592"/>
      <c r="AD671" s="592"/>
      <c r="AE671" s="592"/>
      <c r="AF671" s="592"/>
      <c r="AG671" s="593"/>
      <c r="AH671" s="576"/>
    </row>
    <row r="672">
      <c r="A672" s="584"/>
      <c r="B672" s="575"/>
      <c r="C672" s="575"/>
      <c r="D672" s="578"/>
      <c r="E672" s="592"/>
      <c r="F672" s="576"/>
      <c r="G672" s="589"/>
      <c r="H672" s="589"/>
      <c r="I672" s="589"/>
      <c r="J672" s="589"/>
      <c r="K672" s="589"/>
      <c r="L672" s="589"/>
      <c r="M672" s="589"/>
      <c r="N672" s="589"/>
      <c r="O672" s="583"/>
      <c r="P672" s="583"/>
      <c r="Q672" s="588"/>
      <c r="R672" s="576"/>
      <c r="S672" s="576"/>
      <c r="T672" s="576"/>
      <c r="U672" s="576"/>
      <c r="V672" s="576"/>
      <c r="W672" s="576"/>
      <c r="X672" s="576"/>
      <c r="Y672" s="592"/>
      <c r="Z672" s="592"/>
      <c r="AA672" s="592"/>
      <c r="AB672" s="592"/>
      <c r="AC672" s="592"/>
      <c r="AD672" s="592"/>
      <c r="AE672" s="592"/>
      <c r="AF672" s="592"/>
      <c r="AG672" s="593"/>
      <c r="AH672" s="576"/>
    </row>
    <row r="673">
      <c r="A673" s="584"/>
      <c r="B673" s="575"/>
      <c r="C673" s="575"/>
      <c r="D673" s="578"/>
      <c r="E673" s="592"/>
      <c r="F673" s="576"/>
      <c r="G673" s="589"/>
      <c r="H673" s="589"/>
      <c r="I673" s="589"/>
      <c r="J673" s="589"/>
      <c r="K673" s="589"/>
      <c r="L673" s="589"/>
      <c r="M673" s="589"/>
      <c r="N673" s="589"/>
      <c r="O673" s="583"/>
      <c r="P673" s="583"/>
      <c r="Q673" s="588"/>
      <c r="R673" s="576"/>
      <c r="S673" s="576"/>
      <c r="T673" s="576"/>
      <c r="U673" s="576"/>
      <c r="V673" s="576"/>
      <c r="W673" s="576"/>
      <c r="X673" s="576"/>
      <c r="Y673" s="592"/>
      <c r="Z673" s="592"/>
      <c r="AA673" s="592"/>
      <c r="AB673" s="592"/>
      <c r="AC673" s="592"/>
      <c r="AD673" s="592"/>
      <c r="AE673" s="592"/>
      <c r="AF673" s="592"/>
      <c r="AG673" s="593"/>
      <c r="AH673" s="576"/>
    </row>
    <row r="674">
      <c r="A674" s="584"/>
      <c r="B674" s="575"/>
      <c r="C674" s="575"/>
      <c r="D674" s="578"/>
      <c r="E674" s="592"/>
      <c r="F674" s="576"/>
      <c r="G674" s="589"/>
      <c r="H674" s="589"/>
      <c r="I674" s="589"/>
      <c r="J674" s="589"/>
      <c r="K674" s="589"/>
      <c r="L674" s="589"/>
      <c r="M674" s="589"/>
      <c r="N674" s="589"/>
      <c r="O674" s="583"/>
      <c r="P674" s="583"/>
      <c r="Q674" s="588"/>
      <c r="R674" s="576"/>
      <c r="S674" s="576"/>
      <c r="T674" s="576"/>
      <c r="U674" s="576"/>
      <c r="V674" s="576"/>
      <c r="W674" s="576"/>
      <c r="X674" s="576"/>
      <c r="Y674" s="592"/>
      <c r="Z674" s="592"/>
      <c r="AA674" s="592"/>
      <c r="AB674" s="592"/>
      <c r="AC674" s="592"/>
      <c r="AD674" s="592"/>
      <c r="AE674" s="592"/>
      <c r="AF674" s="592"/>
      <c r="AG674" s="593"/>
      <c r="AH674" s="576"/>
    </row>
    <row r="675">
      <c r="A675" s="584"/>
      <c r="B675" s="575"/>
      <c r="C675" s="575"/>
      <c r="D675" s="578"/>
      <c r="E675" s="592"/>
      <c r="F675" s="576"/>
      <c r="G675" s="589"/>
      <c r="H675" s="589"/>
      <c r="I675" s="589"/>
      <c r="J675" s="589"/>
      <c r="K675" s="589"/>
      <c r="L675" s="589"/>
      <c r="M675" s="589"/>
      <c r="N675" s="589"/>
      <c r="O675" s="583"/>
      <c r="P675" s="583"/>
      <c r="Q675" s="588"/>
      <c r="R675" s="576"/>
      <c r="S675" s="576"/>
      <c r="T675" s="576"/>
      <c r="U675" s="576"/>
      <c r="V675" s="576"/>
      <c r="W675" s="576"/>
      <c r="X675" s="576"/>
      <c r="Y675" s="592"/>
      <c r="Z675" s="592"/>
      <c r="AA675" s="592"/>
      <c r="AB675" s="592"/>
      <c r="AC675" s="592"/>
      <c r="AD675" s="592"/>
      <c r="AE675" s="592"/>
      <c r="AF675" s="592"/>
      <c r="AG675" s="593"/>
      <c r="AH675" s="576"/>
    </row>
    <row r="676">
      <c r="A676" s="584"/>
      <c r="B676" s="575"/>
      <c r="C676" s="575"/>
      <c r="D676" s="578"/>
      <c r="E676" s="592"/>
      <c r="F676" s="576"/>
      <c r="G676" s="589"/>
      <c r="H676" s="589"/>
      <c r="I676" s="589"/>
      <c r="J676" s="589"/>
      <c r="K676" s="589"/>
      <c r="L676" s="589"/>
      <c r="M676" s="589"/>
      <c r="N676" s="589"/>
      <c r="O676" s="583"/>
      <c r="P676" s="583"/>
      <c r="Q676" s="588"/>
      <c r="R676" s="576"/>
      <c r="S676" s="576"/>
      <c r="T676" s="576"/>
      <c r="U676" s="576"/>
      <c r="V676" s="576"/>
      <c r="W676" s="576"/>
      <c r="X676" s="576"/>
      <c r="Y676" s="592"/>
      <c r="Z676" s="592"/>
      <c r="AA676" s="592"/>
      <c r="AB676" s="592"/>
      <c r="AC676" s="592"/>
      <c r="AD676" s="592"/>
      <c r="AE676" s="592"/>
      <c r="AF676" s="592"/>
      <c r="AG676" s="593"/>
      <c r="AH676" s="576"/>
    </row>
    <row r="677">
      <c r="A677" s="584"/>
      <c r="B677" s="575"/>
      <c r="C677" s="575"/>
      <c r="D677" s="578"/>
      <c r="E677" s="592"/>
      <c r="F677" s="576"/>
      <c r="G677" s="589"/>
      <c r="H677" s="589"/>
      <c r="I677" s="589"/>
      <c r="J677" s="589"/>
      <c r="K677" s="589"/>
      <c r="L677" s="589"/>
      <c r="M677" s="589"/>
      <c r="N677" s="589"/>
      <c r="O677" s="583"/>
      <c r="P677" s="583"/>
      <c r="Q677" s="588"/>
      <c r="R677" s="576"/>
      <c r="S677" s="576"/>
      <c r="T677" s="576"/>
      <c r="U677" s="576"/>
      <c r="V677" s="576"/>
      <c r="W677" s="576"/>
      <c r="X677" s="576"/>
      <c r="Y677" s="592"/>
      <c r="Z677" s="592"/>
      <c r="AA677" s="592"/>
      <c r="AB677" s="592"/>
      <c r="AC677" s="592"/>
      <c r="AD677" s="592"/>
      <c r="AE677" s="592"/>
      <c r="AF677" s="592"/>
      <c r="AG677" s="593"/>
      <c r="AH677" s="576"/>
    </row>
    <row r="678">
      <c r="A678" s="584"/>
      <c r="B678" s="575"/>
      <c r="C678" s="575"/>
      <c r="D678" s="578"/>
      <c r="E678" s="592"/>
      <c r="F678" s="576"/>
      <c r="G678" s="589"/>
      <c r="H678" s="589"/>
      <c r="I678" s="589"/>
      <c r="J678" s="589"/>
      <c r="K678" s="589"/>
      <c r="L678" s="589"/>
      <c r="M678" s="589"/>
      <c r="N678" s="589"/>
      <c r="O678" s="583"/>
      <c r="P678" s="583"/>
      <c r="Q678" s="588"/>
      <c r="R678" s="576"/>
      <c r="S678" s="576"/>
      <c r="T678" s="576"/>
      <c r="U678" s="576"/>
      <c r="V678" s="576"/>
      <c r="W678" s="576"/>
      <c r="X678" s="576"/>
      <c r="Y678" s="592"/>
      <c r="Z678" s="592"/>
      <c r="AA678" s="592"/>
      <c r="AB678" s="592"/>
      <c r="AC678" s="592"/>
      <c r="AD678" s="592"/>
      <c r="AE678" s="592"/>
      <c r="AF678" s="592"/>
      <c r="AG678" s="593"/>
      <c r="AH678" s="576"/>
    </row>
    <row r="679">
      <c r="A679" s="584"/>
      <c r="B679" s="575"/>
      <c r="C679" s="575"/>
      <c r="D679" s="578"/>
      <c r="E679" s="592"/>
      <c r="F679" s="576"/>
      <c r="G679" s="589"/>
      <c r="H679" s="589"/>
      <c r="I679" s="589"/>
      <c r="J679" s="589"/>
      <c r="K679" s="589"/>
      <c r="L679" s="589"/>
      <c r="M679" s="589"/>
      <c r="N679" s="589"/>
      <c r="O679" s="583"/>
      <c r="P679" s="583"/>
      <c r="Q679" s="588"/>
      <c r="R679" s="576"/>
      <c r="S679" s="576"/>
      <c r="T679" s="576"/>
      <c r="U679" s="576"/>
      <c r="V679" s="576"/>
      <c r="W679" s="576"/>
      <c r="X679" s="576"/>
      <c r="Y679" s="592"/>
      <c r="Z679" s="592"/>
      <c r="AA679" s="592"/>
      <c r="AB679" s="592"/>
      <c r="AC679" s="592"/>
      <c r="AD679" s="592"/>
      <c r="AE679" s="592"/>
      <c r="AF679" s="592"/>
      <c r="AG679" s="593"/>
      <c r="AH679" s="576"/>
    </row>
    <row r="680">
      <c r="A680" s="584"/>
      <c r="B680" s="575"/>
      <c r="C680" s="575"/>
      <c r="D680" s="578"/>
      <c r="E680" s="592"/>
      <c r="F680" s="576"/>
      <c r="G680" s="589"/>
      <c r="H680" s="589"/>
      <c r="I680" s="589"/>
      <c r="J680" s="589"/>
      <c r="K680" s="589"/>
      <c r="L680" s="589"/>
      <c r="M680" s="589"/>
      <c r="N680" s="589"/>
      <c r="O680" s="583"/>
      <c r="P680" s="583"/>
      <c r="Q680" s="588"/>
      <c r="R680" s="576"/>
      <c r="S680" s="576"/>
      <c r="T680" s="576"/>
      <c r="U680" s="576"/>
      <c r="V680" s="576"/>
      <c r="W680" s="576"/>
      <c r="X680" s="576"/>
      <c r="Y680" s="592"/>
      <c r="Z680" s="592"/>
      <c r="AA680" s="592"/>
      <c r="AB680" s="592"/>
      <c r="AC680" s="592"/>
      <c r="AD680" s="592"/>
      <c r="AE680" s="592"/>
      <c r="AF680" s="592"/>
      <c r="AG680" s="593"/>
      <c r="AH680" s="576"/>
    </row>
    <row r="681">
      <c r="A681" s="584"/>
      <c r="B681" s="575"/>
      <c r="C681" s="575"/>
      <c r="D681" s="578"/>
      <c r="E681" s="592"/>
      <c r="F681" s="576"/>
      <c r="G681" s="589"/>
      <c r="H681" s="589"/>
      <c r="I681" s="589"/>
      <c r="J681" s="589"/>
      <c r="K681" s="589"/>
      <c r="L681" s="589"/>
      <c r="M681" s="589"/>
      <c r="N681" s="589"/>
      <c r="O681" s="583"/>
      <c r="P681" s="583"/>
      <c r="Q681" s="588"/>
      <c r="R681" s="576"/>
      <c r="S681" s="576"/>
      <c r="T681" s="576"/>
      <c r="U681" s="576"/>
      <c r="V681" s="576"/>
      <c r="W681" s="576"/>
      <c r="X681" s="576"/>
      <c r="Y681" s="592"/>
      <c r="Z681" s="592"/>
      <c r="AA681" s="592"/>
      <c r="AB681" s="592"/>
      <c r="AC681" s="592"/>
      <c r="AD681" s="592"/>
      <c r="AE681" s="592"/>
      <c r="AF681" s="592"/>
      <c r="AG681" s="593"/>
      <c r="AH681" s="576"/>
    </row>
    <row r="682">
      <c r="A682" s="584"/>
      <c r="B682" s="575"/>
      <c r="C682" s="575"/>
      <c r="D682" s="578"/>
      <c r="E682" s="592"/>
      <c r="F682" s="576"/>
      <c r="G682" s="589"/>
      <c r="H682" s="589"/>
      <c r="I682" s="589"/>
      <c r="J682" s="589"/>
      <c r="K682" s="589"/>
      <c r="L682" s="589"/>
      <c r="M682" s="589"/>
      <c r="N682" s="589"/>
      <c r="O682" s="583"/>
      <c r="P682" s="583"/>
      <c r="Q682" s="588"/>
      <c r="R682" s="576"/>
      <c r="S682" s="576"/>
      <c r="T682" s="576"/>
      <c r="U682" s="576"/>
      <c r="V682" s="576"/>
      <c r="W682" s="576"/>
      <c r="X682" s="576"/>
      <c r="Y682" s="592"/>
      <c r="Z682" s="592"/>
      <c r="AA682" s="592"/>
      <c r="AB682" s="592"/>
      <c r="AC682" s="592"/>
      <c r="AD682" s="592"/>
      <c r="AE682" s="592"/>
      <c r="AF682" s="592"/>
      <c r="AG682" s="593"/>
      <c r="AH682" s="576"/>
    </row>
    <row r="683">
      <c r="A683" s="584"/>
      <c r="B683" s="575"/>
      <c r="C683" s="575"/>
      <c r="D683" s="578"/>
      <c r="E683" s="592"/>
      <c r="F683" s="576"/>
      <c r="G683" s="589"/>
      <c r="H683" s="589"/>
      <c r="I683" s="589"/>
      <c r="J683" s="589"/>
      <c r="K683" s="589"/>
      <c r="L683" s="589"/>
      <c r="M683" s="589"/>
      <c r="N683" s="589"/>
      <c r="O683" s="583"/>
      <c r="P683" s="583"/>
      <c r="Q683" s="588"/>
      <c r="R683" s="576"/>
      <c r="S683" s="576"/>
      <c r="T683" s="576"/>
      <c r="U683" s="576"/>
      <c r="V683" s="576"/>
      <c r="W683" s="576"/>
      <c r="X683" s="576"/>
      <c r="Y683" s="592"/>
      <c r="Z683" s="592"/>
      <c r="AA683" s="592"/>
      <c r="AB683" s="592"/>
      <c r="AC683" s="592"/>
      <c r="AD683" s="592"/>
      <c r="AE683" s="592"/>
      <c r="AF683" s="592"/>
      <c r="AG683" s="593"/>
      <c r="AH683" s="576"/>
    </row>
    <row r="684">
      <c r="A684" s="584"/>
      <c r="B684" s="575"/>
      <c r="C684" s="575"/>
      <c r="D684" s="578"/>
      <c r="E684" s="592"/>
      <c r="F684" s="576"/>
      <c r="G684" s="589"/>
      <c r="H684" s="589"/>
      <c r="I684" s="589"/>
      <c r="J684" s="589"/>
      <c r="K684" s="589"/>
      <c r="L684" s="589"/>
      <c r="M684" s="589"/>
      <c r="N684" s="589"/>
      <c r="O684" s="583"/>
      <c r="P684" s="583"/>
      <c r="Q684" s="588"/>
      <c r="R684" s="576"/>
      <c r="S684" s="576"/>
      <c r="T684" s="576"/>
      <c r="U684" s="576"/>
      <c r="V684" s="576"/>
      <c r="W684" s="576"/>
      <c r="X684" s="576"/>
      <c r="Y684" s="592"/>
      <c r="Z684" s="592"/>
      <c r="AA684" s="592"/>
      <c r="AB684" s="592"/>
      <c r="AC684" s="592"/>
      <c r="AD684" s="592"/>
      <c r="AE684" s="592"/>
      <c r="AF684" s="592"/>
      <c r="AG684" s="593"/>
      <c r="AH684" s="576"/>
    </row>
    <row r="685">
      <c r="A685" s="584"/>
      <c r="B685" s="575"/>
      <c r="C685" s="575"/>
      <c r="D685" s="578"/>
      <c r="E685" s="592"/>
      <c r="F685" s="576"/>
      <c r="G685" s="589"/>
      <c r="H685" s="589"/>
      <c r="I685" s="589"/>
      <c r="J685" s="589"/>
      <c r="K685" s="589"/>
      <c r="L685" s="589"/>
      <c r="M685" s="589"/>
      <c r="N685" s="589"/>
      <c r="O685" s="583"/>
      <c r="P685" s="583"/>
      <c r="Q685" s="588"/>
      <c r="R685" s="576"/>
      <c r="S685" s="576"/>
      <c r="T685" s="576"/>
      <c r="U685" s="576"/>
      <c r="V685" s="576"/>
      <c r="W685" s="576"/>
      <c r="X685" s="576"/>
      <c r="Y685" s="592"/>
      <c r="Z685" s="592"/>
      <c r="AA685" s="592"/>
      <c r="AB685" s="592"/>
      <c r="AC685" s="592"/>
      <c r="AD685" s="592"/>
      <c r="AE685" s="592"/>
      <c r="AF685" s="592"/>
      <c r="AG685" s="593"/>
      <c r="AH685" s="576"/>
    </row>
    <row r="686">
      <c r="A686" s="584"/>
      <c r="B686" s="575"/>
      <c r="C686" s="575"/>
      <c r="D686" s="578"/>
      <c r="E686" s="592"/>
      <c r="F686" s="576"/>
      <c r="G686" s="589"/>
      <c r="H686" s="589"/>
      <c r="I686" s="589"/>
      <c r="J686" s="589"/>
      <c r="K686" s="589"/>
      <c r="L686" s="589"/>
      <c r="M686" s="589"/>
      <c r="N686" s="589"/>
      <c r="O686" s="583"/>
      <c r="P686" s="583"/>
      <c r="Q686" s="588"/>
      <c r="R686" s="576"/>
      <c r="S686" s="576"/>
      <c r="T686" s="576"/>
      <c r="U686" s="576"/>
      <c r="V686" s="576"/>
      <c r="W686" s="576"/>
      <c r="X686" s="576"/>
      <c r="Y686" s="592"/>
      <c r="Z686" s="592"/>
      <c r="AA686" s="592"/>
      <c r="AB686" s="592"/>
      <c r="AC686" s="592"/>
      <c r="AD686" s="592"/>
      <c r="AE686" s="592"/>
      <c r="AF686" s="592"/>
      <c r="AG686" s="593"/>
      <c r="AH686" s="576"/>
    </row>
    <row r="687">
      <c r="A687" s="584"/>
      <c r="B687" s="575"/>
      <c r="C687" s="575"/>
      <c r="D687" s="578"/>
      <c r="E687" s="592"/>
      <c r="F687" s="576"/>
      <c r="G687" s="589"/>
      <c r="H687" s="589"/>
      <c r="I687" s="589"/>
      <c r="J687" s="589"/>
      <c r="K687" s="589"/>
      <c r="L687" s="589"/>
      <c r="M687" s="589"/>
      <c r="N687" s="589"/>
      <c r="O687" s="583"/>
      <c r="P687" s="583"/>
      <c r="Q687" s="588"/>
      <c r="R687" s="576"/>
      <c r="S687" s="576"/>
      <c r="T687" s="576"/>
      <c r="U687" s="576"/>
      <c r="V687" s="576"/>
      <c r="W687" s="576"/>
      <c r="X687" s="576"/>
      <c r="Y687" s="592"/>
      <c r="Z687" s="592"/>
      <c r="AA687" s="592"/>
      <c r="AB687" s="592"/>
      <c r="AC687" s="592"/>
      <c r="AD687" s="592"/>
      <c r="AE687" s="592"/>
      <c r="AF687" s="592"/>
      <c r="AG687" s="593"/>
      <c r="AH687" s="576"/>
    </row>
    <row r="688">
      <c r="A688" s="584"/>
      <c r="B688" s="575"/>
      <c r="C688" s="575"/>
      <c r="D688" s="578"/>
      <c r="E688" s="592"/>
      <c r="F688" s="576"/>
      <c r="G688" s="589"/>
      <c r="H688" s="589"/>
      <c r="I688" s="589"/>
      <c r="J688" s="589"/>
      <c r="K688" s="589"/>
      <c r="L688" s="589"/>
      <c r="M688" s="589"/>
      <c r="N688" s="589"/>
      <c r="O688" s="583"/>
      <c r="P688" s="583"/>
      <c r="Q688" s="588"/>
      <c r="R688" s="576"/>
      <c r="S688" s="576"/>
      <c r="T688" s="576"/>
      <c r="U688" s="576"/>
      <c r="V688" s="576"/>
      <c r="W688" s="576"/>
      <c r="X688" s="576"/>
      <c r="Y688" s="592"/>
      <c r="Z688" s="592"/>
      <c r="AA688" s="592"/>
      <c r="AB688" s="592"/>
      <c r="AC688" s="592"/>
      <c r="AD688" s="592"/>
      <c r="AE688" s="592"/>
      <c r="AF688" s="592"/>
      <c r="AG688" s="593"/>
      <c r="AH688" s="576"/>
    </row>
    <row r="689">
      <c r="A689" s="584"/>
      <c r="B689" s="575"/>
      <c r="C689" s="575"/>
      <c r="D689" s="578"/>
      <c r="E689" s="592"/>
      <c r="F689" s="576"/>
      <c r="G689" s="589"/>
      <c r="H689" s="589"/>
      <c r="I689" s="589"/>
      <c r="J689" s="589"/>
      <c r="K689" s="589"/>
      <c r="L689" s="589"/>
      <c r="M689" s="589"/>
      <c r="N689" s="589"/>
      <c r="O689" s="583"/>
      <c r="P689" s="583"/>
      <c r="Q689" s="588"/>
      <c r="R689" s="576"/>
      <c r="S689" s="576"/>
      <c r="T689" s="576"/>
      <c r="U689" s="576"/>
      <c r="V689" s="576"/>
      <c r="W689" s="576"/>
      <c r="X689" s="576"/>
      <c r="Y689" s="592"/>
      <c r="Z689" s="592"/>
      <c r="AA689" s="592"/>
      <c r="AB689" s="592"/>
      <c r="AC689" s="592"/>
      <c r="AD689" s="592"/>
      <c r="AE689" s="592"/>
      <c r="AF689" s="592"/>
      <c r="AG689" s="593"/>
      <c r="AH689" s="576"/>
    </row>
    <row r="690">
      <c r="A690" s="584"/>
      <c r="B690" s="575"/>
      <c r="C690" s="575"/>
      <c r="D690" s="578"/>
      <c r="E690" s="592"/>
      <c r="F690" s="576"/>
      <c r="G690" s="589"/>
      <c r="H690" s="589"/>
      <c r="I690" s="589"/>
      <c r="J690" s="589"/>
      <c r="K690" s="589"/>
      <c r="L690" s="589"/>
      <c r="M690" s="589"/>
      <c r="N690" s="589"/>
      <c r="O690" s="583"/>
      <c r="P690" s="583"/>
      <c r="Q690" s="588"/>
      <c r="R690" s="576"/>
      <c r="S690" s="576"/>
      <c r="T690" s="576"/>
      <c r="U690" s="576"/>
      <c r="V690" s="576"/>
      <c r="W690" s="576"/>
      <c r="X690" s="576"/>
      <c r="Y690" s="592"/>
      <c r="Z690" s="592"/>
      <c r="AA690" s="592"/>
      <c r="AB690" s="592"/>
      <c r="AC690" s="592"/>
      <c r="AD690" s="592"/>
      <c r="AE690" s="592"/>
      <c r="AF690" s="592"/>
      <c r="AG690" s="593"/>
      <c r="AH690" s="576"/>
    </row>
    <row r="691">
      <c r="A691" s="584"/>
      <c r="B691" s="575"/>
      <c r="C691" s="575"/>
      <c r="D691" s="578"/>
      <c r="E691" s="592"/>
      <c r="F691" s="576"/>
      <c r="G691" s="589"/>
      <c r="H691" s="589"/>
      <c r="I691" s="589"/>
      <c r="J691" s="589"/>
      <c r="K691" s="589"/>
      <c r="L691" s="589"/>
      <c r="M691" s="589"/>
      <c r="N691" s="589"/>
      <c r="O691" s="583"/>
      <c r="P691" s="583"/>
      <c r="Q691" s="588"/>
      <c r="R691" s="576"/>
      <c r="S691" s="576"/>
      <c r="T691" s="576"/>
      <c r="U691" s="576"/>
      <c r="V691" s="576"/>
      <c r="W691" s="576"/>
      <c r="X691" s="576"/>
      <c r="Y691" s="592"/>
      <c r="Z691" s="592"/>
      <c r="AA691" s="592"/>
      <c r="AB691" s="592"/>
      <c r="AC691" s="592"/>
      <c r="AD691" s="592"/>
      <c r="AE691" s="592"/>
      <c r="AF691" s="592"/>
      <c r="AG691" s="593"/>
      <c r="AH691" s="576"/>
    </row>
    <row r="692">
      <c r="A692" s="584"/>
      <c r="B692" s="575"/>
      <c r="C692" s="575"/>
      <c r="D692" s="578"/>
      <c r="E692" s="592"/>
      <c r="F692" s="576"/>
      <c r="G692" s="589"/>
      <c r="H692" s="589"/>
      <c r="I692" s="589"/>
      <c r="J692" s="589"/>
      <c r="K692" s="589"/>
      <c r="L692" s="589"/>
      <c r="M692" s="589"/>
      <c r="N692" s="589"/>
      <c r="O692" s="583"/>
      <c r="P692" s="583"/>
      <c r="Q692" s="588"/>
      <c r="R692" s="576"/>
      <c r="S692" s="576"/>
      <c r="T692" s="576"/>
      <c r="U692" s="576"/>
      <c r="V692" s="576"/>
      <c r="W692" s="576"/>
      <c r="X692" s="576"/>
      <c r="Y692" s="592"/>
      <c r="Z692" s="592"/>
      <c r="AA692" s="592"/>
      <c r="AB692" s="592"/>
      <c r="AC692" s="592"/>
      <c r="AD692" s="592"/>
      <c r="AE692" s="592"/>
      <c r="AF692" s="592"/>
      <c r="AG692" s="593"/>
      <c r="AH692" s="576"/>
    </row>
    <row r="693">
      <c r="A693" s="584"/>
      <c r="B693" s="575"/>
      <c r="C693" s="575"/>
      <c r="D693" s="578"/>
      <c r="E693" s="592"/>
      <c r="F693" s="576"/>
      <c r="G693" s="589"/>
      <c r="H693" s="589"/>
      <c r="I693" s="589"/>
      <c r="J693" s="589"/>
      <c r="K693" s="589"/>
      <c r="L693" s="589"/>
      <c r="M693" s="589"/>
      <c r="N693" s="589"/>
      <c r="O693" s="583"/>
      <c r="P693" s="583"/>
      <c r="Q693" s="588"/>
      <c r="R693" s="576"/>
      <c r="S693" s="576"/>
      <c r="T693" s="576"/>
      <c r="U693" s="576"/>
      <c r="V693" s="576"/>
      <c r="W693" s="576"/>
      <c r="X693" s="576"/>
      <c r="Y693" s="592"/>
      <c r="Z693" s="592"/>
      <c r="AA693" s="592"/>
      <c r="AB693" s="592"/>
      <c r="AC693" s="592"/>
      <c r="AD693" s="592"/>
      <c r="AE693" s="592"/>
      <c r="AF693" s="592"/>
      <c r="AG693" s="593"/>
      <c r="AH693" s="576"/>
    </row>
    <row r="694">
      <c r="A694" s="584"/>
      <c r="B694" s="575"/>
      <c r="C694" s="575"/>
      <c r="D694" s="578"/>
      <c r="E694" s="592"/>
      <c r="F694" s="576"/>
      <c r="G694" s="589"/>
      <c r="H694" s="589"/>
      <c r="I694" s="589"/>
      <c r="J694" s="589"/>
      <c r="K694" s="589"/>
      <c r="L694" s="589"/>
      <c r="M694" s="589"/>
      <c r="N694" s="589"/>
      <c r="O694" s="583"/>
      <c r="P694" s="583"/>
      <c r="Q694" s="588"/>
      <c r="R694" s="576"/>
      <c r="S694" s="576"/>
      <c r="T694" s="576"/>
      <c r="U694" s="576"/>
      <c r="V694" s="576"/>
      <c r="W694" s="576"/>
      <c r="X694" s="576"/>
      <c r="Y694" s="592"/>
      <c r="Z694" s="592"/>
      <c r="AA694" s="592"/>
      <c r="AB694" s="592"/>
      <c r="AC694" s="592"/>
      <c r="AD694" s="592"/>
      <c r="AE694" s="592"/>
      <c r="AF694" s="592"/>
      <c r="AG694" s="593"/>
      <c r="AH694" s="576"/>
    </row>
    <row r="695">
      <c r="A695" s="584"/>
      <c r="B695" s="575"/>
      <c r="C695" s="575"/>
      <c r="D695" s="578"/>
      <c r="E695" s="592"/>
      <c r="F695" s="576"/>
      <c r="G695" s="589"/>
      <c r="H695" s="589"/>
      <c r="I695" s="589"/>
      <c r="J695" s="589"/>
      <c r="K695" s="589"/>
      <c r="L695" s="589"/>
      <c r="M695" s="589"/>
      <c r="N695" s="589"/>
      <c r="O695" s="583"/>
      <c r="P695" s="583"/>
      <c r="Q695" s="588"/>
      <c r="R695" s="576"/>
      <c r="S695" s="576"/>
      <c r="T695" s="576"/>
      <c r="U695" s="576"/>
      <c r="V695" s="576"/>
      <c r="W695" s="576"/>
      <c r="X695" s="576"/>
      <c r="Y695" s="592"/>
      <c r="Z695" s="592"/>
      <c r="AA695" s="592"/>
      <c r="AB695" s="592"/>
      <c r="AC695" s="592"/>
      <c r="AD695" s="592"/>
      <c r="AE695" s="592"/>
      <c r="AF695" s="592"/>
      <c r="AG695" s="593"/>
      <c r="AH695" s="576"/>
    </row>
    <row r="696">
      <c r="A696" s="584"/>
      <c r="B696" s="575"/>
      <c r="C696" s="575"/>
      <c r="D696" s="578"/>
      <c r="E696" s="592"/>
      <c r="F696" s="576"/>
      <c r="G696" s="589"/>
      <c r="H696" s="589"/>
      <c r="I696" s="589"/>
      <c r="J696" s="589"/>
      <c r="K696" s="589"/>
      <c r="L696" s="589"/>
      <c r="M696" s="589"/>
      <c r="N696" s="589"/>
      <c r="O696" s="583"/>
      <c r="P696" s="583"/>
      <c r="Q696" s="588"/>
      <c r="R696" s="576"/>
      <c r="S696" s="576"/>
      <c r="T696" s="576"/>
      <c r="U696" s="576"/>
      <c r="V696" s="576"/>
      <c r="W696" s="576"/>
      <c r="X696" s="576"/>
      <c r="Y696" s="592"/>
      <c r="Z696" s="592"/>
      <c r="AA696" s="592"/>
      <c r="AB696" s="592"/>
      <c r="AC696" s="592"/>
      <c r="AD696" s="592"/>
      <c r="AE696" s="592"/>
      <c r="AF696" s="592"/>
      <c r="AG696" s="593"/>
      <c r="AH696" s="576"/>
    </row>
    <row r="697">
      <c r="A697" s="584"/>
      <c r="B697" s="575"/>
      <c r="C697" s="575"/>
      <c r="D697" s="578"/>
      <c r="E697" s="592"/>
      <c r="F697" s="576"/>
      <c r="G697" s="589"/>
      <c r="H697" s="589"/>
      <c r="I697" s="589"/>
      <c r="J697" s="589"/>
      <c r="K697" s="589"/>
      <c r="L697" s="589"/>
      <c r="M697" s="589"/>
      <c r="N697" s="589"/>
      <c r="O697" s="583"/>
      <c r="P697" s="583"/>
      <c r="Q697" s="588"/>
      <c r="R697" s="576"/>
      <c r="S697" s="576"/>
      <c r="T697" s="576"/>
      <c r="U697" s="576"/>
      <c r="V697" s="576"/>
      <c r="W697" s="576"/>
      <c r="X697" s="576"/>
      <c r="Y697" s="592"/>
      <c r="Z697" s="592"/>
      <c r="AA697" s="592"/>
      <c r="AB697" s="592"/>
      <c r="AC697" s="592"/>
      <c r="AD697" s="592"/>
      <c r="AE697" s="592"/>
      <c r="AF697" s="592"/>
      <c r="AG697" s="593"/>
      <c r="AH697" s="576"/>
    </row>
    <row r="698">
      <c r="A698" s="584"/>
      <c r="B698" s="575"/>
      <c r="C698" s="575"/>
      <c r="D698" s="578"/>
      <c r="E698" s="592"/>
      <c r="F698" s="576"/>
      <c r="G698" s="589"/>
      <c r="H698" s="589"/>
      <c r="I698" s="589"/>
      <c r="J698" s="589"/>
      <c r="K698" s="589"/>
      <c r="L698" s="589"/>
      <c r="M698" s="589"/>
      <c r="N698" s="589"/>
      <c r="O698" s="583"/>
      <c r="P698" s="583"/>
      <c r="Q698" s="588"/>
      <c r="R698" s="576"/>
      <c r="S698" s="576"/>
      <c r="T698" s="576"/>
      <c r="U698" s="576"/>
      <c r="V698" s="576"/>
      <c r="W698" s="576"/>
      <c r="X698" s="576"/>
      <c r="Y698" s="592"/>
      <c r="Z698" s="592"/>
      <c r="AA698" s="592"/>
      <c r="AB698" s="592"/>
      <c r="AC698" s="592"/>
      <c r="AD698" s="592"/>
      <c r="AE698" s="592"/>
      <c r="AF698" s="592"/>
      <c r="AG698" s="593"/>
      <c r="AH698" s="576"/>
    </row>
    <row r="699">
      <c r="A699" s="584"/>
      <c r="B699" s="575"/>
      <c r="C699" s="575"/>
      <c r="D699" s="578"/>
      <c r="E699" s="592"/>
      <c r="F699" s="576"/>
      <c r="G699" s="589"/>
      <c r="H699" s="589"/>
      <c r="I699" s="589"/>
      <c r="J699" s="589"/>
      <c r="K699" s="589"/>
      <c r="L699" s="589"/>
      <c r="M699" s="589"/>
      <c r="N699" s="589"/>
      <c r="O699" s="583"/>
      <c r="P699" s="583"/>
      <c r="Q699" s="588"/>
      <c r="R699" s="576"/>
      <c r="S699" s="576"/>
      <c r="T699" s="576"/>
      <c r="U699" s="576"/>
      <c r="V699" s="576"/>
      <c r="W699" s="576"/>
      <c r="X699" s="576"/>
      <c r="Y699" s="592"/>
      <c r="Z699" s="592"/>
      <c r="AA699" s="592"/>
      <c r="AB699" s="592"/>
      <c r="AC699" s="592"/>
      <c r="AD699" s="592"/>
      <c r="AE699" s="592"/>
      <c r="AF699" s="592"/>
      <c r="AG699" s="593"/>
      <c r="AH699" s="576"/>
    </row>
    <row r="700">
      <c r="A700" s="584"/>
      <c r="B700" s="575"/>
      <c r="C700" s="575"/>
      <c r="D700" s="578"/>
      <c r="E700" s="592"/>
      <c r="F700" s="576"/>
      <c r="G700" s="589"/>
      <c r="H700" s="589"/>
      <c r="I700" s="589"/>
      <c r="J700" s="589"/>
      <c r="K700" s="589"/>
      <c r="L700" s="589"/>
      <c r="M700" s="589"/>
      <c r="N700" s="589"/>
      <c r="O700" s="583"/>
      <c r="P700" s="583"/>
      <c r="Q700" s="588"/>
      <c r="R700" s="576"/>
      <c r="S700" s="576"/>
      <c r="T700" s="576"/>
      <c r="U700" s="576"/>
      <c r="V700" s="576"/>
      <c r="W700" s="576"/>
      <c r="X700" s="576"/>
      <c r="Y700" s="592"/>
      <c r="Z700" s="592"/>
      <c r="AA700" s="592"/>
      <c r="AB700" s="592"/>
      <c r="AC700" s="592"/>
      <c r="AD700" s="592"/>
      <c r="AE700" s="592"/>
      <c r="AF700" s="592"/>
      <c r="AG700" s="593"/>
      <c r="AH700" s="576"/>
    </row>
    <row r="701">
      <c r="A701" s="584"/>
      <c r="B701" s="575"/>
      <c r="C701" s="575"/>
      <c r="D701" s="578"/>
      <c r="E701" s="592"/>
      <c r="F701" s="576"/>
      <c r="G701" s="589"/>
      <c r="H701" s="589"/>
      <c r="I701" s="589"/>
      <c r="J701" s="589"/>
      <c r="K701" s="589"/>
      <c r="L701" s="589"/>
      <c r="M701" s="589"/>
      <c r="N701" s="589"/>
      <c r="O701" s="583"/>
      <c r="P701" s="583"/>
      <c r="Q701" s="588"/>
      <c r="R701" s="576"/>
      <c r="S701" s="576"/>
      <c r="T701" s="576"/>
      <c r="U701" s="576"/>
      <c r="V701" s="576"/>
      <c r="W701" s="576"/>
      <c r="X701" s="576"/>
      <c r="Y701" s="592"/>
      <c r="Z701" s="592"/>
      <c r="AA701" s="592"/>
      <c r="AB701" s="592"/>
      <c r="AC701" s="592"/>
      <c r="AD701" s="592"/>
      <c r="AE701" s="592"/>
      <c r="AF701" s="592"/>
      <c r="AG701" s="593"/>
      <c r="AH701" s="576"/>
    </row>
    <row r="702">
      <c r="A702" s="584"/>
      <c r="B702" s="575"/>
      <c r="C702" s="575"/>
      <c r="D702" s="578"/>
      <c r="E702" s="592"/>
      <c r="F702" s="576"/>
      <c r="G702" s="589"/>
      <c r="H702" s="589"/>
      <c r="I702" s="589"/>
      <c r="J702" s="589"/>
      <c r="K702" s="589"/>
      <c r="L702" s="589"/>
      <c r="M702" s="589"/>
      <c r="N702" s="589"/>
      <c r="O702" s="583"/>
      <c r="P702" s="583"/>
      <c r="Q702" s="588"/>
      <c r="R702" s="576"/>
      <c r="S702" s="576"/>
      <c r="T702" s="576"/>
      <c r="U702" s="576"/>
      <c r="V702" s="576"/>
      <c r="W702" s="576"/>
      <c r="X702" s="576"/>
      <c r="Y702" s="592"/>
      <c r="Z702" s="592"/>
      <c r="AA702" s="592"/>
      <c r="AB702" s="592"/>
      <c r="AC702" s="592"/>
      <c r="AD702" s="592"/>
      <c r="AE702" s="592"/>
      <c r="AF702" s="592"/>
      <c r="AG702" s="593"/>
      <c r="AH702" s="576"/>
    </row>
    <row r="703">
      <c r="A703" s="584"/>
      <c r="B703" s="575"/>
      <c r="C703" s="575"/>
      <c r="D703" s="578"/>
      <c r="E703" s="592"/>
      <c r="F703" s="576"/>
      <c r="G703" s="589"/>
      <c r="H703" s="589"/>
      <c r="I703" s="589"/>
      <c r="J703" s="589"/>
      <c r="K703" s="589"/>
      <c r="L703" s="589"/>
      <c r="M703" s="589"/>
      <c r="N703" s="589"/>
      <c r="O703" s="583"/>
      <c r="P703" s="583"/>
      <c r="Q703" s="588"/>
      <c r="R703" s="576"/>
      <c r="S703" s="576"/>
      <c r="T703" s="576"/>
      <c r="U703" s="576"/>
      <c r="V703" s="576"/>
      <c r="W703" s="576"/>
      <c r="X703" s="576"/>
      <c r="Y703" s="592"/>
      <c r="Z703" s="592"/>
      <c r="AA703" s="592"/>
      <c r="AB703" s="592"/>
      <c r="AC703" s="592"/>
      <c r="AD703" s="592"/>
      <c r="AE703" s="592"/>
      <c r="AF703" s="592"/>
      <c r="AG703" s="593"/>
      <c r="AH703" s="576"/>
    </row>
    <row r="704">
      <c r="A704" s="584"/>
      <c r="B704" s="575"/>
      <c r="C704" s="575"/>
      <c r="D704" s="578"/>
      <c r="E704" s="592"/>
      <c r="F704" s="576"/>
      <c r="G704" s="589"/>
      <c r="H704" s="589"/>
      <c r="I704" s="589"/>
      <c r="J704" s="589"/>
      <c r="K704" s="589"/>
      <c r="L704" s="589"/>
      <c r="M704" s="589"/>
      <c r="N704" s="589"/>
      <c r="O704" s="583"/>
      <c r="P704" s="583"/>
      <c r="Q704" s="588"/>
      <c r="R704" s="576"/>
      <c r="S704" s="576"/>
      <c r="T704" s="576"/>
      <c r="U704" s="576"/>
      <c r="V704" s="576"/>
      <c r="W704" s="576"/>
      <c r="X704" s="576"/>
      <c r="Y704" s="592"/>
      <c r="Z704" s="592"/>
      <c r="AA704" s="592"/>
      <c r="AB704" s="592"/>
      <c r="AC704" s="592"/>
      <c r="AD704" s="592"/>
      <c r="AE704" s="592"/>
      <c r="AF704" s="592"/>
      <c r="AG704" s="593"/>
      <c r="AH704" s="576"/>
    </row>
    <row r="705">
      <c r="A705" s="584"/>
      <c r="B705" s="575"/>
      <c r="C705" s="575"/>
      <c r="D705" s="578"/>
      <c r="E705" s="592"/>
      <c r="F705" s="576"/>
      <c r="G705" s="589"/>
      <c r="H705" s="589"/>
      <c r="I705" s="589"/>
      <c r="J705" s="589"/>
      <c r="K705" s="589"/>
      <c r="L705" s="589"/>
      <c r="M705" s="589"/>
      <c r="N705" s="589"/>
      <c r="O705" s="583"/>
      <c r="P705" s="583"/>
      <c r="Q705" s="588"/>
      <c r="R705" s="576"/>
      <c r="S705" s="576"/>
      <c r="T705" s="576"/>
      <c r="U705" s="576"/>
      <c r="V705" s="576"/>
      <c r="W705" s="576"/>
      <c r="X705" s="576"/>
      <c r="Y705" s="592"/>
      <c r="Z705" s="592"/>
      <c r="AA705" s="592"/>
      <c r="AB705" s="592"/>
      <c r="AC705" s="592"/>
      <c r="AD705" s="592"/>
      <c r="AE705" s="592"/>
      <c r="AF705" s="592"/>
      <c r="AG705" s="593"/>
      <c r="AH705" s="576"/>
    </row>
    <row r="706">
      <c r="A706" s="584"/>
      <c r="B706" s="575"/>
      <c r="C706" s="575"/>
      <c r="D706" s="578"/>
      <c r="E706" s="592"/>
      <c r="F706" s="576"/>
      <c r="G706" s="589"/>
      <c r="H706" s="589"/>
      <c r="I706" s="589"/>
      <c r="J706" s="589"/>
      <c r="K706" s="589"/>
      <c r="L706" s="589"/>
      <c r="M706" s="589"/>
      <c r="N706" s="589"/>
      <c r="O706" s="583"/>
      <c r="P706" s="583"/>
      <c r="Q706" s="588"/>
      <c r="R706" s="576"/>
      <c r="S706" s="576"/>
      <c r="T706" s="576"/>
      <c r="U706" s="576"/>
      <c r="V706" s="576"/>
      <c r="W706" s="576"/>
      <c r="X706" s="576"/>
      <c r="Y706" s="592"/>
      <c r="Z706" s="592"/>
      <c r="AA706" s="592"/>
      <c r="AB706" s="592"/>
      <c r="AC706" s="592"/>
      <c r="AD706" s="592"/>
      <c r="AE706" s="592"/>
      <c r="AF706" s="592"/>
      <c r="AG706" s="593"/>
      <c r="AH706" s="576"/>
    </row>
    <row r="707">
      <c r="A707" s="584"/>
      <c r="B707" s="575"/>
      <c r="C707" s="575"/>
      <c r="D707" s="578"/>
      <c r="E707" s="592"/>
      <c r="F707" s="576"/>
      <c r="G707" s="589"/>
      <c r="H707" s="589"/>
      <c r="I707" s="589"/>
      <c r="J707" s="589"/>
      <c r="K707" s="589"/>
      <c r="L707" s="589"/>
      <c r="M707" s="589"/>
      <c r="N707" s="589"/>
      <c r="O707" s="583"/>
      <c r="P707" s="583"/>
      <c r="Q707" s="588"/>
      <c r="R707" s="576"/>
      <c r="S707" s="576"/>
      <c r="T707" s="576"/>
      <c r="U707" s="576"/>
      <c r="V707" s="576"/>
      <c r="W707" s="576"/>
      <c r="X707" s="576"/>
      <c r="Y707" s="592"/>
      <c r="Z707" s="592"/>
      <c r="AA707" s="592"/>
      <c r="AB707" s="592"/>
      <c r="AC707" s="592"/>
      <c r="AD707" s="592"/>
      <c r="AE707" s="592"/>
      <c r="AF707" s="592"/>
      <c r="AG707" s="593"/>
      <c r="AH707" s="576"/>
    </row>
    <row r="708">
      <c r="A708" s="584"/>
      <c r="B708" s="575"/>
      <c r="C708" s="575"/>
      <c r="D708" s="578"/>
      <c r="E708" s="592"/>
      <c r="F708" s="576"/>
      <c r="G708" s="589"/>
      <c r="H708" s="589"/>
      <c r="I708" s="589"/>
      <c r="J708" s="589"/>
      <c r="K708" s="589"/>
      <c r="L708" s="589"/>
      <c r="M708" s="589"/>
      <c r="N708" s="589"/>
      <c r="O708" s="583"/>
      <c r="P708" s="583"/>
      <c r="Q708" s="588"/>
      <c r="R708" s="576"/>
      <c r="S708" s="576"/>
      <c r="T708" s="576"/>
      <c r="U708" s="576"/>
      <c r="V708" s="576"/>
      <c r="W708" s="576"/>
      <c r="X708" s="576"/>
      <c r="Y708" s="592"/>
      <c r="Z708" s="592"/>
      <c r="AA708" s="592"/>
      <c r="AB708" s="592"/>
      <c r="AC708" s="592"/>
      <c r="AD708" s="592"/>
      <c r="AE708" s="592"/>
      <c r="AF708" s="592"/>
      <c r="AG708" s="593"/>
      <c r="AH708" s="576"/>
    </row>
    <row r="709">
      <c r="A709" s="584"/>
      <c r="B709" s="575"/>
      <c r="C709" s="575"/>
      <c r="D709" s="578"/>
      <c r="E709" s="592"/>
      <c r="F709" s="576"/>
      <c r="G709" s="589"/>
      <c r="H709" s="589"/>
      <c r="I709" s="589"/>
      <c r="J709" s="589"/>
      <c r="K709" s="589"/>
      <c r="L709" s="589"/>
      <c r="M709" s="589"/>
      <c r="N709" s="589"/>
      <c r="O709" s="583"/>
      <c r="P709" s="583"/>
      <c r="Q709" s="588"/>
      <c r="R709" s="576"/>
      <c r="S709" s="576"/>
      <c r="T709" s="576"/>
      <c r="U709" s="576"/>
      <c r="V709" s="576"/>
      <c r="W709" s="576"/>
      <c r="X709" s="576"/>
      <c r="Y709" s="592"/>
      <c r="Z709" s="592"/>
      <c r="AA709" s="592"/>
      <c r="AB709" s="592"/>
      <c r="AC709" s="592"/>
      <c r="AD709" s="592"/>
      <c r="AE709" s="592"/>
      <c r="AF709" s="592"/>
      <c r="AG709" s="593"/>
      <c r="AH709" s="576"/>
    </row>
    <row r="710">
      <c r="A710" s="584"/>
      <c r="B710" s="575"/>
      <c r="C710" s="575"/>
      <c r="D710" s="578"/>
      <c r="E710" s="592"/>
      <c r="F710" s="576"/>
      <c r="G710" s="589"/>
      <c r="H710" s="589"/>
      <c r="I710" s="589"/>
      <c r="J710" s="589"/>
      <c r="K710" s="589"/>
      <c r="L710" s="589"/>
      <c r="M710" s="589"/>
      <c r="N710" s="589"/>
      <c r="O710" s="583"/>
      <c r="P710" s="583"/>
      <c r="Q710" s="588"/>
      <c r="R710" s="576"/>
      <c r="S710" s="576"/>
      <c r="T710" s="576"/>
      <c r="U710" s="576"/>
      <c r="V710" s="576"/>
      <c r="W710" s="576"/>
      <c r="X710" s="576"/>
      <c r="Y710" s="592"/>
      <c r="Z710" s="592"/>
      <c r="AA710" s="592"/>
      <c r="AB710" s="592"/>
      <c r="AC710" s="592"/>
      <c r="AD710" s="592"/>
      <c r="AE710" s="592"/>
      <c r="AF710" s="592"/>
      <c r="AG710" s="593"/>
      <c r="AH710" s="576"/>
    </row>
    <row r="711">
      <c r="A711" s="584"/>
      <c r="B711" s="575"/>
      <c r="C711" s="575"/>
      <c r="D711" s="578"/>
      <c r="E711" s="592"/>
      <c r="F711" s="576"/>
      <c r="G711" s="589"/>
      <c r="H711" s="589"/>
      <c r="I711" s="589"/>
      <c r="J711" s="589"/>
      <c r="K711" s="589"/>
      <c r="L711" s="589"/>
      <c r="M711" s="589"/>
      <c r="N711" s="589"/>
      <c r="O711" s="583"/>
      <c r="P711" s="583"/>
      <c r="Q711" s="588"/>
      <c r="R711" s="576"/>
      <c r="S711" s="576"/>
      <c r="T711" s="576"/>
      <c r="U711" s="576"/>
      <c r="V711" s="576"/>
      <c r="W711" s="576"/>
      <c r="X711" s="576"/>
      <c r="Y711" s="592"/>
      <c r="Z711" s="592"/>
      <c r="AA711" s="592"/>
      <c r="AB711" s="592"/>
      <c r="AC711" s="592"/>
      <c r="AD711" s="592"/>
      <c r="AE711" s="592"/>
      <c r="AF711" s="592"/>
      <c r="AG711" s="593"/>
      <c r="AH711" s="576"/>
    </row>
    <row r="712">
      <c r="A712" s="584"/>
      <c r="B712" s="575"/>
      <c r="C712" s="575"/>
      <c r="D712" s="578"/>
      <c r="E712" s="592"/>
      <c r="F712" s="576"/>
      <c r="G712" s="589"/>
      <c r="H712" s="589"/>
      <c r="I712" s="589"/>
      <c r="J712" s="589"/>
      <c r="K712" s="589"/>
      <c r="L712" s="589"/>
      <c r="M712" s="589"/>
      <c r="N712" s="589"/>
      <c r="O712" s="583"/>
      <c r="P712" s="583"/>
      <c r="Q712" s="588"/>
      <c r="R712" s="576"/>
      <c r="S712" s="576"/>
      <c r="T712" s="576"/>
      <c r="U712" s="576"/>
      <c r="V712" s="576"/>
      <c r="W712" s="576"/>
      <c r="X712" s="576"/>
      <c r="Y712" s="592"/>
      <c r="Z712" s="592"/>
      <c r="AA712" s="592"/>
      <c r="AB712" s="592"/>
      <c r="AC712" s="592"/>
      <c r="AD712" s="592"/>
      <c r="AE712" s="592"/>
      <c r="AF712" s="592"/>
      <c r="AG712" s="593"/>
      <c r="AH712" s="576"/>
    </row>
    <row r="713">
      <c r="A713" s="584"/>
      <c r="B713" s="575"/>
      <c r="C713" s="575"/>
      <c r="D713" s="578"/>
      <c r="E713" s="592"/>
      <c r="F713" s="576"/>
      <c r="G713" s="589"/>
      <c r="H713" s="589"/>
      <c r="I713" s="589"/>
      <c r="J713" s="589"/>
      <c r="K713" s="589"/>
      <c r="L713" s="589"/>
      <c r="M713" s="589"/>
      <c r="N713" s="589"/>
      <c r="O713" s="583"/>
      <c r="P713" s="583"/>
      <c r="Q713" s="588"/>
      <c r="R713" s="576"/>
      <c r="S713" s="576"/>
      <c r="T713" s="576"/>
      <c r="U713" s="576"/>
      <c r="V713" s="576"/>
      <c r="W713" s="576"/>
      <c r="X713" s="576"/>
      <c r="Y713" s="592"/>
      <c r="Z713" s="592"/>
      <c r="AA713" s="592"/>
      <c r="AB713" s="592"/>
      <c r="AC713" s="592"/>
      <c r="AD713" s="592"/>
      <c r="AE713" s="592"/>
      <c r="AF713" s="592"/>
      <c r="AG713" s="593"/>
      <c r="AH713" s="576"/>
    </row>
    <row r="714">
      <c r="A714" s="584"/>
      <c r="B714" s="575"/>
      <c r="C714" s="575"/>
      <c r="D714" s="578"/>
      <c r="E714" s="592"/>
      <c r="F714" s="576"/>
      <c r="G714" s="589"/>
      <c r="H714" s="589"/>
      <c r="I714" s="589"/>
      <c r="J714" s="589"/>
      <c r="K714" s="589"/>
      <c r="L714" s="589"/>
      <c r="M714" s="589"/>
      <c r="N714" s="589"/>
      <c r="O714" s="583"/>
      <c r="P714" s="583"/>
      <c r="Q714" s="588"/>
      <c r="R714" s="576"/>
      <c r="S714" s="576"/>
      <c r="T714" s="576"/>
      <c r="U714" s="576"/>
      <c r="V714" s="576"/>
      <c r="W714" s="576"/>
      <c r="X714" s="576"/>
      <c r="Y714" s="592"/>
      <c r="Z714" s="592"/>
      <c r="AA714" s="592"/>
      <c r="AB714" s="592"/>
      <c r="AC714" s="592"/>
      <c r="AD714" s="592"/>
      <c r="AE714" s="592"/>
      <c r="AF714" s="592"/>
      <c r="AG714" s="593"/>
      <c r="AH714" s="576"/>
    </row>
    <row r="715">
      <c r="A715" s="584"/>
      <c r="B715" s="575"/>
      <c r="C715" s="575"/>
      <c r="D715" s="578"/>
      <c r="E715" s="592"/>
      <c r="F715" s="576"/>
      <c r="G715" s="589"/>
      <c r="H715" s="589"/>
      <c r="I715" s="589"/>
      <c r="J715" s="589"/>
      <c r="K715" s="589"/>
      <c r="L715" s="589"/>
      <c r="M715" s="589"/>
      <c r="N715" s="589"/>
      <c r="O715" s="583"/>
      <c r="P715" s="583"/>
      <c r="Q715" s="588"/>
      <c r="R715" s="576"/>
      <c r="S715" s="576"/>
      <c r="T715" s="576"/>
      <c r="U715" s="576"/>
      <c r="V715" s="576"/>
      <c r="W715" s="576"/>
      <c r="X715" s="576"/>
      <c r="Y715" s="592"/>
      <c r="Z715" s="592"/>
      <c r="AA715" s="592"/>
      <c r="AB715" s="592"/>
      <c r="AC715" s="592"/>
      <c r="AD715" s="592"/>
      <c r="AE715" s="592"/>
      <c r="AF715" s="592"/>
      <c r="AG715" s="593"/>
      <c r="AH715" s="576"/>
    </row>
    <row r="716">
      <c r="A716" s="584"/>
      <c r="B716" s="575"/>
      <c r="C716" s="575"/>
      <c r="D716" s="578"/>
      <c r="E716" s="592"/>
      <c r="F716" s="576"/>
      <c r="G716" s="589"/>
      <c r="H716" s="589"/>
      <c r="I716" s="589"/>
      <c r="J716" s="589"/>
      <c r="K716" s="589"/>
      <c r="L716" s="589"/>
      <c r="M716" s="589"/>
      <c r="N716" s="589"/>
      <c r="O716" s="583"/>
      <c r="P716" s="583"/>
      <c r="Q716" s="588"/>
      <c r="R716" s="576"/>
      <c r="S716" s="576"/>
      <c r="T716" s="576"/>
      <c r="U716" s="576"/>
      <c r="V716" s="576"/>
      <c r="W716" s="576"/>
      <c r="X716" s="576"/>
      <c r="Y716" s="592"/>
      <c r="Z716" s="592"/>
      <c r="AA716" s="592"/>
      <c r="AB716" s="592"/>
      <c r="AC716" s="592"/>
      <c r="AD716" s="592"/>
      <c r="AE716" s="592"/>
      <c r="AF716" s="592"/>
      <c r="AG716" s="593"/>
      <c r="AH716" s="576"/>
    </row>
    <row r="717">
      <c r="A717" s="584"/>
      <c r="B717" s="575"/>
      <c r="C717" s="575"/>
      <c r="D717" s="578"/>
      <c r="E717" s="592"/>
      <c r="F717" s="576"/>
      <c r="G717" s="589"/>
      <c r="H717" s="589"/>
      <c r="I717" s="589"/>
      <c r="J717" s="589"/>
      <c r="K717" s="589"/>
      <c r="L717" s="589"/>
      <c r="M717" s="589"/>
      <c r="N717" s="589"/>
      <c r="O717" s="583"/>
      <c r="P717" s="583"/>
      <c r="Q717" s="588"/>
      <c r="R717" s="576"/>
      <c r="S717" s="576"/>
      <c r="T717" s="576"/>
      <c r="U717" s="576"/>
      <c r="V717" s="576"/>
      <c r="W717" s="576"/>
      <c r="X717" s="576"/>
      <c r="Y717" s="592"/>
      <c r="Z717" s="592"/>
      <c r="AA717" s="592"/>
      <c r="AB717" s="592"/>
      <c r="AC717" s="592"/>
      <c r="AD717" s="592"/>
      <c r="AE717" s="592"/>
      <c r="AF717" s="592"/>
      <c r="AG717" s="593"/>
      <c r="AH717" s="576"/>
    </row>
    <row r="718">
      <c r="A718" s="584"/>
      <c r="B718" s="575"/>
      <c r="C718" s="575"/>
      <c r="D718" s="578"/>
      <c r="E718" s="592"/>
      <c r="F718" s="576"/>
      <c r="G718" s="589"/>
      <c r="H718" s="589"/>
      <c r="I718" s="589"/>
      <c r="J718" s="589"/>
      <c r="K718" s="589"/>
      <c r="L718" s="589"/>
      <c r="M718" s="589"/>
      <c r="N718" s="589"/>
      <c r="O718" s="583"/>
      <c r="P718" s="583"/>
      <c r="Q718" s="588"/>
      <c r="R718" s="576"/>
      <c r="S718" s="576"/>
      <c r="T718" s="576"/>
      <c r="U718" s="576"/>
      <c r="V718" s="576"/>
      <c r="W718" s="576"/>
      <c r="X718" s="576"/>
      <c r="Y718" s="592"/>
      <c r="Z718" s="592"/>
      <c r="AA718" s="592"/>
      <c r="AB718" s="592"/>
      <c r="AC718" s="592"/>
      <c r="AD718" s="592"/>
      <c r="AE718" s="592"/>
      <c r="AF718" s="592"/>
      <c r="AG718" s="593"/>
      <c r="AH718" s="576"/>
    </row>
    <row r="719">
      <c r="A719" s="584"/>
      <c r="B719" s="575"/>
      <c r="C719" s="575"/>
      <c r="D719" s="578"/>
      <c r="E719" s="592"/>
      <c r="F719" s="576"/>
      <c r="G719" s="589"/>
      <c r="H719" s="589"/>
      <c r="I719" s="589"/>
      <c r="J719" s="589"/>
      <c r="K719" s="589"/>
      <c r="L719" s="589"/>
      <c r="M719" s="589"/>
      <c r="N719" s="589"/>
      <c r="O719" s="583"/>
      <c r="P719" s="583"/>
      <c r="Q719" s="588"/>
      <c r="R719" s="576"/>
      <c r="S719" s="576"/>
      <c r="T719" s="576"/>
      <c r="U719" s="576"/>
      <c r="V719" s="576"/>
      <c r="W719" s="576"/>
      <c r="X719" s="576"/>
      <c r="Y719" s="592"/>
      <c r="Z719" s="592"/>
      <c r="AA719" s="592"/>
      <c r="AB719" s="592"/>
      <c r="AC719" s="592"/>
      <c r="AD719" s="592"/>
      <c r="AE719" s="592"/>
      <c r="AF719" s="592"/>
      <c r="AG719" s="593"/>
      <c r="AH719" s="576"/>
    </row>
    <row r="720">
      <c r="A720" s="584"/>
      <c r="B720" s="575"/>
      <c r="C720" s="575"/>
      <c r="D720" s="578"/>
      <c r="E720" s="592"/>
      <c r="F720" s="576"/>
      <c r="G720" s="589"/>
      <c r="H720" s="589"/>
      <c r="I720" s="589"/>
      <c r="J720" s="589"/>
      <c r="K720" s="589"/>
      <c r="L720" s="589"/>
      <c r="M720" s="589"/>
      <c r="N720" s="589"/>
      <c r="O720" s="583"/>
      <c r="P720" s="583"/>
      <c r="Q720" s="588"/>
      <c r="R720" s="576"/>
      <c r="S720" s="576"/>
      <c r="T720" s="576"/>
      <c r="U720" s="576"/>
      <c r="V720" s="576"/>
      <c r="W720" s="576"/>
      <c r="X720" s="576"/>
      <c r="Y720" s="592"/>
      <c r="Z720" s="592"/>
      <c r="AA720" s="592"/>
      <c r="AB720" s="592"/>
      <c r="AC720" s="592"/>
      <c r="AD720" s="592"/>
      <c r="AE720" s="592"/>
      <c r="AF720" s="592"/>
      <c r="AG720" s="593"/>
      <c r="AH720" s="576"/>
    </row>
    <row r="721">
      <c r="A721" s="584"/>
      <c r="B721" s="575"/>
      <c r="C721" s="575"/>
      <c r="D721" s="578"/>
      <c r="E721" s="592"/>
      <c r="F721" s="576"/>
      <c r="G721" s="589"/>
      <c r="H721" s="589"/>
      <c r="I721" s="589"/>
      <c r="J721" s="589"/>
      <c r="K721" s="589"/>
      <c r="L721" s="589"/>
      <c r="M721" s="589"/>
      <c r="N721" s="589"/>
      <c r="O721" s="583"/>
      <c r="P721" s="583"/>
      <c r="Q721" s="588"/>
      <c r="R721" s="576"/>
      <c r="S721" s="576"/>
      <c r="T721" s="576"/>
      <c r="U721" s="576"/>
      <c r="V721" s="576"/>
      <c r="W721" s="576"/>
      <c r="X721" s="576"/>
      <c r="Y721" s="592"/>
      <c r="Z721" s="592"/>
      <c r="AA721" s="592"/>
      <c r="AB721" s="592"/>
      <c r="AC721" s="592"/>
      <c r="AD721" s="592"/>
      <c r="AE721" s="592"/>
      <c r="AF721" s="592"/>
      <c r="AG721" s="593"/>
      <c r="AH721" s="576"/>
    </row>
    <row r="722">
      <c r="A722" s="584"/>
      <c r="B722" s="575"/>
      <c r="C722" s="575"/>
      <c r="D722" s="578"/>
      <c r="E722" s="592"/>
      <c r="F722" s="576"/>
      <c r="G722" s="589"/>
      <c r="H722" s="589"/>
      <c r="I722" s="589"/>
      <c r="J722" s="589"/>
      <c r="K722" s="589"/>
      <c r="L722" s="589"/>
      <c r="M722" s="589"/>
      <c r="N722" s="589"/>
      <c r="O722" s="583"/>
      <c r="P722" s="583"/>
      <c r="Q722" s="588"/>
      <c r="R722" s="576"/>
      <c r="S722" s="576"/>
      <c r="T722" s="576"/>
      <c r="U722" s="576"/>
      <c r="V722" s="576"/>
      <c r="W722" s="576"/>
      <c r="X722" s="576"/>
      <c r="Y722" s="592"/>
      <c r="Z722" s="592"/>
      <c r="AA722" s="592"/>
      <c r="AB722" s="592"/>
      <c r="AC722" s="592"/>
      <c r="AD722" s="592"/>
      <c r="AE722" s="592"/>
      <c r="AF722" s="592"/>
      <c r="AG722" s="593"/>
      <c r="AH722" s="576"/>
    </row>
    <row r="723">
      <c r="A723" s="584"/>
      <c r="B723" s="575"/>
      <c r="C723" s="575"/>
      <c r="D723" s="578"/>
      <c r="E723" s="592"/>
      <c r="F723" s="576"/>
      <c r="G723" s="589"/>
      <c r="H723" s="589"/>
      <c r="I723" s="589"/>
      <c r="J723" s="589"/>
      <c r="K723" s="589"/>
      <c r="L723" s="589"/>
      <c r="M723" s="589"/>
      <c r="N723" s="589"/>
      <c r="O723" s="583"/>
      <c r="P723" s="583"/>
      <c r="Q723" s="588"/>
      <c r="R723" s="576"/>
      <c r="S723" s="576"/>
      <c r="T723" s="576"/>
      <c r="U723" s="576"/>
      <c r="V723" s="576"/>
      <c r="W723" s="576"/>
      <c r="X723" s="576"/>
      <c r="Y723" s="592"/>
      <c r="Z723" s="592"/>
      <c r="AA723" s="592"/>
      <c r="AB723" s="592"/>
      <c r="AC723" s="592"/>
      <c r="AD723" s="592"/>
      <c r="AE723" s="592"/>
      <c r="AF723" s="592"/>
      <c r="AG723" s="593"/>
      <c r="AH723" s="576"/>
    </row>
    <row r="724">
      <c r="A724" s="584"/>
      <c r="B724" s="575"/>
      <c r="C724" s="575"/>
      <c r="D724" s="578"/>
      <c r="E724" s="592"/>
      <c r="F724" s="576"/>
      <c r="G724" s="589"/>
      <c r="H724" s="589"/>
      <c r="I724" s="589"/>
      <c r="J724" s="589"/>
      <c r="K724" s="589"/>
      <c r="L724" s="589"/>
      <c r="M724" s="589"/>
      <c r="N724" s="589"/>
      <c r="O724" s="583"/>
      <c r="P724" s="583"/>
      <c r="Q724" s="588"/>
      <c r="R724" s="576"/>
      <c r="S724" s="576"/>
      <c r="T724" s="576"/>
      <c r="U724" s="576"/>
      <c r="V724" s="576"/>
      <c r="W724" s="576"/>
      <c r="X724" s="576"/>
      <c r="Y724" s="592"/>
      <c r="Z724" s="592"/>
      <c r="AA724" s="592"/>
      <c r="AB724" s="592"/>
      <c r="AC724" s="592"/>
      <c r="AD724" s="592"/>
      <c r="AE724" s="592"/>
      <c r="AF724" s="592"/>
      <c r="AG724" s="593"/>
      <c r="AH724" s="576"/>
    </row>
    <row r="725">
      <c r="A725" s="584"/>
      <c r="B725" s="575"/>
      <c r="C725" s="575"/>
      <c r="D725" s="578"/>
      <c r="E725" s="592"/>
      <c r="F725" s="576"/>
      <c r="G725" s="589"/>
      <c r="H725" s="589"/>
      <c r="I725" s="589"/>
      <c r="J725" s="589"/>
      <c r="K725" s="589"/>
      <c r="L725" s="589"/>
      <c r="M725" s="589"/>
      <c r="N725" s="589"/>
      <c r="O725" s="583"/>
      <c r="P725" s="583"/>
      <c r="Q725" s="588"/>
      <c r="R725" s="576"/>
      <c r="S725" s="576"/>
      <c r="T725" s="576"/>
      <c r="U725" s="576"/>
      <c r="V725" s="576"/>
      <c r="W725" s="576"/>
      <c r="X725" s="576"/>
      <c r="Y725" s="592"/>
      <c r="Z725" s="592"/>
      <c r="AA725" s="592"/>
      <c r="AB725" s="592"/>
      <c r="AC725" s="592"/>
      <c r="AD725" s="592"/>
      <c r="AE725" s="592"/>
      <c r="AF725" s="592"/>
      <c r="AG725" s="593"/>
      <c r="AH725" s="576"/>
    </row>
    <row r="726">
      <c r="A726" s="584"/>
      <c r="B726" s="575"/>
      <c r="C726" s="575"/>
      <c r="D726" s="578"/>
      <c r="E726" s="592"/>
      <c r="F726" s="576"/>
      <c r="G726" s="589"/>
      <c r="H726" s="589"/>
      <c r="I726" s="589"/>
      <c r="J726" s="589"/>
      <c r="K726" s="589"/>
      <c r="L726" s="589"/>
      <c r="M726" s="589"/>
      <c r="N726" s="589"/>
      <c r="O726" s="583"/>
      <c r="P726" s="583"/>
      <c r="Q726" s="588"/>
      <c r="R726" s="576"/>
      <c r="S726" s="576"/>
      <c r="T726" s="576"/>
      <c r="U726" s="576"/>
      <c r="V726" s="576"/>
      <c r="W726" s="576"/>
      <c r="X726" s="576"/>
      <c r="Y726" s="592"/>
      <c r="Z726" s="592"/>
      <c r="AA726" s="592"/>
      <c r="AB726" s="592"/>
      <c r="AC726" s="592"/>
      <c r="AD726" s="592"/>
      <c r="AE726" s="592"/>
      <c r="AF726" s="592"/>
      <c r="AG726" s="593"/>
      <c r="AH726" s="576"/>
    </row>
    <row r="727">
      <c r="A727" s="584"/>
      <c r="B727" s="575"/>
      <c r="C727" s="575"/>
      <c r="D727" s="578"/>
      <c r="E727" s="592"/>
      <c r="F727" s="576"/>
      <c r="G727" s="589"/>
      <c r="H727" s="589"/>
      <c r="I727" s="589"/>
      <c r="J727" s="589"/>
      <c r="K727" s="589"/>
      <c r="L727" s="589"/>
      <c r="M727" s="589"/>
      <c r="N727" s="589"/>
      <c r="O727" s="583"/>
      <c r="P727" s="583"/>
      <c r="Q727" s="588"/>
      <c r="R727" s="576"/>
      <c r="S727" s="576"/>
      <c r="T727" s="576"/>
      <c r="U727" s="576"/>
      <c r="V727" s="576"/>
      <c r="W727" s="576"/>
      <c r="X727" s="576"/>
      <c r="Y727" s="592"/>
      <c r="Z727" s="592"/>
      <c r="AA727" s="592"/>
      <c r="AB727" s="592"/>
      <c r="AC727" s="592"/>
      <c r="AD727" s="592"/>
      <c r="AE727" s="592"/>
      <c r="AF727" s="592"/>
      <c r="AG727" s="593"/>
      <c r="AH727" s="576"/>
    </row>
    <row r="728">
      <c r="A728" s="584"/>
      <c r="B728" s="575"/>
      <c r="C728" s="575"/>
      <c r="D728" s="578"/>
      <c r="E728" s="592"/>
      <c r="F728" s="576"/>
      <c r="G728" s="589"/>
      <c r="H728" s="589"/>
      <c r="I728" s="589"/>
      <c r="J728" s="589"/>
      <c r="K728" s="589"/>
      <c r="L728" s="589"/>
      <c r="M728" s="589"/>
      <c r="N728" s="589"/>
      <c r="O728" s="583"/>
      <c r="P728" s="583"/>
      <c r="Q728" s="588"/>
      <c r="R728" s="576"/>
      <c r="S728" s="576"/>
      <c r="T728" s="576"/>
      <c r="U728" s="576"/>
      <c r="V728" s="576"/>
      <c r="W728" s="576"/>
      <c r="X728" s="576"/>
      <c r="Y728" s="592"/>
      <c r="Z728" s="592"/>
      <c r="AA728" s="592"/>
      <c r="AB728" s="592"/>
      <c r="AC728" s="592"/>
      <c r="AD728" s="592"/>
      <c r="AE728" s="592"/>
      <c r="AF728" s="592"/>
      <c r="AG728" s="593"/>
      <c r="AH728" s="576"/>
    </row>
    <row r="729">
      <c r="A729" s="584"/>
      <c r="B729" s="575"/>
      <c r="C729" s="575"/>
      <c r="D729" s="578"/>
      <c r="E729" s="592"/>
      <c r="F729" s="576"/>
      <c r="G729" s="589"/>
      <c r="H729" s="589"/>
      <c r="I729" s="589"/>
      <c r="J729" s="589"/>
      <c r="K729" s="589"/>
      <c r="L729" s="589"/>
      <c r="M729" s="589"/>
      <c r="N729" s="589"/>
      <c r="O729" s="583"/>
      <c r="P729" s="583"/>
      <c r="Q729" s="588"/>
      <c r="R729" s="576"/>
      <c r="S729" s="576"/>
      <c r="T729" s="576"/>
      <c r="U729" s="576"/>
      <c r="V729" s="576"/>
      <c r="W729" s="576"/>
      <c r="X729" s="576"/>
      <c r="Y729" s="592"/>
      <c r="Z729" s="592"/>
      <c r="AA729" s="592"/>
      <c r="AB729" s="592"/>
      <c r="AC729" s="592"/>
      <c r="AD729" s="592"/>
      <c r="AE729" s="592"/>
      <c r="AF729" s="592"/>
      <c r="AG729" s="593"/>
      <c r="AH729" s="576"/>
    </row>
    <row r="730">
      <c r="A730" s="584"/>
      <c r="B730" s="575"/>
      <c r="C730" s="575"/>
      <c r="D730" s="578"/>
      <c r="E730" s="592"/>
      <c r="F730" s="576"/>
      <c r="G730" s="589"/>
      <c r="H730" s="589"/>
      <c r="I730" s="589"/>
      <c r="J730" s="589"/>
      <c r="K730" s="589"/>
      <c r="L730" s="589"/>
      <c r="M730" s="589"/>
      <c r="N730" s="589"/>
      <c r="O730" s="583"/>
      <c r="P730" s="583"/>
      <c r="Q730" s="588"/>
      <c r="R730" s="576"/>
      <c r="S730" s="576"/>
      <c r="T730" s="576"/>
      <c r="U730" s="576"/>
      <c r="V730" s="576"/>
      <c r="W730" s="576"/>
      <c r="X730" s="576"/>
      <c r="Y730" s="592"/>
      <c r="Z730" s="592"/>
      <c r="AA730" s="592"/>
      <c r="AB730" s="592"/>
      <c r="AC730" s="592"/>
      <c r="AD730" s="592"/>
      <c r="AE730" s="592"/>
      <c r="AF730" s="592"/>
      <c r="AG730" s="593"/>
      <c r="AH730" s="576"/>
    </row>
    <row r="731">
      <c r="A731" s="584"/>
      <c r="B731" s="575"/>
      <c r="C731" s="575"/>
      <c r="D731" s="578"/>
      <c r="E731" s="592"/>
      <c r="F731" s="576"/>
      <c r="G731" s="589"/>
      <c r="H731" s="589"/>
      <c r="I731" s="589"/>
      <c r="J731" s="589"/>
      <c r="K731" s="589"/>
      <c r="L731" s="589"/>
      <c r="M731" s="589"/>
      <c r="N731" s="589"/>
      <c r="O731" s="583"/>
      <c r="P731" s="583"/>
      <c r="Q731" s="588"/>
      <c r="R731" s="576"/>
      <c r="S731" s="576"/>
      <c r="T731" s="576"/>
      <c r="U731" s="576"/>
      <c r="V731" s="576"/>
      <c r="W731" s="576"/>
      <c r="X731" s="576"/>
      <c r="Y731" s="592"/>
      <c r="Z731" s="592"/>
      <c r="AA731" s="592"/>
      <c r="AB731" s="592"/>
      <c r="AC731" s="592"/>
      <c r="AD731" s="592"/>
      <c r="AE731" s="592"/>
      <c r="AF731" s="592"/>
      <c r="AG731" s="593"/>
      <c r="AH731" s="576"/>
    </row>
    <row r="732">
      <c r="A732" s="584"/>
      <c r="B732" s="575"/>
      <c r="C732" s="575"/>
      <c r="D732" s="578"/>
      <c r="E732" s="592"/>
      <c r="F732" s="576"/>
      <c r="G732" s="589"/>
      <c r="H732" s="589"/>
      <c r="I732" s="589"/>
      <c r="J732" s="589"/>
      <c r="K732" s="589"/>
      <c r="L732" s="589"/>
      <c r="M732" s="589"/>
      <c r="N732" s="589"/>
      <c r="O732" s="583"/>
      <c r="P732" s="583"/>
      <c r="Q732" s="588"/>
      <c r="R732" s="576"/>
      <c r="S732" s="576"/>
      <c r="T732" s="576"/>
      <c r="U732" s="576"/>
      <c r="V732" s="576"/>
      <c r="W732" s="576"/>
      <c r="X732" s="576"/>
      <c r="Y732" s="592"/>
      <c r="Z732" s="592"/>
      <c r="AA732" s="592"/>
      <c r="AB732" s="592"/>
      <c r="AC732" s="592"/>
      <c r="AD732" s="592"/>
      <c r="AE732" s="592"/>
      <c r="AF732" s="592"/>
      <c r="AG732" s="593"/>
      <c r="AH732" s="576"/>
    </row>
    <row r="733">
      <c r="A733" s="584"/>
      <c r="B733" s="575"/>
      <c r="C733" s="575"/>
      <c r="D733" s="578"/>
      <c r="E733" s="592"/>
      <c r="F733" s="576"/>
      <c r="G733" s="589"/>
      <c r="H733" s="589"/>
      <c r="I733" s="589"/>
      <c r="J733" s="589"/>
      <c r="K733" s="589"/>
      <c r="L733" s="589"/>
      <c r="M733" s="589"/>
      <c r="N733" s="589"/>
      <c r="O733" s="583"/>
      <c r="P733" s="583"/>
      <c r="Q733" s="588"/>
      <c r="R733" s="576"/>
      <c r="S733" s="576"/>
      <c r="T733" s="576"/>
      <c r="U733" s="576"/>
      <c r="V733" s="576"/>
      <c r="W733" s="576"/>
      <c r="X733" s="576"/>
      <c r="Y733" s="592"/>
      <c r="Z733" s="592"/>
      <c r="AA733" s="592"/>
      <c r="AB733" s="592"/>
      <c r="AC733" s="592"/>
      <c r="AD733" s="592"/>
      <c r="AE733" s="592"/>
      <c r="AF733" s="592"/>
      <c r="AG733" s="593"/>
      <c r="AH733" s="576"/>
    </row>
    <row r="734">
      <c r="A734" s="584"/>
      <c r="B734" s="575"/>
      <c r="C734" s="575"/>
      <c r="D734" s="578"/>
      <c r="E734" s="592"/>
      <c r="F734" s="576"/>
      <c r="G734" s="589"/>
      <c r="H734" s="589"/>
      <c r="I734" s="589"/>
      <c r="J734" s="589"/>
      <c r="K734" s="589"/>
      <c r="L734" s="589"/>
      <c r="M734" s="589"/>
      <c r="N734" s="589"/>
      <c r="O734" s="583"/>
      <c r="P734" s="583"/>
      <c r="Q734" s="588"/>
      <c r="R734" s="576"/>
      <c r="S734" s="576"/>
      <c r="T734" s="576"/>
      <c r="U734" s="576"/>
      <c r="V734" s="576"/>
      <c r="W734" s="576"/>
      <c r="X734" s="576"/>
      <c r="Y734" s="592"/>
      <c r="Z734" s="592"/>
      <c r="AA734" s="592"/>
      <c r="AB734" s="592"/>
      <c r="AC734" s="592"/>
      <c r="AD734" s="592"/>
      <c r="AE734" s="592"/>
      <c r="AF734" s="592"/>
      <c r="AG734" s="593"/>
      <c r="AH734" s="576"/>
    </row>
    <row r="735">
      <c r="A735" s="584"/>
      <c r="B735" s="575"/>
      <c r="C735" s="575"/>
      <c r="D735" s="578"/>
      <c r="E735" s="592"/>
      <c r="F735" s="576"/>
      <c r="G735" s="589"/>
      <c r="H735" s="589"/>
      <c r="I735" s="589"/>
      <c r="J735" s="589"/>
      <c r="K735" s="589"/>
      <c r="L735" s="589"/>
      <c r="M735" s="589"/>
      <c r="N735" s="589"/>
      <c r="O735" s="583"/>
      <c r="P735" s="583"/>
      <c r="Q735" s="588"/>
      <c r="R735" s="576"/>
      <c r="S735" s="576"/>
      <c r="T735" s="576"/>
      <c r="U735" s="576"/>
      <c r="V735" s="576"/>
      <c r="W735" s="576"/>
      <c r="X735" s="576"/>
      <c r="Y735" s="592"/>
      <c r="Z735" s="592"/>
      <c r="AA735" s="592"/>
      <c r="AB735" s="592"/>
      <c r="AC735" s="592"/>
      <c r="AD735" s="592"/>
      <c r="AE735" s="592"/>
      <c r="AF735" s="592"/>
      <c r="AG735" s="593"/>
      <c r="AH735" s="576"/>
    </row>
    <row r="736">
      <c r="A736" s="584"/>
      <c r="B736" s="575"/>
      <c r="C736" s="575"/>
      <c r="D736" s="578"/>
      <c r="E736" s="592"/>
      <c r="F736" s="576"/>
      <c r="G736" s="589"/>
      <c r="H736" s="589"/>
      <c r="I736" s="589"/>
      <c r="J736" s="589"/>
      <c r="K736" s="589"/>
      <c r="L736" s="589"/>
      <c r="M736" s="589"/>
      <c r="N736" s="589"/>
      <c r="O736" s="583"/>
      <c r="P736" s="583"/>
      <c r="Q736" s="588"/>
      <c r="R736" s="576"/>
      <c r="S736" s="576"/>
      <c r="T736" s="576"/>
      <c r="U736" s="576"/>
      <c r="V736" s="576"/>
      <c r="W736" s="576"/>
      <c r="X736" s="576"/>
      <c r="Y736" s="592"/>
      <c r="Z736" s="592"/>
      <c r="AA736" s="592"/>
      <c r="AB736" s="592"/>
      <c r="AC736" s="592"/>
      <c r="AD736" s="592"/>
      <c r="AE736" s="592"/>
      <c r="AF736" s="592"/>
      <c r="AG736" s="593"/>
      <c r="AH736" s="576"/>
    </row>
    <row r="737">
      <c r="A737" s="584"/>
      <c r="B737" s="575"/>
      <c r="C737" s="575"/>
      <c r="D737" s="578"/>
      <c r="E737" s="592"/>
      <c r="F737" s="576"/>
      <c r="G737" s="589"/>
      <c r="H737" s="589"/>
      <c r="I737" s="589"/>
      <c r="J737" s="589"/>
      <c r="K737" s="589"/>
      <c r="L737" s="589"/>
      <c r="M737" s="589"/>
      <c r="N737" s="589"/>
      <c r="O737" s="583"/>
      <c r="P737" s="583"/>
      <c r="Q737" s="588"/>
      <c r="R737" s="576"/>
      <c r="S737" s="576"/>
      <c r="T737" s="576"/>
      <c r="U737" s="576"/>
      <c r="V737" s="576"/>
      <c r="W737" s="576"/>
      <c r="X737" s="576"/>
      <c r="Y737" s="592"/>
      <c r="Z737" s="592"/>
      <c r="AA737" s="592"/>
      <c r="AB737" s="592"/>
      <c r="AC737" s="592"/>
      <c r="AD737" s="592"/>
      <c r="AE737" s="592"/>
      <c r="AF737" s="592"/>
      <c r="AG737" s="593"/>
      <c r="AH737" s="576"/>
    </row>
    <row r="738">
      <c r="A738" s="584"/>
      <c r="B738" s="575"/>
      <c r="C738" s="575"/>
      <c r="D738" s="578"/>
      <c r="E738" s="592"/>
      <c r="F738" s="576"/>
      <c r="G738" s="589"/>
      <c r="H738" s="589"/>
      <c r="I738" s="589"/>
      <c r="J738" s="589"/>
      <c r="K738" s="589"/>
      <c r="L738" s="589"/>
      <c r="M738" s="589"/>
      <c r="N738" s="589"/>
      <c r="O738" s="583"/>
      <c r="P738" s="583"/>
      <c r="Q738" s="588"/>
      <c r="R738" s="576"/>
      <c r="S738" s="576"/>
      <c r="T738" s="576"/>
      <c r="U738" s="576"/>
      <c r="V738" s="576"/>
      <c r="W738" s="576"/>
      <c r="X738" s="576"/>
      <c r="Y738" s="592"/>
      <c r="Z738" s="592"/>
      <c r="AA738" s="592"/>
      <c r="AB738" s="592"/>
      <c r="AC738" s="592"/>
      <c r="AD738" s="592"/>
      <c r="AE738" s="592"/>
      <c r="AF738" s="592"/>
      <c r="AG738" s="593"/>
      <c r="AH738" s="576"/>
    </row>
    <row r="739">
      <c r="A739" s="584"/>
      <c r="B739" s="575"/>
      <c r="C739" s="575"/>
      <c r="D739" s="578"/>
      <c r="E739" s="592"/>
      <c r="F739" s="576"/>
      <c r="G739" s="589"/>
      <c r="H739" s="589"/>
      <c r="I739" s="589"/>
      <c r="J739" s="589"/>
      <c r="K739" s="589"/>
      <c r="L739" s="589"/>
      <c r="M739" s="589"/>
      <c r="N739" s="589"/>
      <c r="O739" s="583"/>
      <c r="P739" s="583"/>
      <c r="Q739" s="588"/>
      <c r="R739" s="576"/>
      <c r="S739" s="576"/>
      <c r="T739" s="576"/>
      <c r="U739" s="576"/>
      <c r="V739" s="576"/>
      <c r="W739" s="576"/>
      <c r="X739" s="576"/>
      <c r="Y739" s="592"/>
      <c r="Z739" s="592"/>
      <c r="AA739" s="592"/>
      <c r="AB739" s="592"/>
      <c r="AC739" s="592"/>
      <c r="AD739" s="592"/>
      <c r="AE739" s="592"/>
      <c r="AF739" s="592"/>
      <c r="AG739" s="593"/>
      <c r="AH739" s="576"/>
    </row>
    <row r="740">
      <c r="A740" s="584"/>
      <c r="B740" s="575"/>
      <c r="C740" s="575"/>
      <c r="D740" s="578"/>
      <c r="E740" s="592"/>
      <c r="F740" s="576"/>
      <c r="G740" s="589"/>
      <c r="H740" s="589"/>
      <c r="I740" s="589"/>
      <c r="J740" s="589"/>
      <c r="K740" s="589"/>
      <c r="L740" s="589"/>
      <c r="M740" s="589"/>
      <c r="N740" s="589"/>
      <c r="O740" s="583"/>
      <c r="P740" s="583"/>
      <c r="Q740" s="588"/>
      <c r="R740" s="576"/>
      <c r="S740" s="576"/>
      <c r="T740" s="576"/>
      <c r="U740" s="576"/>
      <c r="V740" s="576"/>
      <c r="W740" s="576"/>
      <c r="X740" s="576"/>
      <c r="Y740" s="592"/>
      <c r="Z740" s="592"/>
      <c r="AA740" s="592"/>
      <c r="AB740" s="592"/>
      <c r="AC740" s="592"/>
      <c r="AD740" s="592"/>
      <c r="AE740" s="592"/>
      <c r="AF740" s="592"/>
      <c r="AG740" s="593"/>
      <c r="AH740" s="576"/>
    </row>
    <row r="741">
      <c r="A741" s="584"/>
      <c r="B741" s="575"/>
      <c r="C741" s="575"/>
      <c r="D741" s="578"/>
      <c r="E741" s="592"/>
      <c r="F741" s="576"/>
      <c r="G741" s="589"/>
      <c r="H741" s="589"/>
      <c r="I741" s="589"/>
      <c r="J741" s="589"/>
      <c r="K741" s="589"/>
      <c r="L741" s="589"/>
      <c r="M741" s="589"/>
      <c r="N741" s="589"/>
      <c r="O741" s="583"/>
      <c r="P741" s="583"/>
      <c r="Q741" s="588"/>
      <c r="R741" s="576"/>
      <c r="S741" s="576"/>
      <c r="T741" s="576"/>
      <c r="U741" s="576"/>
      <c r="V741" s="576"/>
      <c r="W741" s="576"/>
      <c r="X741" s="576"/>
      <c r="Y741" s="592"/>
      <c r="Z741" s="592"/>
      <c r="AA741" s="592"/>
      <c r="AB741" s="592"/>
      <c r="AC741" s="592"/>
      <c r="AD741" s="592"/>
      <c r="AE741" s="592"/>
      <c r="AF741" s="592"/>
      <c r="AG741" s="593"/>
      <c r="AH741" s="576"/>
    </row>
    <row r="742">
      <c r="A742" s="584"/>
      <c r="B742" s="575"/>
      <c r="C742" s="575"/>
      <c r="D742" s="578"/>
      <c r="E742" s="592"/>
      <c r="F742" s="576"/>
      <c r="G742" s="589"/>
      <c r="H742" s="589"/>
      <c r="I742" s="589"/>
      <c r="J742" s="589"/>
      <c r="K742" s="589"/>
      <c r="L742" s="589"/>
      <c r="M742" s="589"/>
      <c r="N742" s="589"/>
      <c r="O742" s="583"/>
      <c r="P742" s="583"/>
      <c r="Q742" s="588"/>
      <c r="R742" s="576"/>
      <c r="S742" s="576"/>
      <c r="T742" s="576"/>
      <c r="U742" s="576"/>
      <c r="V742" s="576"/>
      <c r="W742" s="576"/>
      <c r="X742" s="576"/>
      <c r="Y742" s="592"/>
      <c r="Z742" s="592"/>
      <c r="AA742" s="592"/>
      <c r="AB742" s="592"/>
      <c r="AC742" s="592"/>
      <c r="AD742" s="592"/>
      <c r="AE742" s="592"/>
      <c r="AF742" s="592"/>
      <c r="AG742" s="593"/>
      <c r="AH742" s="576"/>
    </row>
    <row r="743">
      <c r="A743" s="584"/>
      <c r="B743" s="575"/>
      <c r="C743" s="575"/>
      <c r="D743" s="578"/>
      <c r="E743" s="592"/>
      <c r="F743" s="576"/>
      <c r="G743" s="589"/>
      <c r="H743" s="589"/>
      <c r="I743" s="589"/>
      <c r="J743" s="589"/>
      <c r="K743" s="589"/>
      <c r="L743" s="589"/>
      <c r="M743" s="589"/>
      <c r="N743" s="589"/>
      <c r="O743" s="583"/>
      <c r="P743" s="583"/>
      <c r="Q743" s="588"/>
      <c r="R743" s="576"/>
      <c r="S743" s="576"/>
      <c r="T743" s="576"/>
      <c r="U743" s="576"/>
      <c r="V743" s="576"/>
      <c r="W743" s="576"/>
      <c r="X743" s="576"/>
      <c r="Y743" s="592"/>
      <c r="Z743" s="592"/>
      <c r="AA743" s="592"/>
      <c r="AB743" s="592"/>
      <c r="AC743" s="592"/>
      <c r="AD743" s="592"/>
      <c r="AE743" s="592"/>
      <c r="AF743" s="592"/>
      <c r="AG743" s="593"/>
      <c r="AH743" s="576"/>
    </row>
    <row r="744">
      <c r="A744" s="584"/>
      <c r="B744" s="575"/>
      <c r="C744" s="575"/>
      <c r="D744" s="578"/>
      <c r="E744" s="592"/>
      <c r="F744" s="576"/>
      <c r="G744" s="589"/>
      <c r="H744" s="589"/>
      <c r="I744" s="589"/>
      <c r="J744" s="589"/>
      <c r="K744" s="589"/>
      <c r="L744" s="589"/>
      <c r="M744" s="589"/>
      <c r="N744" s="589"/>
      <c r="O744" s="583"/>
      <c r="P744" s="583"/>
      <c r="Q744" s="588"/>
      <c r="R744" s="576"/>
      <c r="S744" s="576"/>
      <c r="T744" s="576"/>
      <c r="U744" s="576"/>
      <c r="V744" s="576"/>
      <c r="W744" s="576"/>
      <c r="X744" s="576"/>
      <c r="Y744" s="592"/>
      <c r="Z744" s="592"/>
      <c r="AA744" s="592"/>
      <c r="AB744" s="592"/>
      <c r="AC744" s="592"/>
      <c r="AD744" s="592"/>
      <c r="AE744" s="592"/>
      <c r="AF744" s="592"/>
      <c r="AG744" s="593"/>
      <c r="AH744" s="576"/>
    </row>
    <row r="745">
      <c r="A745" s="584"/>
      <c r="B745" s="575"/>
      <c r="C745" s="575"/>
      <c r="D745" s="578"/>
      <c r="E745" s="592"/>
      <c r="F745" s="576"/>
      <c r="G745" s="589"/>
      <c r="H745" s="589"/>
      <c r="I745" s="589"/>
      <c r="J745" s="589"/>
      <c r="K745" s="589"/>
      <c r="L745" s="589"/>
      <c r="M745" s="589"/>
      <c r="N745" s="589"/>
      <c r="O745" s="583"/>
      <c r="P745" s="583"/>
      <c r="Q745" s="588"/>
      <c r="R745" s="576"/>
      <c r="S745" s="576"/>
      <c r="T745" s="576"/>
      <c r="U745" s="576"/>
      <c r="V745" s="576"/>
      <c r="W745" s="576"/>
      <c r="X745" s="576"/>
      <c r="Y745" s="592"/>
      <c r="Z745" s="592"/>
      <c r="AA745" s="592"/>
      <c r="AB745" s="592"/>
      <c r="AC745" s="592"/>
      <c r="AD745" s="592"/>
      <c r="AE745" s="592"/>
      <c r="AF745" s="592"/>
      <c r="AG745" s="593"/>
      <c r="AH745" s="576"/>
    </row>
    <row r="746">
      <c r="A746" s="584"/>
      <c r="B746" s="575"/>
      <c r="C746" s="575"/>
      <c r="D746" s="578"/>
      <c r="E746" s="592"/>
      <c r="F746" s="576"/>
      <c r="G746" s="589"/>
      <c r="H746" s="589"/>
      <c r="I746" s="589"/>
      <c r="J746" s="589"/>
      <c r="K746" s="589"/>
      <c r="L746" s="589"/>
      <c r="M746" s="589"/>
      <c r="N746" s="589"/>
      <c r="O746" s="583"/>
      <c r="P746" s="583"/>
      <c r="Q746" s="588"/>
      <c r="R746" s="576"/>
      <c r="S746" s="576"/>
      <c r="T746" s="576"/>
      <c r="U746" s="576"/>
      <c r="V746" s="576"/>
      <c r="W746" s="576"/>
      <c r="X746" s="576"/>
      <c r="Y746" s="592"/>
      <c r="Z746" s="592"/>
      <c r="AA746" s="592"/>
      <c r="AB746" s="592"/>
      <c r="AC746" s="592"/>
      <c r="AD746" s="592"/>
      <c r="AE746" s="592"/>
      <c r="AF746" s="592"/>
      <c r="AG746" s="593"/>
      <c r="AH746" s="576"/>
    </row>
    <row r="747">
      <c r="A747" s="584"/>
      <c r="B747" s="575"/>
      <c r="C747" s="575"/>
      <c r="D747" s="578"/>
      <c r="E747" s="592"/>
      <c r="F747" s="576"/>
      <c r="G747" s="589"/>
      <c r="H747" s="589"/>
      <c r="I747" s="589"/>
      <c r="J747" s="589"/>
      <c r="K747" s="589"/>
      <c r="L747" s="589"/>
      <c r="M747" s="589"/>
      <c r="N747" s="589"/>
      <c r="O747" s="583"/>
      <c r="P747" s="583"/>
      <c r="Q747" s="588"/>
      <c r="R747" s="576"/>
      <c r="S747" s="576"/>
      <c r="T747" s="576"/>
      <c r="U747" s="576"/>
      <c r="V747" s="576"/>
      <c r="W747" s="576"/>
      <c r="X747" s="576"/>
      <c r="Y747" s="592"/>
      <c r="Z747" s="592"/>
      <c r="AA747" s="592"/>
      <c r="AB747" s="592"/>
      <c r="AC747" s="592"/>
      <c r="AD747" s="592"/>
      <c r="AE747" s="592"/>
      <c r="AF747" s="592"/>
      <c r="AG747" s="593"/>
      <c r="AH747" s="576"/>
    </row>
    <row r="748">
      <c r="A748" s="584"/>
      <c r="B748" s="575"/>
      <c r="C748" s="575"/>
      <c r="D748" s="578"/>
      <c r="E748" s="592"/>
      <c r="F748" s="576"/>
      <c r="G748" s="589"/>
      <c r="H748" s="589"/>
      <c r="I748" s="589"/>
      <c r="J748" s="589"/>
      <c r="K748" s="589"/>
      <c r="L748" s="589"/>
      <c r="M748" s="589"/>
      <c r="N748" s="589"/>
      <c r="O748" s="583"/>
      <c r="P748" s="583"/>
      <c r="Q748" s="588"/>
      <c r="R748" s="576"/>
      <c r="S748" s="576"/>
      <c r="T748" s="576"/>
      <c r="U748" s="576"/>
      <c r="V748" s="576"/>
      <c r="W748" s="576"/>
      <c r="X748" s="576"/>
      <c r="Y748" s="592"/>
      <c r="Z748" s="592"/>
      <c r="AA748" s="592"/>
      <c r="AB748" s="592"/>
      <c r="AC748" s="592"/>
      <c r="AD748" s="592"/>
      <c r="AE748" s="592"/>
      <c r="AF748" s="592"/>
      <c r="AG748" s="593"/>
      <c r="AH748" s="576"/>
    </row>
    <row r="749">
      <c r="A749" s="584"/>
      <c r="B749" s="575"/>
      <c r="C749" s="575"/>
      <c r="D749" s="578"/>
      <c r="E749" s="592"/>
      <c r="F749" s="576"/>
      <c r="G749" s="589"/>
      <c r="H749" s="589"/>
      <c r="I749" s="589"/>
      <c r="J749" s="589"/>
      <c r="K749" s="589"/>
      <c r="L749" s="589"/>
      <c r="M749" s="589"/>
      <c r="N749" s="589"/>
      <c r="O749" s="583"/>
      <c r="P749" s="583"/>
      <c r="Q749" s="588"/>
      <c r="R749" s="576"/>
      <c r="S749" s="576"/>
      <c r="T749" s="576"/>
      <c r="U749" s="576"/>
      <c r="V749" s="576"/>
      <c r="W749" s="576"/>
      <c r="X749" s="576"/>
      <c r="Y749" s="592"/>
      <c r="Z749" s="592"/>
      <c r="AA749" s="592"/>
      <c r="AB749" s="592"/>
      <c r="AC749" s="592"/>
      <c r="AD749" s="592"/>
      <c r="AE749" s="592"/>
      <c r="AF749" s="592"/>
      <c r="AG749" s="593"/>
      <c r="AH749" s="576"/>
    </row>
    <row r="750">
      <c r="A750" s="584"/>
      <c r="B750" s="575"/>
      <c r="C750" s="575"/>
      <c r="D750" s="578"/>
      <c r="E750" s="592"/>
      <c r="F750" s="576"/>
      <c r="G750" s="589"/>
      <c r="H750" s="589"/>
      <c r="I750" s="589"/>
      <c r="J750" s="589"/>
      <c r="K750" s="589"/>
      <c r="L750" s="589"/>
      <c r="M750" s="589"/>
      <c r="N750" s="589"/>
      <c r="O750" s="583"/>
      <c r="P750" s="583"/>
      <c r="Q750" s="588"/>
      <c r="R750" s="576"/>
      <c r="S750" s="576"/>
      <c r="T750" s="576"/>
      <c r="U750" s="576"/>
      <c r="V750" s="576"/>
      <c r="W750" s="576"/>
      <c r="X750" s="576"/>
      <c r="Y750" s="592"/>
      <c r="Z750" s="592"/>
      <c r="AA750" s="592"/>
      <c r="AB750" s="592"/>
      <c r="AC750" s="592"/>
      <c r="AD750" s="592"/>
      <c r="AE750" s="592"/>
      <c r="AF750" s="592"/>
      <c r="AG750" s="593"/>
      <c r="AH750" s="576"/>
    </row>
    <row r="751">
      <c r="A751" s="584"/>
      <c r="B751" s="575"/>
      <c r="C751" s="575"/>
      <c r="D751" s="578"/>
      <c r="E751" s="592"/>
      <c r="F751" s="576"/>
      <c r="G751" s="589"/>
      <c r="H751" s="589"/>
      <c r="I751" s="589"/>
      <c r="J751" s="589"/>
      <c r="K751" s="589"/>
      <c r="L751" s="589"/>
      <c r="M751" s="589"/>
      <c r="N751" s="589"/>
      <c r="O751" s="583"/>
      <c r="P751" s="583"/>
      <c r="Q751" s="588"/>
      <c r="R751" s="576"/>
      <c r="S751" s="576"/>
      <c r="T751" s="576"/>
      <c r="U751" s="576"/>
      <c r="V751" s="576"/>
      <c r="W751" s="576"/>
      <c r="X751" s="576"/>
      <c r="Y751" s="592"/>
      <c r="Z751" s="592"/>
      <c r="AA751" s="592"/>
      <c r="AB751" s="592"/>
      <c r="AC751" s="592"/>
      <c r="AD751" s="592"/>
      <c r="AE751" s="592"/>
      <c r="AF751" s="592"/>
      <c r="AG751" s="593"/>
      <c r="AH751" s="576"/>
    </row>
    <row r="752">
      <c r="A752" s="584"/>
      <c r="B752" s="575"/>
      <c r="C752" s="575"/>
      <c r="D752" s="578"/>
      <c r="E752" s="592"/>
      <c r="F752" s="576"/>
      <c r="G752" s="589"/>
      <c r="H752" s="589"/>
      <c r="I752" s="589"/>
      <c r="J752" s="589"/>
      <c r="K752" s="589"/>
      <c r="L752" s="589"/>
      <c r="M752" s="589"/>
      <c r="N752" s="589"/>
      <c r="O752" s="583"/>
      <c r="P752" s="583"/>
      <c r="Q752" s="588"/>
      <c r="R752" s="576"/>
      <c r="S752" s="576"/>
      <c r="T752" s="576"/>
      <c r="U752" s="576"/>
      <c r="V752" s="576"/>
      <c r="W752" s="576"/>
      <c r="X752" s="576"/>
      <c r="Y752" s="592"/>
      <c r="Z752" s="592"/>
      <c r="AA752" s="592"/>
      <c r="AB752" s="592"/>
      <c r="AC752" s="592"/>
      <c r="AD752" s="592"/>
      <c r="AE752" s="592"/>
      <c r="AF752" s="592"/>
      <c r="AG752" s="593"/>
      <c r="AH752" s="576"/>
    </row>
    <row r="753">
      <c r="A753" s="584"/>
      <c r="B753" s="575"/>
      <c r="C753" s="575"/>
      <c r="D753" s="578"/>
      <c r="E753" s="592"/>
      <c r="F753" s="576"/>
      <c r="G753" s="589"/>
      <c r="H753" s="589"/>
      <c r="I753" s="589"/>
      <c r="J753" s="589"/>
      <c r="K753" s="589"/>
      <c r="L753" s="589"/>
      <c r="M753" s="589"/>
      <c r="N753" s="589"/>
      <c r="O753" s="583"/>
      <c r="P753" s="583"/>
      <c r="Q753" s="588"/>
      <c r="R753" s="576"/>
      <c r="S753" s="576"/>
      <c r="T753" s="576"/>
      <c r="U753" s="576"/>
      <c r="V753" s="576"/>
      <c r="W753" s="576"/>
      <c r="X753" s="576"/>
      <c r="Y753" s="592"/>
      <c r="Z753" s="592"/>
      <c r="AA753" s="592"/>
      <c r="AB753" s="592"/>
      <c r="AC753" s="592"/>
      <c r="AD753" s="592"/>
      <c r="AE753" s="592"/>
      <c r="AF753" s="592"/>
      <c r="AG753" s="593"/>
      <c r="AH753" s="576"/>
    </row>
    <row r="754">
      <c r="A754" s="584"/>
      <c r="B754" s="575"/>
      <c r="C754" s="575"/>
      <c r="D754" s="578"/>
      <c r="E754" s="592"/>
      <c r="F754" s="576"/>
      <c r="G754" s="589"/>
      <c r="H754" s="589"/>
      <c r="I754" s="589"/>
      <c r="J754" s="589"/>
      <c r="K754" s="589"/>
      <c r="L754" s="589"/>
      <c r="M754" s="589"/>
      <c r="N754" s="589"/>
      <c r="O754" s="583"/>
      <c r="P754" s="583"/>
      <c r="Q754" s="588"/>
      <c r="R754" s="576"/>
      <c r="S754" s="576"/>
      <c r="T754" s="576"/>
      <c r="U754" s="576"/>
      <c r="V754" s="576"/>
      <c r="W754" s="576"/>
      <c r="X754" s="576"/>
      <c r="Y754" s="592"/>
      <c r="Z754" s="592"/>
      <c r="AA754" s="592"/>
      <c r="AB754" s="592"/>
      <c r="AC754" s="592"/>
      <c r="AD754" s="592"/>
      <c r="AE754" s="592"/>
      <c r="AF754" s="592"/>
      <c r="AG754" s="593"/>
      <c r="AH754" s="576"/>
    </row>
    <row r="755">
      <c r="A755" s="584"/>
      <c r="B755" s="575"/>
      <c r="C755" s="575"/>
      <c r="D755" s="578"/>
      <c r="E755" s="592"/>
      <c r="F755" s="576"/>
      <c r="G755" s="589"/>
      <c r="H755" s="589"/>
      <c r="I755" s="589"/>
      <c r="J755" s="589"/>
      <c r="K755" s="589"/>
      <c r="L755" s="589"/>
      <c r="M755" s="589"/>
      <c r="N755" s="589"/>
      <c r="O755" s="583"/>
      <c r="P755" s="583"/>
      <c r="Q755" s="588"/>
      <c r="R755" s="576"/>
      <c r="S755" s="576"/>
      <c r="T755" s="576"/>
      <c r="U755" s="576"/>
      <c r="V755" s="576"/>
      <c r="W755" s="576"/>
      <c r="X755" s="576"/>
      <c r="Y755" s="592"/>
      <c r="Z755" s="592"/>
      <c r="AA755" s="592"/>
      <c r="AB755" s="592"/>
      <c r="AC755" s="592"/>
      <c r="AD755" s="592"/>
      <c r="AE755" s="592"/>
      <c r="AF755" s="592"/>
      <c r="AG755" s="593"/>
      <c r="AH755" s="576"/>
    </row>
    <row r="756">
      <c r="A756" s="584"/>
      <c r="B756" s="575"/>
      <c r="C756" s="575"/>
      <c r="D756" s="578"/>
      <c r="E756" s="592"/>
      <c r="F756" s="576"/>
      <c r="G756" s="589"/>
      <c r="H756" s="589"/>
      <c r="I756" s="589"/>
      <c r="J756" s="589"/>
      <c r="K756" s="589"/>
      <c r="L756" s="589"/>
      <c r="M756" s="589"/>
      <c r="N756" s="589"/>
      <c r="O756" s="583"/>
      <c r="P756" s="583"/>
      <c r="Q756" s="588"/>
      <c r="R756" s="576"/>
      <c r="S756" s="576"/>
      <c r="T756" s="576"/>
      <c r="U756" s="576"/>
      <c r="V756" s="576"/>
      <c r="W756" s="576"/>
      <c r="X756" s="576"/>
      <c r="Y756" s="592"/>
      <c r="Z756" s="592"/>
      <c r="AA756" s="592"/>
      <c r="AB756" s="592"/>
      <c r="AC756" s="592"/>
      <c r="AD756" s="592"/>
      <c r="AE756" s="592"/>
      <c r="AF756" s="592"/>
      <c r="AG756" s="593"/>
      <c r="AH756" s="576"/>
    </row>
    <row r="757">
      <c r="A757" s="584"/>
      <c r="B757" s="575"/>
      <c r="C757" s="575"/>
      <c r="D757" s="578"/>
      <c r="E757" s="592"/>
      <c r="F757" s="576"/>
      <c r="G757" s="589"/>
      <c r="H757" s="589"/>
      <c r="I757" s="589"/>
      <c r="J757" s="589"/>
      <c r="K757" s="589"/>
      <c r="L757" s="589"/>
      <c r="M757" s="589"/>
      <c r="N757" s="589"/>
      <c r="O757" s="583"/>
      <c r="P757" s="583"/>
      <c r="Q757" s="588"/>
      <c r="R757" s="576"/>
      <c r="S757" s="576"/>
      <c r="T757" s="576"/>
      <c r="U757" s="576"/>
      <c r="V757" s="576"/>
      <c r="W757" s="576"/>
      <c r="X757" s="576"/>
      <c r="Y757" s="592"/>
      <c r="Z757" s="592"/>
      <c r="AA757" s="592"/>
      <c r="AB757" s="592"/>
      <c r="AC757" s="592"/>
      <c r="AD757" s="592"/>
      <c r="AE757" s="592"/>
      <c r="AF757" s="592"/>
      <c r="AG757" s="593"/>
      <c r="AH757" s="576"/>
    </row>
    <row r="758">
      <c r="A758" s="584"/>
      <c r="B758" s="575"/>
      <c r="C758" s="575"/>
      <c r="D758" s="578"/>
      <c r="E758" s="592"/>
      <c r="F758" s="576"/>
      <c r="G758" s="589"/>
      <c r="H758" s="589"/>
      <c r="I758" s="589"/>
      <c r="J758" s="589"/>
      <c r="K758" s="589"/>
      <c r="L758" s="589"/>
      <c r="M758" s="589"/>
      <c r="N758" s="589"/>
      <c r="O758" s="583"/>
      <c r="P758" s="583"/>
      <c r="Q758" s="588"/>
      <c r="R758" s="576"/>
      <c r="S758" s="576"/>
      <c r="T758" s="576"/>
      <c r="U758" s="576"/>
      <c r="V758" s="576"/>
      <c r="W758" s="576"/>
      <c r="X758" s="576"/>
      <c r="Y758" s="592"/>
      <c r="Z758" s="592"/>
      <c r="AA758" s="592"/>
      <c r="AB758" s="592"/>
      <c r="AC758" s="592"/>
      <c r="AD758" s="592"/>
      <c r="AE758" s="592"/>
      <c r="AF758" s="592"/>
      <c r="AG758" s="593"/>
      <c r="AH758" s="576"/>
    </row>
    <row r="759">
      <c r="A759" s="584"/>
      <c r="B759" s="575"/>
      <c r="C759" s="575"/>
      <c r="D759" s="578"/>
      <c r="E759" s="592"/>
      <c r="F759" s="576"/>
      <c r="G759" s="589"/>
      <c r="H759" s="589"/>
      <c r="I759" s="589"/>
      <c r="J759" s="589"/>
      <c r="K759" s="589"/>
      <c r="L759" s="589"/>
      <c r="M759" s="589"/>
      <c r="N759" s="589"/>
      <c r="O759" s="583"/>
      <c r="P759" s="583"/>
      <c r="Q759" s="588"/>
      <c r="R759" s="576"/>
      <c r="S759" s="576"/>
      <c r="T759" s="576"/>
      <c r="U759" s="576"/>
      <c r="V759" s="576"/>
      <c r="W759" s="576"/>
      <c r="X759" s="576"/>
      <c r="Y759" s="592"/>
      <c r="Z759" s="592"/>
      <c r="AA759" s="592"/>
      <c r="AB759" s="592"/>
      <c r="AC759" s="592"/>
      <c r="AD759" s="592"/>
      <c r="AE759" s="592"/>
      <c r="AF759" s="592"/>
      <c r="AG759" s="593"/>
      <c r="AH759" s="576"/>
    </row>
    <row r="760">
      <c r="A760" s="584"/>
      <c r="B760" s="575"/>
      <c r="C760" s="575"/>
      <c r="D760" s="578"/>
      <c r="E760" s="592"/>
      <c r="F760" s="576"/>
      <c r="G760" s="589"/>
      <c r="H760" s="589"/>
      <c r="I760" s="589"/>
      <c r="J760" s="589"/>
      <c r="K760" s="589"/>
      <c r="L760" s="589"/>
      <c r="M760" s="589"/>
      <c r="N760" s="589"/>
      <c r="O760" s="583"/>
      <c r="P760" s="583"/>
      <c r="Q760" s="588"/>
      <c r="R760" s="576"/>
      <c r="S760" s="576"/>
      <c r="T760" s="576"/>
      <c r="U760" s="576"/>
      <c r="V760" s="576"/>
      <c r="W760" s="576"/>
      <c r="X760" s="576"/>
      <c r="Y760" s="592"/>
      <c r="Z760" s="592"/>
      <c r="AA760" s="592"/>
      <c r="AB760" s="592"/>
      <c r="AC760" s="592"/>
      <c r="AD760" s="592"/>
      <c r="AE760" s="592"/>
      <c r="AF760" s="592"/>
      <c r="AG760" s="593"/>
      <c r="AH760" s="576"/>
    </row>
    <row r="761">
      <c r="A761" s="584"/>
      <c r="B761" s="575"/>
      <c r="C761" s="575"/>
      <c r="D761" s="578"/>
      <c r="E761" s="592"/>
      <c r="F761" s="576"/>
      <c r="G761" s="589"/>
      <c r="H761" s="589"/>
      <c r="I761" s="589"/>
      <c r="J761" s="589"/>
      <c r="K761" s="589"/>
      <c r="L761" s="589"/>
      <c r="M761" s="589"/>
      <c r="N761" s="589"/>
      <c r="O761" s="583"/>
      <c r="P761" s="583"/>
      <c r="Q761" s="588"/>
      <c r="R761" s="576"/>
      <c r="S761" s="576"/>
      <c r="T761" s="576"/>
      <c r="U761" s="576"/>
      <c r="V761" s="576"/>
      <c r="W761" s="576"/>
      <c r="X761" s="576"/>
      <c r="Y761" s="592"/>
      <c r="Z761" s="592"/>
      <c r="AA761" s="592"/>
      <c r="AB761" s="592"/>
      <c r="AC761" s="592"/>
      <c r="AD761" s="592"/>
      <c r="AE761" s="592"/>
      <c r="AF761" s="592"/>
      <c r="AG761" s="593"/>
      <c r="AH761" s="576"/>
    </row>
    <row r="762">
      <c r="A762" s="584"/>
      <c r="B762" s="575"/>
      <c r="C762" s="575"/>
      <c r="D762" s="578"/>
      <c r="E762" s="592"/>
      <c r="F762" s="576"/>
      <c r="G762" s="589"/>
      <c r="H762" s="589"/>
      <c r="I762" s="589"/>
      <c r="J762" s="589"/>
      <c r="K762" s="589"/>
      <c r="L762" s="589"/>
      <c r="M762" s="589"/>
      <c r="N762" s="589"/>
      <c r="O762" s="583"/>
      <c r="P762" s="583"/>
      <c r="Q762" s="588"/>
      <c r="R762" s="576"/>
      <c r="S762" s="576"/>
      <c r="T762" s="576"/>
      <c r="U762" s="576"/>
      <c r="V762" s="576"/>
      <c r="W762" s="576"/>
      <c r="X762" s="576"/>
      <c r="Y762" s="592"/>
      <c r="Z762" s="592"/>
      <c r="AA762" s="592"/>
      <c r="AB762" s="592"/>
      <c r="AC762" s="592"/>
      <c r="AD762" s="592"/>
      <c r="AE762" s="592"/>
      <c r="AF762" s="592"/>
      <c r="AG762" s="593"/>
      <c r="AH762" s="576"/>
    </row>
    <row r="763">
      <c r="A763" s="584"/>
      <c r="B763" s="575"/>
      <c r="C763" s="575"/>
      <c r="D763" s="578"/>
      <c r="E763" s="592"/>
      <c r="F763" s="576"/>
      <c r="G763" s="589"/>
      <c r="H763" s="589"/>
      <c r="I763" s="589"/>
      <c r="J763" s="589"/>
      <c r="K763" s="589"/>
      <c r="L763" s="589"/>
      <c r="M763" s="589"/>
      <c r="N763" s="589"/>
      <c r="O763" s="583"/>
      <c r="P763" s="583"/>
      <c r="Q763" s="588"/>
      <c r="R763" s="576"/>
      <c r="S763" s="576"/>
      <c r="T763" s="576"/>
      <c r="U763" s="576"/>
      <c r="V763" s="576"/>
      <c r="W763" s="576"/>
      <c r="X763" s="576"/>
      <c r="Y763" s="592"/>
      <c r="Z763" s="592"/>
      <c r="AA763" s="592"/>
      <c r="AB763" s="592"/>
      <c r="AC763" s="592"/>
      <c r="AD763" s="592"/>
      <c r="AE763" s="592"/>
      <c r="AF763" s="592"/>
      <c r="AG763" s="593"/>
      <c r="AH763" s="576"/>
    </row>
    <row r="764">
      <c r="A764" s="584"/>
      <c r="B764" s="575"/>
      <c r="C764" s="575"/>
      <c r="D764" s="578"/>
      <c r="E764" s="592"/>
      <c r="F764" s="576"/>
      <c r="G764" s="589"/>
      <c r="H764" s="589"/>
      <c r="I764" s="589"/>
      <c r="J764" s="589"/>
      <c r="K764" s="589"/>
      <c r="L764" s="589"/>
      <c r="M764" s="589"/>
      <c r="N764" s="589"/>
      <c r="O764" s="583"/>
      <c r="P764" s="583"/>
      <c r="Q764" s="588"/>
      <c r="R764" s="576"/>
      <c r="S764" s="576"/>
      <c r="T764" s="576"/>
      <c r="U764" s="576"/>
      <c r="V764" s="576"/>
      <c r="W764" s="576"/>
      <c r="X764" s="576"/>
      <c r="Y764" s="592"/>
      <c r="Z764" s="592"/>
      <c r="AA764" s="592"/>
      <c r="AB764" s="592"/>
      <c r="AC764" s="592"/>
      <c r="AD764" s="592"/>
      <c r="AE764" s="592"/>
      <c r="AF764" s="592"/>
      <c r="AG764" s="593"/>
      <c r="AH764" s="576"/>
    </row>
    <row r="765">
      <c r="A765" s="584"/>
      <c r="B765" s="575"/>
      <c r="C765" s="575"/>
      <c r="D765" s="578"/>
      <c r="E765" s="592"/>
      <c r="F765" s="576"/>
      <c r="G765" s="589"/>
      <c r="H765" s="589"/>
      <c r="I765" s="589"/>
      <c r="J765" s="589"/>
      <c r="K765" s="589"/>
      <c r="L765" s="589"/>
      <c r="M765" s="589"/>
      <c r="N765" s="589"/>
      <c r="O765" s="583"/>
      <c r="P765" s="583"/>
      <c r="Q765" s="588"/>
      <c r="R765" s="576"/>
      <c r="S765" s="576"/>
      <c r="T765" s="576"/>
      <c r="U765" s="576"/>
      <c r="V765" s="576"/>
      <c r="W765" s="576"/>
      <c r="X765" s="576"/>
      <c r="Y765" s="592"/>
      <c r="Z765" s="592"/>
      <c r="AA765" s="592"/>
      <c r="AB765" s="592"/>
      <c r="AC765" s="592"/>
      <c r="AD765" s="592"/>
      <c r="AE765" s="592"/>
      <c r="AF765" s="592"/>
      <c r="AG765" s="593"/>
      <c r="AH765" s="576"/>
    </row>
    <row r="766">
      <c r="A766" s="584"/>
      <c r="B766" s="575"/>
      <c r="C766" s="575"/>
      <c r="D766" s="578"/>
      <c r="E766" s="592"/>
      <c r="F766" s="576"/>
      <c r="G766" s="589"/>
      <c r="H766" s="589"/>
      <c r="I766" s="589"/>
      <c r="J766" s="589"/>
      <c r="K766" s="589"/>
      <c r="L766" s="589"/>
      <c r="M766" s="589"/>
      <c r="N766" s="589"/>
      <c r="O766" s="583"/>
      <c r="P766" s="583"/>
      <c r="Q766" s="588"/>
      <c r="R766" s="576"/>
      <c r="S766" s="576"/>
      <c r="T766" s="576"/>
      <c r="U766" s="576"/>
      <c r="V766" s="576"/>
      <c r="W766" s="576"/>
      <c r="X766" s="576"/>
      <c r="Y766" s="592"/>
      <c r="Z766" s="592"/>
      <c r="AA766" s="592"/>
      <c r="AB766" s="592"/>
      <c r="AC766" s="592"/>
      <c r="AD766" s="592"/>
      <c r="AE766" s="592"/>
      <c r="AF766" s="592"/>
      <c r="AG766" s="593"/>
      <c r="AH766" s="576"/>
    </row>
    <row r="767">
      <c r="A767" s="584"/>
      <c r="B767" s="575"/>
      <c r="C767" s="575"/>
      <c r="D767" s="578"/>
      <c r="E767" s="592"/>
      <c r="F767" s="576"/>
      <c r="G767" s="589"/>
      <c r="H767" s="589"/>
      <c r="I767" s="589"/>
      <c r="J767" s="589"/>
      <c r="K767" s="589"/>
      <c r="L767" s="589"/>
      <c r="M767" s="589"/>
      <c r="N767" s="589"/>
      <c r="O767" s="583"/>
      <c r="P767" s="583"/>
      <c r="Q767" s="588"/>
      <c r="R767" s="576"/>
      <c r="S767" s="576"/>
      <c r="T767" s="576"/>
      <c r="U767" s="576"/>
      <c r="V767" s="576"/>
      <c r="W767" s="576"/>
      <c r="X767" s="576"/>
      <c r="Y767" s="592"/>
      <c r="Z767" s="592"/>
      <c r="AA767" s="592"/>
      <c r="AB767" s="592"/>
      <c r="AC767" s="592"/>
      <c r="AD767" s="592"/>
      <c r="AE767" s="592"/>
      <c r="AF767" s="592"/>
      <c r="AG767" s="593"/>
      <c r="AH767" s="576"/>
    </row>
    <row r="768">
      <c r="A768" s="584"/>
      <c r="B768" s="575"/>
      <c r="C768" s="575"/>
      <c r="D768" s="578"/>
      <c r="E768" s="592"/>
      <c r="F768" s="576"/>
      <c r="G768" s="589"/>
      <c r="H768" s="589"/>
      <c r="I768" s="589"/>
      <c r="J768" s="589"/>
      <c r="K768" s="589"/>
      <c r="L768" s="589"/>
      <c r="M768" s="589"/>
      <c r="N768" s="589"/>
      <c r="O768" s="583"/>
      <c r="P768" s="583"/>
      <c r="Q768" s="588"/>
      <c r="R768" s="576"/>
      <c r="S768" s="576"/>
      <c r="T768" s="576"/>
      <c r="U768" s="576"/>
      <c r="V768" s="576"/>
      <c r="W768" s="576"/>
      <c r="X768" s="576"/>
      <c r="Y768" s="592"/>
      <c r="Z768" s="592"/>
      <c r="AA768" s="592"/>
      <c r="AB768" s="592"/>
      <c r="AC768" s="592"/>
      <c r="AD768" s="592"/>
      <c r="AE768" s="592"/>
      <c r="AF768" s="592"/>
      <c r="AG768" s="593"/>
      <c r="AH768" s="576"/>
    </row>
    <row r="769">
      <c r="A769" s="584"/>
      <c r="B769" s="575"/>
      <c r="C769" s="575"/>
      <c r="D769" s="578"/>
      <c r="E769" s="592"/>
      <c r="F769" s="576"/>
      <c r="G769" s="589"/>
      <c r="H769" s="589"/>
      <c r="I769" s="589"/>
      <c r="J769" s="589"/>
      <c r="K769" s="589"/>
      <c r="L769" s="589"/>
      <c r="M769" s="589"/>
      <c r="N769" s="589"/>
      <c r="O769" s="583"/>
      <c r="P769" s="583"/>
      <c r="Q769" s="588"/>
      <c r="R769" s="576"/>
      <c r="S769" s="576"/>
      <c r="T769" s="576"/>
      <c r="U769" s="576"/>
      <c r="V769" s="576"/>
      <c r="W769" s="576"/>
      <c r="X769" s="576"/>
      <c r="Y769" s="592"/>
      <c r="Z769" s="592"/>
      <c r="AA769" s="592"/>
      <c r="AB769" s="592"/>
      <c r="AC769" s="592"/>
      <c r="AD769" s="592"/>
      <c r="AE769" s="592"/>
      <c r="AF769" s="592"/>
      <c r="AG769" s="593"/>
      <c r="AH769" s="576"/>
    </row>
    <row r="770">
      <c r="A770" s="584"/>
      <c r="B770" s="575"/>
      <c r="C770" s="575"/>
      <c r="D770" s="578"/>
      <c r="E770" s="592"/>
      <c r="F770" s="576"/>
      <c r="G770" s="589"/>
      <c r="H770" s="589"/>
      <c r="I770" s="589"/>
      <c r="J770" s="589"/>
      <c r="K770" s="589"/>
      <c r="L770" s="589"/>
      <c r="M770" s="589"/>
      <c r="N770" s="589"/>
      <c r="O770" s="583"/>
      <c r="P770" s="583"/>
      <c r="Q770" s="588"/>
      <c r="R770" s="576"/>
      <c r="S770" s="576"/>
      <c r="T770" s="576"/>
      <c r="U770" s="576"/>
      <c r="V770" s="576"/>
      <c r="W770" s="576"/>
      <c r="X770" s="576"/>
      <c r="Y770" s="592"/>
      <c r="Z770" s="592"/>
      <c r="AA770" s="592"/>
      <c r="AB770" s="592"/>
      <c r="AC770" s="592"/>
      <c r="AD770" s="592"/>
      <c r="AE770" s="592"/>
      <c r="AF770" s="592"/>
      <c r="AG770" s="593"/>
      <c r="AH770" s="576"/>
    </row>
    <row r="771">
      <c r="A771" s="584"/>
      <c r="B771" s="575"/>
      <c r="C771" s="575"/>
      <c r="D771" s="578"/>
      <c r="E771" s="592"/>
      <c r="F771" s="576"/>
      <c r="G771" s="589"/>
      <c r="H771" s="589"/>
      <c r="I771" s="589"/>
      <c r="J771" s="589"/>
      <c r="K771" s="589"/>
      <c r="L771" s="589"/>
      <c r="M771" s="589"/>
      <c r="N771" s="589"/>
      <c r="O771" s="583"/>
      <c r="P771" s="583"/>
      <c r="Q771" s="588"/>
      <c r="R771" s="576"/>
      <c r="S771" s="576"/>
      <c r="T771" s="576"/>
      <c r="U771" s="576"/>
      <c r="V771" s="576"/>
      <c r="W771" s="576"/>
      <c r="X771" s="576"/>
      <c r="Y771" s="592"/>
      <c r="Z771" s="592"/>
      <c r="AA771" s="592"/>
      <c r="AB771" s="592"/>
      <c r="AC771" s="592"/>
      <c r="AD771" s="592"/>
      <c r="AE771" s="592"/>
      <c r="AF771" s="592"/>
      <c r="AG771" s="593"/>
      <c r="AH771" s="576"/>
    </row>
    <row r="772">
      <c r="A772" s="584"/>
      <c r="B772" s="575"/>
      <c r="C772" s="575"/>
      <c r="D772" s="578"/>
      <c r="E772" s="592"/>
      <c r="F772" s="576"/>
      <c r="G772" s="589"/>
      <c r="H772" s="589"/>
      <c r="I772" s="589"/>
      <c r="J772" s="589"/>
      <c r="K772" s="589"/>
      <c r="L772" s="589"/>
      <c r="M772" s="589"/>
      <c r="N772" s="589"/>
      <c r="O772" s="583"/>
      <c r="P772" s="583"/>
      <c r="Q772" s="588"/>
      <c r="R772" s="576"/>
      <c r="S772" s="576"/>
      <c r="T772" s="576"/>
      <c r="U772" s="576"/>
      <c r="V772" s="576"/>
      <c r="W772" s="576"/>
      <c r="X772" s="576"/>
      <c r="Y772" s="592"/>
      <c r="Z772" s="592"/>
      <c r="AA772" s="592"/>
      <c r="AB772" s="592"/>
      <c r="AC772" s="592"/>
      <c r="AD772" s="592"/>
      <c r="AE772" s="592"/>
      <c r="AF772" s="592"/>
      <c r="AG772" s="593"/>
      <c r="AH772" s="576"/>
    </row>
    <row r="773">
      <c r="A773" s="584"/>
      <c r="B773" s="575"/>
      <c r="C773" s="575"/>
      <c r="D773" s="578"/>
      <c r="E773" s="592"/>
      <c r="F773" s="576"/>
      <c r="G773" s="589"/>
      <c r="H773" s="589"/>
      <c r="I773" s="589"/>
      <c r="J773" s="589"/>
      <c r="K773" s="589"/>
      <c r="L773" s="589"/>
      <c r="M773" s="589"/>
      <c r="N773" s="589"/>
      <c r="O773" s="583"/>
      <c r="P773" s="583"/>
      <c r="Q773" s="588"/>
      <c r="R773" s="576"/>
      <c r="S773" s="576"/>
      <c r="T773" s="576"/>
      <c r="U773" s="576"/>
      <c r="V773" s="576"/>
      <c r="W773" s="576"/>
      <c r="X773" s="576"/>
      <c r="Y773" s="592"/>
      <c r="Z773" s="592"/>
      <c r="AA773" s="592"/>
      <c r="AB773" s="592"/>
      <c r="AC773" s="592"/>
      <c r="AD773" s="592"/>
      <c r="AE773" s="592"/>
      <c r="AF773" s="592"/>
      <c r="AG773" s="593"/>
      <c r="AH773" s="576"/>
    </row>
    <row r="774">
      <c r="A774" s="584"/>
      <c r="B774" s="575"/>
      <c r="C774" s="575"/>
      <c r="D774" s="578"/>
      <c r="E774" s="592"/>
      <c r="F774" s="576"/>
      <c r="G774" s="589"/>
      <c r="H774" s="589"/>
      <c r="I774" s="589"/>
      <c r="J774" s="589"/>
      <c r="K774" s="589"/>
      <c r="L774" s="589"/>
      <c r="M774" s="589"/>
      <c r="N774" s="589"/>
      <c r="O774" s="583"/>
      <c r="P774" s="583"/>
      <c r="Q774" s="588"/>
      <c r="R774" s="576"/>
      <c r="S774" s="576"/>
      <c r="T774" s="576"/>
      <c r="U774" s="576"/>
      <c r="V774" s="576"/>
      <c r="W774" s="576"/>
      <c r="X774" s="576"/>
      <c r="Y774" s="592"/>
      <c r="Z774" s="592"/>
      <c r="AA774" s="592"/>
      <c r="AB774" s="592"/>
      <c r="AC774" s="592"/>
      <c r="AD774" s="592"/>
      <c r="AE774" s="592"/>
      <c r="AF774" s="592"/>
      <c r="AG774" s="593"/>
      <c r="AH774" s="576"/>
    </row>
    <row r="775">
      <c r="A775" s="584"/>
      <c r="B775" s="575"/>
      <c r="C775" s="575"/>
      <c r="D775" s="578"/>
      <c r="E775" s="592"/>
      <c r="F775" s="576"/>
      <c r="G775" s="589"/>
      <c r="H775" s="589"/>
      <c r="I775" s="589"/>
      <c r="J775" s="589"/>
      <c r="K775" s="589"/>
      <c r="L775" s="589"/>
      <c r="M775" s="589"/>
      <c r="N775" s="589"/>
      <c r="O775" s="583"/>
      <c r="P775" s="583"/>
      <c r="Q775" s="588"/>
      <c r="R775" s="576"/>
      <c r="S775" s="576"/>
      <c r="T775" s="576"/>
      <c r="U775" s="576"/>
      <c r="V775" s="576"/>
      <c r="W775" s="576"/>
      <c r="X775" s="576"/>
      <c r="Y775" s="592"/>
      <c r="Z775" s="592"/>
      <c r="AA775" s="592"/>
      <c r="AB775" s="592"/>
      <c r="AC775" s="592"/>
      <c r="AD775" s="592"/>
      <c r="AE775" s="592"/>
      <c r="AF775" s="592"/>
      <c r="AG775" s="593"/>
      <c r="AH775" s="576"/>
    </row>
    <row r="776">
      <c r="A776" s="584"/>
      <c r="B776" s="575"/>
      <c r="C776" s="575"/>
      <c r="D776" s="578"/>
      <c r="E776" s="592"/>
      <c r="F776" s="576"/>
      <c r="G776" s="589"/>
      <c r="H776" s="589"/>
      <c r="I776" s="589"/>
      <c r="J776" s="589"/>
      <c r="K776" s="589"/>
      <c r="L776" s="589"/>
      <c r="M776" s="589"/>
      <c r="N776" s="589"/>
      <c r="O776" s="583"/>
      <c r="P776" s="583"/>
      <c r="Q776" s="588"/>
      <c r="R776" s="576"/>
      <c r="S776" s="576"/>
      <c r="T776" s="576"/>
      <c r="U776" s="576"/>
      <c r="V776" s="576"/>
      <c r="W776" s="576"/>
      <c r="X776" s="576"/>
      <c r="Y776" s="592"/>
      <c r="Z776" s="592"/>
      <c r="AA776" s="592"/>
      <c r="AB776" s="592"/>
      <c r="AC776" s="592"/>
      <c r="AD776" s="592"/>
      <c r="AE776" s="592"/>
      <c r="AF776" s="592"/>
      <c r="AG776" s="593"/>
      <c r="AH776" s="576"/>
    </row>
    <row r="777">
      <c r="A777" s="584"/>
      <c r="B777" s="575"/>
      <c r="C777" s="575"/>
      <c r="D777" s="578"/>
      <c r="E777" s="592"/>
      <c r="F777" s="576"/>
      <c r="G777" s="589"/>
      <c r="H777" s="589"/>
      <c r="I777" s="589"/>
      <c r="J777" s="589"/>
      <c r="K777" s="589"/>
      <c r="L777" s="589"/>
      <c r="M777" s="589"/>
      <c r="N777" s="589"/>
      <c r="O777" s="583"/>
      <c r="P777" s="583"/>
      <c r="Q777" s="588"/>
      <c r="R777" s="576"/>
      <c r="S777" s="576"/>
      <c r="T777" s="576"/>
      <c r="U777" s="576"/>
      <c r="V777" s="576"/>
      <c r="W777" s="576"/>
      <c r="X777" s="576"/>
      <c r="Y777" s="592"/>
      <c r="Z777" s="592"/>
      <c r="AA777" s="592"/>
      <c r="AB777" s="592"/>
      <c r="AC777" s="592"/>
      <c r="AD777" s="592"/>
      <c r="AE777" s="592"/>
      <c r="AF777" s="592"/>
      <c r="AG777" s="593"/>
      <c r="AH777" s="576"/>
    </row>
    <row r="778">
      <c r="A778" s="584"/>
      <c r="B778" s="575"/>
      <c r="C778" s="575"/>
      <c r="D778" s="578"/>
      <c r="E778" s="592"/>
      <c r="F778" s="576"/>
      <c r="G778" s="589"/>
      <c r="H778" s="589"/>
      <c r="I778" s="589"/>
      <c r="J778" s="589"/>
      <c r="K778" s="589"/>
      <c r="L778" s="589"/>
      <c r="M778" s="589"/>
      <c r="N778" s="589"/>
      <c r="O778" s="583"/>
      <c r="P778" s="583"/>
      <c r="Q778" s="588"/>
      <c r="R778" s="576"/>
      <c r="S778" s="576"/>
      <c r="T778" s="576"/>
      <c r="U778" s="576"/>
      <c r="V778" s="576"/>
      <c r="W778" s="576"/>
      <c r="X778" s="576"/>
      <c r="Y778" s="592"/>
      <c r="Z778" s="592"/>
      <c r="AA778" s="592"/>
      <c r="AB778" s="592"/>
      <c r="AC778" s="592"/>
      <c r="AD778" s="592"/>
      <c r="AE778" s="592"/>
      <c r="AF778" s="592"/>
      <c r="AG778" s="593"/>
      <c r="AH778" s="576"/>
    </row>
    <row r="779">
      <c r="A779" s="584"/>
      <c r="B779" s="575"/>
      <c r="C779" s="575"/>
      <c r="D779" s="578"/>
      <c r="E779" s="592"/>
      <c r="F779" s="576"/>
      <c r="G779" s="589"/>
      <c r="H779" s="589"/>
      <c r="I779" s="589"/>
      <c r="J779" s="589"/>
      <c r="K779" s="589"/>
      <c r="L779" s="589"/>
      <c r="M779" s="589"/>
      <c r="N779" s="589"/>
      <c r="O779" s="583"/>
      <c r="P779" s="583"/>
      <c r="Q779" s="588"/>
      <c r="R779" s="576"/>
      <c r="S779" s="576"/>
      <c r="T779" s="576"/>
      <c r="U779" s="576"/>
      <c r="V779" s="576"/>
      <c r="W779" s="576"/>
      <c r="X779" s="576"/>
      <c r="Y779" s="592"/>
      <c r="Z779" s="592"/>
      <c r="AA779" s="592"/>
      <c r="AB779" s="592"/>
      <c r="AC779" s="592"/>
      <c r="AD779" s="592"/>
      <c r="AE779" s="592"/>
      <c r="AF779" s="592"/>
      <c r="AG779" s="593"/>
      <c r="AH779" s="576"/>
    </row>
    <row r="780">
      <c r="A780" s="584"/>
      <c r="B780" s="575"/>
      <c r="C780" s="575"/>
      <c r="D780" s="578"/>
      <c r="E780" s="592"/>
      <c r="F780" s="576"/>
      <c r="G780" s="589"/>
      <c r="H780" s="589"/>
      <c r="I780" s="589"/>
      <c r="J780" s="589"/>
      <c r="K780" s="589"/>
      <c r="L780" s="589"/>
      <c r="M780" s="589"/>
      <c r="N780" s="589"/>
      <c r="O780" s="583"/>
      <c r="P780" s="583"/>
      <c r="Q780" s="588"/>
      <c r="R780" s="576"/>
      <c r="S780" s="576"/>
      <c r="T780" s="576"/>
      <c r="U780" s="576"/>
      <c r="V780" s="576"/>
      <c r="W780" s="576"/>
      <c r="X780" s="576"/>
      <c r="Y780" s="592"/>
      <c r="Z780" s="592"/>
      <c r="AA780" s="592"/>
      <c r="AB780" s="592"/>
      <c r="AC780" s="592"/>
      <c r="AD780" s="592"/>
      <c r="AE780" s="592"/>
      <c r="AF780" s="592"/>
      <c r="AG780" s="593"/>
      <c r="AH780" s="576"/>
    </row>
    <row r="781">
      <c r="A781" s="584"/>
      <c r="B781" s="575"/>
      <c r="C781" s="575"/>
      <c r="D781" s="578"/>
      <c r="E781" s="592"/>
      <c r="F781" s="576"/>
      <c r="G781" s="589"/>
      <c r="H781" s="589"/>
      <c r="I781" s="589"/>
      <c r="J781" s="589"/>
      <c r="K781" s="589"/>
      <c r="L781" s="589"/>
      <c r="M781" s="589"/>
      <c r="N781" s="589"/>
      <c r="O781" s="583"/>
      <c r="P781" s="583"/>
      <c r="Q781" s="588"/>
      <c r="R781" s="576"/>
      <c r="S781" s="576"/>
      <c r="T781" s="576"/>
      <c r="U781" s="576"/>
      <c r="V781" s="576"/>
      <c r="W781" s="576"/>
      <c r="X781" s="576"/>
      <c r="Y781" s="592"/>
      <c r="Z781" s="592"/>
      <c r="AA781" s="592"/>
      <c r="AB781" s="592"/>
      <c r="AC781" s="592"/>
      <c r="AD781" s="592"/>
      <c r="AE781" s="592"/>
      <c r="AF781" s="592"/>
      <c r="AG781" s="593"/>
      <c r="AH781" s="576"/>
    </row>
    <row r="782">
      <c r="A782" s="584"/>
      <c r="B782" s="575"/>
      <c r="C782" s="575"/>
      <c r="D782" s="578"/>
      <c r="E782" s="592"/>
      <c r="F782" s="576"/>
      <c r="G782" s="589"/>
      <c r="H782" s="589"/>
      <c r="I782" s="589"/>
      <c r="J782" s="589"/>
      <c r="K782" s="589"/>
      <c r="L782" s="589"/>
      <c r="M782" s="589"/>
      <c r="N782" s="589"/>
      <c r="O782" s="583"/>
      <c r="P782" s="583"/>
      <c r="Q782" s="588"/>
      <c r="R782" s="576"/>
      <c r="S782" s="576"/>
      <c r="T782" s="576"/>
      <c r="U782" s="576"/>
      <c r="V782" s="576"/>
      <c r="W782" s="576"/>
      <c r="X782" s="576"/>
      <c r="Y782" s="592"/>
      <c r="Z782" s="592"/>
      <c r="AA782" s="592"/>
      <c r="AB782" s="592"/>
      <c r="AC782" s="592"/>
      <c r="AD782" s="592"/>
      <c r="AE782" s="592"/>
      <c r="AF782" s="592"/>
      <c r="AG782" s="593"/>
      <c r="AH782" s="576"/>
    </row>
    <row r="783">
      <c r="A783" s="584"/>
      <c r="B783" s="575"/>
      <c r="C783" s="575"/>
      <c r="D783" s="578"/>
      <c r="E783" s="592"/>
      <c r="F783" s="576"/>
      <c r="G783" s="589"/>
      <c r="H783" s="589"/>
      <c r="I783" s="589"/>
      <c r="J783" s="589"/>
      <c r="K783" s="589"/>
      <c r="L783" s="589"/>
      <c r="M783" s="589"/>
      <c r="N783" s="589"/>
      <c r="O783" s="583"/>
      <c r="P783" s="583"/>
      <c r="Q783" s="588"/>
      <c r="R783" s="576"/>
      <c r="S783" s="576"/>
      <c r="T783" s="576"/>
      <c r="U783" s="576"/>
      <c r="V783" s="576"/>
      <c r="W783" s="576"/>
      <c r="X783" s="576"/>
      <c r="Y783" s="592"/>
      <c r="Z783" s="592"/>
      <c r="AA783" s="592"/>
      <c r="AB783" s="592"/>
      <c r="AC783" s="592"/>
      <c r="AD783" s="592"/>
      <c r="AE783" s="592"/>
      <c r="AF783" s="592"/>
      <c r="AG783" s="593"/>
      <c r="AH783" s="576"/>
    </row>
    <row r="784">
      <c r="A784" s="584"/>
      <c r="B784" s="575"/>
      <c r="C784" s="575"/>
      <c r="D784" s="578"/>
      <c r="E784" s="592"/>
      <c r="F784" s="576"/>
      <c r="G784" s="589"/>
      <c r="H784" s="589"/>
      <c r="I784" s="589"/>
      <c r="J784" s="589"/>
      <c r="K784" s="589"/>
      <c r="L784" s="589"/>
      <c r="M784" s="589"/>
      <c r="N784" s="589"/>
      <c r="O784" s="583"/>
      <c r="P784" s="583"/>
      <c r="Q784" s="588"/>
      <c r="R784" s="576"/>
      <c r="S784" s="576"/>
      <c r="T784" s="576"/>
      <c r="U784" s="576"/>
      <c r="V784" s="576"/>
      <c r="W784" s="576"/>
      <c r="X784" s="576"/>
      <c r="Y784" s="592"/>
      <c r="Z784" s="592"/>
      <c r="AA784" s="592"/>
      <c r="AB784" s="592"/>
      <c r="AC784" s="592"/>
      <c r="AD784" s="592"/>
      <c r="AE784" s="592"/>
      <c r="AF784" s="592"/>
      <c r="AG784" s="593"/>
      <c r="AH784" s="576"/>
    </row>
    <row r="785">
      <c r="A785" s="584"/>
      <c r="B785" s="575"/>
      <c r="C785" s="575"/>
      <c r="D785" s="578"/>
      <c r="E785" s="592"/>
      <c r="F785" s="576"/>
      <c r="G785" s="589"/>
      <c r="H785" s="589"/>
      <c r="I785" s="589"/>
      <c r="J785" s="589"/>
      <c r="K785" s="589"/>
      <c r="L785" s="589"/>
      <c r="M785" s="589"/>
      <c r="N785" s="589"/>
      <c r="O785" s="583"/>
      <c r="P785" s="583"/>
      <c r="Q785" s="588"/>
      <c r="R785" s="576"/>
      <c r="S785" s="576"/>
      <c r="T785" s="576"/>
      <c r="U785" s="576"/>
      <c r="V785" s="576"/>
      <c r="W785" s="576"/>
      <c r="X785" s="576"/>
      <c r="Y785" s="592"/>
      <c r="Z785" s="592"/>
      <c r="AA785" s="592"/>
      <c r="AB785" s="592"/>
      <c r="AC785" s="592"/>
      <c r="AD785" s="592"/>
      <c r="AE785" s="592"/>
      <c r="AF785" s="592"/>
      <c r="AG785" s="593"/>
      <c r="AH785" s="576"/>
    </row>
    <row r="786">
      <c r="A786" s="584"/>
      <c r="B786" s="575"/>
      <c r="C786" s="575"/>
      <c r="D786" s="578"/>
      <c r="E786" s="592"/>
      <c r="F786" s="576"/>
      <c r="G786" s="589"/>
      <c r="H786" s="589"/>
      <c r="I786" s="589"/>
      <c r="J786" s="589"/>
      <c r="K786" s="589"/>
      <c r="L786" s="589"/>
      <c r="M786" s="589"/>
      <c r="N786" s="589"/>
      <c r="O786" s="583"/>
      <c r="P786" s="583"/>
      <c r="Q786" s="588"/>
      <c r="R786" s="576"/>
      <c r="S786" s="576"/>
      <c r="T786" s="576"/>
      <c r="U786" s="576"/>
      <c r="V786" s="576"/>
      <c r="W786" s="576"/>
      <c r="X786" s="576"/>
      <c r="Y786" s="592"/>
      <c r="Z786" s="592"/>
      <c r="AA786" s="592"/>
      <c r="AB786" s="592"/>
      <c r="AC786" s="592"/>
      <c r="AD786" s="592"/>
      <c r="AE786" s="592"/>
      <c r="AF786" s="592"/>
      <c r="AG786" s="593"/>
      <c r="AH786" s="576"/>
    </row>
    <row r="787">
      <c r="A787" s="584"/>
      <c r="B787" s="575"/>
      <c r="C787" s="575"/>
      <c r="D787" s="578"/>
      <c r="E787" s="592"/>
      <c r="F787" s="576"/>
      <c r="G787" s="589"/>
      <c r="H787" s="589"/>
      <c r="I787" s="589"/>
      <c r="J787" s="589"/>
      <c r="K787" s="589"/>
      <c r="L787" s="589"/>
      <c r="M787" s="589"/>
      <c r="N787" s="589"/>
      <c r="O787" s="583"/>
      <c r="P787" s="583"/>
      <c r="Q787" s="588"/>
      <c r="R787" s="576"/>
      <c r="S787" s="576"/>
      <c r="T787" s="576"/>
      <c r="U787" s="576"/>
      <c r="V787" s="576"/>
      <c r="W787" s="576"/>
      <c r="X787" s="576"/>
      <c r="Y787" s="592"/>
      <c r="Z787" s="592"/>
      <c r="AA787" s="592"/>
      <c r="AB787" s="592"/>
      <c r="AC787" s="592"/>
      <c r="AD787" s="592"/>
      <c r="AE787" s="592"/>
      <c r="AF787" s="592"/>
      <c r="AG787" s="593"/>
      <c r="AH787" s="576"/>
    </row>
    <row r="788">
      <c r="A788" s="584"/>
      <c r="B788" s="575"/>
      <c r="C788" s="575"/>
      <c r="D788" s="578"/>
      <c r="E788" s="592"/>
      <c r="F788" s="576"/>
      <c r="G788" s="589"/>
      <c r="H788" s="589"/>
      <c r="I788" s="589"/>
      <c r="J788" s="589"/>
      <c r="K788" s="589"/>
      <c r="L788" s="589"/>
      <c r="M788" s="589"/>
      <c r="N788" s="589"/>
      <c r="O788" s="583"/>
      <c r="P788" s="583"/>
      <c r="Q788" s="588"/>
      <c r="R788" s="576"/>
      <c r="S788" s="576"/>
      <c r="T788" s="576"/>
      <c r="U788" s="576"/>
      <c r="V788" s="576"/>
      <c r="W788" s="576"/>
      <c r="X788" s="576"/>
      <c r="Y788" s="592"/>
      <c r="Z788" s="592"/>
      <c r="AA788" s="592"/>
      <c r="AB788" s="592"/>
      <c r="AC788" s="592"/>
      <c r="AD788" s="592"/>
      <c r="AE788" s="592"/>
      <c r="AF788" s="592"/>
      <c r="AG788" s="593"/>
      <c r="AH788" s="576"/>
    </row>
    <row r="789">
      <c r="A789" s="584"/>
      <c r="B789" s="575"/>
      <c r="C789" s="575"/>
      <c r="D789" s="578"/>
      <c r="E789" s="592"/>
      <c r="F789" s="576"/>
      <c r="G789" s="589"/>
      <c r="H789" s="589"/>
      <c r="I789" s="589"/>
      <c r="J789" s="589"/>
      <c r="K789" s="589"/>
      <c r="L789" s="589"/>
      <c r="M789" s="589"/>
      <c r="N789" s="589"/>
      <c r="O789" s="583"/>
      <c r="P789" s="583"/>
      <c r="Q789" s="588"/>
      <c r="R789" s="576"/>
      <c r="S789" s="576"/>
      <c r="T789" s="576"/>
      <c r="U789" s="576"/>
      <c r="V789" s="576"/>
      <c r="W789" s="576"/>
      <c r="X789" s="576"/>
      <c r="Y789" s="592"/>
      <c r="Z789" s="592"/>
      <c r="AA789" s="592"/>
      <c r="AB789" s="592"/>
      <c r="AC789" s="592"/>
      <c r="AD789" s="592"/>
      <c r="AE789" s="592"/>
      <c r="AF789" s="592"/>
      <c r="AG789" s="593"/>
      <c r="AH789" s="576"/>
    </row>
    <row r="790">
      <c r="A790" s="584"/>
      <c r="B790" s="575"/>
      <c r="C790" s="575"/>
      <c r="D790" s="578"/>
      <c r="E790" s="592"/>
      <c r="F790" s="576"/>
      <c r="G790" s="589"/>
      <c r="H790" s="589"/>
      <c r="I790" s="589"/>
      <c r="J790" s="589"/>
      <c r="K790" s="589"/>
      <c r="L790" s="589"/>
      <c r="M790" s="589"/>
      <c r="N790" s="589"/>
      <c r="O790" s="583"/>
      <c r="P790" s="583"/>
      <c r="Q790" s="588"/>
      <c r="R790" s="576"/>
      <c r="S790" s="576"/>
      <c r="T790" s="576"/>
      <c r="U790" s="576"/>
      <c r="V790" s="576"/>
      <c r="W790" s="576"/>
      <c r="X790" s="576"/>
      <c r="Y790" s="592"/>
      <c r="Z790" s="592"/>
      <c r="AA790" s="592"/>
      <c r="AB790" s="592"/>
      <c r="AC790" s="592"/>
      <c r="AD790" s="592"/>
      <c r="AE790" s="592"/>
      <c r="AF790" s="592"/>
      <c r="AG790" s="593"/>
      <c r="AH790" s="576"/>
    </row>
    <row r="791">
      <c r="A791" s="584"/>
      <c r="B791" s="575"/>
      <c r="C791" s="575"/>
      <c r="D791" s="578"/>
      <c r="E791" s="592"/>
      <c r="F791" s="576"/>
      <c r="G791" s="589"/>
      <c r="H791" s="589"/>
      <c r="I791" s="589"/>
      <c r="J791" s="589"/>
      <c r="K791" s="589"/>
      <c r="L791" s="589"/>
      <c r="M791" s="589"/>
      <c r="N791" s="589"/>
      <c r="O791" s="583"/>
      <c r="P791" s="583"/>
      <c r="Q791" s="588"/>
      <c r="R791" s="576"/>
      <c r="S791" s="576"/>
      <c r="T791" s="576"/>
      <c r="U791" s="576"/>
      <c r="V791" s="576"/>
      <c r="W791" s="576"/>
      <c r="X791" s="576"/>
      <c r="Y791" s="592"/>
      <c r="Z791" s="592"/>
      <c r="AA791" s="592"/>
      <c r="AB791" s="592"/>
      <c r="AC791" s="592"/>
      <c r="AD791" s="592"/>
      <c r="AE791" s="592"/>
      <c r="AF791" s="592"/>
      <c r="AG791" s="593"/>
      <c r="AH791" s="576"/>
    </row>
    <row r="792">
      <c r="A792" s="584"/>
      <c r="B792" s="575"/>
      <c r="C792" s="575"/>
      <c r="D792" s="578"/>
      <c r="E792" s="592"/>
      <c r="F792" s="576"/>
      <c r="G792" s="589"/>
      <c r="H792" s="589"/>
      <c r="I792" s="589"/>
      <c r="J792" s="589"/>
      <c r="K792" s="589"/>
      <c r="L792" s="589"/>
      <c r="M792" s="589"/>
      <c r="N792" s="589"/>
      <c r="O792" s="583"/>
      <c r="P792" s="583"/>
      <c r="Q792" s="588"/>
      <c r="R792" s="576"/>
      <c r="S792" s="576"/>
      <c r="T792" s="576"/>
      <c r="U792" s="576"/>
      <c r="V792" s="576"/>
      <c r="W792" s="576"/>
      <c r="X792" s="576"/>
      <c r="Y792" s="592"/>
      <c r="Z792" s="592"/>
      <c r="AA792" s="592"/>
      <c r="AB792" s="592"/>
      <c r="AC792" s="592"/>
      <c r="AD792" s="592"/>
      <c r="AE792" s="592"/>
      <c r="AF792" s="592"/>
      <c r="AG792" s="593"/>
      <c r="AH792" s="576"/>
    </row>
    <row r="793">
      <c r="A793" s="584"/>
      <c r="B793" s="575"/>
      <c r="C793" s="575"/>
      <c r="D793" s="578"/>
      <c r="E793" s="592"/>
      <c r="F793" s="576"/>
      <c r="G793" s="589"/>
      <c r="H793" s="589"/>
      <c r="I793" s="589"/>
      <c r="J793" s="589"/>
      <c r="K793" s="589"/>
      <c r="L793" s="589"/>
      <c r="M793" s="589"/>
      <c r="N793" s="589"/>
      <c r="O793" s="583"/>
      <c r="P793" s="583"/>
      <c r="Q793" s="588"/>
      <c r="R793" s="576"/>
      <c r="S793" s="576"/>
      <c r="T793" s="576"/>
      <c r="U793" s="576"/>
      <c r="V793" s="576"/>
      <c r="W793" s="576"/>
      <c r="X793" s="576"/>
      <c r="Y793" s="592"/>
      <c r="Z793" s="592"/>
      <c r="AA793" s="592"/>
      <c r="AB793" s="592"/>
      <c r="AC793" s="592"/>
      <c r="AD793" s="592"/>
      <c r="AE793" s="592"/>
      <c r="AF793" s="592"/>
      <c r="AG793" s="593"/>
      <c r="AH793" s="576"/>
    </row>
    <row r="794">
      <c r="A794" s="584"/>
      <c r="B794" s="575"/>
      <c r="C794" s="575"/>
      <c r="D794" s="578"/>
      <c r="E794" s="592"/>
      <c r="F794" s="576"/>
      <c r="G794" s="589"/>
      <c r="H794" s="589"/>
      <c r="I794" s="589"/>
      <c r="J794" s="589"/>
      <c r="K794" s="589"/>
      <c r="L794" s="589"/>
      <c r="M794" s="589"/>
      <c r="N794" s="589"/>
      <c r="O794" s="583"/>
      <c r="P794" s="583"/>
      <c r="Q794" s="588"/>
      <c r="R794" s="576"/>
      <c r="S794" s="576"/>
      <c r="T794" s="576"/>
      <c r="U794" s="576"/>
      <c r="V794" s="576"/>
      <c r="W794" s="576"/>
      <c r="X794" s="576"/>
      <c r="Y794" s="592"/>
      <c r="Z794" s="592"/>
      <c r="AA794" s="592"/>
      <c r="AB794" s="592"/>
      <c r="AC794" s="592"/>
      <c r="AD794" s="592"/>
      <c r="AE794" s="592"/>
      <c r="AF794" s="592"/>
      <c r="AG794" s="593"/>
      <c r="AH794" s="576"/>
    </row>
    <row r="795">
      <c r="A795" s="584"/>
      <c r="B795" s="575"/>
      <c r="C795" s="575"/>
      <c r="D795" s="578"/>
      <c r="E795" s="592"/>
      <c r="F795" s="576"/>
      <c r="G795" s="589"/>
      <c r="H795" s="589"/>
      <c r="I795" s="589"/>
      <c r="J795" s="589"/>
      <c r="K795" s="589"/>
      <c r="L795" s="589"/>
      <c r="M795" s="589"/>
      <c r="N795" s="589"/>
      <c r="O795" s="583"/>
      <c r="P795" s="583"/>
      <c r="Q795" s="588"/>
      <c r="R795" s="576"/>
      <c r="S795" s="576"/>
      <c r="T795" s="576"/>
      <c r="U795" s="576"/>
      <c r="V795" s="576"/>
      <c r="W795" s="576"/>
      <c r="X795" s="576"/>
      <c r="Y795" s="592"/>
      <c r="Z795" s="592"/>
      <c r="AA795" s="592"/>
      <c r="AB795" s="592"/>
      <c r="AC795" s="592"/>
      <c r="AD795" s="592"/>
      <c r="AE795" s="592"/>
      <c r="AF795" s="592"/>
      <c r="AG795" s="593"/>
      <c r="AH795" s="576"/>
    </row>
    <row r="796">
      <c r="A796" s="584"/>
      <c r="B796" s="575"/>
      <c r="C796" s="575"/>
      <c r="D796" s="578"/>
      <c r="E796" s="592"/>
      <c r="F796" s="576"/>
      <c r="G796" s="589"/>
      <c r="H796" s="589"/>
      <c r="I796" s="589"/>
      <c r="J796" s="589"/>
      <c r="K796" s="589"/>
      <c r="L796" s="589"/>
      <c r="M796" s="589"/>
      <c r="N796" s="589"/>
      <c r="O796" s="583"/>
      <c r="P796" s="583"/>
      <c r="Q796" s="588"/>
      <c r="R796" s="576"/>
      <c r="S796" s="576"/>
      <c r="T796" s="576"/>
      <c r="U796" s="576"/>
      <c r="V796" s="576"/>
      <c r="W796" s="576"/>
      <c r="X796" s="576"/>
      <c r="Y796" s="592"/>
      <c r="Z796" s="592"/>
      <c r="AA796" s="592"/>
      <c r="AB796" s="592"/>
      <c r="AC796" s="592"/>
      <c r="AD796" s="592"/>
      <c r="AE796" s="592"/>
      <c r="AF796" s="592"/>
      <c r="AG796" s="593"/>
      <c r="AH796" s="576"/>
    </row>
    <row r="797">
      <c r="A797" s="584"/>
      <c r="B797" s="575"/>
      <c r="C797" s="575"/>
      <c r="D797" s="578"/>
      <c r="E797" s="592"/>
      <c r="F797" s="576"/>
      <c r="G797" s="589"/>
      <c r="H797" s="589"/>
      <c r="I797" s="589"/>
      <c r="J797" s="589"/>
      <c r="K797" s="589"/>
      <c r="L797" s="589"/>
      <c r="M797" s="589"/>
      <c r="N797" s="589"/>
      <c r="O797" s="583"/>
      <c r="P797" s="583"/>
      <c r="Q797" s="588"/>
      <c r="R797" s="576"/>
      <c r="S797" s="576"/>
      <c r="T797" s="576"/>
      <c r="U797" s="576"/>
      <c r="V797" s="576"/>
      <c r="W797" s="576"/>
      <c r="X797" s="576"/>
      <c r="Y797" s="592"/>
      <c r="Z797" s="592"/>
      <c r="AA797" s="592"/>
      <c r="AB797" s="592"/>
      <c r="AC797" s="592"/>
      <c r="AD797" s="592"/>
      <c r="AE797" s="592"/>
      <c r="AF797" s="592"/>
      <c r="AG797" s="593"/>
      <c r="AH797" s="576"/>
    </row>
    <row r="798">
      <c r="A798" s="584"/>
      <c r="B798" s="575"/>
      <c r="C798" s="575"/>
      <c r="D798" s="578"/>
      <c r="E798" s="592"/>
      <c r="F798" s="576"/>
      <c r="G798" s="589"/>
      <c r="H798" s="589"/>
      <c r="I798" s="589"/>
      <c r="J798" s="589"/>
      <c r="K798" s="589"/>
      <c r="L798" s="589"/>
      <c r="M798" s="589"/>
      <c r="N798" s="589"/>
      <c r="O798" s="583"/>
      <c r="P798" s="583"/>
      <c r="Q798" s="588"/>
      <c r="R798" s="576"/>
      <c r="S798" s="576"/>
      <c r="T798" s="576"/>
      <c r="U798" s="576"/>
      <c r="V798" s="576"/>
      <c r="W798" s="576"/>
      <c r="X798" s="576"/>
      <c r="Y798" s="592"/>
      <c r="Z798" s="592"/>
      <c r="AA798" s="592"/>
      <c r="AB798" s="592"/>
      <c r="AC798" s="592"/>
      <c r="AD798" s="592"/>
      <c r="AE798" s="592"/>
      <c r="AF798" s="592"/>
      <c r="AG798" s="593"/>
      <c r="AH798" s="576"/>
    </row>
    <row r="799">
      <c r="A799" s="584"/>
      <c r="B799" s="575"/>
      <c r="C799" s="575"/>
      <c r="D799" s="578"/>
      <c r="E799" s="592"/>
      <c r="F799" s="576"/>
      <c r="G799" s="589"/>
      <c r="H799" s="589"/>
      <c r="I799" s="589"/>
      <c r="J799" s="589"/>
      <c r="K799" s="589"/>
      <c r="L799" s="589"/>
      <c r="M799" s="589"/>
      <c r="N799" s="589"/>
      <c r="O799" s="583"/>
      <c r="P799" s="583"/>
      <c r="Q799" s="588"/>
      <c r="R799" s="576"/>
      <c r="S799" s="576"/>
      <c r="T799" s="576"/>
      <c r="U799" s="576"/>
      <c r="V799" s="576"/>
      <c r="W799" s="576"/>
      <c r="X799" s="576"/>
      <c r="Y799" s="592"/>
      <c r="Z799" s="592"/>
      <c r="AA799" s="592"/>
      <c r="AB799" s="592"/>
      <c r="AC799" s="592"/>
      <c r="AD799" s="592"/>
      <c r="AE799" s="592"/>
      <c r="AF799" s="592"/>
      <c r="AG799" s="593"/>
      <c r="AH799" s="576"/>
    </row>
    <row r="800">
      <c r="A800" s="584"/>
      <c r="B800" s="575"/>
      <c r="C800" s="575"/>
      <c r="D800" s="578"/>
      <c r="E800" s="592"/>
      <c r="F800" s="576"/>
      <c r="G800" s="589"/>
      <c r="H800" s="589"/>
      <c r="I800" s="589"/>
      <c r="J800" s="589"/>
      <c r="K800" s="589"/>
      <c r="L800" s="589"/>
      <c r="M800" s="589"/>
      <c r="N800" s="589"/>
      <c r="O800" s="583"/>
      <c r="P800" s="583"/>
      <c r="Q800" s="588"/>
      <c r="R800" s="576"/>
      <c r="S800" s="576"/>
      <c r="T800" s="576"/>
      <c r="U800" s="576"/>
      <c r="V800" s="576"/>
      <c r="W800" s="576"/>
      <c r="X800" s="576"/>
      <c r="Y800" s="592"/>
      <c r="Z800" s="592"/>
      <c r="AA800" s="592"/>
      <c r="AB800" s="592"/>
      <c r="AC800" s="592"/>
      <c r="AD800" s="592"/>
      <c r="AE800" s="592"/>
      <c r="AF800" s="592"/>
      <c r="AG800" s="593"/>
      <c r="AH800" s="576"/>
    </row>
    <row r="801">
      <c r="A801" s="584"/>
      <c r="B801" s="575"/>
      <c r="C801" s="575"/>
      <c r="D801" s="578"/>
      <c r="E801" s="592"/>
      <c r="F801" s="576"/>
      <c r="G801" s="589"/>
      <c r="H801" s="589"/>
      <c r="I801" s="589"/>
      <c r="J801" s="589"/>
      <c r="K801" s="589"/>
      <c r="L801" s="589"/>
      <c r="M801" s="589"/>
      <c r="N801" s="589"/>
      <c r="O801" s="583"/>
      <c r="P801" s="583"/>
      <c r="Q801" s="588"/>
      <c r="R801" s="576"/>
      <c r="S801" s="576"/>
      <c r="T801" s="576"/>
      <c r="U801" s="576"/>
      <c r="V801" s="576"/>
      <c r="W801" s="576"/>
      <c r="X801" s="576"/>
      <c r="Y801" s="592"/>
      <c r="Z801" s="592"/>
      <c r="AA801" s="592"/>
      <c r="AB801" s="592"/>
      <c r="AC801" s="592"/>
      <c r="AD801" s="592"/>
      <c r="AE801" s="592"/>
      <c r="AF801" s="592"/>
      <c r="AG801" s="593"/>
      <c r="AH801" s="576"/>
    </row>
    <row r="802">
      <c r="A802" s="584"/>
      <c r="B802" s="575"/>
      <c r="C802" s="575"/>
      <c r="D802" s="578"/>
      <c r="E802" s="592"/>
      <c r="F802" s="576"/>
      <c r="G802" s="589"/>
      <c r="H802" s="589"/>
      <c r="I802" s="589"/>
      <c r="J802" s="589"/>
      <c r="K802" s="589"/>
      <c r="L802" s="589"/>
      <c r="M802" s="589"/>
      <c r="N802" s="589"/>
      <c r="O802" s="583"/>
      <c r="P802" s="583"/>
      <c r="Q802" s="588"/>
      <c r="R802" s="576"/>
      <c r="S802" s="576"/>
      <c r="T802" s="576"/>
      <c r="U802" s="576"/>
      <c r="V802" s="576"/>
      <c r="W802" s="576"/>
      <c r="X802" s="576"/>
      <c r="Y802" s="592"/>
      <c r="Z802" s="592"/>
      <c r="AA802" s="592"/>
      <c r="AB802" s="592"/>
      <c r="AC802" s="592"/>
      <c r="AD802" s="592"/>
      <c r="AE802" s="592"/>
      <c r="AF802" s="592"/>
      <c r="AG802" s="593"/>
      <c r="AH802" s="576"/>
    </row>
    <row r="803">
      <c r="A803" s="584"/>
      <c r="B803" s="575"/>
      <c r="C803" s="575"/>
      <c r="D803" s="578"/>
      <c r="E803" s="592"/>
      <c r="F803" s="576"/>
      <c r="G803" s="589"/>
      <c r="H803" s="589"/>
      <c r="I803" s="589"/>
      <c r="J803" s="589"/>
      <c r="K803" s="589"/>
      <c r="L803" s="589"/>
      <c r="M803" s="589"/>
      <c r="N803" s="589"/>
      <c r="O803" s="583"/>
      <c r="P803" s="583"/>
      <c r="Q803" s="588"/>
      <c r="R803" s="576"/>
      <c r="S803" s="576"/>
      <c r="T803" s="576"/>
      <c r="U803" s="576"/>
      <c r="V803" s="576"/>
      <c r="W803" s="576"/>
      <c r="X803" s="576"/>
      <c r="Y803" s="592"/>
      <c r="Z803" s="592"/>
      <c r="AA803" s="592"/>
      <c r="AB803" s="592"/>
      <c r="AC803" s="592"/>
      <c r="AD803" s="592"/>
      <c r="AE803" s="592"/>
      <c r="AF803" s="592"/>
      <c r="AG803" s="593"/>
      <c r="AH803" s="576"/>
    </row>
    <row r="804">
      <c r="A804" s="584"/>
      <c r="B804" s="575"/>
      <c r="C804" s="575"/>
      <c r="D804" s="578"/>
      <c r="E804" s="592"/>
      <c r="F804" s="576"/>
      <c r="G804" s="589"/>
      <c r="H804" s="589"/>
      <c r="I804" s="589"/>
      <c r="J804" s="589"/>
      <c r="K804" s="589"/>
      <c r="L804" s="589"/>
      <c r="M804" s="589"/>
      <c r="N804" s="589"/>
      <c r="O804" s="583"/>
      <c r="P804" s="583"/>
      <c r="Q804" s="588"/>
      <c r="R804" s="576"/>
      <c r="S804" s="576"/>
      <c r="T804" s="576"/>
      <c r="U804" s="576"/>
      <c r="V804" s="576"/>
      <c r="W804" s="576"/>
      <c r="X804" s="576"/>
      <c r="Y804" s="592"/>
      <c r="Z804" s="592"/>
      <c r="AA804" s="592"/>
      <c r="AB804" s="592"/>
      <c r="AC804" s="592"/>
      <c r="AD804" s="592"/>
      <c r="AE804" s="592"/>
      <c r="AF804" s="592"/>
      <c r="AG804" s="593"/>
      <c r="AH804" s="576"/>
    </row>
    <row r="805">
      <c r="A805" s="584"/>
      <c r="B805" s="575"/>
      <c r="C805" s="575"/>
      <c r="D805" s="578"/>
      <c r="E805" s="592"/>
      <c r="F805" s="576"/>
      <c r="G805" s="589"/>
      <c r="H805" s="589"/>
      <c r="I805" s="589"/>
      <c r="J805" s="589"/>
      <c r="K805" s="589"/>
      <c r="L805" s="589"/>
      <c r="M805" s="589"/>
      <c r="N805" s="589"/>
      <c r="O805" s="583"/>
      <c r="P805" s="583"/>
      <c r="Q805" s="588"/>
      <c r="R805" s="576"/>
      <c r="S805" s="576"/>
      <c r="T805" s="576"/>
      <c r="U805" s="576"/>
      <c r="V805" s="576"/>
      <c r="W805" s="576"/>
      <c r="X805" s="576"/>
      <c r="Y805" s="592"/>
      <c r="Z805" s="592"/>
      <c r="AA805" s="592"/>
      <c r="AB805" s="592"/>
      <c r="AC805" s="592"/>
      <c r="AD805" s="592"/>
      <c r="AE805" s="592"/>
      <c r="AF805" s="592"/>
      <c r="AG805" s="593"/>
      <c r="AH805" s="576"/>
    </row>
    <row r="806">
      <c r="A806" s="584"/>
      <c r="B806" s="575"/>
      <c r="C806" s="575"/>
      <c r="D806" s="578"/>
      <c r="E806" s="592"/>
      <c r="F806" s="576"/>
      <c r="G806" s="589"/>
      <c r="H806" s="589"/>
      <c r="I806" s="589"/>
      <c r="J806" s="589"/>
      <c r="K806" s="589"/>
      <c r="L806" s="589"/>
      <c r="M806" s="589"/>
      <c r="N806" s="589"/>
      <c r="O806" s="583"/>
      <c r="P806" s="583"/>
      <c r="Q806" s="588"/>
      <c r="R806" s="576"/>
      <c r="S806" s="576"/>
      <c r="T806" s="576"/>
      <c r="U806" s="576"/>
      <c r="V806" s="576"/>
      <c r="W806" s="576"/>
      <c r="X806" s="576"/>
      <c r="Y806" s="592"/>
      <c r="Z806" s="592"/>
      <c r="AA806" s="592"/>
      <c r="AB806" s="592"/>
      <c r="AC806" s="592"/>
      <c r="AD806" s="592"/>
      <c r="AE806" s="592"/>
      <c r="AF806" s="592"/>
      <c r="AG806" s="593"/>
      <c r="AH806" s="576"/>
    </row>
    <row r="807">
      <c r="A807" s="584"/>
      <c r="B807" s="575"/>
      <c r="C807" s="575"/>
      <c r="D807" s="578"/>
      <c r="E807" s="592"/>
      <c r="F807" s="576"/>
      <c r="G807" s="589"/>
      <c r="H807" s="589"/>
      <c r="I807" s="589"/>
      <c r="J807" s="589"/>
      <c r="K807" s="589"/>
      <c r="L807" s="589"/>
      <c r="M807" s="589"/>
      <c r="N807" s="589"/>
      <c r="O807" s="583"/>
      <c r="P807" s="583"/>
      <c r="Q807" s="588"/>
      <c r="R807" s="576"/>
      <c r="S807" s="576"/>
      <c r="T807" s="576"/>
      <c r="U807" s="576"/>
      <c r="V807" s="576"/>
      <c r="W807" s="576"/>
      <c r="X807" s="576"/>
      <c r="Y807" s="592"/>
      <c r="Z807" s="592"/>
      <c r="AA807" s="592"/>
      <c r="AB807" s="592"/>
      <c r="AC807" s="592"/>
      <c r="AD807" s="592"/>
      <c r="AE807" s="592"/>
      <c r="AF807" s="592"/>
      <c r="AG807" s="593"/>
      <c r="AH807" s="576"/>
    </row>
    <row r="808">
      <c r="A808" s="584"/>
      <c r="B808" s="575"/>
      <c r="C808" s="575"/>
      <c r="D808" s="578"/>
      <c r="E808" s="592"/>
      <c r="F808" s="576"/>
      <c r="G808" s="589"/>
      <c r="H808" s="589"/>
      <c r="I808" s="589"/>
      <c r="J808" s="589"/>
      <c r="K808" s="589"/>
      <c r="L808" s="589"/>
      <c r="M808" s="589"/>
      <c r="N808" s="589"/>
      <c r="O808" s="583"/>
      <c r="P808" s="583"/>
      <c r="Q808" s="588"/>
      <c r="R808" s="576"/>
      <c r="S808" s="576"/>
      <c r="T808" s="576"/>
      <c r="U808" s="576"/>
      <c r="V808" s="576"/>
      <c r="W808" s="576"/>
      <c r="X808" s="576"/>
      <c r="Y808" s="592"/>
      <c r="Z808" s="592"/>
      <c r="AA808" s="592"/>
      <c r="AB808" s="592"/>
      <c r="AC808" s="592"/>
      <c r="AD808" s="592"/>
      <c r="AE808" s="592"/>
      <c r="AF808" s="592"/>
      <c r="AG808" s="593"/>
      <c r="AH808" s="576"/>
    </row>
    <row r="809">
      <c r="A809" s="584"/>
      <c r="B809" s="575"/>
      <c r="C809" s="575"/>
      <c r="D809" s="578"/>
      <c r="E809" s="592"/>
      <c r="F809" s="576"/>
      <c r="G809" s="589"/>
      <c r="H809" s="589"/>
      <c r="I809" s="589"/>
      <c r="J809" s="589"/>
      <c r="K809" s="589"/>
      <c r="L809" s="589"/>
      <c r="M809" s="589"/>
      <c r="N809" s="589"/>
      <c r="O809" s="583"/>
      <c r="P809" s="583"/>
      <c r="Q809" s="588"/>
      <c r="R809" s="576"/>
      <c r="S809" s="576"/>
      <c r="T809" s="576"/>
      <c r="U809" s="576"/>
      <c r="V809" s="576"/>
      <c r="W809" s="576"/>
      <c r="X809" s="576"/>
      <c r="Y809" s="592"/>
      <c r="Z809" s="592"/>
      <c r="AA809" s="592"/>
      <c r="AB809" s="592"/>
      <c r="AC809" s="592"/>
      <c r="AD809" s="592"/>
      <c r="AE809" s="592"/>
      <c r="AF809" s="592"/>
      <c r="AG809" s="593"/>
      <c r="AH809" s="576"/>
    </row>
    <row r="810">
      <c r="A810" s="584"/>
      <c r="B810" s="575"/>
      <c r="C810" s="575"/>
      <c r="D810" s="578"/>
      <c r="E810" s="592"/>
      <c r="F810" s="576"/>
      <c r="G810" s="589"/>
      <c r="H810" s="589"/>
      <c r="I810" s="589"/>
      <c r="J810" s="589"/>
      <c r="K810" s="589"/>
      <c r="L810" s="589"/>
      <c r="M810" s="589"/>
      <c r="N810" s="589"/>
      <c r="O810" s="583"/>
      <c r="P810" s="583"/>
      <c r="Q810" s="588"/>
      <c r="R810" s="576"/>
      <c r="S810" s="576"/>
      <c r="T810" s="576"/>
      <c r="U810" s="576"/>
      <c r="V810" s="576"/>
      <c r="W810" s="576"/>
      <c r="X810" s="576"/>
      <c r="Y810" s="592"/>
      <c r="Z810" s="592"/>
      <c r="AA810" s="592"/>
      <c r="AB810" s="592"/>
      <c r="AC810" s="592"/>
      <c r="AD810" s="592"/>
      <c r="AE810" s="592"/>
      <c r="AF810" s="592"/>
      <c r="AG810" s="593"/>
      <c r="AH810" s="576"/>
    </row>
    <row r="811">
      <c r="A811" s="584"/>
      <c r="B811" s="575"/>
      <c r="C811" s="575"/>
      <c r="D811" s="578"/>
      <c r="E811" s="592"/>
      <c r="F811" s="576"/>
      <c r="G811" s="589"/>
      <c r="H811" s="589"/>
      <c r="I811" s="589"/>
      <c r="J811" s="589"/>
      <c r="K811" s="589"/>
      <c r="L811" s="589"/>
      <c r="M811" s="589"/>
      <c r="N811" s="589"/>
      <c r="O811" s="583"/>
      <c r="P811" s="583"/>
      <c r="Q811" s="588"/>
      <c r="R811" s="576"/>
      <c r="S811" s="576"/>
      <c r="T811" s="576"/>
      <c r="U811" s="576"/>
      <c r="V811" s="576"/>
      <c r="W811" s="576"/>
      <c r="X811" s="576"/>
      <c r="Y811" s="592"/>
      <c r="Z811" s="592"/>
      <c r="AA811" s="592"/>
      <c r="AB811" s="592"/>
      <c r="AC811" s="592"/>
      <c r="AD811" s="592"/>
      <c r="AE811" s="592"/>
      <c r="AF811" s="592"/>
      <c r="AG811" s="593"/>
      <c r="AH811" s="576"/>
    </row>
    <row r="812">
      <c r="A812" s="584"/>
      <c r="B812" s="575"/>
      <c r="C812" s="575"/>
      <c r="D812" s="578"/>
      <c r="E812" s="592"/>
      <c r="F812" s="576"/>
      <c r="G812" s="589"/>
      <c r="H812" s="589"/>
      <c r="I812" s="589"/>
      <c r="J812" s="589"/>
      <c r="K812" s="589"/>
      <c r="L812" s="589"/>
      <c r="M812" s="589"/>
      <c r="N812" s="589"/>
      <c r="O812" s="583"/>
      <c r="P812" s="583"/>
      <c r="Q812" s="588"/>
      <c r="R812" s="576"/>
      <c r="S812" s="576"/>
      <c r="T812" s="576"/>
      <c r="U812" s="576"/>
      <c r="V812" s="576"/>
      <c r="W812" s="576"/>
      <c r="X812" s="576"/>
      <c r="Y812" s="592"/>
      <c r="Z812" s="592"/>
      <c r="AA812" s="592"/>
      <c r="AB812" s="592"/>
      <c r="AC812" s="592"/>
      <c r="AD812" s="592"/>
      <c r="AE812" s="592"/>
      <c r="AF812" s="592"/>
      <c r="AG812" s="593"/>
      <c r="AH812" s="576"/>
    </row>
    <row r="813">
      <c r="A813" s="584"/>
      <c r="B813" s="575"/>
      <c r="C813" s="575"/>
      <c r="D813" s="578"/>
      <c r="E813" s="592"/>
      <c r="F813" s="576"/>
      <c r="G813" s="589"/>
      <c r="H813" s="589"/>
      <c r="I813" s="589"/>
      <c r="J813" s="589"/>
      <c r="K813" s="589"/>
      <c r="L813" s="589"/>
      <c r="M813" s="589"/>
      <c r="N813" s="589"/>
      <c r="O813" s="583"/>
      <c r="P813" s="583"/>
      <c r="Q813" s="588"/>
      <c r="R813" s="576"/>
      <c r="S813" s="576"/>
      <c r="T813" s="576"/>
      <c r="U813" s="576"/>
      <c r="V813" s="576"/>
      <c r="W813" s="576"/>
      <c r="X813" s="576"/>
      <c r="Y813" s="592"/>
      <c r="Z813" s="592"/>
      <c r="AA813" s="592"/>
      <c r="AB813" s="592"/>
      <c r="AC813" s="592"/>
      <c r="AD813" s="592"/>
      <c r="AE813" s="592"/>
      <c r="AF813" s="592"/>
      <c r="AG813" s="593"/>
      <c r="AH813" s="576"/>
    </row>
    <row r="814">
      <c r="A814" s="584"/>
      <c r="B814" s="575"/>
      <c r="C814" s="575"/>
      <c r="D814" s="578"/>
      <c r="E814" s="592"/>
      <c r="F814" s="576"/>
      <c r="G814" s="589"/>
      <c r="H814" s="589"/>
      <c r="I814" s="589"/>
      <c r="J814" s="589"/>
      <c r="K814" s="589"/>
      <c r="L814" s="589"/>
      <c r="M814" s="589"/>
      <c r="N814" s="589"/>
      <c r="O814" s="583"/>
      <c r="P814" s="583"/>
      <c r="Q814" s="588"/>
      <c r="R814" s="576"/>
      <c r="S814" s="576"/>
      <c r="T814" s="576"/>
      <c r="U814" s="576"/>
      <c r="V814" s="576"/>
      <c r="W814" s="576"/>
      <c r="X814" s="576"/>
      <c r="Y814" s="592"/>
      <c r="Z814" s="592"/>
      <c r="AA814" s="592"/>
      <c r="AB814" s="592"/>
      <c r="AC814" s="592"/>
      <c r="AD814" s="592"/>
      <c r="AE814" s="592"/>
      <c r="AF814" s="592"/>
      <c r="AG814" s="593"/>
      <c r="AH814" s="576"/>
    </row>
    <row r="815">
      <c r="A815" s="584"/>
      <c r="B815" s="575"/>
      <c r="C815" s="575"/>
      <c r="D815" s="578"/>
      <c r="E815" s="592"/>
      <c r="F815" s="576"/>
      <c r="G815" s="589"/>
      <c r="H815" s="589"/>
      <c r="I815" s="589"/>
      <c r="J815" s="589"/>
      <c r="K815" s="589"/>
      <c r="L815" s="589"/>
      <c r="M815" s="589"/>
      <c r="N815" s="589"/>
      <c r="O815" s="583"/>
      <c r="P815" s="583"/>
      <c r="Q815" s="588"/>
      <c r="R815" s="576"/>
      <c r="S815" s="576"/>
      <c r="T815" s="576"/>
      <c r="U815" s="576"/>
      <c r="V815" s="576"/>
      <c r="W815" s="576"/>
      <c r="X815" s="576"/>
      <c r="Y815" s="592"/>
      <c r="Z815" s="592"/>
      <c r="AA815" s="592"/>
      <c r="AB815" s="592"/>
      <c r="AC815" s="592"/>
      <c r="AD815" s="592"/>
      <c r="AE815" s="592"/>
      <c r="AF815" s="592"/>
      <c r="AG815" s="593"/>
      <c r="AH815" s="576"/>
    </row>
  </sheetData>
  <mergeCells>
    <mergeCell ref="B428:C428"/>
    <mergeCell ref="B427:C427"/>
    <mergeCell ref="B421:C421"/>
    <mergeCell ref="B415:C415"/>
    <mergeCell ref="A410:A428"/>
    <mergeCell ref="B408:C408"/>
    <mergeCell ref="B407:C407"/>
    <mergeCell ref="B401:C401"/>
    <mergeCell ref="B395:C395"/>
    <mergeCell ref="A390:A408"/>
    <mergeCell ref="B388:C388"/>
    <mergeCell ref="B387:C387"/>
    <mergeCell ref="B381:C381"/>
    <mergeCell ref="B375:C375"/>
    <mergeCell ref="A370:A388"/>
    <mergeCell ref="B368:C368"/>
    <mergeCell ref="B367:C367"/>
    <mergeCell ref="B361:C361"/>
    <mergeCell ref="B355:C355"/>
    <mergeCell ref="A350:A368"/>
    <mergeCell ref="B348:C348"/>
    <mergeCell ref="B347:C347"/>
    <mergeCell ref="B341:C341"/>
    <mergeCell ref="B335:C335"/>
    <mergeCell ref="A330:A348"/>
    <mergeCell ref="B328:C328"/>
    <mergeCell ref="B327:C327"/>
    <mergeCell ref="B321:C321"/>
    <mergeCell ref="B315:C315"/>
    <mergeCell ref="A310:A328"/>
    <mergeCell ref="B308:C308"/>
    <mergeCell ref="B307:C307"/>
    <mergeCell ref="B301:C301"/>
    <mergeCell ref="B295:C295"/>
    <mergeCell ref="A290:A308"/>
    <mergeCell ref="B288:C288"/>
    <mergeCell ref="B287:C287"/>
    <mergeCell ref="B281:C281"/>
    <mergeCell ref="B275:C275"/>
    <mergeCell ref="A270:A288"/>
    <mergeCell ref="B221:C221"/>
    <mergeCell ref="B227:C227"/>
    <mergeCell ref="B228:C228"/>
    <mergeCell ref="B215:C215"/>
    <mergeCell ref="B157:C157"/>
    <mergeCell ref="B161:C161"/>
    <mergeCell ref="B165:C165"/>
    <mergeCell ref="B166:C166"/>
    <mergeCell ref="B152:C152"/>
    <mergeCell ref="A126:A145"/>
    <mergeCell ref="A105:A124"/>
    <mergeCell ref="B117:C117"/>
    <mergeCell ref="B114:C114"/>
    <mergeCell ref="B124:C124"/>
    <mergeCell ref="B123:C123"/>
    <mergeCell ref="B110:C110"/>
    <mergeCell ref="B102:C102"/>
    <mergeCell ref="A83:A103"/>
    <mergeCell ref="B103:C103"/>
    <mergeCell ref="B91:C91"/>
    <mergeCell ref="B96:C96"/>
    <mergeCell ref="B88:C88"/>
    <mergeCell ref="A63:A81"/>
    <mergeCell ref="B81:C81"/>
    <mergeCell ref="B80:C80"/>
    <mergeCell ref="B74:C74"/>
    <mergeCell ref="B68:C68"/>
    <mergeCell ref="B55:C55"/>
    <mergeCell ref="B60:C60"/>
    <mergeCell ref="B61:C61"/>
    <mergeCell ref="A42:A61"/>
    <mergeCell ref="B47:C47"/>
    <mergeCell ref="B34:C34"/>
    <mergeCell ref="B28:C28"/>
    <mergeCell ref="B21:C21"/>
    <mergeCell ref="B20:C20"/>
    <mergeCell ref="B15:C15"/>
    <mergeCell ref="B12:C12"/>
    <mergeCell ref="B7:C7"/>
    <mergeCell ref="A2:A21"/>
    <mergeCell ref="B39:C39"/>
    <mergeCell ref="B40:C40"/>
    <mergeCell ref="A23:A40"/>
    <mergeCell ref="B52:C52"/>
    <mergeCell ref="B131:C131"/>
    <mergeCell ref="B135:C135"/>
    <mergeCell ref="B145:C145"/>
    <mergeCell ref="B144:C144"/>
    <mergeCell ref="B139:C139"/>
    <mergeCell ref="A147:A166"/>
    <mergeCell ref="A168:A187"/>
    <mergeCell ref="B173:C173"/>
    <mergeCell ref="B177:C177"/>
    <mergeCell ref="B181:C181"/>
    <mergeCell ref="B186:C186"/>
    <mergeCell ref="B187:C187"/>
    <mergeCell ref="B194:C194"/>
    <mergeCell ref="B208:C208"/>
    <mergeCell ref="B207:C207"/>
    <mergeCell ref="B203:C203"/>
    <mergeCell ref="B199:C199"/>
    <mergeCell ref="A189:A208"/>
    <mergeCell ref="A210:A228"/>
    <mergeCell ref="A230:A248"/>
    <mergeCell ref="B235:C235"/>
    <mergeCell ref="B241:C241"/>
    <mergeCell ref="B247:C247"/>
    <mergeCell ref="B248:C248"/>
    <mergeCell ref="B255:C255"/>
    <mergeCell ref="B261:C261"/>
    <mergeCell ref="B268:C268"/>
    <mergeCell ref="B267:C267"/>
    <mergeCell ref="A250:A268"/>
    <mergeCell ref="A430:A448"/>
    <mergeCell ref="B435:C435"/>
    <mergeCell ref="B441:C441"/>
    <mergeCell ref="B447:C447"/>
    <mergeCell ref="B448:C448"/>
    <mergeCell ref="A450:A468"/>
    <mergeCell ref="B455:C455"/>
    <mergeCell ref="B461:C461"/>
    <mergeCell ref="B467:C467"/>
    <mergeCell ref="B468:C468"/>
    <mergeCell ref="A470:A488"/>
    <mergeCell ref="B475:C475"/>
    <mergeCell ref="B481:C481"/>
    <mergeCell ref="B487:C487"/>
    <mergeCell ref="B488:C488"/>
    <mergeCell ref="A490:A508"/>
    <mergeCell ref="B495:C495"/>
    <mergeCell ref="B501:C501"/>
    <mergeCell ref="B507:C507"/>
    <mergeCell ref="B508:C508"/>
    <mergeCell ref="A510:A528"/>
    <mergeCell ref="B515:C515"/>
    <mergeCell ref="B521:C521"/>
    <mergeCell ref="B527:C527"/>
    <mergeCell ref="B528:C528"/>
    <mergeCell ref="A530:A548"/>
    <mergeCell ref="B535:C535"/>
    <mergeCell ref="B541:C541"/>
    <mergeCell ref="B547:C547"/>
    <mergeCell ref="B548:C548"/>
    <mergeCell ref="A550:A568"/>
    <mergeCell ref="B555:C555"/>
    <mergeCell ref="B561:C561"/>
    <mergeCell ref="B567:C567"/>
    <mergeCell ref="B568:C568"/>
    <mergeCell ref="A570:A588"/>
    <mergeCell ref="B575:C575"/>
    <mergeCell ref="B581:C581"/>
    <mergeCell ref="B587:C587"/>
    <mergeCell ref="B588:C588"/>
    <mergeCell ref="A590:A608"/>
    <mergeCell ref="B595:C595"/>
    <mergeCell ref="B601:C601"/>
    <mergeCell ref="B607:C607"/>
    <mergeCell ref="B608:C608"/>
    <mergeCell ref="A610:A628"/>
    <mergeCell ref="B615:C615"/>
    <mergeCell ref="B621:C621"/>
    <mergeCell ref="B627:C627"/>
    <mergeCell ref="B628:C628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1.211267605633802"/>
    <col collapsed="false" customWidth="true" hidden="false" max="35" min="35" style="0" width="11.211267605633802"/>
  </cols>
  <sheetData>
    <row r="1">
      <c r="A1" s="594"/>
      <c r="B1" s="594"/>
      <c r="C1" s="594"/>
      <c r="D1" s="595" t="s">
        <v>288</v>
      </c>
      <c r="E1" s="596"/>
      <c r="F1" s="595"/>
      <c r="G1" s="595"/>
      <c r="H1" s="595"/>
      <c r="I1" s="595"/>
      <c r="J1" s="595"/>
      <c r="K1" s="597" t="s">
        <v>289</v>
      </c>
      <c r="L1" s="597"/>
      <c r="M1" s="597"/>
      <c r="N1" s="597"/>
      <c r="O1" s="597"/>
      <c r="P1" s="597"/>
      <c r="Q1" s="597"/>
      <c r="R1" s="597"/>
      <c r="S1" s="597"/>
      <c r="T1" s="598" t="s">
        <v>290</v>
      </c>
      <c r="U1" s="598"/>
      <c r="V1" s="598"/>
      <c r="W1" s="598"/>
      <c r="X1" s="599"/>
      <c r="Y1" s="600"/>
      <c r="Z1" s="601"/>
      <c r="AA1" s="601"/>
      <c r="AB1" s="601"/>
      <c r="AC1" s="601"/>
      <c r="AD1" s="601"/>
      <c r="AE1" s="601"/>
      <c r="AF1" s="601"/>
      <c r="AG1" s="601"/>
      <c r="AH1" s="602"/>
      <c r="AI1" s="601"/>
    </row>
    <row r="2">
      <c r="A2" s="603" t="s">
        <v>291</v>
      </c>
      <c r="B2" s="594" t="s">
        <v>292</v>
      </c>
      <c r="C2" s="594" t="s">
        <v>293</v>
      </c>
      <c r="D2" s="604" t="s">
        <v>294</v>
      </c>
      <c r="E2" s="605" t="s">
        <v>295</v>
      </c>
      <c r="F2" s="604" t="s">
        <v>296</v>
      </c>
      <c r="G2" s="604"/>
      <c r="H2" s="595" t="s">
        <v>297</v>
      </c>
      <c r="I2" s="595" t="s">
        <v>298</v>
      </c>
      <c r="J2" s="595" t="s">
        <v>299</v>
      </c>
      <c r="K2" s="597" t="s">
        <v>300</v>
      </c>
      <c r="L2" s="597" t="s">
        <v>301</v>
      </c>
      <c r="M2" s="597" t="s">
        <v>302</v>
      </c>
      <c r="N2" s="597" t="s">
        <v>303</v>
      </c>
      <c r="O2" s="597" t="s">
        <v>304</v>
      </c>
      <c r="P2" s="597" t="s">
        <v>305</v>
      </c>
      <c r="Q2" s="597" t="s">
        <v>306</v>
      </c>
      <c r="R2" s="597" t="s">
        <v>307</v>
      </c>
      <c r="S2" s="597" t="s">
        <v>308</v>
      </c>
      <c r="T2" s="606" t="s">
        <v>309</v>
      </c>
      <c r="U2" s="606" t="s">
        <v>310</v>
      </c>
      <c r="V2" s="606" t="s">
        <v>311</v>
      </c>
      <c r="W2" s="606" t="s">
        <v>312</v>
      </c>
      <c r="X2" s="607" t="s">
        <v>313</v>
      </c>
      <c r="Y2" s="608" t="s">
        <v>314</v>
      </c>
      <c r="Z2" s="609" t="s">
        <v>315</v>
      </c>
      <c r="AA2" s="609" t="s">
        <v>316</v>
      </c>
      <c r="AB2" s="609" t="s">
        <v>317</v>
      </c>
      <c r="AC2" s="609" t="s">
        <v>318</v>
      </c>
      <c r="AD2" s="609" t="s">
        <v>319</v>
      </c>
      <c r="AE2" s="610" t="s">
        <v>320</v>
      </c>
      <c r="AF2" s="609" t="s">
        <v>321</v>
      </c>
      <c r="AG2" s="609" t="s">
        <v>322</v>
      </c>
      <c r="AH2" s="611" t="s">
        <v>323</v>
      </c>
      <c r="AI2" s="609" t="s">
        <v>324</v>
      </c>
    </row>
    <row r="3">
      <c r="A3" s="612">
        <v>46178</v>
      </c>
      <c r="B3" s="613" t="s">
        <v>325</v>
      </c>
      <c r="C3" s="609" t="s">
        <v>326</v>
      </c>
      <c r="D3" s="614">
        <v>2464.544</v>
      </c>
      <c r="E3" s="615">
        <v>1</v>
      </c>
      <c r="F3" s="616">
        <v>228</v>
      </c>
      <c r="G3" s="616"/>
      <c r="H3" s="617">
        <f t="shared" ref="H3:H12" si="513">F3/E3</f>
      </c>
      <c r="I3" s="618">
        <f t="shared" ref="I3:I12" si="0">D3/E3</f>
      </c>
      <c r="J3" s="619">
        <f t="shared" ref="J3:J12" si="375">F3/D3</f>
      </c>
      <c r="K3" s="620">
        <f t="shared" ref="K3:K12" si="428">D3/AB3</f>
      </c>
      <c r="L3" s="617">
        <f t="shared" ref="L3:L12" si="184">D3/AC3</f>
      </c>
      <c r="M3" s="617">
        <f t="shared" ref="M3:M12" si="269">D3/AD3</f>
      </c>
      <c r="N3" s="621">
        <f t="shared" ref="N3:N12" si="53">AC3/AB3</f>
      </c>
      <c r="O3" s="621">
        <f t="shared" ref="O3:O12" si="95">AD3/AC3</f>
      </c>
      <c r="P3" s="621">
        <f t="shared" ref="P3:P12" si="157">AA3/Z3</f>
      </c>
      <c r="Q3" s="621">
        <f t="shared" ref="Q3:Q12" si="539">AD3/AA3</f>
      </c>
      <c r="R3" s="617">
        <f t="shared" ref="R3:R12" si="26">D3/Z3*1000</f>
      </c>
      <c r="S3" s="619">
        <f t="shared" ref="S3:S12" si="401">D3/AA3</f>
      </c>
      <c r="T3" s="621">
        <f t="shared" ref="T3:T12" si="470">AE3/AB3</f>
      </c>
      <c r="U3" s="621">
        <f t="shared" ref="U3:U12" si="226">AF3/AB3</f>
      </c>
      <c r="V3" s="617">
        <f t="shared" ref="V3:V12" si="311">AG3/AB3</f>
      </c>
      <c r="W3" s="621">
        <f t="shared" ref="W3:W12" si="130">AH3/AB3</f>
      </c>
      <c r="X3" s="613" t="s">
        <v>327</v>
      </c>
      <c r="Y3" s="613" t="s">
        <v>328</v>
      </c>
      <c r="Z3" s="622">
        <v>59347</v>
      </c>
      <c r="AA3" s="622">
        <v>2845</v>
      </c>
      <c r="AB3" s="622">
        <v>46971</v>
      </c>
      <c r="AC3" s="622">
        <v>1260</v>
      </c>
      <c r="AD3" s="622">
        <v>1</v>
      </c>
      <c r="AE3" s="622">
        <v>9393</v>
      </c>
      <c r="AF3" s="622">
        <v>616</v>
      </c>
      <c r="AG3" s="622">
        <v>295</v>
      </c>
      <c r="AH3" s="622">
        <v>19</v>
      </c>
      <c r="AI3" s="623">
        <v>0</v>
      </c>
    </row>
    <row r="4">
      <c r="A4" s="612"/>
      <c r="B4" s="613" t="s">
        <v>325</v>
      </c>
      <c r="C4" s="609" t="s">
        <v>329</v>
      </c>
      <c r="D4" s="614">
        <v>768.198</v>
      </c>
      <c r="E4" s="615">
        <v>1</v>
      </c>
      <c r="F4" s="616">
        <v>228</v>
      </c>
      <c r="G4" s="616"/>
      <c r="H4" s="617">
        <f t="shared" si="513"/>
      </c>
      <c r="I4" s="618">
        <f t="shared" si="0"/>
      </c>
      <c r="J4" s="619">
        <f t="shared" si="375"/>
      </c>
      <c r="K4" s="620">
        <f t="shared" si="428"/>
      </c>
      <c r="L4" s="617">
        <f t="shared" si="184"/>
      </c>
      <c r="M4" s="617">
        <f t="shared" si="269"/>
      </c>
      <c r="N4" s="621">
        <f t="shared" si="53"/>
      </c>
      <c r="O4" s="621">
        <f t="shared" si="95"/>
      </c>
      <c r="P4" s="621">
        <f t="shared" si="157"/>
      </c>
      <c r="Q4" s="621">
        <f t="shared" si="539"/>
      </c>
      <c r="R4" s="617">
        <f t="shared" si="26"/>
      </c>
      <c r="S4" s="619">
        <f t="shared" si="401"/>
      </c>
      <c r="T4" s="621">
        <f t="shared" si="470"/>
      </c>
      <c r="U4" s="621">
        <f t="shared" si="226"/>
      </c>
      <c r="V4" s="617">
        <f t="shared" si="311"/>
      </c>
      <c r="W4" s="621">
        <f t="shared" si="130"/>
      </c>
      <c r="X4" s="613" t="s">
        <v>327</v>
      </c>
      <c r="Y4" s="613" t="s">
        <v>328</v>
      </c>
      <c r="Z4" s="622">
        <v>32303</v>
      </c>
      <c r="AA4" s="622">
        <v>1408</v>
      </c>
      <c r="AB4" s="622">
        <v>31125</v>
      </c>
      <c r="AC4" s="622">
        <v>487</v>
      </c>
      <c r="AD4" s="622">
        <v>1</v>
      </c>
      <c r="AE4" s="622">
        <v>5768</v>
      </c>
      <c r="AF4" s="622">
        <v>133</v>
      </c>
      <c r="AG4" s="622">
        <v>115</v>
      </c>
      <c r="AH4" s="622">
        <v>7</v>
      </c>
      <c r="AI4" s="623">
        <v>0</v>
      </c>
    </row>
    <row customHeight="true" ht="16.071428571428573" r="5">
      <c r="A5" s="612"/>
      <c r="B5" s="613" t="s">
        <v>325</v>
      </c>
      <c r="C5" s="609" t="s">
        <v>330</v>
      </c>
      <c r="D5" s="614">
        <v>1344.53</v>
      </c>
      <c r="E5" s="615">
        <v>1</v>
      </c>
      <c r="F5" s="616">
        <v>196</v>
      </c>
      <c r="G5" s="616"/>
      <c r="H5" s="617">
        <f t="shared" si="513"/>
      </c>
      <c r="I5" s="618">
        <f t="shared" si="0"/>
      </c>
      <c r="J5" s="619">
        <f t="shared" si="375"/>
      </c>
      <c r="K5" s="620">
        <f t="shared" si="428"/>
      </c>
      <c r="L5" s="617">
        <f t="shared" si="184"/>
      </c>
      <c r="M5" s="617">
        <f t="shared" si="269"/>
      </c>
      <c r="N5" s="621">
        <f t="shared" si="53"/>
      </c>
      <c r="O5" s="621">
        <f t="shared" si="95"/>
      </c>
      <c r="P5" s="621">
        <f t="shared" si="157"/>
      </c>
      <c r="Q5" s="621">
        <f t="shared" si="539"/>
      </c>
      <c r="R5" s="617">
        <f t="shared" si="26"/>
      </c>
      <c r="S5" s="619">
        <f t="shared" si="401"/>
      </c>
      <c r="T5" s="621">
        <f t="shared" si="470"/>
      </c>
      <c r="U5" s="621">
        <f t="shared" si="226"/>
      </c>
      <c r="V5" s="617">
        <f t="shared" si="311"/>
      </c>
      <c r="W5" s="621">
        <f t="shared" si="130"/>
      </c>
      <c r="X5" s="613" t="s">
        <v>327</v>
      </c>
      <c r="Y5" s="613" t="s">
        <v>328</v>
      </c>
      <c r="Z5" s="622">
        <v>23288</v>
      </c>
      <c r="AA5" s="622">
        <v>2164</v>
      </c>
      <c r="AB5" s="622">
        <v>19800</v>
      </c>
      <c r="AC5" s="622">
        <v>537</v>
      </c>
      <c r="AD5" s="622">
        <v>1</v>
      </c>
      <c r="AE5" s="622">
        <v>3413</v>
      </c>
      <c r="AF5" s="622">
        <v>218</v>
      </c>
      <c r="AG5" s="622">
        <v>182</v>
      </c>
      <c r="AH5" s="622">
        <v>7</v>
      </c>
      <c r="AI5" s="623">
        <v>0</v>
      </c>
    </row>
    <row r="6">
      <c r="A6" s="612"/>
      <c r="B6" s="613" t="s">
        <v>325</v>
      </c>
      <c r="C6" s="609" t="s">
        <v>331</v>
      </c>
      <c r="D6" s="614">
        <v>971.033</v>
      </c>
      <c r="E6" s="624">
        <v>2</v>
      </c>
      <c r="F6" s="614">
        <v>445.2</v>
      </c>
      <c r="G6" s="614"/>
      <c r="H6" s="617">
        <f t="shared" si="513"/>
      </c>
      <c r="I6" s="618">
        <f t="shared" si="0"/>
      </c>
      <c r="J6" s="619">
        <f t="shared" si="375"/>
      </c>
      <c r="K6" s="620">
        <f t="shared" si="428"/>
      </c>
      <c r="L6" s="617">
        <f t="shared" si="184"/>
      </c>
      <c r="M6" s="617">
        <f t="shared" si="269"/>
      </c>
      <c r="N6" s="621">
        <f t="shared" si="53"/>
      </c>
      <c r="O6" s="621">
        <f t="shared" si="95"/>
      </c>
      <c r="P6" s="621">
        <f t="shared" si="157"/>
      </c>
      <c r="Q6" s="621">
        <f t="shared" si="539"/>
      </c>
      <c r="R6" s="617">
        <f t="shared" si="26"/>
      </c>
      <c r="S6" s="619">
        <f t="shared" si="401"/>
      </c>
      <c r="T6" s="621">
        <f t="shared" si="470"/>
      </c>
      <c r="U6" s="621">
        <f t="shared" si="226"/>
      </c>
      <c r="V6" s="617">
        <f t="shared" si="311"/>
      </c>
      <c r="W6" s="621">
        <f t="shared" si="130"/>
      </c>
      <c r="X6" s="613" t="s">
        <v>327</v>
      </c>
      <c r="Y6" s="613" t="s">
        <v>328</v>
      </c>
      <c r="Z6" s="622">
        <v>11852</v>
      </c>
      <c r="AA6" s="622">
        <v>1438</v>
      </c>
      <c r="AB6" s="622">
        <v>9690</v>
      </c>
      <c r="AC6" s="622">
        <v>345</v>
      </c>
      <c r="AD6" s="622">
        <v>1</v>
      </c>
      <c r="AE6" s="622">
        <v>1363</v>
      </c>
      <c r="AF6" s="622">
        <v>63</v>
      </c>
      <c r="AG6" s="622">
        <v>142</v>
      </c>
      <c r="AH6" s="622">
        <v>6</v>
      </c>
      <c r="AI6" s="623">
        <v>1</v>
      </c>
    </row>
    <row r="7">
      <c r="A7" s="612"/>
      <c r="B7" s="625" t="s">
        <v>332</v>
      </c>
      <c r="C7" s="625"/>
      <c r="D7" s="626">
        <f>SUM(D3:D6)</f>
      </c>
      <c r="E7" s="627">
        <f>SUM(E3:E6)</f>
      </c>
      <c r="F7" s="626">
        <f>SUM(F3:F6)</f>
      </c>
      <c r="G7" s="626"/>
      <c r="H7" s="628">
        <f t="shared" si="513"/>
      </c>
      <c r="I7" s="629">
        <f t="shared" si="0"/>
      </c>
      <c r="J7" s="630">
        <f t="shared" si="375"/>
      </c>
      <c r="K7" s="631">
        <f t="shared" si="428"/>
      </c>
      <c r="L7" s="628">
        <f t="shared" si="184"/>
      </c>
      <c r="M7" s="628">
        <f t="shared" si="269"/>
      </c>
      <c r="N7" s="632">
        <f t="shared" si="53"/>
      </c>
      <c r="O7" s="632">
        <f t="shared" si="95"/>
      </c>
      <c r="P7" s="632">
        <f t="shared" si="157"/>
      </c>
      <c r="Q7" s="632">
        <f t="shared" si="539"/>
      </c>
      <c r="R7" s="628">
        <f t="shared" si="26"/>
      </c>
      <c r="S7" s="630">
        <f t="shared" si="401"/>
      </c>
      <c r="T7" s="632">
        <f t="shared" si="470"/>
      </c>
      <c r="U7" s="632">
        <f t="shared" si="226"/>
      </c>
      <c r="V7" s="628">
        <f t="shared" si="311"/>
      </c>
      <c r="W7" s="632">
        <f t="shared" si="130"/>
      </c>
      <c r="X7" s="632"/>
      <c r="Y7" s="633"/>
      <c r="Z7" s="633">
        <f>SUM(Z3:Z6)</f>
      </c>
      <c r="AA7" s="633">
        <f>SUM(AA3:AA6)</f>
      </c>
      <c r="AB7" s="633">
        <f>SUM(AB3:AB6)</f>
      </c>
      <c r="AC7" s="633">
        <f>SUM(AC3:AC6)</f>
      </c>
      <c r="AD7" s="633">
        <f>SUM(AD3:AD6)</f>
      </c>
      <c r="AE7" s="633">
        <f>SUM(AE3:AE6)</f>
      </c>
      <c r="AF7" s="633">
        <f>SUM(AF3:AF6)</f>
      </c>
      <c r="AG7" s="633">
        <f>SUM(AG3:AG6)</f>
      </c>
      <c r="AH7" s="633">
        <f>SUM(AH3:AH6)</f>
      </c>
      <c r="AI7" s="633">
        <f>SUM(AI3:AI6)</f>
      </c>
    </row>
    <row r="8">
      <c r="A8" s="612"/>
      <c r="B8" s="613" t="s">
        <v>333</v>
      </c>
      <c r="C8" s="634" t="s">
        <v>334</v>
      </c>
      <c r="D8" s="614">
        <v>1081.877</v>
      </c>
      <c r="E8" s="615">
        <v>1</v>
      </c>
      <c r="F8" s="616">
        <v>228</v>
      </c>
      <c r="G8" s="616"/>
      <c r="H8" s="617">
        <f t="shared" si="513"/>
      </c>
      <c r="I8" s="618">
        <f t="shared" si="0"/>
      </c>
      <c r="J8" s="619">
        <f t="shared" si="375"/>
      </c>
      <c r="K8" s="620">
        <f t="shared" si="428"/>
      </c>
      <c r="L8" s="617">
        <f t="shared" si="184"/>
      </c>
      <c r="M8" s="622">
        <f t="shared" si="269"/>
      </c>
      <c r="N8" s="621">
        <f t="shared" si="53"/>
      </c>
      <c r="O8" s="621">
        <f t="shared" si="95"/>
      </c>
      <c r="P8" s="621">
        <f t="shared" si="157"/>
      </c>
      <c r="Q8" s="621">
        <f t="shared" si="539"/>
      </c>
      <c r="R8" s="617">
        <f t="shared" si="26"/>
      </c>
      <c r="S8" s="619">
        <f t="shared" si="401"/>
      </c>
      <c r="T8" s="621">
        <f t="shared" si="470"/>
      </c>
      <c r="U8" s="621">
        <f t="shared" si="226"/>
      </c>
      <c r="V8" s="617">
        <f t="shared" si="311"/>
      </c>
      <c r="W8" s="621">
        <f t="shared" si="130"/>
      </c>
      <c r="X8" s="613" t="s">
        <v>327</v>
      </c>
      <c r="Y8" s="613" t="s">
        <v>328</v>
      </c>
      <c r="Z8" s="622">
        <v>18909</v>
      </c>
      <c r="AA8" s="622">
        <v>1572</v>
      </c>
      <c r="AB8" s="622">
        <v>17184</v>
      </c>
      <c r="AC8" s="622">
        <v>392</v>
      </c>
      <c r="AD8" s="622">
        <v>1</v>
      </c>
      <c r="AE8" s="622">
        <v>2517</v>
      </c>
      <c r="AF8" s="622">
        <v>84</v>
      </c>
      <c r="AG8" s="622">
        <v>146</v>
      </c>
      <c r="AH8" s="622">
        <v>1</v>
      </c>
      <c r="AI8" s="623">
        <v>0</v>
      </c>
    </row>
    <row r="9">
      <c r="A9" s="612"/>
      <c r="B9" s="613" t="s">
        <v>333</v>
      </c>
      <c r="C9" s="609" t="s">
        <v>335</v>
      </c>
      <c r="D9" s="614">
        <v>806.113</v>
      </c>
      <c r="E9" s="615">
        <v>1</v>
      </c>
      <c r="F9" s="614">
        <v>228</v>
      </c>
      <c r="G9" s="614"/>
      <c r="H9" s="617">
        <f t="shared" si="513"/>
      </c>
      <c r="I9" s="618">
        <f t="shared" si="0"/>
      </c>
      <c r="J9" s="619">
        <f t="shared" si="375"/>
      </c>
      <c r="K9" s="620">
        <f t="shared" si="428"/>
      </c>
      <c r="L9" s="617">
        <f t="shared" si="184"/>
      </c>
      <c r="M9" s="617">
        <f t="shared" si="269"/>
      </c>
      <c r="N9" s="621">
        <f t="shared" si="53"/>
      </c>
      <c r="O9" s="621">
        <f t="shared" si="95"/>
      </c>
      <c r="P9" s="621">
        <f t="shared" si="157"/>
      </c>
      <c r="Q9" s="621">
        <f t="shared" si="539"/>
      </c>
      <c r="R9" s="617">
        <f t="shared" si="26"/>
      </c>
      <c r="S9" s="619">
        <f t="shared" si="401"/>
      </c>
      <c r="T9" s="621">
        <f t="shared" si="470"/>
      </c>
      <c r="U9" s="621">
        <f t="shared" si="226"/>
      </c>
      <c r="V9" s="617">
        <f t="shared" si="311"/>
      </c>
      <c r="W9" s="621">
        <f t="shared" si="130"/>
      </c>
      <c r="X9" s="613" t="s">
        <v>327</v>
      </c>
      <c r="Y9" s="613" t="s">
        <v>328</v>
      </c>
      <c r="Z9" s="622">
        <v>21834</v>
      </c>
      <c r="AA9" s="622">
        <v>1476</v>
      </c>
      <c r="AB9" s="622">
        <v>20236</v>
      </c>
      <c r="AC9" s="622">
        <v>372</v>
      </c>
      <c r="AD9" s="622">
        <v>1</v>
      </c>
      <c r="AE9" s="622">
        <v>3352</v>
      </c>
      <c r="AF9" s="622">
        <v>91</v>
      </c>
      <c r="AG9" s="622">
        <v>126</v>
      </c>
      <c r="AH9" s="622">
        <v>10</v>
      </c>
      <c r="AI9" s="623">
        <v>0</v>
      </c>
    </row>
    <row customHeight="true" ht="16.071428571428573" r="10">
      <c r="A10" s="612"/>
      <c r="B10" s="613" t="s">
        <v>333</v>
      </c>
      <c r="C10" s="616" t="s">
        <v>336</v>
      </c>
      <c r="D10" s="614">
        <v>814.384</v>
      </c>
      <c r="E10" s="615">
        <v>3</v>
      </c>
      <c r="F10" s="614">
        <v>1220</v>
      </c>
      <c r="G10" s="614"/>
      <c r="H10" s="617">
        <f t="shared" si="513"/>
      </c>
      <c r="I10" s="618">
        <f t="shared" si="0"/>
      </c>
      <c r="J10" s="619">
        <f t="shared" si="375"/>
      </c>
      <c r="K10" s="620">
        <f t="shared" si="428"/>
      </c>
      <c r="L10" s="617">
        <f t="shared" si="184"/>
      </c>
      <c r="M10" s="617">
        <f t="shared" si="269"/>
      </c>
      <c r="N10" s="621">
        <f t="shared" si="53"/>
      </c>
      <c r="O10" s="621">
        <f t="shared" si="95"/>
      </c>
      <c r="P10" s="621">
        <f t="shared" si="157"/>
      </c>
      <c r="Q10" s="621">
        <f t="shared" si="539"/>
      </c>
      <c r="R10" s="617">
        <f t="shared" si="26"/>
      </c>
      <c r="S10" s="619">
        <f t="shared" si="401"/>
      </c>
      <c r="T10" s="621">
        <f t="shared" si="470"/>
      </c>
      <c r="U10" s="621">
        <f t="shared" si="226"/>
      </c>
      <c r="V10" s="617">
        <f t="shared" si="311"/>
      </c>
      <c r="W10" s="621">
        <f t="shared" si="130"/>
      </c>
      <c r="X10" s="613" t="s">
        <v>327</v>
      </c>
      <c r="Y10" s="613" t="s">
        <v>328</v>
      </c>
      <c r="Z10" s="622">
        <v>22397</v>
      </c>
      <c r="AA10" s="622">
        <v>1241</v>
      </c>
      <c r="AB10" s="622">
        <v>20087</v>
      </c>
      <c r="AC10" s="622">
        <v>282</v>
      </c>
      <c r="AD10" s="622">
        <v>3</v>
      </c>
      <c r="AE10" s="622">
        <v>3366</v>
      </c>
      <c r="AF10" s="622">
        <v>109</v>
      </c>
      <c r="AG10" s="622">
        <v>98</v>
      </c>
      <c r="AH10" s="622">
        <v>14</v>
      </c>
      <c r="AI10" s="623">
        <v>0</v>
      </c>
    </row>
    <row r="11">
      <c r="A11" s="612"/>
      <c r="B11" s="625" t="s">
        <v>332</v>
      </c>
      <c r="C11" s="625"/>
      <c r="D11" s="626">
        <f>SUM(D8:D10)</f>
      </c>
      <c r="E11" s="627">
        <f>SUM(E8:E10)</f>
      </c>
      <c r="F11" s="626">
        <f>SUM(F8:F10)</f>
      </c>
      <c r="G11" s="626"/>
      <c r="H11" s="628">
        <f t="shared" si="513"/>
      </c>
      <c r="I11" s="629">
        <f t="shared" si="0"/>
      </c>
      <c r="J11" s="630">
        <f t="shared" si="375"/>
      </c>
      <c r="K11" s="631">
        <f t="shared" si="428"/>
      </c>
      <c r="L11" s="628">
        <f t="shared" si="184"/>
      </c>
      <c r="M11" s="628">
        <f t="shared" si="269"/>
      </c>
      <c r="N11" s="632">
        <f t="shared" si="53"/>
      </c>
      <c r="O11" s="632">
        <f t="shared" si="95"/>
      </c>
      <c r="P11" s="632">
        <f t="shared" si="157"/>
      </c>
      <c r="Q11" s="632">
        <f t="shared" si="539"/>
      </c>
      <c r="R11" s="628">
        <f t="shared" si="26"/>
      </c>
      <c r="S11" s="630">
        <f t="shared" si="401"/>
      </c>
      <c r="T11" s="632">
        <f t="shared" si="470"/>
      </c>
      <c r="U11" s="632">
        <f t="shared" si="226"/>
      </c>
      <c r="V11" s="628">
        <f t="shared" si="311"/>
      </c>
      <c r="W11" s="632">
        <f t="shared" si="130"/>
      </c>
      <c r="X11" s="632"/>
      <c r="Y11" s="633"/>
      <c r="Z11" s="633">
        <f>SUM(Z8:Z10)</f>
      </c>
      <c r="AA11" s="633">
        <f>SUM(AA8:AA10)</f>
      </c>
      <c r="AB11" s="633">
        <f>SUM(AB8:AB10)</f>
      </c>
      <c r="AC11" s="633">
        <f>SUM(AC8:AC10)</f>
      </c>
      <c r="AD11" s="633">
        <f>SUM(AD8:AD10)</f>
      </c>
      <c r="AE11" s="633">
        <f>SUM(AE8:AE10)</f>
      </c>
      <c r="AF11" s="633">
        <f>SUM(AF8:AF10)</f>
      </c>
      <c r="AG11" s="633">
        <f>SUM(AG8:AG10)</f>
      </c>
      <c r="AH11" s="633">
        <f>SUM(AH8:AH10)</f>
      </c>
      <c r="AI11" s="633">
        <f>SUM(AI8:AI10)</f>
      </c>
    </row>
    <row r="12">
      <c r="A12" s="612"/>
      <c r="B12" s="635" t="s">
        <v>337</v>
      </c>
      <c r="C12" s="635"/>
      <c r="D12" s="636">
        <f>SUM(D11+D7)</f>
      </c>
      <c r="E12" s="637">
        <f>SUM(E11+E7)</f>
      </c>
      <c r="F12" s="636">
        <f>SUM(F11+F7)</f>
      </c>
      <c r="G12" s="636"/>
      <c r="H12" s="638">
        <f t="shared" si="513"/>
      </c>
      <c r="I12" s="639">
        <f t="shared" si="0"/>
      </c>
      <c r="J12" s="640">
        <f t="shared" si="375"/>
      </c>
      <c r="K12" s="641">
        <f t="shared" si="428"/>
      </c>
      <c r="L12" s="641">
        <f t="shared" si="184"/>
      </c>
      <c r="M12" s="642">
        <f t="shared" si="269"/>
      </c>
      <c r="N12" s="643">
        <f t="shared" si="53"/>
      </c>
      <c r="O12" s="643">
        <f t="shared" si="95"/>
      </c>
      <c r="P12" s="643">
        <f t="shared" si="157"/>
      </c>
      <c r="Q12" s="643">
        <f t="shared" si="539"/>
      </c>
      <c r="R12" s="642">
        <f t="shared" si="26"/>
      </c>
      <c r="S12" s="644">
        <f t="shared" si="401"/>
      </c>
      <c r="T12" s="645">
        <f t="shared" si="470"/>
      </c>
      <c r="U12" s="645">
        <f t="shared" si="226"/>
      </c>
      <c r="V12" s="639">
        <f t="shared" si="311"/>
      </c>
      <c r="W12" s="645">
        <f t="shared" si="130"/>
      </c>
      <c r="X12" s="645"/>
      <c r="Y12" s="646"/>
      <c r="Z12" s="646">
        <f>Z7+Z11</f>
      </c>
      <c r="AA12" s="646">
        <f>AA7+AA11</f>
      </c>
      <c r="AB12" s="646">
        <f>AB7+AB11</f>
      </c>
      <c r="AC12" s="646">
        <f>AC7+AC11</f>
      </c>
      <c r="AD12" s="646">
        <f>AD7+AD11</f>
      </c>
      <c r="AE12" s="646">
        <f>AE7+AE11</f>
      </c>
      <c r="AF12" s="646">
        <f>AF7+AF11</f>
      </c>
      <c r="AG12" s="646">
        <f>AG7+AG11</f>
      </c>
      <c r="AH12" s="646">
        <f>AH7+AH11</f>
      </c>
      <c r="AI12" s="646">
        <f>AI7+AI11</f>
      </c>
    </row>
    <row r="13">
      <c r="A13" s="594"/>
      <c r="B13" s="594"/>
      <c r="C13" s="594"/>
      <c r="D13" s="595" t="s">
        <v>288</v>
      </c>
      <c r="E13" s="595"/>
      <c r="F13" s="595"/>
      <c r="G13" s="595"/>
      <c r="H13" s="595"/>
      <c r="I13" s="595"/>
      <c r="J13" s="595"/>
      <c r="K13" s="597" t="s">
        <v>289</v>
      </c>
      <c r="L13" s="597"/>
      <c r="M13" s="597"/>
      <c r="N13" s="597"/>
      <c r="O13" s="597"/>
      <c r="P13" s="597"/>
      <c r="Q13" s="597"/>
      <c r="R13" s="597"/>
      <c r="S13" s="597"/>
      <c r="T13" s="598" t="s">
        <v>290</v>
      </c>
      <c r="U13" s="598"/>
      <c r="V13" s="598"/>
      <c r="W13" s="598"/>
      <c r="X13" s="599"/>
      <c r="Y13" s="599"/>
      <c r="Z13" s="601"/>
      <c r="AA13" s="601"/>
      <c r="AB13" s="601"/>
      <c r="AC13" s="601"/>
      <c r="AD13" s="601"/>
      <c r="AE13" s="601"/>
      <c r="AF13" s="601"/>
      <c r="AG13" s="601"/>
      <c r="AH13" s="602"/>
      <c r="AI13" s="601"/>
    </row>
    <row r="14">
      <c r="A14" s="603" t="s">
        <v>291</v>
      </c>
      <c r="B14" s="594" t="s">
        <v>292</v>
      </c>
      <c r="C14" s="594" t="s">
        <v>293</v>
      </c>
      <c r="D14" s="604" t="s">
        <v>294</v>
      </c>
      <c r="E14" s="605" t="s">
        <v>295</v>
      </c>
      <c r="F14" s="604" t="s">
        <v>296</v>
      </c>
      <c r="G14" s="604"/>
      <c r="H14" s="595" t="s">
        <v>297</v>
      </c>
      <c r="I14" s="595" t="s">
        <v>298</v>
      </c>
      <c r="J14" s="595" t="s">
        <v>299</v>
      </c>
      <c r="K14" s="597" t="s">
        <v>300</v>
      </c>
      <c r="L14" s="597" t="s">
        <v>301</v>
      </c>
      <c r="M14" s="597" t="s">
        <v>302</v>
      </c>
      <c r="N14" s="597" t="s">
        <v>303</v>
      </c>
      <c r="O14" s="597" t="s">
        <v>304</v>
      </c>
      <c r="P14" s="597" t="s">
        <v>305</v>
      </c>
      <c r="Q14" s="597" t="s">
        <v>306</v>
      </c>
      <c r="R14" s="597" t="s">
        <v>307</v>
      </c>
      <c r="S14" s="597" t="s">
        <v>308</v>
      </c>
      <c r="T14" s="606" t="s">
        <v>309</v>
      </c>
      <c r="U14" s="606" t="s">
        <v>310</v>
      </c>
      <c r="V14" s="606" t="s">
        <v>311</v>
      </c>
      <c r="W14" s="606" t="s">
        <v>312</v>
      </c>
      <c r="X14" s="607" t="s">
        <v>313</v>
      </c>
      <c r="Y14" s="607" t="s">
        <v>314</v>
      </c>
      <c r="Z14" s="609" t="s">
        <v>315</v>
      </c>
      <c r="AA14" s="609" t="s">
        <v>316</v>
      </c>
      <c r="AB14" s="609" t="s">
        <v>317</v>
      </c>
      <c r="AC14" s="609" t="s">
        <v>318</v>
      </c>
      <c r="AD14" s="609" t="s">
        <v>319</v>
      </c>
      <c r="AE14" s="610" t="s">
        <v>320</v>
      </c>
      <c r="AF14" s="609" t="s">
        <v>321</v>
      </c>
      <c r="AG14" s="609" t="s">
        <v>322</v>
      </c>
      <c r="AH14" s="611" t="s">
        <v>323</v>
      </c>
      <c r="AI14" s="609" t="s">
        <v>324</v>
      </c>
    </row>
    <row r="15">
      <c r="A15" s="612">
        <v>46180</v>
      </c>
      <c r="B15" s="613" t="s">
        <v>333</v>
      </c>
      <c r="C15" s="609" t="s">
        <v>338</v>
      </c>
      <c r="D15" s="614">
        <v>908.463</v>
      </c>
      <c r="E15" s="615">
        <v>2</v>
      </c>
      <c r="F15" s="647">
        <v>456</v>
      </c>
      <c r="G15" s="647"/>
      <c r="H15" s="617">
        <f t="shared" ref="H15:H25" si="514">F15/E15</f>
      </c>
      <c r="I15" s="618">
        <f t="shared" ref="I15:I25" si="1">D15/E15</f>
      </c>
      <c r="J15" s="619">
        <f t="shared" ref="J15:J25" si="376">F15/D15</f>
      </c>
      <c r="K15" s="620">
        <f t="shared" ref="K15:K25" si="429">D15/AB15</f>
      </c>
      <c r="L15" s="617">
        <f t="shared" ref="L15:L25" si="185">D15/AC15</f>
      </c>
      <c r="M15" s="617">
        <f t="shared" ref="M15:M25" si="270">D15/AD15</f>
      </c>
      <c r="N15" s="621">
        <f t="shared" ref="N15:N25" si="54">AC15/AB15</f>
      </c>
      <c r="O15" s="621">
        <f t="shared" ref="O15:O25" si="96">AD15/AC15</f>
      </c>
      <c r="P15" s="621">
        <f t="shared" ref="P15:P25" si="158">AA15/Z15</f>
      </c>
      <c r="Q15" s="621">
        <f t="shared" ref="Q15:Q25" si="540">AD15/AA15</f>
      </c>
      <c r="R15" s="617">
        <f t="shared" ref="R15:R25" si="27">D15/Z15*1000</f>
      </c>
      <c r="S15" s="619">
        <f t="shared" ref="S15:S25" si="402">D15/AA15</f>
      </c>
      <c r="T15" s="621">
        <f t="shared" ref="T15:T25" si="471">AE15/AB15</f>
      </c>
      <c r="U15" s="621">
        <f t="shared" ref="U15:U25" si="227">AF15/AB15</f>
      </c>
      <c r="V15" s="617">
        <f t="shared" ref="V15:V25" si="312">AG15/AB15</f>
      </c>
      <c r="W15" s="621">
        <f t="shared" ref="W15:W25" si="131">AH15/AB15</f>
      </c>
      <c r="X15" s="613" t="s">
        <v>327</v>
      </c>
      <c r="Y15" s="613" t="s">
        <v>339</v>
      </c>
      <c r="Z15" s="622">
        <v>29194</v>
      </c>
      <c r="AA15" s="622">
        <v>1451</v>
      </c>
      <c r="AB15" s="622">
        <v>27350</v>
      </c>
      <c r="AC15" s="622">
        <v>453</v>
      </c>
      <c r="AD15" s="622">
        <v>2</v>
      </c>
      <c r="AE15" s="622">
        <v>6700</v>
      </c>
      <c r="AF15" s="622">
        <v>225</v>
      </c>
      <c r="AG15" s="622">
        <v>136</v>
      </c>
      <c r="AH15" s="622">
        <v>6</v>
      </c>
      <c r="AI15" s="623">
        <v>0</v>
      </c>
    </row>
    <row r="16">
      <c r="A16" s="612"/>
      <c r="B16" s="613" t="s">
        <v>333</v>
      </c>
      <c r="C16" s="616" t="s">
        <v>340</v>
      </c>
      <c r="D16" s="614">
        <v>886.2729999999999</v>
      </c>
      <c r="E16" s="615">
        <v>2</v>
      </c>
      <c r="F16" s="647">
        <v>1056</v>
      </c>
      <c r="G16" s="647"/>
      <c r="H16" s="617">
        <f t="shared" si="514"/>
      </c>
      <c r="I16" s="618">
        <f t="shared" si="1"/>
      </c>
      <c r="J16" s="619">
        <f t="shared" si="376"/>
      </c>
      <c r="K16" s="620">
        <f t="shared" si="429"/>
      </c>
      <c r="L16" s="617">
        <f t="shared" si="185"/>
      </c>
      <c r="M16" s="617">
        <f t="shared" si="270"/>
      </c>
      <c r="N16" s="621">
        <f t="shared" si="54"/>
      </c>
      <c r="O16" s="621">
        <f t="shared" si="96"/>
      </c>
      <c r="P16" s="621">
        <f t="shared" si="158"/>
      </c>
      <c r="Q16" s="621">
        <f t="shared" si="540"/>
      </c>
      <c r="R16" s="617">
        <f t="shared" si="27"/>
      </c>
      <c r="S16" s="619">
        <f t="shared" si="402"/>
      </c>
      <c r="T16" s="621">
        <f t="shared" si="471"/>
      </c>
      <c r="U16" s="621">
        <f t="shared" si="227"/>
      </c>
      <c r="V16" s="617">
        <f t="shared" si="312"/>
      </c>
      <c r="W16" s="621">
        <f t="shared" si="131"/>
      </c>
      <c r="X16" s="613" t="s">
        <v>327</v>
      </c>
      <c r="Y16" s="613" t="s">
        <v>339</v>
      </c>
      <c r="Z16" s="622">
        <v>15645</v>
      </c>
      <c r="AA16" s="622">
        <v>1597</v>
      </c>
      <c r="AB16" s="622">
        <v>13236</v>
      </c>
      <c r="AC16" s="622">
        <v>377</v>
      </c>
      <c r="AD16" s="622">
        <v>2</v>
      </c>
      <c r="AE16" s="622">
        <v>2515</v>
      </c>
      <c r="AF16" s="622">
        <v>135</v>
      </c>
      <c r="AG16" s="622">
        <v>120</v>
      </c>
      <c r="AH16" s="622">
        <v>2</v>
      </c>
      <c r="AI16" s="623">
        <v>0</v>
      </c>
    </row>
    <row r="17">
      <c r="A17" s="612"/>
      <c r="B17" s="613" t="s">
        <v>333</v>
      </c>
      <c r="C17" s="616" t="s">
        <v>341</v>
      </c>
      <c r="D17" s="614">
        <v>662.412</v>
      </c>
      <c r="E17" s="615">
        <v>0</v>
      </c>
      <c r="F17" s="647">
        <v>0</v>
      </c>
      <c r="G17" s="647"/>
      <c r="H17" s="617">
        <f t="shared" si="514"/>
      </c>
      <c r="I17" s="618">
        <f t="shared" si="1"/>
      </c>
      <c r="J17" s="619">
        <f t="shared" si="376"/>
      </c>
      <c r="K17" s="620">
        <f t="shared" si="429"/>
      </c>
      <c r="L17" s="617">
        <f t="shared" si="185"/>
      </c>
      <c r="M17" s="617">
        <f t="shared" si="270"/>
      </c>
      <c r="N17" s="621">
        <f t="shared" si="54"/>
      </c>
      <c r="O17" s="621">
        <f t="shared" si="96"/>
      </c>
      <c r="P17" s="621">
        <f t="shared" si="158"/>
      </c>
      <c r="Q17" s="621">
        <f t="shared" si="540"/>
      </c>
      <c r="R17" s="617">
        <f t="shared" si="27"/>
      </c>
      <c r="S17" s="619">
        <f t="shared" si="402"/>
      </c>
      <c r="T17" s="621">
        <f t="shared" si="471"/>
      </c>
      <c r="U17" s="621">
        <f t="shared" si="227"/>
      </c>
      <c r="V17" s="617">
        <f t="shared" si="312"/>
      </c>
      <c r="W17" s="621">
        <f t="shared" si="131"/>
      </c>
      <c r="X17" s="613" t="s">
        <v>327</v>
      </c>
      <c r="Y17" s="613" t="s">
        <v>339</v>
      </c>
      <c r="Z17" s="622">
        <v>10984</v>
      </c>
      <c r="AA17" s="622">
        <v>1360</v>
      </c>
      <c r="AB17" s="622">
        <v>8580</v>
      </c>
      <c r="AC17" s="622">
        <v>323</v>
      </c>
      <c r="AD17" s="622">
        <v>0</v>
      </c>
      <c r="AE17" s="622">
        <v>1421</v>
      </c>
      <c r="AF17" s="622">
        <v>86</v>
      </c>
      <c r="AG17" s="622">
        <v>128</v>
      </c>
      <c r="AH17" s="622">
        <v>4</v>
      </c>
      <c r="AI17" s="623">
        <v>0</v>
      </c>
    </row>
    <row r="18">
      <c r="A18" s="612"/>
      <c r="B18" s="613" t="s">
        <v>333</v>
      </c>
      <c r="C18" s="616" t="s">
        <v>342</v>
      </c>
      <c r="D18" s="614">
        <v>436.55</v>
      </c>
      <c r="E18" s="624">
        <v>0</v>
      </c>
      <c r="F18" s="647">
        <v>0</v>
      </c>
      <c r="G18" s="647"/>
      <c r="H18" s="617">
        <f t="shared" si="514"/>
      </c>
      <c r="I18" s="618">
        <f t="shared" si="1"/>
      </c>
      <c r="J18" s="619">
        <f t="shared" si="376"/>
      </c>
      <c r="K18" s="620">
        <f t="shared" si="429"/>
      </c>
      <c r="L18" s="617">
        <f t="shared" si="185"/>
      </c>
      <c r="M18" s="617">
        <f t="shared" si="270"/>
      </c>
      <c r="N18" s="621">
        <f t="shared" si="54"/>
      </c>
      <c r="O18" s="621">
        <f t="shared" si="96"/>
      </c>
      <c r="P18" s="621">
        <f t="shared" si="158"/>
      </c>
      <c r="Q18" s="621">
        <f t="shared" si="540"/>
      </c>
      <c r="R18" s="617">
        <f t="shared" si="27"/>
      </c>
      <c r="S18" s="619">
        <f t="shared" si="402"/>
      </c>
      <c r="T18" s="621">
        <f t="shared" si="471"/>
      </c>
      <c r="U18" s="621">
        <f t="shared" si="227"/>
      </c>
      <c r="V18" s="617">
        <f t="shared" si="312"/>
      </c>
      <c r="W18" s="621">
        <f t="shared" si="131"/>
      </c>
      <c r="X18" s="613" t="s">
        <v>327</v>
      </c>
      <c r="Y18" s="613" t="s">
        <v>339</v>
      </c>
      <c r="Z18" s="622">
        <v>7541</v>
      </c>
      <c r="AA18" s="622">
        <v>1111</v>
      </c>
      <c r="AB18" s="622">
        <v>5518</v>
      </c>
      <c r="AC18" s="622">
        <v>207</v>
      </c>
      <c r="AD18" s="622">
        <v>0</v>
      </c>
      <c r="AE18" s="622">
        <v>737</v>
      </c>
      <c r="AF18" s="622">
        <v>53</v>
      </c>
      <c r="AG18" s="622">
        <v>71</v>
      </c>
      <c r="AH18" s="622">
        <v>6</v>
      </c>
      <c r="AI18" s="623">
        <v>0</v>
      </c>
    </row>
    <row r="19">
      <c r="A19" s="612"/>
      <c r="B19" s="625" t="s">
        <v>332</v>
      </c>
      <c r="C19" s="625"/>
      <c r="D19" s="626">
        <f>SUM(D15:D18)</f>
      </c>
      <c r="E19" s="627">
        <f>SUM(E15:E18)</f>
      </c>
      <c r="F19" s="648">
        <f>SUM(F15:F18)</f>
      </c>
      <c r="G19" s="648"/>
      <c r="H19" s="628">
        <f t="shared" si="514"/>
      </c>
      <c r="I19" s="629">
        <f t="shared" si="1"/>
      </c>
      <c r="J19" s="630">
        <f t="shared" si="376"/>
      </c>
      <c r="K19" s="631">
        <f t="shared" si="429"/>
      </c>
      <c r="L19" s="628">
        <f t="shared" si="185"/>
      </c>
      <c r="M19" s="628">
        <f t="shared" si="270"/>
      </c>
      <c r="N19" s="632">
        <f t="shared" si="54"/>
      </c>
      <c r="O19" s="632">
        <f t="shared" si="96"/>
      </c>
      <c r="P19" s="632">
        <f t="shared" si="158"/>
      </c>
      <c r="Q19" s="632">
        <f t="shared" si="540"/>
      </c>
      <c r="R19" s="628">
        <f t="shared" si="27"/>
      </c>
      <c r="S19" s="630">
        <f t="shared" si="402"/>
      </c>
      <c r="T19" s="632">
        <f t="shared" si="471"/>
      </c>
      <c r="U19" s="632">
        <f t="shared" si="227"/>
      </c>
      <c r="V19" s="628">
        <f t="shared" si="312"/>
      </c>
      <c r="W19" s="632">
        <f t="shared" si="131"/>
      </c>
      <c r="X19" s="632"/>
      <c r="Y19" s="633"/>
      <c r="Z19" s="633">
        <f>SUM(Z15:Z18)</f>
      </c>
      <c r="AA19" s="633">
        <f>SUM(AA15:AA18)</f>
      </c>
      <c r="AB19" s="633">
        <f>SUM(AB15:AB18)</f>
      </c>
      <c r="AC19" s="633">
        <f>SUM(AC15:AC18)</f>
      </c>
      <c r="AD19" s="633">
        <f>SUM(AD15:AD18)</f>
      </c>
      <c r="AE19" s="633">
        <f>SUM(AE15:AE18)</f>
      </c>
      <c r="AF19" s="633">
        <f>SUM(AF15:AF18)</f>
      </c>
      <c r="AG19" s="633">
        <f>SUM(AG15:AG18)</f>
      </c>
      <c r="AH19" s="633">
        <f>SUM(AH15:AH18)</f>
      </c>
      <c r="AI19" s="633">
        <f>SUM(AI15:AI18)</f>
      </c>
    </row>
    <row r="20">
      <c r="A20" s="612"/>
      <c r="B20" s="613" t="s">
        <v>325</v>
      </c>
      <c r="C20" s="634" t="s">
        <v>343</v>
      </c>
      <c r="D20" s="614">
        <v>239.226</v>
      </c>
      <c r="E20" s="615">
        <v>0</v>
      </c>
      <c r="F20" s="647">
        <v>0</v>
      </c>
      <c r="G20" s="647"/>
      <c r="H20" s="617">
        <f t="shared" si="514"/>
      </c>
      <c r="I20" s="618">
        <f t="shared" si="1"/>
      </c>
      <c r="J20" s="619">
        <f t="shared" si="376"/>
      </c>
      <c r="K20" s="620">
        <f t="shared" si="429"/>
      </c>
      <c r="L20" s="617">
        <f t="shared" si="185"/>
      </c>
      <c r="M20" s="622">
        <f t="shared" si="270"/>
      </c>
      <c r="N20" s="621">
        <f t="shared" si="54"/>
      </c>
      <c r="O20" s="621">
        <f t="shared" si="96"/>
      </c>
      <c r="P20" s="621">
        <f t="shared" si="158"/>
      </c>
      <c r="Q20" s="621">
        <f t="shared" si="540"/>
      </c>
      <c r="R20" s="617">
        <f t="shared" si="27"/>
      </c>
      <c r="S20" s="619">
        <f t="shared" si="402"/>
      </c>
      <c r="T20" s="621">
        <f t="shared" si="471"/>
      </c>
      <c r="U20" s="621">
        <f t="shared" si="227"/>
      </c>
      <c r="V20" s="617">
        <f t="shared" si="312"/>
      </c>
      <c r="W20" s="621">
        <f t="shared" si="131"/>
      </c>
      <c r="X20" s="613" t="s">
        <v>327</v>
      </c>
      <c r="Y20" s="613" t="s">
        <v>339</v>
      </c>
      <c r="Z20" s="622">
        <v>6339</v>
      </c>
      <c r="AA20" s="622">
        <v>791</v>
      </c>
      <c r="AB20" s="622">
        <v>4896</v>
      </c>
      <c r="AC20" s="622">
        <v>104</v>
      </c>
      <c r="AD20" s="622">
        <v>0</v>
      </c>
      <c r="AE20" s="622">
        <v>611</v>
      </c>
      <c r="AF20" s="622">
        <v>34</v>
      </c>
      <c r="AG20" s="622">
        <v>40</v>
      </c>
      <c r="AH20" s="622">
        <v>1</v>
      </c>
      <c r="AI20" s="623">
        <v>0</v>
      </c>
    </row>
    <row r="21">
      <c r="A21" s="612"/>
      <c r="B21" s="613" t="s">
        <v>325</v>
      </c>
      <c r="C21" s="609" t="s">
        <v>344</v>
      </c>
      <c r="D21" s="614">
        <v>378.413</v>
      </c>
      <c r="E21" s="615">
        <v>0</v>
      </c>
      <c r="F21" s="647">
        <v>0</v>
      </c>
      <c r="G21" s="647"/>
      <c r="H21" s="617">
        <f t="shared" si="514"/>
      </c>
      <c r="I21" s="618">
        <f t="shared" si="1"/>
      </c>
      <c r="J21" s="619">
        <f t="shared" si="376"/>
      </c>
      <c r="K21" s="620">
        <f t="shared" si="429"/>
      </c>
      <c r="L21" s="617">
        <f t="shared" si="185"/>
      </c>
      <c r="M21" s="617">
        <f t="shared" si="270"/>
      </c>
      <c r="N21" s="621">
        <f t="shared" si="54"/>
      </c>
      <c r="O21" s="621">
        <f t="shared" si="96"/>
      </c>
      <c r="P21" s="621">
        <f t="shared" si="158"/>
      </c>
      <c r="Q21" s="621">
        <f t="shared" si="540"/>
      </c>
      <c r="R21" s="617">
        <f t="shared" si="27"/>
      </c>
      <c r="S21" s="619">
        <f t="shared" si="402"/>
      </c>
      <c r="T21" s="621">
        <f t="shared" si="471"/>
      </c>
      <c r="U21" s="621">
        <f t="shared" si="227"/>
      </c>
      <c r="V21" s="617">
        <f t="shared" si="312"/>
      </c>
      <c r="W21" s="621">
        <f t="shared" si="131"/>
      </c>
      <c r="X21" s="613" t="s">
        <v>327</v>
      </c>
      <c r="Y21" s="613" t="s">
        <v>339</v>
      </c>
      <c r="Z21" s="622">
        <v>7006</v>
      </c>
      <c r="AA21" s="622">
        <v>909</v>
      </c>
      <c r="AB21" s="622">
        <v>5262</v>
      </c>
      <c r="AC21" s="622">
        <v>139</v>
      </c>
      <c r="AD21" s="622">
        <v>0</v>
      </c>
      <c r="AE21" s="622">
        <v>628</v>
      </c>
      <c r="AF21" s="622">
        <v>45</v>
      </c>
      <c r="AG21" s="622">
        <v>57</v>
      </c>
      <c r="AH21" s="622">
        <v>2</v>
      </c>
      <c r="AI21" s="623">
        <v>0</v>
      </c>
    </row>
    <row customHeight="true" ht="16.071428571428573" r="22">
      <c r="A22" s="612"/>
      <c r="B22" s="613" t="s">
        <v>325</v>
      </c>
      <c r="C22" s="616" t="s">
        <v>345</v>
      </c>
      <c r="D22" s="614">
        <v>365.88100000000003</v>
      </c>
      <c r="E22" s="615">
        <v>0</v>
      </c>
      <c r="F22" s="647">
        <v>0</v>
      </c>
      <c r="G22" s="647"/>
      <c r="H22" s="617">
        <f t="shared" si="514"/>
      </c>
      <c r="I22" s="618">
        <f t="shared" si="1"/>
      </c>
      <c r="J22" s="619">
        <f t="shared" si="376"/>
      </c>
      <c r="K22" s="620">
        <f t="shared" si="429"/>
      </c>
      <c r="L22" s="617">
        <f t="shared" si="185"/>
      </c>
      <c r="M22" s="617">
        <f t="shared" si="270"/>
      </c>
      <c r="N22" s="621">
        <f t="shared" si="54"/>
      </c>
      <c r="O22" s="621">
        <f t="shared" si="96"/>
      </c>
      <c r="P22" s="621">
        <f t="shared" si="158"/>
      </c>
      <c r="Q22" s="621">
        <f t="shared" si="540"/>
      </c>
      <c r="R22" s="617">
        <f t="shared" si="27"/>
      </c>
      <c r="S22" s="619">
        <f t="shared" si="402"/>
      </c>
      <c r="T22" s="621">
        <f t="shared" si="471"/>
      </c>
      <c r="U22" s="621">
        <f t="shared" si="227"/>
      </c>
      <c r="V22" s="617">
        <f t="shared" si="312"/>
      </c>
      <c r="W22" s="621">
        <f t="shared" si="131"/>
      </c>
      <c r="X22" s="613" t="s">
        <v>327</v>
      </c>
      <c r="Y22" s="613" t="s">
        <v>339</v>
      </c>
      <c r="Z22" s="622">
        <v>6037</v>
      </c>
      <c r="AA22" s="622">
        <v>833</v>
      </c>
      <c r="AB22" s="622">
        <v>4514</v>
      </c>
      <c r="AC22" s="622">
        <v>169</v>
      </c>
      <c r="AD22" s="622">
        <v>0</v>
      </c>
      <c r="AE22" s="622">
        <v>507</v>
      </c>
      <c r="AF22" s="622">
        <v>42</v>
      </c>
      <c r="AG22" s="622">
        <v>67</v>
      </c>
      <c r="AH22" s="622">
        <v>1</v>
      </c>
      <c r="AI22" s="623">
        <v>0</v>
      </c>
    </row>
    <row r="23">
      <c r="A23" s="612"/>
      <c r="B23" s="613" t="s">
        <v>325</v>
      </c>
      <c r="C23" s="616" t="s">
        <v>346</v>
      </c>
      <c r="D23" s="614">
        <v>371.14300000000003</v>
      </c>
      <c r="E23" s="615">
        <v>0</v>
      </c>
      <c r="F23" s="647">
        <v>0</v>
      </c>
      <c r="G23" s="647"/>
      <c r="H23" s="617">
        <f t="shared" si="514"/>
      </c>
      <c r="I23" s="618">
        <f t="shared" si="1"/>
      </c>
      <c r="J23" s="619">
        <f t="shared" si="376"/>
      </c>
      <c r="K23" s="620">
        <f t="shared" si="429"/>
      </c>
      <c r="L23" s="617">
        <f t="shared" si="185"/>
      </c>
      <c r="M23" s="617">
        <f t="shared" si="270"/>
      </c>
      <c r="N23" s="621">
        <f t="shared" si="54"/>
      </c>
      <c r="O23" s="621">
        <f t="shared" si="96"/>
      </c>
      <c r="P23" s="621">
        <f t="shared" si="158"/>
      </c>
      <c r="Q23" s="621">
        <f t="shared" si="540"/>
      </c>
      <c r="R23" s="617">
        <f t="shared" si="27"/>
      </c>
      <c r="S23" s="619">
        <f t="shared" si="402"/>
      </c>
      <c r="T23" s="621">
        <f t="shared" si="471"/>
      </c>
      <c r="U23" s="621">
        <f t="shared" si="227"/>
      </c>
      <c r="V23" s="617">
        <f t="shared" si="312"/>
      </c>
      <c r="W23" s="621">
        <f t="shared" si="131"/>
      </c>
      <c r="X23" s="613" t="s">
        <v>327</v>
      </c>
      <c r="Y23" s="613" t="s">
        <v>339</v>
      </c>
      <c r="Z23" s="622">
        <v>7039</v>
      </c>
      <c r="AA23" s="622">
        <v>1046</v>
      </c>
      <c r="AB23" s="622">
        <v>5241</v>
      </c>
      <c r="AC23" s="622">
        <v>165</v>
      </c>
      <c r="AD23" s="622">
        <v>0</v>
      </c>
      <c r="AE23" s="622">
        <v>486</v>
      </c>
      <c r="AF23" s="622">
        <v>62</v>
      </c>
      <c r="AG23" s="622">
        <v>66</v>
      </c>
      <c r="AH23" s="622">
        <v>2</v>
      </c>
      <c r="AI23" s="623">
        <v>0</v>
      </c>
    </row>
    <row r="24">
      <c r="A24" s="612"/>
      <c r="B24" s="625" t="s">
        <v>332</v>
      </c>
      <c r="C24" s="625"/>
      <c r="D24" s="626">
        <f>SUM(D20:D23)</f>
      </c>
      <c r="E24" s="627">
        <f>SUM(E20:E23)</f>
      </c>
      <c r="F24" s="648">
        <f>SUM(F20:F23)</f>
      </c>
      <c r="G24" s="648"/>
      <c r="H24" s="628">
        <f t="shared" si="514"/>
      </c>
      <c r="I24" s="629">
        <f t="shared" si="1"/>
      </c>
      <c r="J24" s="630">
        <f t="shared" si="376"/>
      </c>
      <c r="K24" s="631">
        <f t="shared" si="429"/>
      </c>
      <c r="L24" s="628">
        <f t="shared" si="185"/>
      </c>
      <c r="M24" s="628">
        <f t="shared" si="270"/>
      </c>
      <c r="N24" s="632">
        <f t="shared" si="54"/>
      </c>
      <c r="O24" s="632">
        <f t="shared" si="96"/>
      </c>
      <c r="P24" s="632">
        <f t="shared" si="158"/>
      </c>
      <c r="Q24" s="632">
        <f t="shared" si="540"/>
      </c>
      <c r="R24" s="628">
        <f t="shared" si="27"/>
      </c>
      <c r="S24" s="630">
        <f t="shared" si="402"/>
      </c>
      <c r="T24" s="632">
        <f t="shared" si="471"/>
      </c>
      <c r="U24" s="632">
        <f t="shared" si="227"/>
      </c>
      <c r="V24" s="628">
        <f t="shared" si="312"/>
      </c>
      <c r="W24" s="632">
        <f t="shared" si="131"/>
      </c>
      <c r="X24" s="632"/>
      <c r="Y24" s="633"/>
      <c r="Z24" s="633">
        <f>SUM(Z20:Z23)</f>
      </c>
      <c r="AA24" s="633">
        <f>SUM(AA20:AA23)</f>
      </c>
      <c r="AB24" s="633">
        <f>SUM(AB20:AB23)</f>
      </c>
      <c r="AC24" s="633">
        <f>SUM(AC20:AC23)</f>
      </c>
      <c r="AD24" s="633">
        <f>SUM(AD20:AD23)</f>
      </c>
      <c r="AE24" s="633">
        <f>SUM(AE20:AE23)</f>
      </c>
      <c r="AF24" s="633">
        <f>SUM(AF20:AF23)</f>
      </c>
      <c r="AG24" s="633">
        <f>SUM(AG20:AG23)</f>
      </c>
      <c r="AH24" s="633">
        <f>SUM(AH20:AH23)</f>
      </c>
      <c r="AI24" s="633">
        <f>SUM(AI20:AI23)</f>
      </c>
    </row>
    <row r="25">
      <c r="A25" s="612"/>
      <c r="B25" s="635" t="s">
        <v>337</v>
      </c>
      <c r="C25" s="635"/>
      <c r="D25" s="636">
        <f>SUM(D24+D19)</f>
      </c>
      <c r="E25" s="637">
        <f>SUM(E24+E19)</f>
      </c>
      <c r="F25" s="649">
        <f>SUM(F24+F19)</f>
      </c>
      <c r="G25" s="649"/>
      <c r="H25" s="638">
        <f t="shared" si="514"/>
      </c>
      <c r="I25" s="639">
        <f t="shared" si="1"/>
      </c>
      <c r="J25" s="640">
        <f t="shared" si="376"/>
      </c>
      <c r="K25" s="641">
        <f t="shared" si="429"/>
      </c>
      <c r="L25" s="641">
        <f t="shared" si="185"/>
      </c>
      <c r="M25" s="642">
        <f t="shared" si="270"/>
      </c>
      <c r="N25" s="643">
        <f t="shared" si="54"/>
      </c>
      <c r="O25" s="643">
        <f t="shared" si="96"/>
      </c>
      <c r="P25" s="643">
        <f t="shared" si="158"/>
      </c>
      <c r="Q25" s="643">
        <f t="shared" si="540"/>
      </c>
      <c r="R25" s="642">
        <f t="shared" si="27"/>
      </c>
      <c r="S25" s="644">
        <f t="shared" si="402"/>
      </c>
      <c r="T25" s="645">
        <f t="shared" si="471"/>
      </c>
      <c r="U25" s="645">
        <f t="shared" si="227"/>
      </c>
      <c r="V25" s="639">
        <f t="shared" si="312"/>
      </c>
      <c r="W25" s="645">
        <f t="shared" si="131"/>
      </c>
      <c r="X25" s="645"/>
      <c r="Y25" s="646"/>
      <c r="Z25" s="646">
        <f>Z19+Z24</f>
      </c>
      <c r="AA25" s="646">
        <f>AA19+AA24</f>
      </c>
      <c r="AB25" s="646">
        <f>AB19+AB24</f>
      </c>
      <c r="AC25" s="646">
        <f>AC19+AC24</f>
      </c>
      <c r="AD25" s="646">
        <f>AD19+AD24</f>
      </c>
      <c r="AE25" s="646">
        <f>AE19+AE24</f>
      </c>
      <c r="AF25" s="646">
        <f>AF19+AF24</f>
      </c>
      <c r="AG25" s="646">
        <f>AG19+AG24</f>
      </c>
      <c r="AH25" s="646">
        <f>AH19+AH24</f>
      </c>
      <c r="AI25" s="646">
        <f>AI19+AI24</f>
      </c>
    </row>
    <row r="26">
      <c r="A26" s="594"/>
      <c r="B26" s="594"/>
      <c r="C26" s="594"/>
      <c r="D26" s="595" t="s">
        <v>288</v>
      </c>
      <c r="E26" s="595"/>
      <c r="F26" s="595"/>
      <c r="G26" s="595"/>
      <c r="H26" s="595"/>
      <c r="I26" s="595"/>
      <c r="J26" s="595"/>
      <c r="K26" s="597" t="s">
        <v>289</v>
      </c>
      <c r="L26" s="597"/>
      <c r="M26" s="597"/>
      <c r="N26" s="597"/>
      <c r="O26" s="597"/>
      <c r="P26" s="597"/>
      <c r="Q26" s="597"/>
      <c r="R26" s="597"/>
      <c r="S26" s="597"/>
      <c r="T26" s="598" t="s">
        <v>290</v>
      </c>
      <c r="U26" s="598"/>
      <c r="V26" s="598"/>
      <c r="W26" s="598"/>
      <c r="X26" s="599"/>
      <c r="Y26" s="599"/>
      <c r="Z26" s="601"/>
      <c r="AA26" s="601"/>
      <c r="AB26" s="601"/>
      <c r="AC26" s="601"/>
      <c r="AD26" s="601"/>
      <c r="AE26" s="601"/>
      <c r="AF26" s="601"/>
      <c r="AG26" s="601"/>
      <c r="AH26" s="602"/>
      <c r="AI26" s="601"/>
    </row>
    <row r="27">
      <c r="A27" s="603" t="s">
        <v>291</v>
      </c>
      <c r="B27" s="594" t="s">
        <v>292</v>
      </c>
      <c r="C27" s="594" t="s">
        <v>293</v>
      </c>
      <c r="D27" s="650" t="s">
        <v>294</v>
      </c>
      <c r="E27" s="605" t="s">
        <v>295</v>
      </c>
      <c r="F27" s="604" t="s">
        <v>296</v>
      </c>
      <c r="G27" s="604"/>
      <c r="H27" s="595" t="s">
        <v>297</v>
      </c>
      <c r="I27" s="595" t="s">
        <v>298</v>
      </c>
      <c r="J27" s="595" t="s">
        <v>299</v>
      </c>
      <c r="K27" s="597" t="s">
        <v>300</v>
      </c>
      <c r="L27" s="597" t="s">
        <v>301</v>
      </c>
      <c r="M27" s="597" t="s">
        <v>302</v>
      </c>
      <c r="N27" s="597" t="s">
        <v>303</v>
      </c>
      <c r="O27" s="597" t="s">
        <v>304</v>
      </c>
      <c r="P27" s="597" t="s">
        <v>305</v>
      </c>
      <c r="Q27" s="597" t="s">
        <v>306</v>
      </c>
      <c r="R27" s="597" t="s">
        <v>307</v>
      </c>
      <c r="S27" s="597" t="s">
        <v>308</v>
      </c>
      <c r="T27" s="606" t="s">
        <v>309</v>
      </c>
      <c r="U27" s="606" t="s">
        <v>310</v>
      </c>
      <c r="V27" s="606" t="s">
        <v>311</v>
      </c>
      <c r="W27" s="606" t="s">
        <v>312</v>
      </c>
      <c r="X27" s="607" t="s">
        <v>313</v>
      </c>
      <c r="Y27" s="607" t="s">
        <v>314</v>
      </c>
      <c r="Z27" s="651" t="s">
        <v>315</v>
      </c>
      <c r="AA27" s="651" t="s">
        <v>316</v>
      </c>
      <c r="AB27" s="651" t="s">
        <v>317</v>
      </c>
      <c r="AC27" s="609" t="s">
        <v>318</v>
      </c>
      <c r="AD27" s="609" t="s">
        <v>319</v>
      </c>
      <c r="AE27" s="652" t="s">
        <v>320</v>
      </c>
      <c r="AF27" s="609" t="s">
        <v>321</v>
      </c>
      <c r="AG27" s="609" t="s">
        <v>322</v>
      </c>
      <c r="AH27" s="611" t="s">
        <v>323</v>
      </c>
      <c r="AI27" s="609" t="s">
        <v>324</v>
      </c>
    </row>
    <row r="28">
      <c r="A28" s="612">
        <v>46181</v>
      </c>
      <c r="B28" s="653" t="s">
        <v>333</v>
      </c>
      <c r="C28" s="609" t="s">
        <v>338</v>
      </c>
      <c r="D28" s="654">
        <v>596.388</v>
      </c>
      <c r="E28" s="615">
        <v>0</v>
      </c>
      <c r="F28" s="647">
        <v>0</v>
      </c>
      <c r="G28" s="647"/>
      <c r="H28" s="617">
        <f t="shared" ref="H28:H38" si="515">F28/E28</f>
      </c>
      <c r="I28" s="618">
        <f t="shared" ref="I28:I38" si="2">D28/E28</f>
      </c>
      <c r="J28" s="619">
        <f t="shared" ref="J28:J38" si="377">F28/D28</f>
      </c>
      <c r="K28" s="620">
        <f t="shared" ref="K28:K38" si="430">D28/AB28</f>
      </c>
      <c r="L28" s="617">
        <f t="shared" ref="L28:L38" si="186">D28/AC28</f>
      </c>
      <c r="M28" s="617">
        <f t="shared" ref="M28:M38" si="271">D28/AD28</f>
      </c>
      <c r="N28" s="621">
        <f t="shared" ref="N28:N38" si="55">AC28/AB28</f>
      </c>
      <c r="O28" s="621">
        <f t="shared" ref="O28:O38" si="97">AD28/AC28</f>
      </c>
      <c r="P28" s="621">
        <f t="shared" ref="P28:P38" si="159">AA28/Z28</f>
      </c>
      <c r="Q28" s="621">
        <f t="shared" ref="Q28:Q38" si="541">AD28/AA28</f>
      </c>
      <c r="R28" s="617">
        <f t="shared" ref="R28:R38" si="28">D28/Z28*1000</f>
      </c>
      <c r="S28" s="619">
        <f t="shared" ref="S28:S38" si="403">D28/AA28</f>
      </c>
      <c r="T28" s="621">
        <f t="shared" ref="T28:T38" si="472">AE28/AB28</f>
      </c>
      <c r="U28" s="621">
        <f t="shared" ref="U28:U38" si="228">AF28/AB28</f>
      </c>
      <c r="V28" s="617">
        <f t="shared" ref="V28:V38" si="313">AG28/AB28</f>
      </c>
      <c r="W28" s="621">
        <f t="shared" ref="W28:W38" si="132">AH28/AB28</f>
      </c>
      <c r="X28" s="653" t="s">
        <v>327</v>
      </c>
      <c r="Y28" s="653" t="s">
        <v>339</v>
      </c>
      <c r="Z28" s="655">
        <v>11497</v>
      </c>
      <c r="AA28" s="655">
        <v>1042</v>
      </c>
      <c r="AB28" s="655">
        <v>8236</v>
      </c>
      <c r="AC28" s="622">
        <v>259</v>
      </c>
      <c r="AD28" s="622">
        <v>0</v>
      </c>
      <c r="AE28" s="655">
        <v>1697</v>
      </c>
      <c r="AF28" s="622">
        <v>96</v>
      </c>
      <c r="AG28" s="622">
        <v>50</v>
      </c>
      <c r="AH28" s="622">
        <v>2</v>
      </c>
      <c r="AI28" s="623">
        <v>0</v>
      </c>
    </row>
    <row r="29">
      <c r="A29" s="656"/>
      <c r="B29" s="653" t="s">
        <v>333</v>
      </c>
      <c r="C29" s="609" t="s">
        <v>340</v>
      </c>
      <c r="D29" s="654">
        <v>450.229</v>
      </c>
      <c r="E29" s="615">
        <v>0</v>
      </c>
      <c r="F29" s="647">
        <v>0</v>
      </c>
      <c r="G29" s="647"/>
      <c r="H29" s="617">
        <f t="shared" si="515"/>
      </c>
      <c r="I29" s="618">
        <f t="shared" si="2"/>
      </c>
      <c r="J29" s="619">
        <f t="shared" si="377"/>
      </c>
      <c r="K29" s="620">
        <f t="shared" si="430"/>
      </c>
      <c r="L29" s="617">
        <f t="shared" si="186"/>
      </c>
      <c r="M29" s="617">
        <f t="shared" si="271"/>
      </c>
      <c r="N29" s="621">
        <f t="shared" si="55"/>
      </c>
      <c r="O29" s="621">
        <f t="shared" si="97"/>
      </c>
      <c r="P29" s="621">
        <f t="shared" si="159"/>
      </c>
      <c r="Q29" s="621">
        <f t="shared" si="541"/>
      </c>
      <c r="R29" s="617">
        <f t="shared" si="28"/>
      </c>
      <c r="S29" s="619">
        <f t="shared" si="403"/>
      </c>
      <c r="T29" s="621">
        <f t="shared" si="472"/>
      </c>
      <c r="U29" s="621">
        <f t="shared" si="228"/>
      </c>
      <c r="V29" s="617">
        <f t="shared" si="313"/>
      </c>
      <c r="W29" s="621">
        <f t="shared" si="132"/>
      </c>
      <c r="X29" s="653" t="s">
        <v>327</v>
      </c>
      <c r="Y29" s="653" t="s">
        <v>339</v>
      </c>
      <c r="Z29" s="622">
        <v>8974</v>
      </c>
      <c r="AA29" s="622">
        <v>1083</v>
      </c>
      <c r="AB29" s="622">
        <v>6353</v>
      </c>
      <c r="AC29" s="622">
        <v>259</v>
      </c>
      <c r="AD29" s="622">
        <v>0</v>
      </c>
      <c r="AE29" s="622">
        <v>1273</v>
      </c>
      <c r="AF29" s="622">
        <v>102</v>
      </c>
      <c r="AG29" s="622">
        <v>59</v>
      </c>
      <c r="AH29" s="622">
        <v>2</v>
      </c>
      <c r="AI29" s="623">
        <v>0</v>
      </c>
    </row>
    <row r="30">
      <c r="A30" s="656"/>
      <c r="B30" s="653" t="s">
        <v>333</v>
      </c>
      <c r="C30" s="609" t="s">
        <v>341</v>
      </c>
      <c r="D30" s="654">
        <v>270.201</v>
      </c>
      <c r="E30" s="615">
        <v>0</v>
      </c>
      <c r="F30" s="647">
        <v>0</v>
      </c>
      <c r="G30" s="647"/>
      <c r="H30" s="617">
        <f t="shared" si="515"/>
      </c>
      <c r="I30" s="618">
        <f t="shared" si="2"/>
      </c>
      <c r="J30" s="619">
        <f t="shared" si="377"/>
      </c>
      <c r="K30" s="620">
        <f t="shared" si="430"/>
      </c>
      <c r="L30" s="617">
        <f t="shared" si="186"/>
      </c>
      <c r="M30" s="617">
        <f t="shared" si="271"/>
      </c>
      <c r="N30" s="621">
        <f t="shared" si="55"/>
      </c>
      <c r="O30" s="621">
        <f t="shared" si="97"/>
      </c>
      <c r="P30" s="621">
        <f t="shared" si="159"/>
      </c>
      <c r="Q30" s="621">
        <f t="shared" si="541"/>
      </c>
      <c r="R30" s="617">
        <f t="shared" si="28"/>
      </c>
      <c r="S30" s="619">
        <f t="shared" si="403"/>
      </c>
      <c r="T30" s="621">
        <f t="shared" si="472"/>
      </c>
      <c r="U30" s="621">
        <f t="shared" si="228"/>
      </c>
      <c r="V30" s="617">
        <f t="shared" si="313"/>
      </c>
      <c r="W30" s="621">
        <f t="shared" si="132"/>
      </c>
      <c r="X30" s="653" t="s">
        <v>327</v>
      </c>
      <c r="Y30" s="653" t="s">
        <v>339</v>
      </c>
      <c r="Z30" s="622">
        <v>7954</v>
      </c>
      <c r="AA30" s="622">
        <v>845</v>
      </c>
      <c r="AB30" s="622">
        <v>5890</v>
      </c>
      <c r="AC30" s="622">
        <v>139</v>
      </c>
      <c r="AD30" s="622">
        <v>0</v>
      </c>
      <c r="AE30" s="622">
        <v>1117</v>
      </c>
      <c r="AF30" s="622">
        <v>36</v>
      </c>
      <c r="AG30" s="622">
        <v>35</v>
      </c>
      <c r="AH30" s="622">
        <v>0</v>
      </c>
      <c r="AI30" s="623">
        <v>0</v>
      </c>
    </row>
    <row r="31">
      <c r="A31" s="656"/>
      <c r="B31" s="653" t="s">
        <v>333</v>
      </c>
      <c r="C31" s="609" t="s">
        <v>342</v>
      </c>
      <c r="D31" s="654">
        <v>324.644</v>
      </c>
      <c r="E31" s="615">
        <v>0</v>
      </c>
      <c r="F31" s="647">
        <v>0</v>
      </c>
      <c r="G31" s="647"/>
      <c r="H31" s="617">
        <f t="shared" si="515"/>
      </c>
      <c r="I31" s="618">
        <f t="shared" si="2"/>
      </c>
      <c r="J31" s="619">
        <f t="shared" si="377"/>
      </c>
      <c r="K31" s="620">
        <f t="shared" si="430"/>
      </c>
      <c r="L31" s="617">
        <f t="shared" si="186"/>
      </c>
      <c r="M31" s="617">
        <f t="shared" si="271"/>
      </c>
      <c r="N31" s="621">
        <f t="shared" si="55"/>
      </c>
      <c r="O31" s="621">
        <f t="shared" si="97"/>
      </c>
      <c r="P31" s="621">
        <f t="shared" si="159"/>
      </c>
      <c r="Q31" s="621">
        <f t="shared" si="541"/>
      </c>
      <c r="R31" s="617">
        <f t="shared" si="28"/>
      </c>
      <c r="S31" s="619">
        <f t="shared" si="403"/>
      </c>
      <c r="T31" s="621">
        <f t="shared" si="472"/>
      </c>
      <c r="U31" s="621">
        <f t="shared" si="228"/>
      </c>
      <c r="V31" s="617">
        <f t="shared" si="313"/>
      </c>
      <c r="W31" s="621">
        <f t="shared" si="132"/>
      </c>
      <c r="X31" s="653" t="s">
        <v>327</v>
      </c>
      <c r="Y31" s="653" t="s">
        <v>339</v>
      </c>
      <c r="Z31" s="622">
        <v>7960</v>
      </c>
      <c r="AA31" s="622">
        <v>975</v>
      </c>
      <c r="AB31" s="622">
        <v>5963</v>
      </c>
      <c r="AC31" s="622">
        <v>212</v>
      </c>
      <c r="AD31" s="622">
        <v>0</v>
      </c>
      <c r="AE31" s="622">
        <v>1199</v>
      </c>
      <c r="AF31" s="622">
        <v>73</v>
      </c>
      <c r="AG31" s="622">
        <v>42</v>
      </c>
      <c r="AH31" s="622">
        <v>2</v>
      </c>
      <c r="AI31" s="623">
        <v>0</v>
      </c>
    </row>
    <row r="32">
      <c r="A32" s="656"/>
      <c r="B32" s="625" t="s">
        <v>332</v>
      </c>
      <c r="C32" s="625"/>
      <c r="D32" s="626">
        <f>SUM(D28:D31)</f>
      </c>
      <c r="E32" s="627">
        <f>SUM(E28:E31)</f>
      </c>
      <c r="F32" s="648">
        <f>SUM(F28:F31)</f>
      </c>
      <c r="G32" s="648"/>
      <c r="H32" s="628">
        <f t="shared" si="515"/>
      </c>
      <c r="I32" s="629">
        <f t="shared" si="2"/>
      </c>
      <c r="J32" s="630">
        <f t="shared" si="377"/>
      </c>
      <c r="K32" s="631">
        <f t="shared" si="430"/>
      </c>
      <c r="L32" s="628">
        <f t="shared" si="186"/>
      </c>
      <c r="M32" s="628">
        <f t="shared" si="271"/>
      </c>
      <c r="N32" s="632">
        <f t="shared" si="55"/>
      </c>
      <c r="O32" s="632">
        <f t="shared" si="97"/>
      </c>
      <c r="P32" s="632">
        <f t="shared" si="159"/>
      </c>
      <c r="Q32" s="632">
        <f t="shared" si="541"/>
      </c>
      <c r="R32" s="628">
        <f t="shared" si="28"/>
      </c>
      <c r="S32" s="630">
        <f t="shared" si="403"/>
      </c>
      <c r="T32" s="632">
        <f t="shared" si="472"/>
      </c>
      <c r="U32" s="632">
        <f t="shared" si="228"/>
      </c>
      <c r="V32" s="628">
        <f t="shared" si="313"/>
      </c>
      <c r="W32" s="632">
        <f t="shared" si="132"/>
      </c>
      <c r="X32" s="632"/>
      <c r="Y32" s="633"/>
      <c r="Z32" s="633">
        <f>SUM(Z28:Z31)</f>
      </c>
      <c r="AA32" s="633">
        <f>SUM(AA28:AA31)</f>
      </c>
      <c r="AB32" s="633">
        <f>SUM(AB28:AB31)</f>
      </c>
      <c r="AC32" s="633">
        <f>SUM(AC28:AC31)</f>
      </c>
      <c r="AD32" s="633">
        <f>SUM(AD28:AD31)</f>
      </c>
      <c r="AE32" s="633">
        <f>SUM(AE28:AE31)</f>
      </c>
      <c r="AF32" s="633">
        <f>SUM(AF28:AF31)</f>
      </c>
      <c r="AG32" s="633">
        <f>SUM(AG28:AG31)</f>
      </c>
      <c r="AH32" s="633">
        <f>SUM(AH28:AH31)</f>
      </c>
      <c r="AI32" s="633">
        <f>SUM(AI28:AI31)</f>
      </c>
    </row>
    <row r="33">
      <c r="A33" s="656"/>
      <c r="B33" s="653" t="s">
        <v>325</v>
      </c>
      <c r="C33" s="634" t="s">
        <v>343</v>
      </c>
      <c r="D33" s="654">
        <v>329.673</v>
      </c>
      <c r="E33" s="615">
        <v>1</v>
      </c>
      <c r="F33" s="647">
        <v>828</v>
      </c>
      <c r="G33" s="647"/>
      <c r="H33" s="617">
        <f t="shared" si="515"/>
      </c>
      <c r="I33" s="618">
        <f t="shared" si="2"/>
      </c>
      <c r="J33" s="619">
        <f t="shared" si="377"/>
      </c>
      <c r="K33" s="620">
        <f t="shared" si="430"/>
      </c>
      <c r="L33" s="617">
        <f t="shared" si="186"/>
      </c>
      <c r="M33" s="622">
        <f t="shared" si="271"/>
      </c>
      <c r="N33" s="621">
        <f t="shared" si="55"/>
      </c>
      <c r="O33" s="621">
        <f t="shared" si="97"/>
      </c>
      <c r="P33" s="621">
        <f t="shared" si="159"/>
      </c>
      <c r="Q33" s="621">
        <f t="shared" si="541"/>
      </c>
      <c r="R33" s="617">
        <f t="shared" si="28"/>
      </c>
      <c r="S33" s="619">
        <f t="shared" si="403"/>
      </c>
      <c r="T33" s="621">
        <f t="shared" si="472"/>
      </c>
      <c r="U33" s="621">
        <f t="shared" si="228"/>
      </c>
      <c r="V33" s="617">
        <f t="shared" si="313"/>
      </c>
      <c r="W33" s="621">
        <f t="shared" si="132"/>
      </c>
      <c r="X33" s="653" t="s">
        <v>327</v>
      </c>
      <c r="Y33" s="653" t="s">
        <v>339</v>
      </c>
      <c r="Z33" s="622">
        <v>8262</v>
      </c>
      <c r="AA33" s="622">
        <v>1047</v>
      </c>
      <c r="AB33" s="622">
        <v>6383</v>
      </c>
      <c r="AC33" s="622">
        <v>169</v>
      </c>
      <c r="AD33" s="622">
        <v>0</v>
      </c>
      <c r="AE33" s="622">
        <v>1134</v>
      </c>
      <c r="AF33" s="622">
        <v>67</v>
      </c>
      <c r="AG33" s="622">
        <v>52</v>
      </c>
      <c r="AH33" s="623">
        <v>3</v>
      </c>
      <c r="AI33" s="623">
        <v>0</v>
      </c>
    </row>
    <row r="34">
      <c r="A34" s="656"/>
      <c r="B34" s="653" t="s">
        <v>325</v>
      </c>
      <c r="C34" s="609" t="s">
        <v>344</v>
      </c>
      <c r="D34" s="654">
        <v>469.823</v>
      </c>
      <c r="E34" s="615">
        <v>2</v>
      </c>
      <c r="F34" s="657">
        <v>1017.6000000000001</v>
      </c>
      <c r="G34" s="657"/>
      <c r="H34" s="617">
        <f t="shared" si="515"/>
      </c>
      <c r="I34" s="618">
        <f t="shared" si="2"/>
      </c>
      <c r="J34" s="619">
        <f t="shared" si="377"/>
      </c>
      <c r="K34" s="620">
        <f t="shared" si="430"/>
      </c>
      <c r="L34" s="617">
        <f t="shared" si="186"/>
      </c>
      <c r="M34" s="617">
        <f t="shared" si="271"/>
      </c>
      <c r="N34" s="621">
        <f t="shared" si="55"/>
      </c>
      <c r="O34" s="621">
        <f t="shared" si="97"/>
      </c>
      <c r="P34" s="621">
        <f t="shared" si="159"/>
      </c>
      <c r="Q34" s="621">
        <f t="shared" si="541"/>
      </c>
      <c r="R34" s="617">
        <f t="shared" si="28"/>
      </c>
      <c r="S34" s="619">
        <f t="shared" si="403"/>
      </c>
      <c r="T34" s="621">
        <f t="shared" si="472"/>
      </c>
      <c r="U34" s="621">
        <f t="shared" si="228"/>
      </c>
      <c r="V34" s="617">
        <f t="shared" si="313"/>
      </c>
      <c r="W34" s="621">
        <f t="shared" si="132"/>
      </c>
      <c r="X34" s="653" t="s">
        <v>327</v>
      </c>
      <c r="Y34" s="653" t="s">
        <v>339</v>
      </c>
      <c r="Z34" s="622">
        <v>8065</v>
      </c>
      <c r="AA34" s="622">
        <v>1013</v>
      </c>
      <c r="AB34" s="622">
        <v>6128</v>
      </c>
      <c r="AC34" s="622">
        <v>220</v>
      </c>
      <c r="AD34" s="622">
        <v>2</v>
      </c>
      <c r="AE34" s="622">
        <v>804</v>
      </c>
      <c r="AF34" s="622">
        <v>70</v>
      </c>
      <c r="AG34" s="622">
        <v>57</v>
      </c>
      <c r="AH34" s="622">
        <v>2</v>
      </c>
      <c r="AI34" s="623">
        <v>1</v>
      </c>
    </row>
    <row r="35">
      <c r="A35" s="656"/>
      <c r="B35" s="653" t="s">
        <v>325</v>
      </c>
      <c r="C35" s="609" t="s">
        <v>345</v>
      </c>
      <c r="D35" s="654">
        <v>653.1859999999999</v>
      </c>
      <c r="E35" s="615">
        <v>0</v>
      </c>
      <c r="F35" s="647">
        <v>0</v>
      </c>
      <c r="G35" s="647"/>
      <c r="H35" s="617">
        <f t="shared" si="515"/>
      </c>
      <c r="I35" s="618">
        <f t="shared" si="2"/>
      </c>
      <c r="J35" s="619">
        <f t="shared" si="377"/>
      </c>
      <c r="K35" s="620">
        <f t="shared" si="430"/>
      </c>
      <c r="L35" s="617">
        <f t="shared" si="186"/>
      </c>
      <c r="M35" s="617">
        <f t="shared" si="271"/>
      </c>
      <c r="N35" s="621">
        <f t="shared" si="55"/>
      </c>
      <c r="O35" s="621">
        <f t="shared" si="97"/>
      </c>
      <c r="P35" s="621">
        <f t="shared" si="159"/>
      </c>
      <c r="Q35" s="621">
        <f t="shared" si="541"/>
      </c>
      <c r="R35" s="617">
        <f t="shared" si="28"/>
      </c>
      <c r="S35" s="619">
        <f t="shared" si="403"/>
      </c>
      <c r="T35" s="621">
        <f t="shared" si="472"/>
      </c>
      <c r="U35" s="621">
        <f t="shared" si="228"/>
      </c>
      <c r="V35" s="617">
        <f t="shared" si="313"/>
      </c>
      <c r="W35" s="621">
        <f t="shared" si="132"/>
      </c>
      <c r="X35" s="653" t="s">
        <v>327</v>
      </c>
      <c r="Y35" s="653" t="s">
        <v>339</v>
      </c>
      <c r="Z35" s="622">
        <v>10857</v>
      </c>
      <c r="AA35" s="622">
        <v>809</v>
      </c>
      <c r="AB35" s="622">
        <v>9401</v>
      </c>
      <c r="AC35" s="622">
        <v>208</v>
      </c>
      <c r="AD35" s="622">
        <v>0</v>
      </c>
      <c r="AE35" s="622">
        <v>1248</v>
      </c>
      <c r="AF35" s="622">
        <v>69</v>
      </c>
      <c r="AG35" s="622">
        <v>49</v>
      </c>
      <c r="AH35" s="622">
        <v>1</v>
      </c>
      <c r="AI35" s="623">
        <v>0</v>
      </c>
    </row>
    <row r="36">
      <c r="A36" s="656"/>
      <c r="B36" s="653" t="s">
        <v>325</v>
      </c>
      <c r="C36" s="609" t="s">
        <v>346</v>
      </c>
      <c r="D36" s="654">
        <v>709.181</v>
      </c>
      <c r="E36" s="615">
        <v>3</v>
      </c>
      <c r="F36" s="657">
        <v>610.3000000000004</v>
      </c>
      <c r="G36" s="657"/>
      <c r="H36" s="617">
        <f t="shared" si="515"/>
      </c>
      <c r="I36" s="618">
        <f t="shared" si="2"/>
      </c>
      <c r="J36" s="619">
        <f t="shared" si="377"/>
      </c>
      <c r="K36" s="620">
        <f t="shared" si="430"/>
      </c>
      <c r="L36" s="617">
        <f t="shared" si="186"/>
      </c>
      <c r="M36" s="617">
        <f t="shared" si="271"/>
      </c>
      <c r="N36" s="621">
        <f t="shared" si="55"/>
      </c>
      <c r="O36" s="621">
        <f t="shared" si="97"/>
      </c>
      <c r="P36" s="621">
        <f t="shared" si="159"/>
      </c>
      <c r="Q36" s="621">
        <f t="shared" si="541"/>
      </c>
      <c r="R36" s="617">
        <f t="shared" si="28"/>
      </c>
      <c r="S36" s="619">
        <f t="shared" si="403"/>
      </c>
      <c r="T36" s="621">
        <f t="shared" si="472"/>
      </c>
      <c r="U36" s="621">
        <f t="shared" si="228"/>
      </c>
      <c r="V36" s="617">
        <f t="shared" si="313"/>
      </c>
      <c r="W36" s="621">
        <f t="shared" si="132"/>
      </c>
      <c r="X36" s="653" t="s">
        <v>327</v>
      </c>
      <c r="Y36" s="653" t="s">
        <v>339</v>
      </c>
      <c r="Z36" s="622">
        <v>17529</v>
      </c>
      <c r="AA36" s="622">
        <v>1217</v>
      </c>
      <c r="AB36" s="622">
        <v>15678</v>
      </c>
      <c r="AC36" s="622">
        <v>280</v>
      </c>
      <c r="AD36" s="622">
        <v>3</v>
      </c>
      <c r="AE36" s="622">
        <v>2632</v>
      </c>
      <c r="AF36" s="622">
        <v>120</v>
      </c>
      <c r="AG36" s="622">
        <v>45</v>
      </c>
      <c r="AH36" s="622">
        <v>8</v>
      </c>
      <c r="AI36" s="623">
        <v>1</v>
      </c>
    </row>
    <row r="37">
      <c r="A37" s="656"/>
      <c r="B37" s="625" t="s">
        <v>332</v>
      </c>
      <c r="C37" s="625"/>
      <c r="D37" s="626">
        <f>SUM(D33:D36)</f>
      </c>
      <c r="E37" s="627">
        <f>SUM(E33:E36)</f>
      </c>
      <c r="F37" s="648">
        <f>SUM(F33:F36)</f>
      </c>
      <c r="G37" s="648"/>
      <c r="H37" s="628">
        <f t="shared" si="515"/>
      </c>
      <c r="I37" s="629">
        <f t="shared" si="2"/>
      </c>
      <c r="J37" s="630">
        <f t="shared" si="377"/>
      </c>
      <c r="K37" s="631">
        <f t="shared" si="430"/>
      </c>
      <c r="L37" s="628">
        <f t="shared" si="186"/>
      </c>
      <c r="M37" s="628">
        <f t="shared" si="271"/>
      </c>
      <c r="N37" s="632">
        <f t="shared" si="55"/>
      </c>
      <c r="O37" s="632">
        <f t="shared" si="97"/>
      </c>
      <c r="P37" s="632">
        <f t="shared" si="159"/>
      </c>
      <c r="Q37" s="632">
        <f t="shared" si="541"/>
      </c>
      <c r="R37" s="628">
        <f t="shared" si="28"/>
      </c>
      <c r="S37" s="630">
        <f t="shared" si="403"/>
      </c>
      <c r="T37" s="632">
        <f t="shared" si="472"/>
      </c>
      <c r="U37" s="632">
        <f t="shared" si="228"/>
      </c>
      <c r="V37" s="628">
        <f t="shared" si="313"/>
      </c>
      <c r="W37" s="632">
        <f t="shared" si="132"/>
      </c>
      <c r="X37" s="632"/>
      <c r="Y37" s="633"/>
      <c r="Z37" s="633">
        <f>SUM(Z33:Z36)</f>
      </c>
      <c r="AA37" s="633">
        <f>SUM(AA33:AA36)</f>
      </c>
      <c r="AB37" s="633">
        <f>SUM(AB33:AB36)</f>
      </c>
      <c r="AC37" s="633">
        <f>SUM(AC33:AC36)</f>
      </c>
      <c r="AD37" s="633">
        <f>SUM(AD33:AD36)</f>
      </c>
      <c r="AE37" s="633">
        <f>SUM(AE33:AE36)</f>
      </c>
      <c r="AF37" s="633">
        <f>SUM(AF33:AF36)</f>
      </c>
      <c r="AG37" s="633">
        <f>SUM(AG33:AG36)</f>
      </c>
      <c r="AH37" s="633">
        <f>SUM(AH33:AH36)</f>
      </c>
      <c r="AI37" s="633">
        <f>SUM(AI33:AI36)</f>
      </c>
    </row>
    <row r="38">
      <c r="A38" s="656"/>
      <c r="B38" s="635" t="s">
        <v>337</v>
      </c>
      <c r="C38" s="635"/>
      <c r="D38" s="636">
        <f>SUM(D37+D32)</f>
      </c>
      <c r="E38" s="637">
        <f>SUM(E37+E32)</f>
      </c>
      <c r="F38" s="649">
        <f>SUM(F37+F32)</f>
      </c>
      <c r="G38" s="649"/>
      <c r="H38" s="638">
        <f t="shared" si="515"/>
      </c>
      <c r="I38" s="639">
        <f t="shared" si="2"/>
      </c>
      <c r="J38" s="640">
        <f t="shared" si="377"/>
      </c>
      <c r="K38" s="641">
        <f t="shared" si="430"/>
      </c>
      <c r="L38" s="641">
        <f t="shared" si="186"/>
      </c>
      <c r="M38" s="642">
        <f t="shared" si="271"/>
      </c>
      <c r="N38" s="643">
        <f t="shared" si="55"/>
      </c>
      <c r="O38" s="643">
        <f t="shared" si="97"/>
      </c>
      <c r="P38" s="643">
        <f t="shared" si="159"/>
      </c>
      <c r="Q38" s="643">
        <f t="shared" si="541"/>
      </c>
      <c r="R38" s="642">
        <f t="shared" si="28"/>
      </c>
      <c r="S38" s="644">
        <f t="shared" si="403"/>
      </c>
      <c r="T38" s="645">
        <f t="shared" si="472"/>
      </c>
      <c r="U38" s="645">
        <f t="shared" si="228"/>
      </c>
      <c r="V38" s="639">
        <f t="shared" si="313"/>
      </c>
      <c r="W38" s="645">
        <f t="shared" si="132"/>
      </c>
      <c r="X38" s="645"/>
      <c r="Y38" s="646"/>
      <c r="Z38" s="646">
        <f>Z32+Z37</f>
      </c>
      <c r="AA38" s="646">
        <f>AA32+AA37</f>
      </c>
      <c r="AB38" s="646">
        <f>AB32+AB37</f>
      </c>
      <c r="AC38" s="646">
        <f>AC32+AC37</f>
      </c>
      <c r="AD38" s="646">
        <f>AD32+AD37</f>
      </c>
      <c r="AE38" s="646">
        <f>AE32+AE37</f>
      </c>
      <c r="AF38" s="646">
        <f>AF32+AF37</f>
      </c>
      <c r="AG38" s="646">
        <f>AG32+AG37</f>
      </c>
      <c r="AH38" s="646">
        <f>AH32+AH37</f>
      </c>
      <c r="AI38" s="646">
        <f>AI32+AI37</f>
      </c>
    </row>
    <row r="39">
      <c r="A39" s="594"/>
      <c r="B39" s="594"/>
      <c r="C39" s="594"/>
      <c r="D39" s="595" t="s">
        <v>288</v>
      </c>
      <c r="E39" s="595"/>
      <c r="F39" s="595"/>
      <c r="G39" s="595"/>
      <c r="H39" s="595"/>
      <c r="I39" s="595"/>
      <c r="J39" s="595"/>
      <c r="K39" s="597" t="s">
        <v>289</v>
      </c>
      <c r="L39" s="597"/>
      <c r="M39" s="597"/>
      <c r="N39" s="597"/>
      <c r="O39" s="597"/>
      <c r="P39" s="597"/>
      <c r="Q39" s="597"/>
      <c r="R39" s="597"/>
      <c r="S39" s="597"/>
      <c r="T39" s="598" t="s">
        <v>290</v>
      </c>
      <c r="U39" s="598"/>
      <c r="V39" s="598"/>
      <c r="W39" s="598"/>
      <c r="X39" s="599"/>
      <c r="Y39" s="599"/>
      <c r="Z39" s="601"/>
      <c r="AA39" s="601"/>
      <c r="AB39" s="601"/>
      <c r="AC39" s="601"/>
      <c r="AD39" s="601"/>
      <c r="AE39" s="601"/>
      <c r="AF39" s="601"/>
      <c r="AG39" s="601"/>
      <c r="AH39" s="602"/>
      <c r="AI39" s="601"/>
    </row>
    <row r="40">
      <c r="A40" s="603" t="s">
        <v>291</v>
      </c>
      <c r="B40" s="594" t="s">
        <v>292</v>
      </c>
      <c r="C40" s="594" t="s">
        <v>293</v>
      </c>
      <c r="D40" s="650" t="s">
        <v>294</v>
      </c>
      <c r="E40" s="605" t="s">
        <v>295</v>
      </c>
      <c r="F40" s="604" t="s">
        <v>296</v>
      </c>
      <c r="G40" s="604"/>
      <c r="H40" s="595" t="s">
        <v>297</v>
      </c>
      <c r="I40" s="595" t="s">
        <v>298</v>
      </c>
      <c r="J40" s="595" t="s">
        <v>299</v>
      </c>
      <c r="K40" s="597" t="s">
        <v>300</v>
      </c>
      <c r="L40" s="597" t="s">
        <v>301</v>
      </c>
      <c r="M40" s="597" t="s">
        <v>302</v>
      </c>
      <c r="N40" s="597" t="s">
        <v>303</v>
      </c>
      <c r="O40" s="597" t="s">
        <v>304</v>
      </c>
      <c r="P40" s="597" t="s">
        <v>305</v>
      </c>
      <c r="Q40" s="597" t="s">
        <v>306</v>
      </c>
      <c r="R40" s="597" t="s">
        <v>307</v>
      </c>
      <c r="S40" s="597" t="s">
        <v>308</v>
      </c>
      <c r="T40" s="606" t="s">
        <v>309</v>
      </c>
      <c r="U40" s="606" t="s">
        <v>310</v>
      </c>
      <c r="V40" s="606" t="s">
        <v>311</v>
      </c>
      <c r="W40" s="606" t="s">
        <v>312</v>
      </c>
      <c r="X40" s="607" t="s">
        <v>313</v>
      </c>
      <c r="Y40" s="607" t="s">
        <v>314</v>
      </c>
      <c r="Z40" s="651" t="s">
        <v>315</v>
      </c>
      <c r="AA40" s="651" t="s">
        <v>316</v>
      </c>
      <c r="AB40" s="651" t="s">
        <v>317</v>
      </c>
      <c r="AC40" s="609" t="s">
        <v>318</v>
      </c>
      <c r="AD40" s="609" t="s">
        <v>319</v>
      </c>
      <c r="AE40" s="652" t="s">
        <v>320</v>
      </c>
      <c r="AF40" s="609" t="s">
        <v>321</v>
      </c>
      <c r="AG40" s="609" t="s">
        <v>322</v>
      </c>
      <c r="AH40" s="611" t="s">
        <v>323</v>
      </c>
      <c r="AI40" s="609" t="s">
        <v>324</v>
      </c>
    </row>
    <row r="41">
      <c r="A41" s="612">
        <v>46182</v>
      </c>
      <c r="B41" s="653" t="s">
        <v>325</v>
      </c>
      <c r="C41" s="609" t="s">
        <v>338</v>
      </c>
      <c r="D41" s="654">
        <v>407.216</v>
      </c>
      <c r="E41" s="615">
        <v>1</v>
      </c>
      <c r="F41" s="647">
        <v>228</v>
      </c>
      <c r="G41" s="647"/>
      <c r="H41" s="617">
        <f t="shared" ref="H41:H51" si="516">F41/E41</f>
      </c>
      <c r="I41" s="618">
        <f t="shared" ref="I41:I51" si="3">D41/E41</f>
      </c>
      <c r="J41" s="619">
        <f t="shared" ref="J41:J51" si="378">F41/D41</f>
      </c>
      <c r="K41" s="620">
        <f t="shared" ref="K41:K51" si="431">D41/AB41</f>
      </c>
      <c r="L41" s="617">
        <f t="shared" ref="L41:L51" si="187">D41/AC41</f>
      </c>
      <c r="M41" s="617">
        <f t="shared" ref="M41:M51" si="272">D41/AD41</f>
      </c>
      <c r="N41" s="621">
        <f t="shared" ref="N41:N51" si="56">AC41/AB41</f>
      </c>
      <c r="O41" s="621">
        <f t="shared" ref="O41:O51" si="98">AD41/AC41</f>
      </c>
      <c r="P41" s="621">
        <f t="shared" ref="P41:P51" si="160">AA41/Z41</f>
      </c>
      <c r="Q41" s="621">
        <f t="shared" ref="Q41:Q51" si="542">AD41/AA41</f>
      </c>
      <c r="R41" s="617">
        <f t="shared" ref="R41:R51" si="29">D41/Z41*1000</f>
      </c>
      <c r="S41" s="619">
        <f t="shared" ref="S41:S51" si="404">D41/AA41</f>
      </c>
      <c r="T41" s="621">
        <f t="shared" ref="T41:T51" si="473">AE41/AB41</f>
      </c>
      <c r="U41" s="621">
        <f t="shared" ref="U41:U51" si="229">AF41/AB41</f>
      </c>
      <c r="V41" s="621">
        <f t="shared" ref="V41:V51" si="314">AG41/AB41</f>
      </c>
      <c r="W41" s="621">
        <f t="shared" ref="W41:W51" si="133">AH41/AB41</f>
      </c>
      <c r="X41" s="653" t="s">
        <v>327</v>
      </c>
      <c r="Y41" s="613" t="s">
        <v>347</v>
      </c>
      <c r="Z41" s="655">
        <v>28393</v>
      </c>
      <c r="AA41" s="655">
        <v>1402</v>
      </c>
      <c r="AB41" s="655">
        <v>25923</v>
      </c>
      <c r="AC41" s="622">
        <v>343</v>
      </c>
      <c r="AD41" s="622">
        <v>1</v>
      </c>
      <c r="AE41" s="655">
        <v>6023</v>
      </c>
      <c r="AF41" s="622">
        <v>133</v>
      </c>
      <c r="AG41" s="622">
        <v>96</v>
      </c>
      <c r="AH41" s="622">
        <v>4</v>
      </c>
      <c r="AI41" s="623">
        <v>0</v>
      </c>
    </row>
    <row r="42">
      <c r="A42" s="612"/>
      <c r="B42" s="653" t="s">
        <v>325</v>
      </c>
      <c r="C42" s="609" t="s">
        <v>340</v>
      </c>
      <c r="D42" s="654">
        <v>477.432</v>
      </c>
      <c r="E42" s="615">
        <v>3</v>
      </c>
      <c r="F42" s="647">
        <v>652</v>
      </c>
      <c r="G42" s="647"/>
      <c r="H42" s="617">
        <f t="shared" si="516"/>
      </c>
      <c r="I42" s="618">
        <f t="shared" si="3"/>
      </c>
      <c r="J42" s="619">
        <f t="shared" si="378"/>
      </c>
      <c r="K42" s="620">
        <f t="shared" si="431"/>
      </c>
      <c r="L42" s="617">
        <f t="shared" si="187"/>
      </c>
      <c r="M42" s="617">
        <f t="shared" si="272"/>
      </c>
      <c r="N42" s="621">
        <f t="shared" si="56"/>
      </c>
      <c r="O42" s="621">
        <f t="shared" si="98"/>
      </c>
      <c r="P42" s="621">
        <f t="shared" si="160"/>
      </c>
      <c r="Q42" s="621">
        <f t="shared" si="542"/>
      </c>
      <c r="R42" s="617">
        <f t="shared" si="29"/>
      </c>
      <c r="S42" s="619">
        <f t="shared" si="404"/>
      </c>
      <c r="T42" s="621">
        <f t="shared" si="473"/>
      </c>
      <c r="U42" s="621">
        <f t="shared" si="229"/>
      </c>
      <c r="V42" s="621">
        <f t="shared" si="314"/>
      </c>
      <c r="W42" s="621">
        <f t="shared" si="133"/>
      </c>
      <c r="X42" s="653" t="s">
        <v>327</v>
      </c>
      <c r="Y42" s="613" t="s">
        <v>347</v>
      </c>
      <c r="Z42" s="622">
        <v>27761</v>
      </c>
      <c r="AA42" s="622">
        <v>1309</v>
      </c>
      <c r="AB42" s="622">
        <v>25948</v>
      </c>
      <c r="AC42" s="622">
        <v>393</v>
      </c>
      <c r="AD42" s="622">
        <v>3</v>
      </c>
      <c r="AE42" s="622">
        <v>6339</v>
      </c>
      <c r="AF42" s="622">
        <v>182</v>
      </c>
      <c r="AG42" s="622">
        <v>112</v>
      </c>
      <c r="AH42" s="622">
        <v>5</v>
      </c>
      <c r="AI42" s="623">
        <v>0</v>
      </c>
    </row>
    <row r="43">
      <c r="A43" s="612"/>
      <c r="B43" s="653" t="s">
        <v>325</v>
      </c>
      <c r="C43" s="609" t="s">
        <v>341</v>
      </c>
      <c r="D43" s="654">
        <v>995.481</v>
      </c>
      <c r="E43" s="615">
        <v>3</v>
      </c>
      <c r="F43" s="647">
        <v>1284</v>
      </c>
      <c r="G43" s="647"/>
      <c r="H43" s="617">
        <f t="shared" si="516"/>
      </c>
      <c r="I43" s="618">
        <f t="shared" si="3"/>
      </c>
      <c r="J43" s="619">
        <f t="shared" si="378"/>
      </c>
      <c r="K43" s="620">
        <f t="shared" si="431"/>
      </c>
      <c r="L43" s="617">
        <f t="shared" si="187"/>
      </c>
      <c r="M43" s="617">
        <f t="shared" si="272"/>
      </c>
      <c r="N43" s="621">
        <f t="shared" si="56"/>
      </c>
      <c r="O43" s="621">
        <f t="shared" si="98"/>
      </c>
      <c r="P43" s="621">
        <f t="shared" si="160"/>
      </c>
      <c r="Q43" s="621">
        <f t="shared" si="542"/>
      </c>
      <c r="R43" s="617">
        <f t="shared" si="29"/>
      </c>
      <c r="S43" s="619">
        <f t="shared" si="404"/>
      </c>
      <c r="T43" s="621">
        <f t="shared" si="473"/>
      </c>
      <c r="U43" s="621">
        <f t="shared" si="229"/>
      </c>
      <c r="V43" s="621">
        <f t="shared" si="314"/>
      </c>
      <c r="W43" s="621">
        <f t="shared" si="133"/>
      </c>
      <c r="X43" s="653" t="s">
        <v>327</v>
      </c>
      <c r="Y43" s="613" t="s">
        <v>347</v>
      </c>
      <c r="Z43" s="622">
        <v>56676</v>
      </c>
      <c r="AA43" s="622">
        <v>2043</v>
      </c>
      <c r="AB43" s="622">
        <v>54800</v>
      </c>
      <c r="AC43" s="622">
        <v>670</v>
      </c>
      <c r="AD43" s="622">
        <v>3</v>
      </c>
      <c r="AE43" s="622">
        <v>13020</v>
      </c>
      <c r="AF43" s="622">
        <v>351</v>
      </c>
      <c r="AG43" s="622">
        <v>205</v>
      </c>
      <c r="AH43" s="622">
        <v>21</v>
      </c>
      <c r="AI43" s="623">
        <v>0</v>
      </c>
    </row>
    <row r="44">
      <c r="A44" s="612"/>
      <c r="B44" s="653" t="s">
        <v>325</v>
      </c>
      <c r="C44" s="609" t="s">
        <v>342</v>
      </c>
      <c r="D44" s="654">
        <v>1173.525</v>
      </c>
      <c r="E44" s="615">
        <v>4</v>
      </c>
      <c r="F44" s="647">
        <v>901.1999999999998</v>
      </c>
      <c r="G44" s="647"/>
      <c r="H44" s="617">
        <f t="shared" si="516"/>
      </c>
      <c r="I44" s="618">
        <f t="shared" si="3"/>
      </c>
      <c r="J44" s="619">
        <f t="shared" si="378"/>
      </c>
      <c r="K44" s="620">
        <f t="shared" si="431"/>
      </c>
      <c r="L44" s="617">
        <f t="shared" si="187"/>
      </c>
      <c r="M44" s="617">
        <f t="shared" si="272"/>
      </c>
      <c r="N44" s="621">
        <f t="shared" si="56"/>
      </c>
      <c r="O44" s="621">
        <f t="shared" si="98"/>
      </c>
      <c r="P44" s="621">
        <f t="shared" si="160"/>
      </c>
      <c r="Q44" s="621">
        <f t="shared" si="542"/>
      </c>
      <c r="R44" s="617">
        <f t="shared" si="29"/>
      </c>
      <c r="S44" s="619">
        <f t="shared" si="404"/>
      </c>
      <c r="T44" s="621">
        <f t="shared" si="473"/>
      </c>
      <c r="U44" s="621">
        <f t="shared" si="229"/>
      </c>
      <c r="V44" s="621">
        <f t="shared" si="314"/>
      </c>
      <c r="W44" s="621">
        <f t="shared" si="133"/>
      </c>
      <c r="X44" s="653" t="s">
        <v>327</v>
      </c>
      <c r="Y44" s="613" t="s">
        <v>347</v>
      </c>
      <c r="Z44" s="622">
        <v>73315</v>
      </c>
      <c r="AA44" s="622">
        <v>2112</v>
      </c>
      <c r="AB44" s="622">
        <v>71801</v>
      </c>
      <c r="AC44" s="622">
        <v>780</v>
      </c>
      <c r="AD44" s="622">
        <v>1</v>
      </c>
      <c r="AE44" s="622">
        <v>17449</v>
      </c>
      <c r="AF44" s="622">
        <v>416</v>
      </c>
      <c r="AG44" s="622">
        <v>220</v>
      </c>
      <c r="AH44" s="622">
        <v>12</v>
      </c>
      <c r="AI44" s="623">
        <v>1</v>
      </c>
    </row>
    <row r="45">
      <c r="A45" s="612"/>
      <c r="B45" s="625" t="s">
        <v>332</v>
      </c>
      <c r="C45" s="625"/>
      <c r="D45" s="626">
        <f>SUM(D41:D44)</f>
      </c>
      <c r="E45" s="627">
        <f>SUM(E41:E44)</f>
      </c>
      <c r="F45" s="648">
        <f>SUM(F41:F44)</f>
      </c>
      <c r="G45" s="648"/>
      <c r="H45" s="628">
        <f t="shared" si="516"/>
      </c>
      <c r="I45" s="629">
        <f t="shared" si="3"/>
      </c>
      <c r="J45" s="630">
        <f t="shared" si="378"/>
      </c>
      <c r="K45" s="631">
        <f t="shared" si="431"/>
      </c>
      <c r="L45" s="628">
        <f t="shared" si="187"/>
      </c>
      <c r="M45" s="628">
        <f t="shared" si="272"/>
      </c>
      <c r="N45" s="632">
        <f t="shared" si="56"/>
      </c>
      <c r="O45" s="632">
        <f t="shared" si="98"/>
      </c>
      <c r="P45" s="632">
        <f t="shared" si="160"/>
      </c>
      <c r="Q45" s="632">
        <f t="shared" si="542"/>
      </c>
      <c r="R45" s="628">
        <f t="shared" si="29"/>
      </c>
      <c r="S45" s="630">
        <f t="shared" si="404"/>
      </c>
      <c r="T45" s="632">
        <f t="shared" si="473"/>
      </c>
      <c r="U45" s="632">
        <f t="shared" si="229"/>
      </c>
      <c r="V45" s="632">
        <f t="shared" si="314"/>
      </c>
      <c r="W45" s="632">
        <f t="shared" si="133"/>
      </c>
      <c r="X45" s="632"/>
      <c r="Y45" s="633"/>
      <c r="Z45" s="633">
        <f>SUM(Z41:Z44)</f>
      </c>
      <c r="AA45" s="633">
        <f>SUM(AA41:AA44)</f>
      </c>
      <c r="AB45" s="633">
        <f>SUM(AB41:AB44)</f>
      </c>
      <c r="AC45" s="633">
        <f>SUM(AC41:AC44)</f>
      </c>
      <c r="AD45" s="633">
        <f>SUM(AD41:AD44)</f>
      </c>
      <c r="AE45" s="633">
        <f>SUM(AE41:AE44)</f>
      </c>
      <c r="AF45" s="633">
        <f>SUM(AF41:AF44)</f>
      </c>
      <c r="AG45" s="633">
        <f>SUM(AG41:AG44)</f>
      </c>
      <c r="AH45" s="633">
        <f>SUM(AH41:AH44)</f>
      </c>
      <c r="AI45" s="633">
        <f>SUM(AI41:AI44)</f>
      </c>
    </row>
    <row r="46">
      <c r="A46" s="612"/>
      <c r="B46" s="653" t="s">
        <v>333</v>
      </c>
      <c r="C46" s="634" t="s">
        <v>343</v>
      </c>
      <c r="D46" s="654">
        <v>951.295</v>
      </c>
      <c r="E46" s="615">
        <v>4</v>
      </c>
      <c r="F46" s="647">
        <v>858.4000000000001</v>
      </c>
      <c r="G46" s="647"/>
      <c r="H46" s="617">
        <f t="shared" si="516"/>
      </c>
      <c r="I46" s="618">
        <f t="shared" si="3"/>
      </c>
      <c r="J46" s="619">
        <f t="shared" si="378"/>
      </c>
      <c r="K46" s="620">
        <f t="shared" si="431"/>
      </c>
      <c r="L46" s="617">
        <f t="shared" si="187"/>
      </c>
      <c r="M46" s="622">
        <f t="shared" si="272"/>
      </c>
      <c r="N46" s="621">
        <f t="shared" si="56"/>
      </c>
      <c r="O46" s="621">
        <f t="shared" si="98"/>
      </c>
      <c r="P46" s="621">
        <f t="shared" si="160"/>
      </c>
      <c r="Q46" s="621">
        <f t="shared" si="542"/>
      </c>
      <c r="R46" s="617">
        <f t="shared" si="29"/>
      </c>
      <c r="S46" s="619">
        <f t="shared" si="404"/>
      </c>
      <c r="T46" s="621">
        <f t="shared" si="473"/>
      </c>
      <c r="U46" s="621">
        <f t="shared" si="229"/>
      </c>
      <c r="V46" s="621">
        <f t="shared" si="314"/>
      </c>
      <c r="W46" s="621">
        <f t="shared" si="133"/>
      </c>
      <c r="X46" s="653" t="s">
        <v>327</v>
      </c>
      <c r="Y46" s="613" t="s">
        <v>347</v>
      </c>
      <c r="Z46" s="622">
        <v>59524</v>
      </c>
      <c r="AA46" s="622">
        <v>2017</v>
      </c>
      <c r="AB46" s="622">
        <v>58107</v>
      </c>
      <c r="AC46" s="622">
        <v>550</v>
      </c>
      <c r="AD46" s="622">
        <v>3</v>
      </c>
      <c r="AE46" s="622">
        <v>10968</v>
      </c>
      <c r="AF46" s="622">
        <v>253</v>
      </c>
      <c r="AG46" s="622">
        <v>173</v>
      </c>
      <c r="AH46" s="623">
        <v>14</v>
      </c>
      <c r="AI46" s="623">
        <v>1</v>
      </c>
    </row>
    <row r="47">
      <c r="A47" s="612"/>
      <c r="B47" s="653" t="s">
        <v>333</v>
      </c>
      <c r="C47" s="609" t="s">
        <v>344</v>
      </c>
      <c r="D47" s="654">
        <v>1311.733</v>
      </c>
      <c r="E47" s="615">
        <v>5</v>
      </c>
      <c r="F47" s="657">
        <v>3464.2000000000003</v>
      </c>
      <c r="G47" s="657"/>
      <c r="H47" s="617">
        <f t="shared" si="516"/>
      </c>
      <c r="I47" s="618">
        <f t="shared" si="3"/>
      </c>
      <c r="J47" s="619">
        <f t="shared" si="378"/>
      </c>
      <c r="K47" s="620">
        <f t="shared" si="431"/>
      </c>
      <c r="L47" s="617">
        <f t="shared" si="187"/>
      </c>
      <c r="M47" s="617">
        <f t="shared" si="272"/>
      </c>
      <c r="N47" s="621">
        <f t="shared" si="56"/>
      </c>
      <c r="O47" s="621">
        <f t="shared" si="98"/>
      </c>
      <c r="P47" s="621">
        <f t="shared" si="160"/>
      </c>
      <c r="Q47" s="621">
        <f t="shared" si="542"/>
      </c>
      <c r="R47" s="617">
        <f t="shared" si="29"/>
      </c>
      <c r="S47" s="619">
        <f t="shared" si="404"/>
      </c>
      <c r="T47" s="621">
        <f t="shared" si="473"/>
      </c>
      <c r="U47" s="621">
        <f t="shared" si="229"/>
      </c>
      <c r="V47" s="621">
        <f t="shared" si="314"/>
      </c>
      <c r="W47" s="621">
        <f t="shared" si="133"/>
      </c>
      <c r="X47" s="653" t="s">
        <v>327</v>
      </c>
      <c r="Y47" s="613" t="s">
        <v>347</v>
      </c>
      <c r="Z47" s="622">
        <v>76159</v>
      </c>
      <c r="AA47" s="622">
        <v>2420</v>
      </c>
      <c r="AB47" s="622">
        <v>75052</v>
      </c>
      <c r="AC47" s="622">
        <v>850</v>
      </c>
      <c r="AD47" s="622">
        <v>2</v>
      </c>
      <c r="AE47" s="622">
        <v>14839</v>
      </c>
      <c r="AF47" s="622">
        <v>345</v>
      </c>
      <c r="AG47" s="622">
        <v>274</v>
      </c>
      <c r="AH47" s="622">
        <v>37</v>
      </c>
      <c r="AI47" s="623">
        <v>2</v>
      </c>
    </row>
    <row r="48">
      <c r="A48" s="612"/>
      <c r="B48" s="653" t="s">
        <v>333</v>
      </c>
      <c r="C48" s="609" t="s">
        <v>345</v>
      </c>
      <c r="D48" s="654">
        <v>971.936</v>
      </c>
      <c r="E48" s="615">
        <v>4</v>
      </c>
      <c r="F48" s="647">
        <v>1479.999999999999</v>
      </c>
      <c r="G48" s="647"/>
      <c r="H48" s="617">
        <f t="shared" si="516"/>
      </c>
      <c r="I48" s="618">
        <f t="shared" si="3"/>
      </c>
      <c r="J48" s="619">
        <f t="shared" si="378"/>
      </c>
      <c r="K48" s="620">
        <f t="shared" si="431"/>
      </c>
      <c r="L48" s="617">
        <f t="shared" si="187"/>
      </c>
      <c r="M48" s="617">
        <f t="shared" si="272"/>
      </c>
      <c r="N48" s="621">
        <f t="shared" si="56"/>
      </c>
      <c r="O48" s="621">
        <f t="shared" si="98"/>
      </c>
      <c r="P48" s="621">
        <f t="shared" si="160"/>
      </c>
      <c r="Q48" s="621">
        <f t="shared" si="542"/>
      </c>
      <c r="R48" s="617">
        <f t="shared" si="29"/>
      </c>
      <c r="S48" s="619">
        <f t="shared" si="404"/>
      </c>
      <c r="T48" s="621">
        <f t="shared" si="473"/>
      </c>
      <c r="U48" s="621">
        <f t="shared" si="229"/>
      </c>
      <c r="V48" s="621">
        <f t="shared" si="314"/>
      </c>
      <c r="W48" s="621">
        <f t="shared" si="133"/>
      </c>
      <c r="X48" s="653" t="s">
        <v>327</v>
      </c>
      <c r="Y48" s="613" t="s">
        <v>347</v>
      </c>
      <c r="Z48" s="622">
        <v>55087</v>
      </c>
      <c r="AA48" s="622">
        <v>1540</v>
      </c>
      <c r="AB48" s="622">
        <v>54180</v>
      </c>
      <c r="AC48" s="622">
        <v>532</v>
      </c>
      <c r="AD48" s="622">
        <v>4</v>
      </c>
      <c r="AE48" s="622">
        <v>9281</v>
      </c>
      <c r="AF48" s="622">
        <v>217</v>
      </c>
      <c r="AG48" s="622">
        <v>139</v>
      </c>
      <c r="AH48" s="622">
        <v>17</v>
      </c>
      <c r="AI48" s="623">
        <v>1</v>
      </c>
    </row>
    <row r="49">
      <c r="A49" s="612"/>
      <c r="B49" s="653" t="s">
        <v>333</v>
      </c>
      <c r="C49" s="609" t="s">
        <v>346</v>
      </c>
      <c r="D49" s="654">
        <v>2221.34</v>
      </c>
      <c r="E49" s="615">
        <v>8</v>
      </c>
      <c r="F49" s="657">
        <v>1957.4000000000015</v>
      </c>
      <c r="G49" s="657"/>
      <c r="H49" s="617">
        <f t="shared" si="516"/>
      </c>
      <c r="I49" s="618">
        <f t="shared" si="3"/>
      </c>
      <c r="J49" s="619">
        <f t="shared" si="378"/>
      </c>
      <c r="K49" s="620">
        <f t="shared" si="431"/>
      </c>
      <c r="L49" s="617">
        <f t="shared" si="187"/>
      </c>
      <c r="M49" s="617">
        <f t="shared" si="272"/>
      </c>
      <c r="N49" s="621">
        <f t="shared" si="56"/>
      </c>
      <c r="O49" s="621">
        <f t="shared" si="98"/>
      </c>
      <c r="P49" s="621">
        <f t="shared" si="160"/>
      </c>
      <c r="Q49" s="621">
        <f t="shared" si="542"/>
      </c>
      <c r="R49" s="617">
        <f t="shared" si="29"/>
      </c>
      <c r="S49" s="619">
        <f t="shared" si="404"/>
      </c>
      <c r="T49" s="621">
        <f t="shared" si="473"/>
      </c>
      <c r="U49" s="621">
        <f t="shared" si="229"/>
      </c>
      <c r="V49" s="621">
        <f t="shared" si="314"/>
      </c>
      <c r="W49" s="621">
        <f t="shared" si="133"/>
      </c>
      <c r="X49" s="653" t="s">
        <v>327</v>
      </c>
      <c r="Y49" s="613" t="s">
        <v>347</v>
      </c>
      <c r="Z49" s="622">
        <v>113105</v>
      </c>
      <c r="AA49" s="622">
        <v>2823</v>
      </c>
      <c r="AB49" s="622">
        <v>111727</v>
      </c>
      <c r="AC49" s="622">
        <v>1194</v>
      </c>
      <c r="AD49" s="622">
        <v>3</v>
      </c>
      <c r="AE49" s="622">
        <v>19749</v>
      </c>
      <c r="AF49" s="622">
        <v>471</v>
      </c>
      <c r="AG49" s="622">
        <v>304</v>
      </c>
      <c r="AH49" s="622">
        <v>37</v>
      </c>
      <c r="AI49" s="623">
        <v>1</v>
      </c>
    </row>
    <row r="50">
      <c r="A50" s="612"/>
      <c r="B50" s="625" t="s">
        <v>332</v>
      </c>
      <c r="C50" s="625"/>
      <c r="D50" s="626">
        <f>SUM(D46:D49)</f>
      </c>
      <c r="E50" s="627">
        <f>SUM(E46:E49)</f>
      </c>
      <c r="F50" s="648">
        <f>SUM(F46:F49)</f>
      </c>
      <c r="G50" s="648"/>
      <c r="H50" s="628">
        <f t="shared" si="516"/>
      </c>
      <c r="I50" s="629">
        <f t="shared" si="3"/>
      </c>
      <c r="J50" s="630">
        <f t="shared" si="378"/>
      </c>
      <c r="K50" s="631">
        <f t="shared" si="431"/>
      </c>
      <c r="L50" s="628">
        <f t="shared" si="187"/>
      </c>
      <c r="M50" s="628">
        <f t="shared" si="272"/>
      </c>
      <c r="N50" s="632">
        <f t="shared" si="56"/>
      </c>
      <c r="O50" s="632">
        <f t="shared" si="98"/>
      </c>
      <c r="P50" s="632">
        <f t="shared" si="160"/>
      </c>
      <c r="Q50" s="632">
        <f t="shared" si="542"/>
      </c>
      <c r="R50" s="628">
        <f t="shared" si="29"/>
      </c>
      <c r="S50" s="630">
        <f t="shared" si="404"/>
      </c>
      <c r="T50" s="632">
        <f t="shared" si="473"/>
      </c>
      <c r="U50" s="632">
        <f t="shared" si="229"/>
      </c>
      <c r="V50" s="632">
        <f t="shared" si="314"/>
      </c>
      <c r="W50" s="632">
        <f t="shared" si="133"/>
      </c>
      <c r="X50" s="632"/>
      <c r="Y50" s="633"/>
      <c r="Z50" s="633">
        <f>SUM(Z46:Z49)</f>
      </c>
      <c r="AA50" s="633">
        <f>SUM(AA46:AA49)</f>
      </c>
      <c r="AB50" s="633">
        <f>SUM(AB46:AB49)</f>
      </c>
      <c r="AC50" s="633">
        <f>SUM(AC46:AC49)</f>
      </c>
      <c r="AD50" s="633">
        <f>SUM(AD46:AD49)</f>
      </c>
      <c r="AE50" s="633">
        <f>SUM(AE46:AE49)</f>
      </c>
      <c r="AF50" s="633">
        <f>SUM(AF46:AF49)</f>
      </c>
      <c r="AG50" s="633">
        <f>SUM(AG46:AG49)</f>
      </c>
      <c r="AH50" s="633">
        <f>SUM(AH46:AH49)</f>
      </c>
      <c r="AI50" s="633">
        <f>SUM(AI46:AI49)</f>
      </c>
    </row>
    <row r="51">
      <c r="A51" s="612"/>
      <c r="B51" s="635" t="s">
        <v>337</v>
      </c>
      <c r="C51" s="635"/>
      <c r="D51" s="636">
        <f>SUM(D50+D45)</f>
      </c>
      <c r="E51" s="637">
        <f>SUM(E50+E45)</f>
      </c>
      <c r="F51" s="649">
        <f>SUM(F50+F45)</f>
      </c>
      <c r="G51" s="649"/>
      <c r="H51" s="638">
        <f t="shared" si="516"/>
      </c>
      <c r="I51" s="639">
        <f t="shared" si="3"/>
      </c>
      <c r="J51" s="640">
        <f t="shared" si="378"/>
      </c>
      <c r="K51" s="641">
        <f t="shared" si="431"/>
      </c>
      <c r="L51" s="641">
        <f t="shared" si="187"/>
      </c>
      <c r="M51" s="642">
        <f t="shared" si="272"/>
      </c>
      <c r="N51" s="643">
        <f t="shared" si="56"/>
      </c>
      <c r="O51" s="643">
        <f t="shared" si="98"/>
      </c>
      <c r="P51" s="643">
        <f t="shared" si="160"/>
      </c>
      <c r="Q51" s="643">
        <f t="shared" si="542"/>
      </c>
      <c r="R51" s="642">
        <f t="shared" si="29"/>
      </c>
      <c r="S51" s="644">
        <f t="shared" si="404"/>
      </c>
      <c r="T51" s="645">
        <f t="shared" si="473"/>
      </c>
      <c r="U51" s="645">
        <f t="shared" si="229"/>
      </c>
      <c r="V51" s="645">
        <f t="shared" si="314"/>
      </c>
      <c r="W51" s="645">
        <f t="shared" si="133"/>
      </c>
      <c r="X51" s="645"/>
      <c r="Y51" s="646"/>
      <c r="Z51" s="658">
        <f>Z45+Z50</f>
      </c>
      <c r="AA51" s="658">
        <f>AA45+AA50</f>
      </c>
      <c r="AB51" s="658">
        <f>AB45+AB50</f>
      </c>
      <c r="AC51" s="658">
        <f>AC45+AC50</f>
      </c>
      <c r="AD51" s="658">
        <f>AD45+AD50</f>
      </c>
      <c r="AE51" s="658">
        <f>AE45+AE50</f>
      </c>
      <c r="AF51" s="658">
        <f>AF45+AF50</f>
      </c>
      <c r="AG51" s="658">
        <f>AG45+AG50</f>
      </c>
      <c r="AH51" s="658">
        <f>AH45+AH50</f>
      </c>
      <c r="AI51" s="646">
        <f>AI45+AI50</f>
      </c>
    </row>
    <row r="52">
      <c r="A52" s="594"/>
      <c r="B52" s="594"/>
      <c r="C52" s="594"/>
      <c r="D52" s="604" t="s">
        <v>288</v>
      </c>
      <c r="E52" s="604"/>
      <c r="F52" s="595"/>
      <c r="G52" s="595"/>
      <c r="H52" s="595"/>
      <c r="I52" s="595"/>
      <c r="J52" s="595"/>
      <c r="K52" s="597" t="s">
        <v>289</v>
      </c>
      <c r="L52" s="597"/>
      <c r="M52" s="597"/>
      <c r="N52" s="597"/>
      <c r="O52" s="597"/>
      <c r="P52" s="597"/>
      <c r="Q52" s="597"/>
      <c r="R52" s="597"/>
      <c r="S52" s="597"/>
      <c r="T52" s="598" t="s">
        <v>290</v>
      </c>
      <c r="U52" s="598"/>
      <c r="V52" s="598"/>
      <c r="W52" s="598"/>
      <c r="X52" s="599"/>
      <c r="Y52" s="599"/>
      <c r="Z52" s="601"/>
      <c r="AA52" s="601"/>
      <c r="AB52" s="601"/>
      <c r="AC52" s="601"/>
      <c r="AD52" s="601"/>
      <c r="AE52" s="601"/>
      <c r="AF52" s="601"/>
      <c r="AG52" s="601"/>
      <c r="AH52" s="602"/>
      <c r="AI52" s="601"/>
    </row>
    <row r="53">
      <c r="A53" s="603" t="s">
        <v>291</v>
      </c>
      <c r="B53" s="594" t="s">
        <v>292</v>
      </c>
      <c r="C53" s="659" t="s">
        <v>293</v>
      </c>
      <c r="D53" s="660" t="s">
        <v>294</v>
      </c>
      <c r="E53" s="661" t="s">
        <v>295</v>
      </c>
      <c r="F53" s="662" t="s">
        <v>296</v>
      </c>
      <c r="G53" s="662"/>
      <c r="H53" s="595" t="s">
        <v>297</v>
      </c>
      <c r="I53" s="595" t="s">
        <v>298</v>
      </c>
      <c r="J53" s="595" t="s">
        <v>299</v>
      </c>
      <c r="K53" s="597" t="s">
        <v>300</v>
      </c>
      <c r="L53" s="597" t="s">
        <v>301</v>
      </c>
      <c r="M53" s="597" t="s">
        <v>302</v>
      </c>
      <c r="N53" s="597" t="s">
        <v>303</v>
      </c>
      <c r="O53" s="597" t="s">
        <v>304</v>
      </c>
      <c r="P53" s="597" t="s">
        <v>305</v>
      </c>
      <c r="Q53" s="597" t="s">
        <v>306</v>
      </c>
      <c r="R53" s="597" t="s">
        <v>307</v>
      </c>
      <c r="S53" s="597" t="s">
        <v>308</v>
      </c>
      <c r="T53" s="606" t="s">
        <v>309</v>
      </c>
      <c r="U53" s="606" t="s">
        <v>310</v>
      </c>
      <c r="V53" s="606" t="s">
        <v>311</v>
      </c>
      <c r="W53" s="606" t="s">
        <v>312</v>
      </c>
      <c r="X53" s="607" t="s">
        <v>313</v>
      </c>
      <c r="Y53" s="607" t="s">
        <v>314</v>
      </c>
      <c r="Z53" s="651" t="s">
        <v>315</v>
      </c>
      <c r="AA53" s="651" t="s">
        <v>316</v>
      </c>
      <c r="AB53" s="651" t="s">
        <v>317</v>
      </c>
      <c r="AC53" s="609" t="s">
        <v>318</v>
      </c>
      <c r="AD53" s="609" t="s">
        <v>319</v>
      </c>
      <c r="AE53" s="652" t="s">
        <v>320</v>
      </c>
      <c r="AF53" s="609" t="s">
        <v>321</v>
      </c>
      <c r="AG53" s="609" t="s">
        <v>322</v>
      </c>
      <c r="AH53" s="611" t="s">
        <v>323</v>
      </c>
      <c r="AI53" s="609" t="s">
        <v>324</v>
      </c>
    </row>
    <row r="54">
      <c r="A54" s="612">
        <v>46183</v>
      </c>
      <c r="B54" s="653" t="s">
        <v>333</v>
      </c>
      <c r="C54" s="611" t="s">
        <v>338</v>
      </c>
      <c r="D54" s="663">
        <v>2560.131</v>
      </c>
      <c r="E54" s="664">
        <v>4</v>
      </c>
      <c r="F54" s="665">
        <v>2112</v>
      </c>
      <c r="G54" s="665"/>
      <c r="H54" s="617">
        <f t="shared" ref="H54:H64" si="517">F54/E54</f>
      </c>
      <c r="I54" s="618">
        <f t="shared" ref="I54:I64" si="4">D54/E54</f>
      </c>
      <c r="J54" s="619">
        <f t="shared" ref="J54:J64" si="379">F54/D54</f>
      </c>
      <c r="K54" s="620">
        <f t="shared" ref="K54:K64" si="432">D54/AB54</f>
      </c>
      <c r="L54" s="617">
        <f t="shared" ref="L54:L64" si="188">D54/AC54</f>
      </c>
      <c r="M54" s="617">
        <f t="shared" ref="M54:M64" si="273">D54/AD54</f>
      </c>
      <c r="N54" s="621">
        <f t="shared" ref="N54:N64" si="57">AC54/AB54</f>
      </c>
      <c r="O54" s="621">
        <f t="shared" ref="O54:O64" si="99">AD54/AC54</f>
      </c>
      <c r="P54" s="621">
        <f t="shared" ref="P54:P64" si="161">AA54/Z54</f>
      </c>
      <c r="Q54" s="621">
        <f t="shared" ref="Q54:Q64" si="543">AD54/AA54</f>
      </c>
      <c r="R54" s="617">
        <f t="shared" ref="R54:R64" si="30">D54/Z54*1000</f>
      </c>
      <c r="S54" s="619">
        <f t="shared" ref="S54:S64" si="405">D54/AA54</f>
      </c>
      <c r="T54" s="621">
        <f t="shared" ref="T54:T64" si="474">AE54/AB54</f>
      </c>
      <c r="U54" s="621">
        <f t="shared" ref="U54:U64" si="230">AF54/AB54</f>
      </c>
      <c r="V54" s="621">
        <f t="shared" ref="V54:V64" si="315">AG54/AB54</f>
      </c>
      <c r="W54" s="621">
        <f t="shared" ref="W54:W64" si="134">AH54/AB54</f>
      </c>
      <c r="X54" s="653" t="s">
        <v>327</v>
      </c>
      <c r="Y54" s="653" t="s">
        <v>339</v>
      </c>
      <c r="Z54" s="655">
        <v>157585</v>
      </c>
      <c r="AA54" s="655">
        <v>2993</v>
      </c>
      <c r="AB54" s="655">
        <v>155490</v>
      </c>
      <c r="AC54" s="622">
        <v>1514</v>
      </c>
      <c r="AD54" s="622">
        <v>4</v>
      </c>
      <c r="AE54" s="655">
        <v>39646</v>
      </c>
      <c r="AF54" s="622">
        <v>803</v>
      </c>
      <c r="AG54" s="622">
        <v>463</v>
      </c>
      <c r="AH54" s="622">
        <v>37</v>
      </c>
      <c r="AI54" s="623">
        <v>0</v>
      </c>
    </row>
    <row r="55">
      <c r="A55" s="612"/>
      <c r="B55" s="653" t="s">
        <v>333</v>
      </c>
      <c r="C55" s="611" t="s">
        <v>340</v>
      </c>
      <c r="D55" s="663">
        <v>1048.2530000000002</v>
      </c>
      <c r="E55" s="664">
        <v>13</v>
      </c>
      <c r="F55" s="665">
        <v>5191.200000000001</v>
      </c>
      <c r="G55" s="665"/>
      <c r="H55" s="617">
        <f t="shared" si="517"/>
      </c>
      <c r="I55" s="618">
        <f t="shared" si="4"/>
      </c>
      <c r="J55" s="619">
        <f t="shared" si="379"/>
      </c>
      <c r="K55" s="620">
        <f t="shared" si="432"/>
      </c>
      <c r="L55" s="617">
        <f t="shared" si="188"/>
      </c>
      <c r="M55" s="617">
        <f t="shared" si="273"/>
      </c>
      <c r="N55" s="621">
        <f t="shared" si="57"/>
      </c>
      <c r="O55" s="621">
        <f t="shared" si="99"/>
      </c>
      <c r="P55" s="621">
        <f t="shared" si="161"/>
      </c>
      <c r="Q55" s="621">
        <f t="shared" si="543"/>
      </c>
      <c r="R55" s="617">
        <f t="shared" si="30"/>
      </c>
      <c r="S55" s="619">
        <f t="shared" si="405"/>
      </c>
      <c r="T55" s="621">
        <f t="shared" si="474"/>
      </c>
      <c r="U55" s="621">
        <f t="shared" si="230"/>
      </c>
      <c r="V55" s="621">
        <f t="shared" si="315"/>
      </c>
      <c r="W55" s="621">
        <f t="shared" si="134"/>
      </c>
      <c r="X55" s="653" t="s">
        <v>327</v>
      </c>
      <c r="Y55" s="653" t="s">
        <v>339</v>
      </c>
      <c r="Z55" s="622">
        <v>70039</v>
      </c>
      <c r="AA55" s="622">
        <v>1972</v>
      </c>
      <c r="AB55" s="622">
        <v>67678</v>
      </c>
      <c r="AC55" s="622">
        <v>747</v>
      </c>
      <c r="AD55" s="622">
        <v>8</v>
      </c>
      <c r="AE55" s="622">
        <v>16440</v>
      </c>
      <c r="AF55" s="622">
        <v>595</v>
      </c>
      <c r="AG55" s="622">
        <v>203</v>
      </c>
      <c r="AH55" s="622">
        <v>26</v>
      </c>
      <c r="AI55" s="623">
        <v>2</v>
      </c>
    </row>
    <row r="56">
      <c r="A56" s="612"/>
      <c r="B56" s="653" t="s">
        <v>333</v>
      </c>
      <c r="C56" s="611" t="s">
        <v>341</v>
      </c>
      <c r="D56" s="663">
        <v>818.905</v>
      </c>
      <c r="E56" s="664">
        <v>1</v>
      </c>
      <c r="F56" s="665">
        <v>228</v>
      </c>
      <c r="G56" s="665"/>
      <c r="H56" s="617">
        <f t="shared" si="517"/>
      </c>
      <c r="I56" s="618">
        <f t="shared" si="4"/>
      </c>
      <c r="J56" s="619">
        <f t="shared" si="379"/>
      </c>
      <c r="K56" s="620">
        <f t="shared" si="432"/>
      </c>
      <c r="L56" s="617">
        <f t="shared" si="188"/>
      </c>
      <c r="M56" s="617">
        <f t="shared" si="273"/>
      </c>
      <c r="N56" s="621">
        <f t="shared" si="57"/>
      </c>
      <c r="O56" s="621">
        <f t="shared" si="99"/>
      </c>
      <c r="P56" s="621">
        <f t="shared" si="161"/>
      </c>
      <c r="Q56" s="621">
        <f t="shared" si="543"/>
      </c>
      <c r="R56" s="617">
        <f t="shared" si="30"/>
      </c>
      <c r="S56" s="619">
        <f t="shared" si="405"/>
      </c>
      <c r="T56" s="621">
        <f t="shared" si="474"/>
      </c>
      <c r="U56" s="621">
        <f t="shared" si="230"/>
      </c>
      <c r="V56" s="621">
        <f t="shared" si="315"/>
      </c>
      <c r="W56" s="621">
        <f t="shared" si="134"/>
      </c>
      <c r="X56" s="653" t="s">
        <v>327</v>
      </c>
      <c r="Y56" s="653" t="s">
        <v>339</v>
      </c>
      <c r="Z56" s="622">
        <v>50154</v>
      </c>
      <c r="AA56" s="622">
        <v>1518</v>
      </c>
      <c r="AB56" s="622">
        <v>48317</v>
      </c>
      <c r="AC56" s="622">
        <v>520</v>
      </c>
      <c r="AD56" s="622">
        <v>3</v>
      </c>
      <c r="AE56" s="622">
        <v>10535</v>
      </c>
      <c r="AF56" s="622">
        <v>327</v>
      </c>
      <c r="AG56" s="622">
        <v>103</v>
      </c>
      <c r="AH56" s="622">
        <v>17</v>
      </c>
      <c r="AI56" s="623">
        <v>0</v>
      </c>
    </row>
    <row r="57">
      <c r="A57" s="612"/>
      <c r="B57" s="653" t="s">
        <v>333</v>
      </c>
      <c r="C57" s="609" t="s">
        <v>342</v>
      </c>
      <c r="D57" s="666">
        <v>262.769</v>
      </c>
      <c r="E57" s="667">
        <v>1</v>
      </c>
      <c r="F57" s="647">
        <v>828</v>
      </c>
      <c r="G57" s="647"/>
      <c r="H57" s="617">
        <f t="shared" si="517"/>
      </c>
      <c r="I57" s="618">
        <f t="shared" si="4"/>
      </c>
      <c r="J57" s="619">
        <f t="shared" si="379"/>
      </c>
      <c r="K57" s="620">
        <f t="shared" si="432"/>
      </c>
      <c r="L57" s="617">
        <f t="shared" si="188"/>
      </c>
      <c r="M57" s="617">
        <f t="shared" si="273"/>
      </c>
      <c r="N57" s="621">
        <f t="shared" si="57"/>
      </c>
      <c r="O57" s="621">
        <f t="shared" si="99"/>
      </c>
      <c r="P57" s="621">
        <f t="shared" si="161"/>
      </c>
      <c r="Q57" s="621">
        <f t="shared" si="543"/>
      </c>
      <c r="R57" s="617">
        <f t="shared" si="30"/>
      </c>
      <c r="S57" s="619">
        <f t="shared" si="405"/>
      </c>
      <c r="T57" s="621">
        <f t="shared" si="474"/>
      </c>
      <c r="U57" s="621">
        <f t="shared" si="230"/>
      </c>
      <c r="V57" s="621">
        <f t="shared" si="315"/>
      </c>
      <c r="W57" s="621">
        <f t="shared" si="134"/>
      </c>
      <c r="X57" s="653" t="s">
        <v>327</v>
      </c>
      <c r="Y57" s="653" t="s">
        <v>339</v>
      </c>
      <c r="Z57" s="622">
        <v>32364</v>
      </c>
      <c r="AA57" s="622">
        <v>1319</v>
      </c>
      <c r="AB57" s="622">
        <v>30410</v>
      </c>
      <c r="AC57" s="622">
        <v>410</v>
      </c>
      <c r="AD57" s="622">
        <v>1</v>
      </c>
      <c r="AE57" s="622">
        <v>7461</v>
      </c>
      <c r="AF57" s="622">
        <v>194</v>
      </c>
      <c r="AG57" s="622">
        <v>81</v>
      </c>
      <c r="AH57" s="622">
        <v>11</v>
      </c>
      <c r="AI57" s="623">
        <v>0</v>
      </c>
    </row>
    <row r="58">
      <c r="A58" s="612"/>
      <c r="B58" s="625" t="s">
        <v>332</v>
      </c>
      <c r="C58" s="625"/>
      <c r="D58" s="626">
        <f>SUM(D54:D57)</f>
      </c>
      <c r="E58" s="627">
        <f>SUM(E54:E57)</f>
      </c>
      <c r="F58" s="648">
        <f>SUM(F54:F57)</f>
      </c>
      <c r="G58" s="648"/>
      <c r="H58" s="628">
        <f t="shared" si="517"/>
      </c>
      <c r="I58" s="629">
        <f t="shared" si="4"/>
      </c>
      <c r="J58" s="630">
        <f t="shared" si="379"/>
      </c>
      <c r="K58" s="631">
        <f t="shared" si="432"/>
      </c>
      <c r="L58" s="628">
        <f t="shared" si="188"/>
      </c>
      <c r="M58" s="628">
        <f t="shared" si="273"/>
      </c>
      <c r="N58" s="632">
        <f t="shared" si="57"/>
      </c>
      <c r="O58" s="632">
        <f t="shared" si="99"/>
      </c>
      <c r="P58" s="632">
        <f t="shared" si="161"/>
      </c>
      <c r="Q58" s="632">
        <f t="shared" si="543"/>
      </c>
      <c r="R58" s="628">
        <f t="shared" si="30"/>
      </c>
      <c r="S58" s="630">
        <f t="shared" si="405"/>
      </c>
      <c r="T58" s="632">
        <f t="shared" si="474"/>
      </c>
      <c r="U58" s="632">
        <f t="shared" si="230"/>
      </c>
      <c r="V58" s="632">
        <f t="shared" si="315"/>
      </c>
      <c r="W58" s="632">
        <f t="shared" si="134"/>
      </c>
      <c r="X58" s="632"/>
      <c r="Y58" s="633"/>
      <c r="Z58" s="633">
        <f>SUM(Z54:Z57)</f>
      </c>
      <c r="AA58" s="633">
        <f>SUM(AA54:AA57)</f>
      </c>
      <c r="AB58" s="633">
        <f>SUM(AB54:AB57)</f>
      </c>
      <c r="AC58" s="633">
        <f>SUM(AC54:AC57)</f>
      </c>
      <c r="AD58" s="633">
        <f>SUM(AD54:AD57)</f>
      </c>
      <c r="AE58" s="633">
        <f>SUM(AE54:AE57)</f>
      </c>
      <c r="AF58" s="633">
        <f>SUM(AF54:AF57)</f>
      </c>
      <c r="AG58" s="633">
        <f>SUM(AG54:AG57)</f>
      </c>
      <c r="AH58" s="633">
        <f>SUM(AH54:AH57)</f>
      </c>
      <c r="AI58" s="633">
        <f>SUM(AI54:AI57)</f>
      </c>
    </row>
    <row r="59">
      <c r="A59" s="612"/>
      <c r="B59" s="653" t="s">
        <v>325</v>
      </c>
      <c r="C59" s="609" t="s">
        <v>345</v>
      </c>
      <c r="D59" s="654">
        <v>444.823</v>
      </c>
      <c r="E59" s="615">
        <v>1</v>
      </c>
      <c r="F59" s="647">
        <v>196</v>
      </c>
      <c r="G59" s="647"/>
      <c r="H59" s="617">
        <f t="shared" si="517"/>
      </c>
      <c r="I59" s="618">
        <f t="shared" si="4"/>
      </c>
      <c r="J59" s="619">
        <f t="shared" si="379"/>
      </c>
      <c r="K59" s="620">
        <f t="shared" si="432"/>
      </c>
      <c r="L59" s="617">
        <f t="shared" si="188"/>
      </c>
      <c r="M59" s="622">
        <f t="shared" si="273"/>
      </c>
      <c r="N59" s="621">
        <f t="shared" si="57"/>
      </c>
      <c r="O59" s="621">
        <f t="shared" si="99"/>
      </c>
      <c r="P59" s="621">
        <f t="shared" si="161"/>
      </c>
      <c r="Q59" s="621">
        <f t="shared" si="543"/>
      </c>
      <c r="R59" s="617">
        <f t="shared" si="30"/>
      </c>
      <c r="S59" s="619">
        <f t="shared" si="405"/>
      </c>
      <c r="T59" s="621">
        <f t="shared" si="474"/>
      </c>
      <c r="U59" s="621">
        <f t="shared" si="230"/>
      </c>
      <c r="V59" s="621">
        <f t="shared" si="315"/>
      </c>
      <c r="W59" s="621">
        <f t="shared" si="134"/>
      </c>
      <c r="X59" s="653" t="s">
        <v>327</v>
      </c>
      <c r="Y59" s="653" t="s">
        <v>339</v>
      </c>
      <c r="Z59" s="622">
        <v>43724</v>
      </c>
      <c r="AA59" s="622">
        <v>2363</v>
      </c>
      <c r="AB59" s="622">
        <v>40654</v>
      </c>
      <c r="AC59" s="622">
        <v>571</v>
      </c>
      <c r="AD59" s="622">
        <v>1</v>
      </c>
      <c r="AE59" s="622">
        <v>7459</v>
      </c>
      <c r="AF59" s="622">
        <v>231</v>
      </c>
      <c r="AG59" s="622">
        <v>141</v>
      </c>
      <c r="AH59" s="623">
        <v>7</v>
      </c>
      <c r="AI59" s="623">
        <v>0</v>
      </c>
    </row>
    <row r="60">
      <c r="A60" s="612"/>
      <c r="B60" s="653" t="s">
        <v>325</v>
      </c>
      <c r="C60" s="609" t="s">
        <v>346</v>
      </c>
      <c r="D60" s="654">
        <v>303.81100000000004</v>
      </c>
      <c r="E60" s="615">
        <v>0</v>
      </c>
      <c r="F60" s="647">
        <v>0</v>
      </c>
      <c r="G60" s="647"/>
      <c r="H60" s="617">
        <f t="shared" si="517"/>
      </c>
      <c r="I60" s="618">
        <f t="shared" si="4"/>
      </c>
      <c r="J60" s="619">
        <f t="shared" si="379"/>
      </c>
      <c r="K60" s="620">
        <f t="shared" si="432"/>
      </c>
      <c r="L60" s="617">
        <f t="shared" si="188"/>
      </c>
      <c r="M60" s="617">
        <f t="shared" si="273"/>
      </c>
      <c r="N60" s="621">
        <f t="shared" si="57"/>
      </c>
      <c r="O60" s="621">
        <f t="shared" si="99"/>
      </c>
      <c r="P60" s="621">
        <f t="shared" si="161"/>
      </c>
      <c r="Q60" s="621">
        <f t="shared" si="543"/>
      </c>
      <c r="R60" s="617">
        <f t="shared" si="30"/>
      </c>
      <c r="S60" s="619">
        <f t="shared" si="405"/>
      </c>
      <c r="T60" s="621">
        <f t="shared" si="474"/>
      </c>
      <c r="U60" s="621">
        <f t="shared" si="230"/>
      </c>
      <c r="V60" s="621">
        <f t="shared" si="315"/>
      </c>
      <c r="W60" s="621">
        <f t="shared" si="134"/>
      </c>
      <c r="X60" s="653" t="s">
        <v>327</v>
      </c>
      <c r="Y60" s="653" t="s">
        <v>339</v>
      </c>
      <c r="Z60" s="622">
        <v>22563</v>
      </c>
      <c r="AA60" s="622">
        <v>1806</v>
      </c>
      <c r="AB60" s="622">
        <v>19552</v>
      </c>
      <c r="AC60" s="622">
        <v>405</v>
      </c>
      <c r="AD60" s="622">
        <v>0</v>
      </c>
      <c r="AE60" s="622">
        <v>3062</v>
      </c>
      <c r="AF60" s="622">
        <v>155</v>
      </c>
      <c r="AG60" s="622">
        <v>94</v>
      </c>
      <c r="AH60" s="622">
        <v>3</v>
      </c>
      <c r="AI60" s="623">
        <v>0</v>
      </c>
    </row>
    <row customHeight="true" ht="16.071428571428573" r="61">
      <c r="A61" s="612"/>
      <c r="B61" s="653" t="s">
        <v>325</v>
      </c>
      <c r="C61" s="616" t="s">
        <v>326</v>
      </c>
      <c r="D61" s="654">
        <v>330.764</v>
      </c>
      <c r="E61" s="615">
        <v>0</v>
      </c>
      <c r="F61" s="647">
        <v>0</v>
      </c>
      <c r="G61" s="647"/>
      <c r="H61" s="617">
        <f t="shared" si="517"/>
      </c>
      <c r="I61" s="618">
        <f t="shared" si="4"/>
      </c>
      <c r="J61" s="619">
        <f t="shared" si="379"/>
      </c>
      <c r="K61" s="620">
        <f t="shared" si="432"/>
      </c>
      <c r="L61" s="617">
        <f t="shared" si="188"/>
      </c>
      <c r="M61" s="617">
        <f t="shared" si="273"/>
      </c>
      <c r="N61" s="621">
        <f t="shared" si="57"/>
      </c>
      <c r="O61" s="621">
        <f t="shared" si="99"/>
      </c>
      <c r="P61" s="621">
        <f t="shared" si="161"/>
      </c>
      <c r="Q61" s="621">
        <f t="shared" si="543"/>
      </c>
      <c r="R61" s="617">
        <f t="shared" si="30"/>
      </c>
      <c r="S61" s="619">
        <f t="shared" si="405"/>
      </c>
      <c r="T61" s="621">
        <f t="shared" si="474"/>
      </c>
      <c r="U61" s="621">
        <f t="shared" si="230"/>
      </c>
      <c r="V61" s="621">
        <f t="shared" si="315"/>
      </c>
      <c r="W61" s="621">
        <f t="shared" si="134"/>
      </c>
      <c r="X61" s="653" t="s">
        <v>327</v>
      </c>
      <c r="Y61" s="653" t="s">
        <v>339</v>
      </c>
      <c r="Z61" s="622">
        <v>23090</v>
      </c>
      <c r="AA61" s="622">
        <v>1928</v>
      </c>
      <c r="AB61" s="622">
        <v>20221</v>
      </c>
      <c r="AC61" s="622">
        <v>434</v>
      </c>
      <c r="AD61" s="622">
        <v>0</v>
      </c>
      <c r="AE61" s="622">
        <v>3265</v>
      </c>
      <c r="AF61" s="622">
        <v>189</v>
      </c>
      <c r="AG61" s="622">
        <v>79</v>
      </c>
      <c r="AH61" s="622">
        <v>5</v>
      </c>
      <c r="AI61" s="623">
        <v>0</v>
      </c>
    </row>
    <row r="62">
      <c r="A62" s="612"/>
      <c r="B62" s="653" t="s">
        <v>325</v>
      </c>
      <c r="C62" s="616" t="s">
        <v>329</v>
      </c>
      <c r="D62" s="654">
        <v>468.06600000000003</v>
      </c>
      <c r="E62" s="615">
        <v>2</v>
      </c>
      <c r="F62" s="647">
        <v>424</v>
      </c>
      <c r="G62" s="647"/>
      <c r="H62" s="617">
        <f t="shared" si="517"/>
      </c>
      <c r="I62" s="618">
        <f t="shared" si="4"/>
      </c>
      <c r="J62" s="619">
        <f t="shared" si="379"/>
      </c>
      <c r="K62" s="620">
        <f t="shared" si="432"/>
      </c>
      <c r="L62" s="617">
        <f t="shared" si="188"/>
      </c>
      <c r="M62" s="617">
        <f t="shared" si="273"/>
      </c>
      <c r="N62" s="621">
        <f t="shared" si="57"/>
      </c>
      <c r="O62" s="621">
        <f t="shared" si="99"/>
      </c>
      <c r="P62" s="621">
        <f t="shared" si="161"/>
      </c>
      <c r="Q62" s="621">
        <f t="shared" si="543"/>
      </c>
      <c r="R62" s="617">
        <f t="shared" si="30"/>
      </c>
      <c r="S62" s="619">
        <f t="shared" si="405"/>
      </c>
      <c r="T62" s="621">
        <f t="shared" si="474"/>
      </c>
      <c r="U62" s="621">
        <f t="shared" si="230"/>
      </c>
      <c r="V62" s="621">
        <f t="shared" si="315"/>
      </c>
      <c r="W62" s="621">
        <f t="shared" si="134"/>
      </c>
      <c r="X62" s="653" t="s">
        <v>327</v>
      </c>
      <c r="Y62" s="653" t="s">
        <v>339</v>
      </c>
      <c r="Z62" s="622">
        <v>41770</v>
      </c>
      <c r="AA62" s="622">
        <v>2573</v>
      </c>
      <c r="AB62" s="622">
        <v>38677</v>
      </c>
      <c r="AC62" s="622">
        <v>641</v>
      </c>
      <c r="AD62" s="622">
        <v>2</v>
      </c>
      <c r="AE62" s="622">
        <v>7571</v>
      </c>
      <c r="AF62" s="622">
        <v>295</v>
      </c>
      <c r="AG62" s="622">
        <v>151</v>
      </c>
      <c r="AH62" s="622">
        <v>14</v>
      </c>
      <c r="AI62" s="623">
        <v>0</v>
      </c>
    </row>
    <row r="63">
      <c r="A63" s="612"/>
      <c r="B63" s="625" t="s">
        <v>332</v>
      </c>
      <c r="C63" s="625"/>
      <c r="D63" s="626">
        <f>SUM(D59:D62)</f>
      </c>
      <c r="E63" s="627">
        <f>SUM(E59:E62)</f>
      </c>
      <c r="F63" s="648">
        <f>SUM(F59:F62)</f>
      </c>
      <c r="G63" s="648"/>
      <c r="H63" s="628">
        <f t="shared" si="517"/>
      </c>
      <c r="I63" s="629">
        <f t="shared" si="4"/>
      </c>
      <c r="J63" s="630">
        <f t="shared" si="379"/>
      </c>
      <c r="K63" s="631">
        <f t="shared" si="432"/>
      </c>
      <c r="L63" s="628">
        <f t="shared" si="188"/>
      </c>
      <c r="M63" s="628">
        <f t="shared" si="273"/>
      </c>
      <c r="N63" s="632">
        <f t="shared" si="57"/>
      </c>
      <c r="O63" s="632">
        <f t="shared" si="99"/>
      </c>
      <c r="P63" s="632">
        <f t="shared" si="161"/>
      </c>
      <c r="Q63" s="632">
        <f t="shared" si="543"/>
      </c>
      <c r="R63" s="628">
        <f t="shared" si="30"/>
      </c>
      <c r="S63" s="630">
        <f t="shared" si="405"/>
      </c>
      <c r="T63" s="632">
        <f t="shared" si="474"/>
      </c>
      <c r="U63" s="632">
        <f t="shared" si="230"/>
      </c>
      <c r="V63" s="632">
        <f t="shared" si="315"/>
      </c>
      <c r="W63" s="632">
        <f t="shared" si="134"/>
      </c>
      <c r="X63" s="632"/>
      <c r="Y63" s="633"/>
      <c r="Z63" s="633">
        <f>SUM(Z59:Z62)</f>
      </c>
      <c r="AA63" s="633">
        <f>SUM(AA59:AA62)</f>
      </c>
      <c r="AB63" s="633">
        <f>SUM(AB59:AB62)</f>
      </c>
      <c r="AC63" s="633">
        <f>SUM(AC59:AC62)</f>
      </c>
      <c r="AD63" s="633">
        <f>SUM(AD59:AD62)</f>
      </c>
      <c r="AE63" s="633">
        <f>SUM(AE59:AE62)</f>
      </c>
      <c r="AF63" s="633">
        <f>SUM(AF59:AF62)</f>
      </c>
      <c r="AG63" s="633">
        <f>SUM(AG59:AG62)</f>
      </c>
      <c r="AH63" s="633">
        <f>SUM(AH59:AH62)</f>
      </c>
      <c r="AI63" s="633">
        <f>SUM(AI59:AI62)</f>
      </c>
    </row>
    <row r="64">
      <c r="A64" s="612"/>
      <c r="B64" s="635" t="s">
        <v>337</v>
      </c>
      <c r="C64" s="635"/>
      <c r="D64" s="636">
        <f>SUM(D63+D58)</f>
      </c>
      <c r="E64" s="637">
        <f>SUM(E63+E58)</f>
      </c>
      <c r="F64" s="649">
        <f>SUM(F63+F58)</f>
      </c>
      <c r="G64" s="649"/>
      <c r="H64" s="638">
        <f t="shared" si="517"/>
      </c>
      <c r="I64" s="639">
        <f t="shared" si="4"/>
      </c>
      <c r="J64" s="640">
        <f t="shared" si="379"/>
      </c>
      <c r="K64" s="641">
        <f t="shared" si="432"/>
      </c>
      <c r="L64" s="641">
        <f t="shared" si="188"/>
      </c>
      <c r="M64" s="642">
        <f t="shared" si="273"/>
      </c>
      <c r="N64" s="643">
        <f t="shared" si="57"/>
      </c>
      <c r="O64" s="643">
        <f t="shared" si="99"/>
      </c>
      <c r="P64" s="643">
        <f t="shared" si="161"/>
      </c>
      <c r="Q64" s="643">
        <f t="shared" si="543"/>
      </c>
      <c r="R64" s="642">
        <f t="shared" si="30"/>
      </c>
      <c r="S64" s="644">
        <f t="shared" si="405"/>
      </c>
      <c r="T64" s="645">
        <f t="shared" si="474"/>
      </c>
      <c r="U64" s="645">
        <f t="shared" si="230"/>
      </c>
      <c r="V64" s="645">
        <f t="shared" si="315"/>
      </c>
      <c r="W64" s="645">
        <f t="shared" si="134"/>
      </c>
      <c r="X64" s="645"/>
      <c r="Y64" s="646"/>
      <c r="Z64" s="658">
        <f>Z58+Z63</f>
      </c>
      <c r="AA64" s="658">
        <f>AA58+AA63</f>
      </c>
      <c r="AB64" s="658">
        <f>AB58+AB63</f>
      </c>
      <c r="AC64" s="658">
        <f>AC58+AC63</f>
      </c>
      <c r="AD64" s="658">
        <f>AD58+AD63</f>
      </c>
      <c r="AE64" s="658">
        <f>AE58+AE63</f>
      </c>
      <c r="AF64" s="658">
        <f>AF58+AF63</f>
      </c>
      <c r="AG64" s="658">
        <f>AG58+AG63</f>
      </c>
      <c r="AH64" s="658">
        <f>AH58+AH63</f>
      </c>
      <c r="AI64" s="646">
        <f>AI58+AI63</f>
      </c>
    </row>
    <row r="65">
      <c r="A65" s="594"/>
      <c r="B65" s="594"/>
      <c r="C65" s="594"/>
      <c r="D65" s="604" t="s">
        <v>288</v>
      </c>
      <c r="E65" s="604"/>
      <c r="F65" s="604"/>
      <c r="G65" s="604"/>
      <c r="H65" s="604"/>
      <c r="I65" s="604"/>
      <c r="J65" s="604"/>
      <c r="K65" s="597" t="s">
        <v>289</v>
      </c>
      <c r="L65" s="597"/>
      <c r="M65" s="597"/>
      <c r="N65" s="597"/>
      <c r="O65" s="597"/>
      <c r="P65" s="597"/>
      <c r="Q65" s="597"/>
      <c r="R65" s="597"/>
      <c r="S65" s="597"/>
      <c r="T65" s="598" t="s">
        <v>290</v>
      </c>
      <c r="U65" s="598"/>
      <c r="V65" s="598"/>
      <c r="W65" s="598"/>
      <c r="X65" s="599"/>
      <c r="Y65" s="599"/>
      <c r="Z65" s="601"/>
      <c r="AA65" s="601"/>
      <c r="AB65" s="601"/>
      <c r="AC65" s="601"/>
      <c r="AD65" s="601"/>
      <c r="AE65" s="601"/>
      <c r="AF65" s="601"/>
      <c r="AG65" s="601"/>
      <c r="AH65" s="602"/>
      <c r="AI65" s="601"/>
    </row>
    <row r="66">
      <c r="A66" s="603" t="s">
        <v>291</v>
      </c>
      <c r="B66" s="594" t="s">
        <v>292</v>
      </c>
      <c r="C66" s="659" t="s">
        <v>293</v>
      </c>
      <c r="D66" s="660" t="s">
        <v>294</v>
      </c>
      <c r="E66" s="661" t="s">
        <v>295</v>
      </c>
      <c r="F66" s="662" t="s">
        <v>296</v>
      </c>
      <c r="G66" s="662"/>
      <c r="H66" s="595" t="s">
        <v>297</v>
      </c>
      <c r="I66" s="595" t="s">
        <v>298</v>
      </c>
      <c r="J66" s="595" t="s">
        <v>299</v>
      </c>
      <c r="K66" s="597" t="s">
        <v>300</v>
      </c>
      <c r="L66" s="597" t="s">
        <v>301</v>
      </c>
      <c r="M66" s="597" t="s">
        <v>302</v>
      </c>
      <c r="N66" s="597" t="s">
        <v>303</v>
      </c>
      <c r="O66" s="597" t="s">
        <v>304</v>
      </c>
      <c r="P66" s="597" t="s">
        <v>305</v>
      </c>
      <c r="Q66" s="597" t="s">
        <v>306</v>
      </c>
      <c r="R66" s="597" t="s">
        <v>307</v>
      </c>
      <c r="S66" s="597" t="s">
        <v>308</v>
      </c>
      <c r="T66" s="606" t="s">
        <v>309</v>
      </c>
      <c r="U66" s="606" t="s">
        <v>310</v>
      </c>
      <c r="V66" s="606" t="s">
        <v>311</v>
      </c>
      <c r="W66" s="606" t="s">
        <v>312</v>
      </c>
      <c r="X66" s="607" t="s">
        <v>313</v>
      </c>
      <c r="Y66" s="607" t="s">
        <v>314</v>
      </c>
      <c r="Z66" s="651" t="s">
        <v>315</v>
      </c>
      <c r="AA66" s="651" t="s">
        <v>316</v>
      </c>
      <c r="AB66" s="651" t="s">
        <v>317</v>
      </c>
      <c r="AC66" s="609" t="s">
        <v>318</v>
      </c>
      <c r="AD66" s="609" t="s">
        <v>319</v>
      </c>
      <c r="AE66" s="652" t="s">
        <v>320</v>
      </c>
      <c r="AF66" s="609" t="s">
        <v>321</v>
      </c>
      <c r="AG66" s="609" t="s">
        <v>322</v>
      </c>
      <c r="AH66" s="611" t="s">
        <v>323</v>
      </c>
      <c r="AI66" s="609" t="s">
        <v>324</v>
      </c>
    </row>
    <row r="67">
      <c r="A67" s="612">
        <v>46184</v>
      </c>
      <c r="B67" s="653" t="s">
        <v>333</v>
      </c>
      <c r="C67" s="611" t="s">
        <v>338</v>
      </c>
      <c r="D67" s="668">
        <v>599.757</v>
      </c>
      <c r="E67" s="664">
        <v>4</v>
      </c>
      <c r="F67" s="665">
        <v>1469.2</v>
      </c>
      <c r="G67" s="665"/>
      <c r="H67" s="617">
        <f t="shared" ref="H67:H77" si="518">F67/E67</f>
      </c>
      <c r="I67" s="618">
        <f t="shared" ref="I67:I77" si="5">D67/E67</f>
      </c>
      <c r="J67" s="619">
        <f t="shared" ref="J67:J77" si="380">F67/D67</f>
      </c>
      <c r="K67" s="620">
        <f t="shared" ref="K67:K77" si="433">D67/AB67</f>
      </c>
      <c r="L67" s="617">
        <f t="shared" ref="L67:L77" si="189">D67/AC67</f>
      </c>
      <c r="M67" s="617">
        <f t="shared" ref="M67:M77" si="274">D67/AD67</f>
      </c>
      <c r="N67" s="621">
        <f t="shared" ref="N67:N77" si="58">AC67/AB67</f>
      </c>
      <c r="O67" s="621">
        <f t="shared" ref="O67:O77" si="100">AD67/AC67</f>
      </c>
      <c r="P67" s="621">
        <f t="shared" ref="P67:P77" si="162">AA67/Z67</f>
      </c>
      <c r="Q67" s="621">
        <f t="shared" ref="Q67:Q77" si="544">AD67/AA67</f>
      </c>
      <c r="R67" s="617">
        <f t="shared" ref="R67:R77" si="31">D67/Z67*1000</f>
      </c>
      <c r="S67" s="619">
        <f t="shared" ref="S67:S77" si="406">D67/AA67</f>
      </c>
      <c r="T67" s="621">
        <f t="shared" ref="T67:T77" si="475">AE67/AB67</f>
      </c>
      <c r="U67" s="621">
        <f t="shared" ref="U67:U77" si="231">AF67/AB67</f>
      </c>
      <c r="V67" s="621">
        <f t="shared" ref="V67:V77" si="316">AG67/AB67</f>
      </c>
      <c r="W67" s="621">
        <f t="shared" ref="W67:W77" si="135">AH67/AB67</f>
      </c>
      <c r="X67" s="653" t="s">
        <v>327</v>
      </c>
      <c r="Y67" s="613" t="s">
        <v>348</v>
      </c>
      <c r="Z67" s="655">
        <v>80975</v>
      </c>
      <c r="AA67" s="655">
        <v>2146</v>
      </c>
      <c r="AB67" s="655">
        <v>78403</v>
      </c>
      <c r="AC67" s="622">
        <v>833</v>
      </c>
      <c r="AD67" s="622">
        <v>3</v>
      </c>
      <c r="AE67" s="655">
        <v>20889</v>
      </c>
      <c r="AF67" s="622">
        <v>413</v>
      </c>
      <c r="AG67" s="622">
        <v>205</v>
      </c>
      <c r="AH67" s="622">
        <v>19</v>
      </c>
      <c r="AI67" s="623">
        <v>1</v>
      </c>
    </row>
    <row r="68">
      <c r="A68" s="612"/>
      <c r="B68" s="653" t="s">
        <v>333</v>
      </c>
      <c r="C68" s="611" t="s">
        <v>340</v>
      </c>
      <c r="D68" s="668">
        <v>976.87</v>
      </c>
      <c r="E68" s="664">
        <v>9</v>
      </c>
      <c r="F68" s="665">
        <v>2555.6</v>
      </c>
      <c r="G68" s="665"/>
      <c r="H68" s="617">
        <f t="shared" si="518"/>
      </c>
      <c r="I68" s="618">
        <f t="shared" si="5"/>
      </c>
      <c r="J68" s="619">
        <f t="shared" si="380"/>
      </c>
      <c r="K68" s="620">
        <f t="shared" si="433"/>
      </c>
      <c r="L68" s="617">
        <f t="shared" si="189"/>
      </c>
      <c r="M68" s="617">
        <f t="shared" si="274"/>
      </c>
      <c r="N68" s="621">
        <f t="shared" si="58"/>
      </c>
      <c r="O68" s="621">
        <f t="shared" si="100"/>
      </c>
      <c r="P68" s="621">
        <f t="shared" si="162"/>
      </c>
      <c r="Q68" s="621">
        <f t="shared" si="544"/>
      </c>
      <c r="R68" s="617">
        <f t="shared" si="31"/>
      </c>
      <c r="S68" s="619">
        <f t="shared" si="406"/>
      </c>
      <c r="T68" s="621">
        <f t="shared" si="475"/>
      </c>
      <c r="U68" s="621">
        <f t="shared" si="231"/>
      </c>
      <c r="V68" s="621">
        <f t="shared" si="316"/>
      </c>
      <c r="W68" s="621">
        <f t="shared" si="135"/>
      </c>
      <c r="X68" s="653" t="s">
        <v>327</v>
      </c>
      <c r="Y68" s="613" t="s">
        <v>348</v>
      </c>
      <c r="Z68" s="622">
        <v>105193</v>
      </c>
      <c r="AA68" s="622">
        <v>2505</v>
      </c>
      <c r="AB68" s="622">
        <v>102600</v>
      </c>
      <c r="AC68" s="622">
        <v>1199</v>
      </c>
      <c r="AD68" s="622">
        <v>7</v>
      </c>
      <c r="AE68" s="622">
        <v>26592</v>
      </c>
      <c r="AF68" s="622">
        <v>584</v>
      </c>
      <c r="AG68" s="622">
        <v>297</v>
      </c>
      <c r="AH68" s="622">
        <v>25</v>
      </c>
      <c r="AI68" s="623">
        <v>2</v>
      </c>
    </row>
    <row r="69">
      <c r="A69" s="612"/>
      <c r="B69" s="653" t="s">
        <v>333</v>
      </c>
      <c r="C69" s="611" t="s">
        <v>341</v>
      </c>
      <c r="D69" s="668">
        <v>1273.565</v>
      </c>
      <c r="E69" s="664">
        <v>8</v>
      </c>
      <c r="F69" s="665">
        <v>2413.2</v>
      </c>
      <c r="G69" s="665"/>
      <c r="H69" s="617">
        <f t="shared" si="518"/>
      </c>
      <c r="I69" s="618">
        <f t="shared" si="5"/>
      </c>
      <c r="J69" s="619">
        <f t="shared" si="380"/>
      </c>
      <c r="K69" s="620">
        <f t="shared" si="433"/>
      </c>
      <c r="L69" s="617">
        <f t="shared" si="189"/>
      </c>
      <c r="M69" s="617">
        <f t="shared" si="274"/>
      </c>
      <c r="N69" s="621">
        <f t="shared" si="58"/>
      </c>
      <c r="O69" s="621">
        <f t="shared" si="100"/>
      </c>
      <c r="P69" s="621">
        <f t="shared" si="162"/>
      </c>
      <c r="Q69" s="621">
        <f t="shared" si="544"/>
      </c>
      <c r="R69" s="617">
        <f t="shared" si="31"/>
      </c>
      <c r="S69" s="619">
        <f t="shared" si="406"/>
      </c>
      <c r="T69" s="621">
        <f t="shared" si="475"/>
      </c>
      <c r="U69" s="621">
        <f t="shared" si="231"/>
      </c>
      <c r="V69" s="621">
        <f t="shared" si="316"/>
      </c>
      <c r="W69" s="621">
        <f t="shared" si="135"/>
      </c>
      <c r="X69" s="653" t="s">
        <v>327</v>
      </c>
      <c r="Y69" s="613" t="s">
        <v>348</v>
      </c>
      <c r="Z69" s="622">
        <v>134457.878</v>
      </c>
      <c r="AA69" s="622">
        <v>8974</v>
      </c>
      <c r="AB69" s="622">
        <v>132176</v>
      </c>
      <c r="AC69" s="622">
        <v>4532</v>
      </c>
      <c r="AD69" s="622">
        <v>64</v>
      </c>
      <c r="AE69" s="622">
        <v>32931</v>
      </c>
      <c r="AF69" s="622">
        <v>825</v>
      </c>
      <c r="AG69" s="622">
        <v>418</v>
      </c>
      <c r="AH69" s="622">
        <v>40</v>
      </c>
      <c r="AI69" s="623">
        <v>1</v>
      </c>
    </row>
    <row r="70">
      <c r="A70" s="612"/>
      <c r="B70" s="653" t="s">
        <v>333</v>
      </c>
      <c r="C70" s="609" t="s">
        <v>342</v>
      </c>
      <c r="D70" s="669">
        <v>960.214</v>
      </c>
      <c r="E70" s="667">
        <v>5</v>
      </c>
      <c r="F70" s="647">
        <v>3437.6</v>
      </c>
      <c r="G70" s="647"/>
      <c r="H70" s="617">
        <f t="shared" si="518"/>
      </c>
      <c r="I70" s="618">
        <f t="shared" si="5"/>
      </c>
      <c r="J70" s="619">
        <f t="shared" si="380"/>
      </c>
      <c r="K70" s="620">
        <f t="shared" si="433"/>
      </c>
      <c r="L70" s="617">
        <f t="shared" si="189"/>
      </c>
      <c r="M70" s="617">
        <f t="shared" si="274"/>
      </c>
      <c r="N70" s="621">
        <f t="shared" si="58"/>
      </c>
      <c r="O70" s="621">
        <f t="shared" si="100"/>
      </c>
      <c r="P70" s="621">
        <f t="shared" si="162"/>
      </c>
      <c r="Q70" s="621">
        <f t="shared" si="544"/>
      </c>
      <c r="R70" s="617">
        <f t="shared" si="31"/>
      </c>
      <c r="S70" s="619">
        <f t="shared" si="406"/>
      </c>
      <c r="T70" s="621">
        <f t="shared" si="475"/>
      </c>
      <c r="U70" s="621">
        <f t="shared" si="231"/>
      </c>
      <c r="V70" s="621">
        <f t="shared" si="316"/>
      </c>
      <c r="W70" s="621">
        <f t="shared" si="135"/>
      </c>
      <c r="X70" s="653" t="s">
        <v>327</v>
      </c>
      <c r="Y70" s="613" t="s">
        <v>348</v>
      </c>
      <c r="Z70" s="622">
        <v>105774</v>
      </c>
      <c r="AA70" s="622">
        <v>4324</v>
      </c>
      <c r="AB70" s="622">
        <v>100298</v>
      </c>
      <c r="AC70" s="622">
        <v>853</v>
      </c>
      <c r="AD70" s="622">
        <v>4</v>
      </c>
      <c r="AE70" s="622">
        <v>21192</v>
      </c>
      <c r="AF70" s="622">
        <v>415</v>
      </c>
      <c r="AG70" s="622">
        <v>262</v>
      </c>
      <c r="AH70" s="622">
        <v>21</v>
      </c>
      <c r="AI70" s="623">
        <v>1</v>
      </c>
    </row>
    <row r="71">
      <c r="A71" s="612"/>
      <c r="B71" s="625" t="s">
        <v>332</v>
      </c>
      <c r="C71" s="625"/>
      <c r="D71" s="626">
        <f>SUM(D67:D70)</f>
      </c>
      <c r="E71" s="627">
        <f>SUM(E67:E70)</f>
      </c>
      <c r="F71" s="648">
        <f>SUM(F67:F70)</f>
      </c>
      <c r="G71" s="648"/>
      <c r="H71" s="628">
        <f t="shared" si="518"/>
      </c>
      <c r="I71" s="629">
        <f t="shared" si="5"/>
      </c>
      <c r="J71" s="630">
        <f t="shared" si="380"/>
      </c>
      <c r="K71" s="631">
        <f t="shared" si="433"/>
      </c>
      <c r="L71" s="628">
        <f t="shared" si="189"/>
      </c>
      <c r="M71" s="628">
        <f t="shared" si="274"/>
      </c>
      <c r="N71" s="632">
        <f t="shared" si="58"/>
      </c>
      <c r="O71" s="632">
        <f t="shared" si="100"/>
      </c>
      <c r="P71" s="632">
        <f t="shared" si="162"/>
      </c>
      <c r="Q71" s="632">
        <f t="shared" si="544"/>
      </c>
      <c r="R71" s="628">
        <f t="shared" si="31"/>
      </c>
      <c r="S71" s="630">
        <f t="shared" si="406"/>
      </c>
      <c r="T71" s="632">
        <f t="shared" si="475"/>
      </c>
      <c r="U71" s="632">
        <f t="shared" si="231"/>
      </c>
      <c r="V71" s="632">
        <f t="shared" si="316"/>
      </c>
      <c r="W71" s="632">
        <f t="shared" si="135"/>
      </c>
      <c r="X71" s="632"/>
      <c r="Y71" s="633"/>
      <c r="Z71" s="633">
        <f>SUM(Z67:Z70)</f>
      </c>
      <c r="AA71" s="633">
        <f>SUM(AA67:AA70)</f>
      </c>
      <c r="AB71" s="633">
        <f>SUM(AB67:AB70)</f>
      </c>
      <c r="AC71" s="633">
        <f>SUM(AC67:AC70)</f>
      </c>
      <c r="AD71" s="633">
        <f>SUM(AD67:AD70)</f>
      </c>
      <c r="AE71" s="633">
        <f>SUM(AE67:AE70)</f>
      </c>
      <c r="AF71" s="633">
        <f>SUM(AF67:AF70)</f>
      </c>
      <c r="AG71" s="633">
        <f>SUM(AG67:AG70)</f>
      </c>
      <c r="AH71" s="633">
        <f>SUM(AH67:AH70)</f>
      </c>
      <c r="AI71" s="633">
        <f>SUM(AI67:AI70)</f>
      </c>
    </row>
    <row r="72">
      <c r="A72" s="612"/>
      <c r="B72" s="653" t="s">
        <v>325</v>
      </c>
      <c r="C72" s="616" t="s">
        <v>343</v>
      </c>
      <c r="D72" s="614">
        <v>702.508</v>
      </c>
      <c r="E72" s="615">
        <v>5</v>
      </c>
      <c r="F72" s="647">
        <v>1669.6</v>
      </c>
      <c r="G72" s="647"/>
      <c r="H72" s="617">
        <f t="shared" si="518"/>
      </c>
      <c r="I72" s="618">
        <f t="shared" si="5"/>
      </c>
      <c r="J72" s="619">
        <f t="shared" si="380"/>
      </c>
      <c r="K72" s="620">
        <f t="shared" si="433"/>
      </c>
      <c r="L72" s="617">
        <f t="shared" si="189"/>
      </c>
      <c r="M72" s="622">
        <f t="shared" si="274"/>
      </c>
      <c r="N72" s="621">
        <f t="shared" si="58"/>
      </c>
      <c r="O72" s="621">
        <f t="shared" si="100"/>
      </c>
      <c r="P72" s="621">
        <f t="shared" si="162"/>
      </c>
      <c r="Q72" s="621">
        <f t="shared" si="544"/>
      </c>
      <c r="R72" s="617">
        <f t="shared" si="31"/>
      </c>
      <c r="S72" s="619">
        <f t="shared" si="406"/>
      </c>
      <c r="T72" s="621">
        <f t="shared" si="475"/>
      </c>
      <c r="U72" s="621">
        <f t="shared" si="231"/>
      </c>
      <c r="V72" s="621">
        <f t="shared" si="316"/>
      </c>
      <c r="W72" s="621">
        <f t="shared" si="135"/>
      </c>
      <c r="X72" s="653" t="s">
        <v>327</v>
      </c>
      <c r="Y72" s="613" t="s">
        <v>348</v>
      </c>
      <c r="Z72" s="622">
        <v>97543</v>
      </c>
      <c r="AA72" s="622">
        <v>6011</v>
      </c>
      <c r="AB72" s="622">
        <v>92660</v>
      </c>
      <c r="AC72" s="622">
        <v>321</v>
      </c>
      <c r="AD72" s="622">
        <v>4</v>
      </c>
      <c r="AE72" s="622">
        <v>7138</v>
      </c>
      <c r="AF72" s="622">
        <v>100</v>
      </c>
      <c r="AG72" s="622">
        <v>133</v>
      </c>
      <c r="AH72" s="623">
        <v>10</v>
      </c>
      <c r="AI72" s="623">
        <v>1</v>
      </c>
    </row>
    <row r="73">
      <c r="A73" s="612"/>
      <c r="B73" s="653" t="s">
        <v>325</v>
      </c>
      <c r="C73" s="616" t="s">
        <v>344</v>
      </c>
      <c r="D73" s="614">
        <v>870.195</v>
      </c>
      <c r="E73" s="615">
        <v>3</v>
      </c>
      <c r="F73" s="647">
        <v>1668.6</v>
      </c>
      <c r="G73" s="647"/>
      <c r="H73" s="617">
        <f t="shared" si="518"/>
      </c>
      <c r="I73" s="618">
        <f t="shared" si="5"/>
      </c>
      <c r="J73" s="619">
        <f t="shared" si="380"/>
      </c>
      <c r="K73" s="620">
        <f t="shared" si="433"/>
      </c>
      <c r="L73" s="617">
        <f t="shared" si="189"/>
      </c>
      <c r="M73" s="617">
        <f t="shared" si="274"/>
      </c>
      <c r="N73" s="621">
        <f t="shared" si="58"/>
      </c>
      <c r="O73" s="621">
        <f t="shared" si="100"/>
      </c>
      <c r="P73" s="621">
        <f t="shared" si="162"/>
      </c>
      <c r="Q73" s="621">
        <f t="shared" si="544"/>
      </c>
      <c r="R73" s="617">
        <f t="shared" si="31"/>
      </c>
      <c r="S73" s="619">
        <f t="shared" si="406"/>
      </c>
      <c r="T73" s="621">
        <f t="shared" si="475"/>
      </c>
      <c r="U73" s="621">
        <f t="shared" si="231"/>
      </c>
      <c r="V73" s="621">
        <f t="shared" si="316"/>
      </c>
      <c r="W73" s="621">
        <f t="shared" si="135"/>
      </c>
      <c r="X73" s="653" t="s">
        <v>327</v>
      </c>
      <c r="Y73" s="613" t="s">
        <v>348</v>
      </c>
      <c r="Z73" s="622">
        <v>133002</v>
      </c>
      <c r="AA73" s="622">
        <v>6779</v>
      </c>
      <c r="AB73" s="622">
        <v>129152</v>
      </c>
      <c r="AC73" s="622">
        <v>335</v>
      </c>
      <c r="AD73" s="622">
        <v>2</v>
      </c>
      <c r="AE73" s="622">
        <v>7768</v>
      </c>
      <c r="AF73" s="622">
        <v>123</v>
      </c>
      <c r="AG73" s="622">
        <v>114</v>
      </c>
      <c r="AH73" s="622">
        <v>15</v>
      </c>
      <c r="AI73" s="623">
        <v>2</v>
      </c>
    </row>
    <row r="74">
      <c r="A74" s="612"/>
      <c r="B74" s="653" t="s">
        <v>325</v>
      </c>
      <c r="C74" s="616" t="s">
        <v>345</v>
      </c>
      <c r="D74" s="614">
        <v>528.452</v>
      </c>
      <c r="E74" s="615">
        <v>2</v>
      </c>
      <c r="F74" s="647">
        <v>456</v>
      </c>
      <c r="G74" s="647"/>
      <c r="H74" s="617">
        <f t="shared" si="518"/>
      </c>
      <c r="I74" s="618">
        <f t="shared" si="5"/>
      </c>
      <c r="J74" s="619">
        <f t="shared" si="380"/>
      </c>
      <c r="K74" s="620">
        <f t="shared" si="433"/>
      </c>
      <c r="L74" s="617">
        <f t="shared" si="189"/>
      </c>
      <c r="M74" s="617">
        <f t="shared" si="274"/>
      </c>
      <c r="N74" s="621">
        <f t="shared" si="58"/>
      </c>
      <c r="O74" s="621">
        <f t="shared" si="100"/>
      </c>
      <c r="P74" s="621">
        <f t="shared" si="162"/>
      </c>
      <c r="Q74" s="621">
        <f t="shared" si="544"/>
      </c>
      <c r="R74" s="617">
        <f t="shared" si="31"/>
      </c>
      <c r="S74" s="619">
        <f t="shared" si="406"/>
      </c>
      <c r="T74" s="621">
        <f t="shared" si="475"/>
      </c>
      <c r="U74" s="621">
        <f t="shared" si="231"/>
      </c>
      <c r="V74" s="621">
        <f t="shared" si="316"/>
      </c>
      <c r="W74" s="621">
        <f t="shared" si="135"/>
      </c>
      <c r="X74" s="653" t="s">
        <v>327</v>
      </c>
      <c r="Y74" s="613" t="s">
        <v>348</v>
      </c>
      <c r="Z74" s="622">
        <v>73374</v>
      </c>
      <c r="AA74" s="622">
        <v>3840</v>
      </c>
      <c r="AB74" s="622">
        <v>67159</v>
      </c>
      <c r="AC74" s="622">
        <v>232</v>
      </c>
      <c r="AD74" s="622">
        <v>2</v>
      </c>
      <c r="AE74" s="622">
        <v>3994</v>
      </c>
      <c r="AF74" s="622">
        <v>59</v>
      </c>
      <c r="AG74" s="622">
        <v>72</v>
      </c>
      <c r="AH74" s="622">
        <v>7</v>
      </c>
      <c r="AI74" s="623">
        <v>0</v>
      </c>
    </row>
    <row r="75">
      <c r="A75" s="612"/>
      <c r="B75" s="653" t="s">
        <v>325</v>
      </c>
      <c r="C75" s="616" t="s">
        <v>346</v>
      </c>
      <c r="D75" s="614">
        <v>591.924</v>
      </c>
      <c r="E75" s="615">
        <v>2</v>
      </c>
      <c r="F75" s="647">
        <v>1056</v>
      </c>
      <c r="G75" s="647"/>
      <c r="H75" s="617">
        <f t="shared" si="518"/>
      </c>
      <c r="I75" s="618">
        <f t="shared" si="5"/>
      </c>
      <c r="J75" s="619">
        <f t="shared" si="380"/>
      </c>
      <c r="K75" s="620">
        <f t="shared" si="433"/>
      </c>
      <c r="L75" s="617">
        <f t="shared" si="189"/>
      </c>
      <c r="M75" s="617">
        <f t="shared" si="274"/>
      </c>
      <c r="N75" s="621">
        <f t="shared" si="58"/>
      </c>
      <c r="O75" s="621">
        <f t="shared" si="100"/>
      </c>
      <c r="P75" s="621">
        <f t="shared" si="162"/>
      </c>
      <c r="Q75" s="621">
        <f t="shared" si="544"/>
      </c>
      <c r="R75" s="617">
        <f t="shared" si="31"/>
      </c>
      <c r="S75" s="619">
        <f t="shared" si="406"/>
      </c>
      <c r="T75" s="621">
        <f t="shared" si="475"/>
      </c>
      <c r="U75" s="621">
        <f t="shared" si="231"/>
      </c>
      <c r="V75" s="621">
        <f t="shared" si="316"/>
      </c>
      <c r="W75" s="621">
        <f t="shared" si="135"/>
      </c>
      <c r="X75" s="653" t="s">
        <v>327</v>
      </c>
      <c r="Y75" s="613" t="s">
        <v>348</v>
      </c>
      <c r="Z75" s="622">
        <v>85209</v>
      </c>
      <c r="AA75" s="622">
        <v>4462</v>
      </c>
      <c r="AB75" s="622">
        <v>77646</v>
      </c>
      <c r="AC75" s="622">
        <v>145</v>
      </c>
      <c r="AD75" s="622">
        <v>2</v>
      </c>
      <c r="AE75" s="622">
        <v>3881</v>
      </c>
      <c r="AF75" s="622">
        <v>56</v>
      </c>
      <c r="AG75" s="622">
        <v>66</v>
      </c>
      <c r="AH75" s="622">
        <v>5</v>
      </c>
      <c r="AI75" s="623">
        <v>0</v>
      </c>
    </row>
    <row r="76">
      <c r="A76" s="612"/>
      <c r="B76" s="625" t="s">
        <v>332</v>
      </c>
      <c r="C76" s="625"/>
      <c r="D76" s="626">
        <f>SUM(D72:D75)</f>
      </c>
      <c r="E76" s="627">
        <f>SUM(E72:E75)</f>
      </c>
      <c r="F76" s="648">
        <f>SUM(F72:F75)</f>
      </c>
      <c r="G76" s="648"/>
      <c r="H76" s="628">
        <f t="shared" si="518"/>
      </c>
      <c r="I76" s="629">
        <f t="shared" si="5"/>
      </c>
      <c r="J76" s="630">
        <f t="shared" si="380"/>
      </c>
      <c r="K76" s="631">
        <f t="shared" si="433"/>
      </c>
      <c r="L76" s="628">
        <f t="shared" si="189"/>
      </c>
      <c r="M76" s="628">
        <f t="shared" si="274"/>
      </c>
      <c r="N76" s="632">
        <f t="shared" si="58"/>
      </c>
      <c r="O76" s="632">
        <f t="shared" si="100"/>
      </c>
      <c r="P76" s="632">
        <f t="shared" si="162"/>
      </c>
      <c r="Q76" s="632">
        <f t="shared" si="544"/>
      </c>
      <c r="R76" s="628">
        <f t="shared" si="31"/>
      </c>
      <c r="S76" s="630">
        <f t="shared" si="406"/>
      </c>
      <c r="T76" s="632">
        <f t="shared" si="475"/>
      </c>
      <c r="U76" s="632">
        <f t="shared" si="231"/>
      </c>
      <c r="V76" s="632">
        <f t="shared" si="316"/>
      </c>
      <c r="W76" s="632">
        <f t="shared" si="135"/>
      </c>
      <c r="X76" s="632"/>
      <c r="Y76" s="633"/>
      <c r="Z76" s="633">
        <f>SUM(Z72:Z75)</f>
      </c>
      <c r="AA76" s="633">
        <f>SUM(AA72:AA75)</f>
      </c>
      <c r="AB76" s="633">
        <f>SUM(AB72:AB75)</f>
      </c>
      <c r="AC76" s="633">
        <f>SUM(AC72:AC75)</f>
      </c>
      <c r="AD76" s="633">
        <f>SUM(AD72:AD75)</f>
      </c>
      <c r="AE76" s="633">
        <f>SUM(AE72:AE75)</f>
      </c>
      <c r="AF76" s="633">
        <f>SUM(AF72:AF75)</f>
      </c>
      <c r="AG76" s="633">
        <f>SUM(AG72:AG75)</f>
      </c>
      <c r="AH76" s="633">
        <f>SUM(AH72:AH75)</f>
      </c>
      <c r="AI76" s="633">
        <f>SUM(AI72:AI75)</f>
      </c>
    </row>
    <row customHeight="true" ht="16.036414565826362" r="77">
      <c r="A77" s="612"/>
      <c r="B77" s="635" t="s">
        <v>337</v>
      </c>
      <c r="C77" s="635"/>
      <c r="D77" s="636">
        <f>SUM(D76+D71)</f>
      </c>
      <c r="E77" s="637">
        <f>SUM(E76+E71)</f>
      </c>
      <c r="F77" s="649">
        <f>SUM(F76+F71)</f>
      </c>
      <c r="G77" s="649"/>
      <c r="H77" s="638">
        <f t="shared" si="518"/>
      </c>
      <c r="I77" s="639">
        <f t="shared" si="5"/>
      </c>
      <c r="J77" s="640">
        <f t="shared" si="380"/>
      </c>
      <c r="K77" s="641">
        <f t="shared" si="433"/>
      </c>
      <c r="L77" s="641">
        <f t="shared" si="189"/>
      </c>
      <c r="M77" s="642">
        <f t="shared" si="274"/>
      </c>
      <c r="N77" s="643">
        <f t="shared" si="58"/>
      </c>
      <c r="O77" s="643">
        <f t="shared" si="100"/>
      </c>
      <c r="P77" s="643">
        <f t="shared" si="162"/>
      </c>
      <c r="Q77" s="643">
        <f t="shared" si="544"/>
      </c>
      <c r="R77" s="642">
        <f t="shared" si="31"/>
      </c>
      <c r="S77" s="644">
        <f t="shared" si="406"/>
      </c>
      <c r="T77" s="645">
        <f t="shared" si="475"/>
      </c>
      <c r="U77" s="645">
        <f t="shared" si="231"/>
      </c>
      <c r="V77" s="645">
        <f t="shared" si="316"/>
      </c>
      <c r="W77" s="645">
        <f t="shared" si="135"/>
      </c>
      <c r="X77" s="645"/>
      <c r="Y77" s="646"/>
      <c r="Z77" s="658">
        <f>Z71+Z76</f>
      </c>
      <c r="AA77" s="658">
        <f>AA71+AA76</f>
      </c>
      <c r="AB77" s="658">
        <f>AB71+AB76</f>
      </c>
      <c r="AC77" s="658">
        <f>AC71+AC76</f>
      </c>
      <c r="AD77" s="658">
        <f>AD71+AD76</f>
      </c>
      <c r="AE77" s="658">
        <f>AE71+AE76</f>
      </c>
      <c r="AF77" s="658">
        <f>AF71+AF76</f>
      </c>
      <c r="AG77" s="658">
        <f>AG71+AG76</f>
      </c>
      <c r="AH77" s="658">
        <f>AH71+AH76</f>
      </c>
      <c r="AI77" s="646">
        <f>AI71+AI76</f>
      </c>
    </row>
    <row r="78">
      <c r="A78" s="594"/>
      <c r="B78" s="594"/>
      <c r="C78" s="594"/>
      <c r="D78" s="604" t="s">
        <v>288</v>
      </c>
      <c r="E78" s="604"/>
      <c r="F78" s="604"/>
      <c r="G78" s="604"/>
      <c r="H78" s="604"/>
      <c r="I78" s="604"/>
      <c r="J78" s="604"/>
      <c r="K78" s="597" t="s">
        <v>289</v>
      </c>
      <c r="L78" s="597"/>
      <c r="M78" s="597"/>
      <c r="N78" s="597"/>
      <c r="O78" s="597"/>
      <c r="P78" s="597"/>
      <c r="Q78" s="597"/>
      <c r="R78" s="597"/>
      <c r="S78" s="597"/>
      <c r="T78" s="598" t="s">
        <v>290</v>
      </c>
      <c r="U78" s="598"/>
      <c r="V78" s="598"/>
      <c r="W78" s="598"/>
      <c r="X78" s="599"/>
      <c r="Y78" s="599"/>
      <c r="Z78" s="601"/>
      <c r="AA78" s="601"/>
      <c r="AB78" s="601"/>
      <c r="AC78" s="601"/>
      <c r="AD78" s="601"/>
      <c r="AE78" s="601"/>
      <c r="AF78" s="601"/>
      <c r="AG78" s="601"/>
      <c r="AH78" s="602"/>
      <c r="AI78" s="601"/>
    </row>
    <row r="79">
      <c r="A79" s="603" t="s">
        <v>291</v>
      </c>
      <c r="B79" s="594" t="s">
        <v>292</v>
      </c>
      <c r="C79" s="659" t="s">
        <v>293</v>
      </c>
      <c r="D79" s="660" t="s">
        <v>294</v>
      </c>
      <c r="E79" s="661" t="s">
        <v>295</v>
      </c>
      <c r="F79" s="662" t="s">
        <v>296</v>
      </c>
      <c r="G79" s="670" t="s">
        <v>349</v>
      </c>
      <c r="H79" s="595" t="s">
        <v>297</v>
      </c>
      <c r="I79" s="595" t="s">
        <v>298</v>
      </c>
      <c r="J79" s="595" t="s">
        <v>299</v>
      </c>
      <c r="K79" s="597" t="s">
        <v>300</v>
      </c>
      <c r="L79" s="597" t="s">
        <v>301</v>
      </c>
      <c r="M79" s="597" t="s">
        <v>302</v>
      </c>
      <c r="N79" s="597" t="s">
        <v>303</v>
      </c>
      <c r="O79" s="597" t="s">
        <v>304</v>
      </c>
      <c r="P79" s="597" t="s">
        <v>305</v>
      </c>
      <c r="Q79" s="597" t="s">
        <v>306</v>
      </c>
      <c r="R79" s="597" t="s">
        <v>307</v>
      </c>
      <c r="S79" s="597" t="s">
        <v>308</v>
      </c>
      <c r="T79" s="606" t="s">
        <v>309</v>
      </c>
      <c r="U79" s="606" t="s">
        <v>310</v>
      </c>
      <c r="V79" s="606" t="s">
        <v>311</v>
      </c>
      <c r="W79" s="606" t="s">
        <v>312</v>
      </c>
      <c r="X79" s="607" t="s">
        <v>313</v>
      </c>
      <c r="Y79" s="607" t="s">
        <v>314</v>
      </c>
      <c r="Z79" s="651" t="s">
        <v>315</v>
      </c>
      <c r="AA79" s="651" t="s">
        <v>316</v>
      </c>
      <c r="AB79" s="651" t="s">
        <v>317</v>
      </c>
      <c r="AC79" s="609" t="s">
        <v>318</v>
      </c>
      <c r="AD79" s="609" t="s">
        <v>319</v>
      </c>
      <c r="AE79" s="652" t="s">
        <v>320</v>
      </c>
      <c r="AF79" s="609" t="s">
        <v>321</v>
      </c>
      <c r="AG79" s="609" t="s">
        <v>322</v>
      </c>
      <c r="AH79" s="611" t="s">
        <v>323</v>
      </c>
      <c r="AI79" s="609" t="s">
        <v>324</v>
      </c>
    </row>
    <row r="80">
      <c r="A80" s="612">
        <v>46185</v>
      </c>
      <c r="B80" s="653" t="s">
        <v>333</v>
      </c>
      <c r="C80" s="611" t="s">
        <v>338</v>
      </c>
      <c r="D80" s="668">
        <v>1580.118</v>
      </c>
      <c r="E80" s="664">
        <v>0</v>
      </c>
      <c r="F80" s="665">
        <v>0</v>
      </c>
      <c r="G80" s="671">
        <f t="shared" ref="G80:G98" si="353">D80/AD80</f>
      </c>
      <c r="H80" s="617">
        <f t="shared" ref="H80:H98" si="519">F80/E80</f>
      </c>
      <c r="I80" s="618">
        <f t="shared" ref="I80:I98" si="6">D80/E80</f>
      </c>
      <c r="J80" s="619">
        <f t="shared" ref="J80:J98" si="381">F80/D80</f>
      </c>
      <c r="K80" s="620">
        <f t="shared" ref="K80:K98" si="434">D80/AB80</f>
      </c>
      <c r="L80" s="617">
        <f t="shared" ref="L80:L98" si="190">D80/AC80</f>
      </c>
      <c r="M80" s="617">
        <f t="shared" ref="M80:M98" si="275">D80/AD80</f>
      </c>
      <c r="N80" s="621">
        <f t="shared" ref="N80:N98" si="59">AC80/AB80</f>
      </c>
      <c r="O80" s="621">
        <f t="shared" ref="O80:O98" si="101">AD80/AC80</f>
      </c>
      <c r="P80" s="621">
        <f t="shared" ref="P80:P98" si="163">AA80/Z80</f>
      </c>
      <c r="Q80" s="621">
        <f t="shared" ref="Q80:Q98" si="545">AD80/AA80</f>
      </c>
      <c r="R80" s="617">
        <f t="shared" ref="R80:R98" si="32">D80/Z80*1000</f>
      </c>
      <c r="S80" s="619">
        <f t="shared" ref="S80:S98" si="407">D80/AA80</f>
      </c>
      <c r="T80" s="621">
        <f t="shared" ref="T80:T98" si="476">AE80/AB80</f>
      </c>
      <c r="U80" s="621">
        <f t="shared" ref="U80:U98" si="232">AF80/AB80</f>
      </c>
      <c r="V80" s="621">
        <f t="shared" ref="V80:V98" si="317">AG80/AB80</f>
      </c>
      <c r="W80" s="621">
        <f t="shared" ref="W80:W98" si="136">AH80/AB80</f>
      </c>
      <c r="X80" s="653" t="s">
        <v>327</v>
      </c>
      <c r="Y80" s="613" t="s">
        <v>348</v>
      </c>
      <c r="Z80" s="655">
        <v>122489</v>
      </c>
      <c r="AA80" s="655">
        <v>6556</v>
      </c>
      <c r="AB80" s="655">
        <v>119127</v>
      </c>
      <c r="AC80" s="622">
        <v>607</v>
      </c>
      <c r="AD80" s="622">
        <v>0</v>
      </c>
      <c r="AE80" s="655">
        <v>18275</v>
      </c>
      <c r="AF80" s="622">
        <v>240</v>
      </c>
      <c r="AG80" s="622">
        <v>270</v>
      </c>
      <c r="AH80" s="622">
        <v>19</v>
      </c>
      <c r="AI80" s="623">
        <v>0</v>
      </c>
    </row>
    <row r="81">
      <c r="A81" s="612"/>
      <c r="B81" s="653" t="s">
        <v>333</v>
      </c>
      <c r="C81" s="611" t="s">
        <v>340</v>
      </c>
      <c r="D81" s="668">
        <v>1719.976</v>
      </c>
      <c r="E81" s="664">
        <v>5</v>
      </c>
      <c r="F81" s="665">
        <v>1708</v>
      </c>
      <c r="G81" s="671">
        <f t="shared" si="353"/>
      </c>
      <c r="H81" s="617">
        <f t="shared" si="519"/>
      </c>
      <c r="I81" s="618">
        <f t="shared" si="6"/>
      </c>
      <c r="J81" s="619">
        <f t="shared" si="381"/>
      </c>
      <c r="K81" s="620">
        <f t="shared" si="434"/>
      </c>
      <c r="L81" s="617">
        <f t="shared" si="190"/>
      </c>
      <c r="M81" s="617">
        <f t="shared" si="275"/>
      </c>
      <c r="N81" s="621">
        <f t="shared" si="59"/>
      </c>
      <c r="O81" s="621">
        <f t="shared" si="101"/>
      </c>
      <c r="P81" s="621">
        <f t="shared" si="163"/>
      </c>
      <c r="Q81" s="621">
        <f t="shared" si="545"/>
      </c>
      <c r="R81" s="617">
        <f t="shared" si="32"/>
      </c>
      <c r="S81" s="619">
        <f t="shared" si="407"/>
      </c>
      <c r="T81" s="621">
        <f t="shared" si="476"/>
      </c>
      <c r="U81" s="621">
        <f t="shared" si="232"/>
      </c>
      <c r="V81" s="621">
        <f t="shared" si="317"/>
      </c>
      <c r="W81" s="621">
        <f t="shared" si="136"/>
      </c>
      <c r="X81" s="653" t="s">
        <v>327</v>
      </c>
      <c r="Y81" s="613" t="s">
        <v>348</v>
      </c>
      <c r="Z81" s="622">
        <v>164112</v>
      </c>
      <c r="AA81" s="622">
        <v>7858</v>
      </c>
      <c r="AB81" s="622">
        <v>160868</v>
      </c>
      <c r="AC81" s="622">
        <v>739</v>
      </c>
      <c r="AD81" s="622">
        <v>5</v>
      </c>
      <c r="AE81" s="622">
        <v>18535</v>
      </c>
      <c r="AF81" s="622">
        <v>335</v>
      </c>
      <c r="AG81" s="622">
        <v>320</v>
      </c>
      <c r="AH81" s="622">
        <v>22</v>
      </c>
      <c r="AI81" s="623">
        <v>0</v>
      </c>
    </row>
    <row r="82">
      <c r="A82" s="612"/>
      <c r="B82" s="653" t="s">
        <v>333</v>
      </c>
      <c r="C82" s="611" t="s">
        <v>341</v>
      </c>
      <c r="D82" s="668">
        <v>1728.47</v>
      </c>
      <c r="E82" s="664">
        <v>9</v>
      </c>
      <c r="F82" s="665">
        <v>2577.2</v>
      </c>
      <c r="G82" s="671">
        <f t="shared" si="353"/>
      </c>
      <c r="H82" s="617">
        <f t="shared" si="519"/>
      </c>
      <c r="I82" s="618">
        <f t="shared" si="6"/>
      </c>
      <c r="J82" s="619">
        <f t="shared" si="381"/>
      </c>
      <c r="K82" s="620">
        <f t="shared" si="434"/>
      </c>
      <c r="L82" s="617">
        <f t="shared" si="190"/>
      </c>
      <c r="M82" s="617">
        <f t="shared" si="275"/>
      </c>
      <c r="N82" s="621">
        <f t="shared" si="59"/>
      </c>
      <c r="O82" s="621">
        <f t="shared" si="101"/>
      </c>
      <c r="P82" s="621">
        <f t="shared" si="163"/>
      </c>
      <c r="Q82" s="621">
        <f t="shared" si="545"/>
      </c>
      <c r="R82" s="617">
        <f t="shared" si="32"/>
      </c>
      <c r="S82" s="619">
        <f t="shared" si="407"/>
      </c>
      <c r="T82" s="621">
        <f t="shared" si="476"/>
      </c>
      <c r="U82" s="621">
        <f t="shared" si="232"/>
      </c>
      <c r="V82" s="621">
        <f t="shared" si="317"/>
      </c>
      <c r="W82" s="621">
        <f t="shared" si="136"/>
      </c>
      <c r="X82" s="653" t="s">
        <v>327</v>
      </c>
      <c r="Y82" s="613" t="s">
        <v>348</v>
      </c>
      <c r="Z82" s="622">
        <v>169713</v>
      </c>
      <c r="AA82" s="622">
        <v>10508</v>
      </c>
      <c r="AB82" s="622">
        <v>166139</v>
      </c>
      <c r="AC82" s="622">
        <v>790</v>
      </c>
      <c r="AD82" s="622">
        <v>9</v>
      </c>
      <c r="AE82" s="622">
        <v>17479</v>
      </c>
      <c r="AF82" s="622">
        <v>343</v>
      </c>
      <c r="AG82" s="622">
        <v>253</v>
      </c>
      <c r="AH82" s="622">
        <v>36</v>
      </c>
      <c r="AI82" s="623">
        <v>1</v>
      </c>
    </row>
    <row r="83">
      <c r="A83" s="612"/>
      <c r="B83" s="653" t="s">
        <v>333</v>
      </c>
      <c r="C83" s="609" t="s">
        <v>342</v>
      </c>
      <c r="D83" s="669">
        <v>2760.472</v>
      </c>
      <c r="E83" s="667">
        <v>15</v>
      </c>
      <c r="F83" s="647">
        <v>4391</v>
      </c>
      <c r="G83" s="671">
        <f t="shared" si="353"/>
      </c>
      <c r="H83" s="617">
        <f t="shared" si="519"/>
      </c>
      <c r="I83" s="618">
        <f t="shared" si="6"/>
      </c>
      <c r="J83" s="619">
        <f t="shared" si="381"/>
      </c>
      <c r="K83" s="620">
        <f t="shared" si="434"/>
      </c>
      <c r="L83" s="617">
        <f t="shared" si="190"/>
      </c>
      <c r="M83" s="617">
        <f t="shared" si="275"/>
      </c>
      <c r="N83" s="621">
        <f t="shared" si="59"/>
      </c>
      <c r="O83" s="621">
        <f t="shared" si="101"/>
      </c>
      <c r="P83" s="621">
        <f t="shared" si="163"/>
      </c>
      <c r="Q83" s="621">
        <f t="shared" si="545"/>
      </c>
      <c r="R83" s="617">
        <f t="shared" si="32"/>
      </c>
      <c r="S83" s="619">
        <f t="shared" si="407"/>
      </c>
      <c r="T83" s="621">
        <f t="shared" si="476"/>
      </c>
      <c r="U83" s="621">
        <f t="shared" si="232"/>
      </c>
      <c r="V83" s="621">
        <f t="shared" si="317"/>
      </c>
      <c r="W83" s="621">
        <f t="shared" si="136"/>
      </c>
      <c r="X83" s="653" t="s">
        <v>327</v>
      </c>
      <c r="Y83" s="613" t="s">
        <v>348</v>
      </c>
      <c r="Z83" s="622">
        <v>280421</v>
      </c>
      <c r="AA83" s="622">
        <v>14854</v>
      </c>
      <c r="AB83" s="622">
        <v>279316</v>
      </c>
      <c r="AC83" s="622">
        <v>1040</v>
      </c>
      <c r="AD83" s="622">
        <v>11</v>
      </c>
      <c r="AE83" s="622">
        <v>25370</v>
      </c>
      <c r="AF83" s="622">
        <v>444</v>
      </c>
      <c r="AG83" s="622">
        <v>454</v>
      </c>
      <c r="AH83" s="622">
        <v>52</v>
      </c>
      <c r="AI83" s="623">
        <v>6</v>
      </c>
    </row>
    <row customHeight="true" ht="16.071428571428573" r="84">
      <c r="A84" s="612"/>
      <c r="B84" s="653" t="s">
        <v>333</v>
      </c>
      <c r="C84" s="616" t="s">
        <v>343</v>
      </c>
      <c r="D84" s="669">
        <v>3035.637</v>
      </c>
      <c r="E84" s="667">
        <v>12</v>
      </c>
      <c r="F84" s="647">
        <v>6229.5</v>
      </c>
      <c r="G84" s="671">
        <f t="shared" si="353"/>
      </c>
      <c r="H84" s="617">
        <f t="shared" si="519"/>
      </c>
      <c r="I84" s="618">
        <f t="shared" si="6"/>
      </c>
      <c r="J84" s="619">
        <f t="shared" si="381"/>
      </c>
      <c r="K84" s="620">
        <f t="shared" si="434"/>
      </c>
      <c r="L84" s="617">
        <f t="shared" si="190"/>
      </c>
      <c r="M84" s="617">
        <f t="shared" si="275"/>
      </c>
      <c r="N84" s="621">
        <f t="shared" si="59"/>
      </c>
      <c r="O84" s="621">
        <f t="shared" si="101"/>
      </c>
      <c r="P84" s="621">
        <f t="shared" si="163"/>
      </c>
      <c r="Q84" s="621">
        <f t="shared" si="545"/>
      </c>
      <c r="R84" s="617">
        <f t="shared" si="32"/>
      </c>
      <c r="S84" s="619">
        <f t="shared" si="407"/>
      </c>
      <c r="T84" s="621">
        <f t="shared" si="476"/>
      </c>
      <c r="U84" s="621">
        <f t="shared" si="232"/>
      </c>
      <c r="V84" s="621">
        <f t="shared" si="317"/>
      </c>
      <c r="W84" s="621">
        <f t="shared" si="136"/>
      </c>
      <c r="X84" s="653" t="s">
        <v>327</v>
      </c>
      <c r="Y84" s="613" t="s">
        <v>348</v>
      </c>
      <c r="Z84" s="622">
        <v>296900</v>
      </c>
      <c r="AA84" s="622">
        <v>18301</v>
      </c>
      <c r="AB84" s="622">
        <v>292806</v>
      </c>
      <c r="AC84" s="622">
        <v>1173</v>
      </c>
      <c r="AD84" s="622">
        <v>9</v>
      </c>
      <c r="AE84" s="622">
        <v>28609</v>
      </c>
      <c r="AF84" s="622">
        <v>569</v>
      </c>
      <c r="AG84" s="622">
        <v>489</v>
      </c>
      <c r="AH84" s="622">
        <v>53</v>
      </c>
      <c r="AI84" s="623">
        <v>7</v>
      </c>
    </row>
    <row r="85">
      <c r="A85" s="612"/>
      <c r="B85" s="625" t="s">
        <v>332</v>
      </c>
      <c r="C85" s="625"/>
      <c r="D85" s="626">
        <f>SUM(D80:D84)</f>
      </c>
      <c r="E85" s="626">
        <f>SUM(E80:E84)</f>
      </c>
      <c r="F85" s="626">
        <f>SUM(F80:F84)</f>
      </c>
      <c r="G85" s="626">
        <f t="shared" si="353"/>
      </c>
      <c r="H85" s="628">
        <f t="shared" si="519"/>
      </c>
      <c r="I85" s="629">
        <f t="shared" si="6"/>
      </c>
      <c r="J85" s="630">
        <f t="shared" si="381"/>
      </c>
      <c r="K85" s="631">
        <f t="shared" si="434"/>
      </c>
      <c r="L85" s="628">
        <f t="shared" si="190"/>
      </c>
      <c r="M85" s="628">
        <f t="shared" si="275"/>
      </c>
      <c r="N85" s="632">
        <f t="shared" si="59"/>
      </c>
      <c r="O85" s="632">
        <f t="shared" si="101"/>
      </c>
      <c r="P85" s="632">
        <f t="shared" si="163"/>
      </c>
      <c r="Q85" s="632">
        <f t="shared" si="545"/>
      </c>
      <c r="R85" s="628">
        <f t="shared" si="32"/>
      </c>
      <c r="S85" s="630">
        <f t="shared" si="407"/>
      </c>
      <c r="T85" s="632">
        <f t="shared" si="476"/>
      </c>
      <c r="U85" s="632">
        <f t="shared" si="232"/>
      </c>
      <c r="V85" s="632">
        <f t="shared" si="317"/>
      </c>
      <c r="W85" s="632">
        <f t="shared" si="136"/>
      </c>
      <c r="X85" s="632"/>
      <c r="Y85" s="633"/>
      <c r="Z85" s="626">
        <f>SUM(Z80:Z84)</f>
      </c>
      <c r="AA85" s="626">
        <f>SUM(AA80:AA84)</f>
      </c>
      <c r="AB85" s="626">
        <f>SUM(AB80:AB84)</f>
      </c>
      <c r="AC85" s="626">
        <f>SUM(AC80:AC84)</f>
      </c>
      <c r="AD85" s="626">
        <f>SUM(AD80:AD84)</f>
      </c>
      <c r="AE85" s="626">
        <f>SUM(AE80:AE84)</f>
      </c>
      <c r="AF85" s="626">
        <f>SUM(AF80:AF84)</f>
      </c>
      <c r="AG85" s="626">
        <f>SUM(AG80:AG84)</f>
      </c>
      <c r="AH85" s="626">
        <f>SUM(AH80:AH84)</f>
      </c>
      <c r="AI85" s="626">
        <f>SUM(AI80:AI84)</f>
      </c>
    </row>
    <row customHeight="true" ht="16.071428571428573" r="86">
      <c r="A86" s="612"/>
      <c r="B86" s="613" t="s">
        <v>350</v>
      </c>
      <c r="C86" s="672" t="s">
        <v>344</v>
      </c>
      <c r="D86" s="668">
        <v>2161.879</v>
      </c>
      <c r="E86" s="664">
        <v>6</v>
      </c>
      <c r="F86" s="665">
        <v>3436.8</v>
      </c>
      <c r="G86" s="671">
        <f t="shared" si="353"/>
      </c>
      <c r="H86" s="617">
        <f t="shared" si="519"/>
      </c>
      <c r="I86" s="618">
        <f t="shared" si="6"/>
      </c>
      <c r="J86" s="619">
        <f t="shared" si="381"/>
      </c>
      <c r="K86" s="620">
        <f t="shared" si="434"/>
      </c>
      <c r="L86" s="617">
        <f t="shared" si="190"/>
      </c>
      <c r="M86" s="617">
        <f t="shared" si="275"/>
      </c>
      <c r="N86" s="621">
        <f t="shared" si="59"/>
      </c>
      <c r="O86" s="621">
        <f t="shared" si="101"/>
      </c>
      <c r="P86" s="621">
        <f t="shared" si="163"/>
      </c>
      <c r="Q86" s="621">
        <f t="shared" si="545"/>
      </c>
      <c r="R86" s="617">
        <f t="shared" si="32"/>
      </c>
      <c r="S86" s="619">
        <f t="shared" si="407"/>
      </c>
      <c r="T86" s="621">
        <f t="shared" si="476"/>
      </c>
      <c r="U86" s="621">
        <f t="shared" si="232"/>
      </c>
      <c r="V86" s="621">
        <f t="shared" si="317"/>
      </c>
      <c r="W86" s="621">
        <f t="shared" si="136"/>
      </c>
      <c r="X86" s="653" t="s">
        <v>327</v>
      </c>
      <c r="Y86" s="613" t="s">
        <v>348</v>
      </c>
      <c r="Z86" s="655">
        <v>207011</v>
      </c>
      <c r="AA86" s="655">
        <v>13288</v>
      </c>
      <c r="AB86" s="655">
        <v>194171</v>
      </c>
      <c r="AC86" s="622">
        <v>955</v>
      </c>
      <c r="AD86" s="622">
        <v>5</v>
      </c>
      <c r="AE86" s="655">
        <v>17004</v>
      </c>
      <c r="AF86" s="622">
        <v>324</v>
      </c>
      <c r="AG86" s="622">
        <v>279</v>
      </c>
      <c r="AH86" s="622">
        <v>48</v>
      </c>
      <c r="AI86" s="623">
        <v>2</v>
      </c>
    </row>
    <row customHeight="true" ht="16.071428571428573" r="87">
      <c r="A87" s="612"/>
      <c r="B87" s="613" t="s">
        <v>350</v>
      </c>
      <c r="C87" s="672" t="s">
        <v>345</v>
      </c>
      <c r="D87" s="668">
        <v>1845.038</v>
      </c>
      <c r="E87" s="664">
        <v>11</v>
      </c>
      <c r="F87" s="665">
        <v>4564</v>
      </c>
      <c r="G87" s="671">
        <f t="shared" si="353"/>
      </c>
      <c r="H87" s="617">
        <f t="shared" si="519"/>
      </c>
      <c r="I87" s="618">
        <f t="shared" si="6"/>
      </c>
      <c r="J87" s="619">
        <f t="shared" si="381"/>
      </c>
      <c r="K87" s="620">
        <f t="shared" si="434"/>
      </c>
      <c r="L87" s="617">
        <f t="shared" si="190"/>
      </c>
      <c r="M87" s="617">
        <f t="shared" si="275"/>
      </c>
      <c r="N87" s="621">
        <f t="shared" si="59"/>
      </c>
      <c r="O87" s="621">
        <f t="shared" si="101"/>
      </c>
      <c r="P87" s="621">
        <f t="shared" si="163"/>
      </c>
      <c r="Q87" s="621">
        <f t="shared" si="545"/>
      </c>
      <c r="R87" s="617">
        <f t="shared" si="32"/>
      </c>
      <c r="S87" s="619">
        <f t="shared" si="407"/>
      </c>
      <c r="T87" s="621">
        <f t="shared" si="476"/>
      </c>
      <c r="U87" s="621">
        <f t="shared" si="232"/>
      </c>
      <c r="V87" s="621">
        <f t="shared" si="317"/>
      </c>
      <c r="W87" s="621">
        <f t="shared" si="136"/>
      </c>
      <c r="X87" s="653" t="s">
        <v>327</v>
      </c>
      <c r="Y87" s="613" t="s">
        <v>348</v>
      </c>
      <c r="Z87" s="622">
        <v>171873</v>
      </c>
      <c r="AA87" s="622">
        <v>12954</v>
      </c>
      <c r="AB87" s="622">
        <v>161318</v>
      </c>
      <c r="AC87" s="622">
        <v>763</v>
      </c>
      <c r="AD87" s="622">
        <v>5</v>
      </c>
      <c r="AE87" s="622">
        <v>13976</v>
      </c>
      <c r="AF87" s="622">
        <v>237</v>
      </c>
      <c r="AG87" s="622">
        <v>249</v>
      </c>
      <c r="AH87" s="622">
        <v>36</v>
      </c>
      <c r="AI87" s="623">
        <v>5</v>
      </c>
    </row>
    <row customHeight="true" ht="16.071428571428573" r="88">
      <c r="A88" s="612"/>
      <c r="B88" s="613" t="s">
        <v>350</v>
      </c>
      <c r="C88" s="672" t="s">
        <v>346</v>
      </c>
      <c r="D88" s="668">
        <v>2550.243</v>
      </c>
      <c r="E88" s="664">
        <v>4</v>
      </c>
      <c r="F88" s="665">
        <v>1314.4</v>
      </c>
      <c r="G88" s="671">
        <f t="shared" si="353"/>
      </c>
      <c r="H88" s="617">
        <f t="shared" si="519"/>
      </c>
      <c r="I88" s="618">
        <f t="shared" si="6"/>
      </c>
      <c r="J88" s="619">
        <f t="shared" si="381"/>
      </c>
      <c r="K88" s="620">
        <f t="shared" si="434"/>
      </c>
      <c r="L88" s="617">
        <f t="shared" si="190"/>
      </c>
      <c r="M88" s="617">
        <f t="shared" si="275"/>
      </c>
      <c r="N88" s="621">
        <f t="shared" si="59"/>
      </c>
      <c r="O88" s="621">
        <f t="shared" si="101"/>
      </c>
      <c r="P88" s="621">
        <f t="shared" si="163"/>
      </c>
      <c r="Q88" s="621">
        <f t="shared" si="545"/>
      </c>
      <c r="R88" s="617">
        <f t="shared" si="32"/>
      </c>
      <c r="S88" s="619">
        <f t="shared" si="407"/>
      </c>
      <c r="T88" s="621">
        <f t="shared" si="476"/>
      </c>
      <c r="U88" s="621">
        <f t="shared" si="232"/>
      </c>
      <c r="V88" s="621">
        <f t="shared" si="317"/>
      </c>
      <c r="W88" s="621">
        <f t="shared" si="136"/>
      </c>
      <c r="X88" s="653" t="s">
        <v>327</v>
      </c>
      <c r="Y88" s="613" t="s">
        <v>348</v>
      </c>
      <c r="Z88" s="622">
        <v>272030</v>
      </c>
      <c r="AA88" s="622">
        <v>19014</v>
      </c>
      <c r="AB88" s="622">
        <v>255037</v>
      </c>
      <c r="AC88" s="622">
        <v>968</v>
      </c>
      <c r="AD88" s="622">
        <v>3</v>
      </c>
      <c r="AE88" s="622">
        <v>18289</v>
      </c>
      <c r="AF88" s="622">
        <v>357</v>
      </c>
      <c r="AG88" s="622">
        <v>348</v>
      </c>
      <c r="AH88" s="622">
        <v>41</v>
      </c>
      <c r="AI88" s="623">
        <v>1</v>
      </c>
    </row>
    <row customHeight="true" ht="16.071428571428573" r="89">
      <c r="A89" s="612"/>
      <c r="B89" s="613" t="s">
        <v>350</v>
      </c>
      <c r="C89" s="616" t="s">
        <v>326</v>
      </c>
      <c r="D89" s="669">
        <v>2067.662</v>
      </c>
      <c r="E89" s="667">
        <v>2</v>
      </c>
      <c r="F89" s="647">
        <v>1056</v>
      </c>
      <c r="G89" s="671">
        <f t="shared" si="353"/>
      </c>
      <c r="H89" s="617">
        <f t="shared" si="519"/>
      </c>
      <c r="I89" s="618">
        <f t="shared" si="6"/>
      </c>
      <c r="J89" s="619">
        <f t="shared" si="381"/>
      </c>
      <c r="K89" s="620">
        <f t="shared" si="434"/>
      </c>
      <c r="L89" s="617">
        <f t="shared" si="190"/>
      </c>
      <c r="M89" s="617">
        <f t="shared" si="275"/>
      </c>
      <c r="N89" s="621">
        <f t="shared" si="59"/>
      </c>
      <c r="O89" s="621">
        <f t="shared" si="101"/>
      </c>
      <c r="P89" s="621">
        <f t="shared" si="163"/>
      </c>
      <c r="Q89" s="621">
        <f t="shared" si="545"/>
      </c>
      <c r="R89" s="617">
        <f t="shared" si="32"/>
      </c>
      <c r="S89" s="619">
        <f t="shared" si="407"/>
      </c>
      <c r="T89" s="621">
        <f t="shared" si="476"/>
      </c>
      <c r="U89" s="621">
        <f t="shared" si="232"/>
      </c>
      <c r="V89" s="621">
        <f t="shared" si="317"/>
      </c>
      <c r="W89" s="621">
        <f t="shared" si="136"/>
      </c>
      <c r="X89" s="653" t="s">
        <v>327</v>
      </c>
      <c r="Y89" s="613" t="s">
        <v>348</v>
      </c>
      <c r="Z89" s="622">
        <v>232670</v>
      </c>
      <c r="AA89" s="622">
        <v>20389</v>
      </c>
      <c r="AB89" s="622">
        <v>212967</v>
      </c>
      <c r="AC89" s="622">
        <v>890</v>
      </c>
      <c r="AD89" s="622">
        <v>2</v>
      </c>
      <c r="AE89" s="622">
        <v>18032</v>
      </c>
      <c r="AF89" s="622">
        <v>307</v>
      </c>
      <c r="AG89" s="622">
        <v>296</v>
      </c>
      <c r="AH89" s="622">
        <v>57</v>
      </c>
      <c r="AI89" s="623">
        <v>0</v>
      </c>
    </row>
    <row customHeight="true" ht="16.071428571428573" r="90">
      <c r="A90" s="612"/>
      <c r="B90" s="613" t="s">
        <v>350</v>
      </c>
      <c r="C90" s="616" t="s">
        <v>329</v>
      </c>
      <c r="D90" s="669">
        <v>2033.207</v>
      </c>
      <c r="E90" s="667">
        <v>6</v>
      </c>
      <c r="F90" s="647">
        <v>2525.199999999997</v>
      </c>
      <c r="G90" s="671">
        <f t="shared" si="353"/>
      </c>
      <c r="H90" s="617">
        <f t="shared" si="519"/>
      </c>
      <c r="I90" s="618">
        <f t="shared" si="6"/>
      </c>
      <c r="J90" s="619">
        <f t="shared" si="381"/>
      </c>
      <c r="K90" s="620">
        <f t="shared" si="434"/>
      </c>
      <c r="L90" s="617">
        <f t="shared" si="190"/>
      </c>
      <c r="M90" s="617">
        <f t="shared" si="275"/>
      </c>
      <c r="N90" s="621">
        <f t="shared" si="59"/>
      </c>
      <c r="O90" s="621">
        <f t="shared" si="101"/>
      </c>
      <c r="P90" s="621">
        <f t="shared" si="163"/>
      </c>
      <c r="Q90" s="621">
        <f t="shared" si="545"/>
      </c>
      <c r="R90" s="617">
        <f t="shared" si="32"/>
      </c>
      <c r="S90" s="619">
        <f t="shared" si="407"/>
      </c>
      <c r="T90" s="621">
        <f t="shared" si="476"/>
      </c>
      <c r="U90" s="621">
        <f t="shared" si="232"/>
      </c>
      <c r="V90" s="621">
        <f t="shared" si="317"/>
      </c>
      <c r="W90" s="621">
        <f t="shared" si="136"/>
      </c>
      <c r="X90" s="653" t="s">
        <v>327</v>
      </c>
      <c r="Y90" s="613" t="s">
        <v>348</v>
      </c>
      <c r="Z90" s="622">
        <v>222118</v>
      </c>
      <c r="AA90" s="622">
        <v>18983</v>
      </c>
      <c r="AB90" s="622">
        <v>202821</v>
      </c>
      <c r="AC90" s="622">
        <v>947</v>
      </c>
      <c r="AD90" s="622">
        <v>4</v>
      </c>
      <c r="AE90" s="622">
        <v>18285</v>
      </c>
      <c r="AF90" s="622">
        <v>369</v>
      </c>
      <c r="AG90" s="622">
        <v>355</v>
      </c>
      <c r="AH90" s="622">
        <v>38</v>
      </c>
      <c r="AI90" s="623">
        <v>1</v>
      </c>
    </row>
    <row customHeight="true" ht="16.071428571428573" r="91">
      <c r="A91" s="612"/>
      <c r="B91" s="625" t="s">
        <v>332</v>
      </c>
      <c r="C91" s="625"/>
      <c r="D91" s="626">
        <f>SUM(D86:D90)</f>
      </c>
      <c r="E91" s="626">
        <f>SUM(E86:E90)</f>
      </c>
      <c r="F91" s="626">
        <f>SUM(F86:F90)</f>
      </c>
      <c r="G91" s="626">
        <f t="shared" si="353"/>
      </c>
      <c r="H91" s="628">
        <f t="shared" si="519"/>
      </c>
      <c r="I91" s="629">
        <f t="shared" si="6"/>
      </c>
      <c r="J91" s="630">
        <f t="shared" si="381"/>
      </c>
      <c r="K91" s="631">
        <f t="shared" si="434"/>
      </c>
      <c r="L91" s="628">
        <f t="shared" si="190"/>
      </c>
      <c r="M91" s="628">
        <f t="shared" si="275"/>
      </c>
      <c r="N91" s="632">
        <f t="shared" si="59"/>
      </c>
      <c r="O91" s="632">
        <f t="shared" si="101"/>
      </c>
      <c r="P91" s="632">
        <f t="shared" si="163"/>
      </c>
      <c r="Q91" s="632">
        <f t="shared" si="545"/>
      </c>
      <c r="R91" s="628">
        <f t="shared" si="32"/>
      </c>
      <c r="S91" s="630">
        <f t="shared" si="407"/>
      </c>
      <c r="T91" s="632">
        <f t="shared" si="476"/>
      </c>
      <c r="U91" s="632">
        <f t="shared" si="232"/>
      </c>
      <c r="V91" s="632">
        <f t="shared" si="317"/>
      </c>
      <c r="W91" s="632">
        <f t="shared" si="136"/>
      </c>
      <c r="X91" s="632"/>
      <c r="Y91" s="633"/>
      <c r="Z91" s="626">
        <f>SUM(Z86:Z90)</f>
      </c>
      <c r="AA91" s="626">
        <f>SUM(AA86:AA90)</f>
      </c>
      <c r="AB91" s="626">
        <f>SUM(AB86:AB90)</f>
      </c>
      <c r="AC91" s="626">
        <f>SUM(AC86:AC90)</f>
      </c>
      <c r="AD91" s="626">
        <f>SUM(AD86:AD90)</f>
      </c>
      <c r="AE91" s="626">
        <f>SUM(AE86:AE90)</f>
      </c>
      <c r="AF91" s="626">
        <f>SUM(AF86:AF90)</f>
      </c>
      <c r="AG91" s="626">
        <f>SUM(AG86:AG90)</f>
      </c>
      <c r="AH91" s="626">
        <f>SUM(AH86:AH90)</f>
      </c>
      <c r="AI91" s="626">
        <f>SUM(AI86:AI90)</f>
      </c>
    </row>
    <row r="92">
      <c r="A92" s="612"/>
      <c r="B92" s="653" t="s">
        <v>325</v>
      </c>
      <c r="C92" s="616" t="s">
        <v>330</v>
      </c>
      <c r="D92" s="614">
        <v>1700.068</v>
      </c>
      <c r="E92" s="615">
        <v>1</v>
      </c>
      <c r="F92" s="647">
        <v>228</v>
      </c>
      <c r="G92" s="671">
        <f t="shared" si="353"/>
      </c>
      <c r="H92" s="617">
        <f t="shared" si="519"/>
      </c>
      <c r="I92" s="618">
        <f t="shared" si="6"/>
      </c>
      <c r="J92" s="619">
        <f t="shared" si="381"/>
      </c>
      <c r="K92" s="620">
        <f t="shared" si="434"/>
      </c>
      <c r="L92" s="617">
        <f t="shared" si="190"/>
      </c>
      <c r="M92" s="622">
        <f t="shared" si="275"/>
      </c>
      <c r="N92" s="621">
        <f t="shared" si="59"/>
      </c>
      <c r="O92" s="621">
        <f t="shared" si="101"/>
      </c>
      <c r="P92" s="621">
        <f t="shared" si="163"/>
      </c>
      <c r="Q92" s="621">
        <f t="shared" si="545"/>
      </c>
      <c r="R92" s="617">
        <f t="shared" si="32"/>
      </c>
      <c r="S92" s="619">
        <f t="shared" si="407"/>
      </c>
      <c r="T92" s="621">
        <f t="shared" si="476"/>
      </c>
      <c r="U92" s="621">
        <f t="shared" si="232"/>
      </c>
      <c r="V92" s="621">
        <f t="shared" si="317"/>
      </c>
      <c r="W92" s="621">
        <f t="shared" si="136"/>
      </c>
      <c r="X92" s="653" t="s">
        <v>327</v>
      </c>
      <c r="Y92" s="613" t="s">
        <v>348</v>
      </c>
      <c r="Z92" s="622">
        <v>160246</v>
      </c>
      <c r="AA92" s="622">
        <v>15888</v>
      </c>
      <c r="AB92" s="622">
        <v>162239</v>
      </c>
      <c r="AC92" s="622">
        <v>543</v>
      </c>
      <c r="AD92" s="622">
        <v>1</v>
      </c>
      <c r="AE92" s="622">
        <v>14130</v>
      </c>
      <c r="AF92" s="622">
        <v>218</v>
      </c>
      <c r="AG92" s="622">
        <v>306</v>
      </c>
      <c r="AH92" s="623">
        <v>21</v>
      </c>
      <c r="AI92" s="623">
        <v>0</v>
      </c>
    </row>
    <row r="93">
      <c r="A93" s="612"/>
      <c r="B93" s="653" t="s">
        <v>325</v>
      </c>
      <c r="C93" s="616" t="s">
        <v>331</v>
      </c>
      <c r="D93" s="614">
        <v>984.412</v>
      </c>
      <c r="E93" s="615">
        <v>0</v>
      </c>
      <c r="F93" s="647">
        <v>0</v>
      </c>
      <c r="G93" s="671">
        <f t="shared" si="353"/>
      </c>
      <c r="H93" s="617">
        <f t="shared" si="519"/>
      </c>
      <c r="I93" s="618">
        <f t="shared" si="6"/>
      </c>
      <c r="J93" s="619">
        <f t="shared" si="381"/>
      </c>
      <c r="K93" s="620">
        <f t="shared" si="434"/>
      </c>
      <c r="L93" s="617">
        <f t="shared" si="190"/>
      </c>
      <c r="M93" s="617">
        <f t="shared" si="275"/>
      </c>
      <c r="N93" s="621">
        <f t="shared" si="59"/>
      </c>
      <c r="O93" s="621">
        <f t="shared" si="101"/>
      </c>
      <c r="P93" s="621">
        <f t="shared" si="163"/>
      </c>
      <c r="Q93" s="621">
        <f t="shared" si="545"/>
      </c>
      <c r="R93" s="617">
        <f t="shared" si="32"/>
      </c>
      <c r="S93" s="619">
        <f t="shared" si="407"/>
      </c>
      <c r="T93" s="621">
        <f t="shared" si="476"/>
      </c>
      <c r="U93" s="621">
        <f t="shared" si="232"/>
      </c>
      <c r="V93" s="621">
        <f t="shared" si="317"/>
      </c>
      <c r="W93" s="621">
        <f t="shared" si="136"/>
      </c>
      <c r="X93" s="653" t="s">
        <v>327</v>
      </c>
      <c r="Y93" s="613" t="s">
        <v>351</v>
      </c>
      <c r="Z93" s="622">
        <v>114575</v>
      </c>
      <c r="AA93" s="622">
        <v>11725</v>
      </c>
      <c r="AB93" s="622">
        <v>118924</v>
      </c>
      <c r="AC93" s="622">
        <v>327</v>
      </c>
      <c r="AD93" s="622">
        <v>0</v>
      </c>
      <c r="AE93" s="622">
        <v>8904</v>
      </c>
      <c r="AF93" s="622">
        <v>115</v>
      </c>
      <c r="AG93" s="622">
        <v>178</v>
      </c>
      <c r="AH93" s="622">
        <v>9</v>
      </c>
      <c r="AI93" s="623">
        <v>0</v>
      </c>
    </row>
    <row r="94">
      <c r="A94" s="612"/>
      <c r="B94" s="653" t="s">
        <v>325</v>
      </c>
      <c r="C94" s="616" t="s">
        <v>334</v>
      </c>
      <c r="D94" s="614">
        <v>1021.437</v>
      </c>
      <c r="E94" s="615">
        <v>5</v>
      </c>
      <c r="F94" s="647">
        <v>1665.2000000000007</v>
      </c>
      <c r="G94" s="671">
        <f t="shared" si="353"/>
      </c>
      <c r="H94" s="617">
        <f t="shared" si="519"/>
      </c>
      <c r="I94" s="618">
        <f t="shared" si="6"/>
      </c>
      <c r="J94" s="619">
        <f t="shared" si="381"/>
      </c>
      <c r="K94" s="620">
        <f t="shared" si="434"/>
      </c>
      <c r="L94" s="617">
        <f t="shared" si="190"/>
      </c>
      <c r="M94" s="617">
        <f t="shared" si="275"/>
      </c>
      <c r="N94" s="621">
        <f t="shared" si="59"/>
      </c>
      <c r="O94" s="621">
        <f t="shared" si="101"/>
      </c>
      <c r="P94" s="621">
        <f t="shared" si="163"/>
      </c>
      <c r="Q94" s="621">
        <f t="shared" si="545"/>
      </c>
      <c r="R94" s="617">
        <f t="shared" si="32"/>
      </c>
      <c r="S94" s="619">
        <f t="shared" si="407"/>
      </c>
      <c r="T94" s="621">
        <f t="shared" si="476"/>
      </c>
      <c r="U94" s="621">
        <f t="shared" si="232"/>
      </c>
      <c r="V94" s="621">
        <f t="shared" si="317"/>
      </c>
      <c r="W94" s="621">
        <f t="shared" si="136"/>
      </c>
      <c r="X94" s="653" t="s">
        <v>327</v>
      </c>
      <c r="Y94" s="613" t="s">
        <v>351</v>
      </c>
      <c r="Z94" s="622">
        <v>123818</v>
      </c>
      <c r="AA94" s="622">
        <v>12062</v>
      </c>
      <c r="AB94" s="622">
        <v>127749</v>
      </c>
      <c r="AC94" s="622">
        <v>391</v>
      </c>
      <c r="AD94" s="622">
        <v>4</v>
      </c>
      <c r="AE94" s="622">
        <v>9354</v>
      </c>
      <c r="AF94" s="622">
        <v>110</v>
      </c>
      <c r="AG94" s="622">
        <v>221</v>
      </c>
      <c r="AH94" s="622">
        <v>8</v>
      </c>
      <c r="AI94" s="623">
        <v>1</v>
      </c>
    </row>
    <row r="95">
      <c r="A95" s="612"/>
      <c r="B95" s="653" t="s">
        <v>325</v>
      </c>
      <c r="C95" s="616" t="s">
        <v>335</v>
      </c>
      <c r="D95" s="614">
        <v>1128.651</v>
      </c>
      <c r="E95" s="615">
        <v>0</v>
      </c>
      <c r="F95" s="647">
        <v>0</v>
      </c>
      <c r="G95" s="671">
        <f t="shared" si="353"/>
      </c>
      <c r="H95" s="617">
        <f t="shared" si="519"/>
      </c>
      <c r="I95" s="618">
        <f t="shared" si="6"/>
      </c>
      <c r="J95" s="619">
        <f t="shared" si="381"/>
      </c>
      <c r="K95" s="620">
        <f t="shared" si="434"/>
      </c>
      <c r="L95" s="617">
        <f t="shared" si="190"/>
      </c>
      <c r="M95" s="617">
        <f t="shared" si="275"/>
      </c>
      <c r="N95" s="621">
        <f t="shared" si="59"/>
      </c>
      <c r="O95" s="621">
        <f t="shared" si="101"/>
      </c>
      <c r="P95" s="621">
        <f t="shared" si="163"/>
      </c>
      <c r="Q95" s="621">
        <f t="shared" si="545"/>
      </c>
      <c r="R95" s="617">
        <f t="shared" si="32"/>
      </c>
      <c r="S95" s="619">
        <f t="shared" si="407"/>
      </c>
      <c r="T95" s="621">
        <f t="shared" si="476"/>
      </c>
      <c r="U95" s="621">
        <f t="shared" si="232"/>
      </c>
      <c r="V95" s="621">
        <f t="shared" si="317"/>
      </c>
      <c r="W95" s="621">
        <f t="shared" si="136"/>
      </c>
      <c r="X95" s="653" t="s">
        <v>327</v>
      </c>
      <c r="Y95" s="613" t="s">
        <v>351</v>
      </c>
      <c r="Z95" s="622">
        <v>167472</v>
      </c>
      <c r="AA95" s="622">
        <v>14019</v>
      </c>
      <c r="AB95" s="622">
        <v>171126</v>
      </c>
      <c r="AC95" s="622">
        <v>382</v>
      </c>
      <c r="AD95" s="622">
        <v>0</v>
      </c>
      <c r="AE95" s="622">
        <v>11587</v>
      </c>
      <c r="AF95" s="622">
        <v>95</v>
      </c>
      <c r="AG95" s="622">
        <v>284</v>
      </c>
      <c r="AH95" s="622">
        <v>25</v>
      </c>
      <c r="AI95" s="623">
        <v>0</v>
      </c>
    </row>
    <row customHeight="true" ht="16.071428571428573" r="96">
      <c r="A96" s="612"/>
      <c r="B96" s="653" t="s">
        <v>325</v>
      </c>
      <c r="C96" s="616" t="s">
        <v>336</v>
      </c>
      <c r="D96" s="614">
        <v>1046.5</v>
      </c>
      <c r="E96" s="615">
        <v>4</v>
      </c>
      <c r="F96" s="647">
        <v>880</v>
      </c>
      <c r="G96" s="671">
        <f t="shared" si="353"/>
      </c>
      <c r="H96" s="617">
        <f t="shared" si="519"/>
      </c>
      <c r="I96" s="618">
        <f t="shared" si="6"/>
      </c>
      <c r="J96" s="619">
        <f t="shared" si="381"/>
      </c>
      <c r="K96" s="620">
        <f t="shared" si="434"/>
      </c>
      <c r="L96" s="617">
        <f t="shared" si="190"/>
      </c>
      <c r="M96" s="617">
        <f t="shared" si="275"/>
      </c>
      <c r="N96" s="621">
        <f t="shared" si="59"/>
      </c>
      <c r="O96" s="621">
        <f t="shared" si="101"/>
      </c>
      <c r="P96" s="621">
        <f t="shared" si="163"/>
      </c>
      <c r="Q96" s="621">
        <f t="shared" si="545"/>
      </c>
      <c r="R96" s="617">
        <f t="shared" si="32"/>
      </c>
      <c r="S96" s="619">
        <f t="shared" si="407"/>
      </c>
      <c r="T96" s="621">
        <f t="shared" si="476"/>
      </c>
      <c r="U96" s="621">
        <f t="shared" si="232"/>
      </c>
      <c r="V96" s="621">
        <f t="shared" si="317"/>
      </c>
      <c r="W96" s="621">
        <f t="shared" si="136"/>
      </c>
      <c r="X96" s="653" t="s">
        <v>327</v>
      </c>
      <c r="Y96" s="613" t="s">
        <v>351</v>
      </c>
      <c r="Z96" s="622">
        <v>146618</v>
      </c>
      <c r="AA96" s="622">
        <v>12573</v>
      </c>
      <c r="AB96" s="622">
        <v>144304</v>
      </c>
      <c r="AC96" s="622">
        <v>397</v>
      </c>
      <c r="AD96" s="622">
        <v>4</v>
      </c>
      <c r="AE96" s="622">
        <v>10411</v>
      </c>
      <c r="AF96" s="622">
        <v>105</v>
      </c>
      <c r="AG96" s="622">
        <v>233</v>
      </c>
      <c r="AH96" s="622">
        <v>18</v>
      </c>
      <c r="AI96" s="623">
        <v>0</v>
      </c>
    </row>
    <row r="97">
      <c r="A97" s="612"/>
      <c r="B97" s="625" t="s">
        <v>332</v>
      </c>
      <c r="C97" s="625"/>
      <c r="D97" s="626">
        <f>SUM(D92:D96)</f>
      </c>
      <c r="E97" s="626">
        <f>SUM(E92:E96)</f>
      </c>
      <c r="F97" s="626">
        <f>SUM(F92:F96)</f>
      </c>
      <c r="G97" s="626">
        <f t="shared" si="353"/>
      </c>
      <c r="H97" s="628">
        <f t="shared" si="519"/>
      </c>
      <c r="I97" s="629">
        <f t="shared" si="6"/>
      </c>
      <c r="J97" s="630">
        <f t="shared" si="381"/>
      </c>
      <c r="K97" s="631">
        <f t="shared" si="434"/>
      </c>
      <c r="L97" s="628">
        <f t="shared" si="190"/>
      </c>
      <c r="M97" s="628">
        <f t="shared" si="275"/>
      </c>
      <c r="N97" s="632">
        <f t="shared" si="59"/>
      </c>
      <c r="O97" s="632">
        <f t="shared" si="101"/>
      </c>
      <c r="P97" s="632">
        <f t="shared" si="163"/>
      </c>
      <c r="Q97" s="632">
        <f t="shared" si="545"/>
      </c>
      <c r="R97" s="628">
        <f t="shared" si="32"/>
      </c>
      <c r="S97" s="630">
        <f t="shared" si="407"/>
      </c>
      <c r="T97" s="632">
        <f t="shared" si="476"/>
      </c>
      <c r="U97" s="632">
        <f t="shared" si="232"/>
      </c>
      <c r="V97" s="632">
        <f t="shared" si="317"/>
      </c>
      <c r="W97" s="632">
        <f t="shared" si="136"/>
      </c>
      <c r="X97" s="632"/>
      <c r="Y97" s="633"/>
      <c r="Z97" s="626">
        <f>SUM(Z92:Z96)</f>
      </c>
      <c r="AA97" s="626">
        <f>SUM(AA92:AA96)</f>
      </c>
      <c r="AB97" s="626">
        <f>SUM(AB92:AB96)</f>
      </c>
      <c r="AC97" s="626">
        <f>SUM(AC92:AC96)</f>
      </c>
      <c r="AD97" s="626">
        <f>SUM(AD92:AD96)</f>
      </c>
      <c r="AE97" s="626">
        <f>SUM(AE92:AE96)</f>
      </c>
      <c r="AF97" s="626">
        <f>SUM(AF92:AF96)</f>
      </c>
      <c r="AG97" s="626">
        <f>SUM(AG92:AG96)</f>
      </c>
      <c r="AH97" s="626">
        <f>SUM(AH92:AH96)</f>
      </c>
      <c r="AI97" s="626">
        <f>SUM(AI92:AI96)</f>
      </c>
    </row>
    <row r="98">
      <c r="A98" s="612"/>
      <c r="B98" s="635" t="s">
        <v>337</v>
      </c>
      <c r="C98" s="635"/>
      <c r="D98" s="636">
        <f>SUM(D97+D91+D85)</f>
      </c>
      <c r="E98" s="636">
        <f>SUM(E97+E91+E85)</f>
      </c>
      <c r="F98" s="636">
        <f>SUM(F97+F91+F85)</f>
      </c>
      <c r="G98" s="636">
        <f t="shared" si="353"/>
      </c>
      <c r="H98" s="638">
        <f t="shared" si="519"/>
      </c>
      <c r="I98" s="639">
        <f t="shared" si="6"/>
      </c>
      <c r="J98" s="640">
        <f t="shared" si="381"/>
      </c>
      <c r="K98" s="641">
        <f t="shared" si="434"/>
      </c>
      <c r="L98" s="641">
        <f t="shared" si="190"/>
      </c>
      <c r="M98" s="642">
        <f t="shared" si="275"/>
      </c>
      <c r="N98" s="643">
        <f t="shared" si="59"/>
      </c>
      <c r="O98" s="643">
        <f t="shared" si="101"/>
      </c>
      <c r="P98" s="643">
        <f t="shared" si="163"/>
      </c>
      <c r="Q98" s="643">
        <f t="shared" si="545"/>
      </c>
      <c r="R98" s="642">
        <f t="shared" si="32"/>
      </c>
      <c r="S98" s="644">
        <f t="shared" si="407"/>
      </c>
      <c r="T98" s="645">
        <f t="shared" si="476"/>
      </c>
      <c r="U98" s="645">
        <f t="shared" si="232"/>
      </c>
      <c r="V98" s="645">
        <f t="shared" si="317"/>
      </c>
      <c r="W98" s="645">
        <f t="shared" si="136"/>
      </c>
      <c r="X98" s="645"/>
      <c r="Y98" s="646"/>
      <c r="Z98" s="636">
        <f>SUM(Z97+Z91+Z85)</f>
      </c>
      <c r="AA98" s="636">
        <f>SUM(AA97+AA91+AA85)</f>
      </c>
      <c r="AB98" s="636">
        <f>SUM(AB97+AB91+AB85)</f>
      </c>
      <c r="AC98" s="636">
        <f>SUM(AC97+AC91+AC85)</f>
      </c>
      <c r="AD98" s="636">
        <f>SUM(AD97+AD91+AD85)</f>
      </c>
      <c r="AE98" s="636">
        <f>SUM(AE97+AE91+AE85)</f>
      </c>
      <c r="AF98" s="636">
        <f>SUM(AF97+AF91+AF85)</f>
      </c>
      <c r="AG98" s="636">
        <f>SUM(AG97+AG91+AG85)</f>
      </c>
      <c r="AH98" s="636">
        <f>SUM(AH97+AH91+AH85)</f>
      </c>
      <c r="AI98" s="636">
        <f>SUM(AI97+AI91+AI85)</f>
      </c>
    </row>
    <row r="99">
      <c r="A99" s="594"/>
      <c r="B99" s="594"/>
      <c r="C99" s="594"/>
      <c r="D99" s="604" t="s">
        <v>288</v>
      </c>
      <c r="E99" s="604"/>
      <c r="F99" s="604"/>
      <c r="G99" s="604"/>
      <c r="H99" s="604"/>
      <c r="I99" s="604"/>
      <c r="J99" s="604"/>
      <c r="K99" s="597" t="s">
        <v>289</v>
      </c>
      <c r="L99" s="597"/>
      <c r="M99" s="597"/>
      <c r="N99" s="597"/>
      <c r="O99" s="597"/>
      <c r="P99" s="597"/>
      <c r="Q99" s="597"/>
      <c r="R99" s="597"/>
      <c r="S99" s="597"/>
      <c r="T99" s="598" t="s">
        <v>290</v>
      </c>
      <c r="U99" s="598"/>
      <c r="V99" s="598"/>
      <c r="W99" s="598"/>
      <c r="X99" s="599"/>
      <c r="Y99" s="599"/>
      <c r="Z99" s="601"/>
      <c r="AA99" s="601"/>
      <c r="AB99" s="601"/>
      <c r="AC99" s="601"/>
      <c r="AD99" s="601"/>
      <c r="AE99" s="601"/>
      <c r="AF99" s="601"/>
      <c r="AG99" s="601"/>
      <c r="AH99" s="602"/>
      <c r="AI99" s="601"/>
    </row>
    <row r="100">
      <c r="A100" s="603" t="s">
        <v>291</v>
      </c>
      <c r="B100" s="594" t="s">
        <v>292</v>
      </c>
      <c r="C100" s="659" t="s">
        <v>293</v>
      </c>
      <c r="D100" s="660" t="s">
        <v>294</v>
      </c>
      <c r="E100" s="661" t="s">
        <v>295</v>
      </c>
      <c r="F100" s="662" t="s">
        <v>296</v>
      </c>
      <c r="G100" s="670" t="s">
        <v>349</v>
      </c>
      <c r="H100" s="595" t="s">
        <v>297</v>
      </c>
      <c r="I100" s="595" t="s">
        <v>298</v>
      </c>
      <c r="J100" s="595" t="s">
        <v>299</v>
      </c>
      <c r="K100" s="597" t="s">
        <v>300</v>
      </c>
      <c r="L100" s="597" t="s">
        <v>301</v>
      </c>
      <c r="M100" s="597" t="s">
        <v>302</v>
      </c>
      <c r="N100" s="597" t="s">
        <v>303</v>
      </c>
      <c r="O100" s="597" t="s">
        <v>304</v>
      </c>
      <c r="P100" s="597" t="s">
        <v>305</v>
      </c>
      <c r="Q100" s="597" t="s">
        <v>306</v>
      </c>
      <c r="R100" s="597" t="s">
        <v>307</v>
      </c>
      <c r="S100" s="597" t="s">
        <v>308</v>
      </c>
      <c r="T100" s="606" t="s">
        <v>309</v>
      </c>
      <c r="U100" s="606" t="s">
        <v>310</v>
      </c>
      <c r="V100" s="606" t="s">
        <v>311</v>
      </c>
      <c r="W100" s="606" t="s">
        <v>312</v>
      </c>
      <c r="X100" s="607" t="s">
        <v>313</v>
      </c>
      <c r="Y100" s="607" t="s">
        <v>314</v>
      </c>
      <c r="Z100" s="651" t="s">
        <v>315</v>
      </c>
      <c r="AA100" s="651" t="s">
        <v>316</v>
      </c>
      <c r="AB100" s="651" t="s">
        <v>317</v>
      </c>
      <c r="AC100" s="609" t="s">
        <v>318</v>
      </c>
      <c r="AD100" s="609" t="s">
        <v>319</v>
      </c>
      <c r="AE100" s="652" t="s">
        <v>320</v>
      </c>
      <c r="AF100" s="609" t="s">
        <v>321</v>
      </c>
      <c r="AG100" s="609" t="s">
        <v>322</v>
      </c>
      <c r="AH100" s="611" t="s">
        <v>323</v>
      </c>
      <c r="AI100" s="609" t="s">
        <v>324</v>
      </c>
    </row>
    <row r="101">
      <c r="A101" s="612">
        <v>46186</v>
      </c>
      <c r="B101" s="653" t="s">
        <v>333</v>
      </c>
      <c r="C101" s="611" t="s">
        <v>338</v>
      </c>
      <c r="D101" s="668">
        <v>2240.182</v>
      </c>
      <c r="E101" s="664">
        <v>2</v>
      </c>
      <c r="F101" s="665">
        <v>424</v>
      </c>
      <c r="G101" s="671">
        <f t="shared" ref="G101:G116" si="354">D101/AD101</f>
      </c>
      <c r="H101" s="617">
        <f t="shared" ref="H101:H116" si="520">F101/E101</f>
      </c>
      <c r="I101" s="618">
        <f t="shared" ref="I101:I116" si="7">D101/E101</f>
      </c>
      <c r="J101" s="619">
        <f t="shared" ref="J101:J116" si="382">F101/D101</f>
      </c>
      <c r="K101" s="620">
        <f t="shared" ref="K101:K116" si="435">D101/AB101</f>
      </c>
      <c r="L101" s="617">
        <f t="shared" ref="L101:L116" si="191">D101/AC101</f>
      </c>
      <c r="M101" s="617">
        <f t="shared" ref="M101:M116" si="276">D101/AD101</f>
      </c>
      <c r="N101" s="621">
        <f t="shared" ref="N101:N116" si="60">AC101/AB101</f>
      </c>
      <c r="O101" s="621">
        <f t="shared" ref="O101:O116" si="102">AD101/AC101</f>
      </c>
      <c r="P101" s="621">
        <f t="shared" ref="P101:P116" si="164">AA101/Z101</f>
      </c>
      <c r="Q101" s="621">
        <f t="shared" ref="Q101:Q116" si="546">AD101/AA101</f>
      </c>
      <c r="R101" s="617">
        <f t="shared" ref="R101:R116" si="33">D101/Z101*1000</f>
      </c>
      <c r="S101" s="619">
        <f t="shared" ref="S101:S116" si="408">D101/AA101</f>
      </c>
      <c r="T101" s="621">
        <f t="shared" ref="T101:T116" si="477">AE101/AB101</f>
      </c>
      <c r="U101" s="621">
        <f t="shared" ref="U101:U116" si="233">AF101/AB101</f>
      </c>
      <c r="V101" s="621">
        <f t="shared" ref="V101:V116" si="318">AG101/AB101</f>
      </c>
      <c r="W101" s="621">
        <f t="shared" ref="W101:W116" si="137">AH101/AB101</f>
      </c>
      <c r="X101" s="653" t="s">
        <v>327</v>
      </c>
      <c r="Y101" s="613" t="s">
        <v>348</v>
      </c>
      <c r="Z101" s="655">
        <v>210281</v>
      </c>
      <c r="AA101" s="655">
        <v>15332</v>
      </c>
      <c r="AB101" s="655">
        <v>189065</v>
      </c>
      <c r="AC101" s="622">
        <v>1357</v>
      </c>
      <c r="AD101" s="622">
        <v>2</v>
      </c>
      <c r="AE101" s="655">
        <v>35174</v>
      </c>
      <c r="AF101" s="622">
        <v>578</v>
      </c>
      <c r="AG101" s="622">
        <v>522</v>
      </c>
      <c r="AH101" s="622">
        <v>41</v>
      </c>
      <c r="AI101" s="623">
        <v>0</v>
      </c>
    </row>
    <row r="102">
      <c r="A102" s="612"/>
      <c r="B102" s="653" t="s">
        <v>333</v>
      </c>
      <c r="C102" s="611" t="s">
        <v>340</v>
      </c>
      <c r="D102" s="668">
        <v>2318.013</v>
      </c>
      <c r="E102" s="664">
        <v>16</v>
      </c>
      <c r="F102" s="665">
        <v>5700.6</v>
      </c>
      <c r="G102" s="671">
        <f t="shared" si="354"/>
      </c>
      <c r="H102" s="617">
        <f t="shared" si="520"/>
      </c>
      <c r="I102" s="618">
        <f t="shared" si="7"/>
      </c>
      <c r="J102" s="619">
        <f t="shared" si="382"/>
      </c>
      <c r="K102" s="620">
        <f t="shared" si="435"/>
      </c>
      <c r="L102" s="617">
        <f t="shared" si="191"/>
      </c>
      <c r="M102" s="617">
        <f t="shared" si="276"/>
      </c>
      <c r="N102" s="621">
        <f t="shared" si="60"/>
      </c>
      <c r="O102" s="621">
        <f t="shared" si="102"/>
      </c>
      <c r="P102" s="621">
        <f t="shared" si="164"/>
      </c>
      <c r="Q102" s="621">
        <f t="shared" si="546"/>
      </c>
      <c r="R102" s="617">
        <f t="shared" si="33"/>
      </c>
      <c r="S102" s="619">
        <f t="shared" si="408"/>
      </c>
      <c r="T102" s="621">
        <f t="shared" si="477"/>
      </c>
      <c r="U102" s="621">
        <f t="shared" si="233"/>
      </c>
      <c r="V102" s="621">
        <f t="shared" si="318"/>
      </c>
      <c r="W102" s="621">
        <f t="shared" si="137"/>
      </c>
      <c r="X102" s="653" t="s">
        <v>327</v>
      </c>
      <c r="Y102" s="613" t="s">
        <v>348</v>
      </c>
      <c r="Z102" s="622">
        <v>191377</v>
      </c>
      <c r="AA102" s="622">
        <v>15700</v>
      </c>
      <c r="AB102" s="622">
        <v>175130</v>
      </c>
      <c r="AC102" s="622">
        <v>1402</v>
      </c>
      <c r="AD102" s="622">
        <v>11</v>
      </c>
      <c r="AE102" s="622">
        <v>29107</v>
      </c>
      <c r="AF102" s="622">
        <v>631</v>
      </c>
      <c r="AG102" s="622">
        <v>450</v>
      </c>
      <c r="AH102" s="622">
        <v>34</v>
      </c>
      <c r="AI102" s="623">
        <v>5</v>
      </c>
    </row>
    <row r="103">
      <c r="A103" s="612"/>
      <c r="B103" s="653" t="s">
        <v>333</v>
      </c>
      <c r="C103" s="611" t="s">
        <v>341</v>
      </c>
      <c r="D103" s="668">
        <v>2616.794</v>
      </c>
      <c r="E103" s="664">
        <v>10</v>
      </c>
      <c r="F103" s="665">
        <v>3118.4</v>
      </c>
      <c r="G103" s="671">
        <f t="shared" si="354"/>
      </c>
      <c r="H103" s="617">
        <f t="shared" si="520"/>
      </c>
      <c r="I103" s="618">
        <f t="shared" si="7"/>
      </c>
      <c r="J103" s="619">
        <f t="shared" si="382"/>
      </c>
      <c r="K103" s="620">
        <f t="shared" si="435"/>
      </c>
      <c r="L103" s="617">
        <f t="shared" si="191"/>
      </c>
      <c r="M103" s="617">
        <f t="shared" si="276"/>
      </c>
      <c r="N103" s="621">
        <f t="shared" si="60"/>
      </c>
      <c r="O103" s="621">
        <f t="shared" si="102"/>
      </c>
      <c r="P103" s="621">
        <f t="shared" si="164"/>
      </c>
      <c r="Q103" s="621">
        <f t="shared" si="546"/>
      </c>
      <c r="R103" s="617">
        <f t="shared" si="33"/>
      </c>
      <c r="S103" s="619">
        <f t="shared" si="408"/>
      </c>
      <c r="T103" s="621">
        <f t="shared" si="477"/>
      </c>
      <c r="U103" s="621">
        <f t="shared" si="233"/>
      </c>
      <c r="V103" s="621">
        <f t="shared" si="318"/>
      </c>
      <c r="W103" s="621">
        <f t="shared" si="137"/>
      </c>
      <c r="X103" s="653" t="s">
        <v>327</v>
      </c>
      <c r="Y103" s="613" t="s">
        <v>348</v>
      </c>
      <c r="Z103" s="622">
        <v>216687</v>
      </c>
      <c r="AA103" s="622">
        <v>20300</v>
      </c>
      <c r="AB103" s="622">
        <v>194506</v>
      </c>
      <c r="AC103" s="622">
        <v>1367</v>
      </c>
      <c r="AD103" s="622">
        <v>9</v>
      </c>
      <c r="AE103" s="622">
        <v>28444</v>
      </c>
      <c r="AF103" s="622">
        <v>529</v>
      </c>
      <c r="AG103" s="622">
        <v>476</v>
      </c>
      <c r="AH103" s="622">
        <v>48</v>
      </c>
      <c r="AI103" s="623">
        <v>1</v>
      </c>
    </row>
    <row r="104">
      <c r="A104" s="612"/>
      <c r="B104" s="653" t="s">
        <v>333</v>
      </c>
      <c r="C104" s="609" t="s">
        <v>342</v>
      </c>
      <c r="D104" s="669">
        <v>2708.116</v>
      </c>
      <c r="E104" s="667">
        <v>7</v>
      </c>
      <c r="F104" s="647">
        <v>3225.6</v>
      </c>
      <c r="G104" s="671">
        <f t="shared" si="354"/>
      </c>
      <c r="H104" s="617">
        <f t="shared" si="520"/>
      </c>
      <c r="I104" s="618">
        <f t="shared" si="7"/>
      </c>
      <c r="J104" s="619">
        <f t="shared" si="382"/>
      </c>
      <c r="K104" s="620">
        <f t="shared" si="435"/>
      </c>
      <c r="L104" s="617">
        <f t="shared" si="191"/>
      </c>
      <c r="M104" s="617">
        <f t="shared" si="276"/>
      </c>
      <c r="N104" s="621">
        <f t="shared" si="60"/>
      </c>
      <c r="O104" s="621">
        <f t="shared" si="102"/>
      </c>
      <c r="P104" s="621">
        <f t="shared" si="164"/>
      </c>
      <c r="Q104" s="621">
        <f t="shared" si="546"/>
      </c>
      <c r="R104" s="617">
        <f t="shared" si="33"/>
      </c>
      <c r="S104" s="619">
        <f t="shared" si="408"/>
      </c>
      <c r="T104" s="621">
        <f t="shared" si="477"/>
      </c>
      <c r="U104" s="621">
        <f t="shared" si="233"/>
      </c>
      <c r="V104" s="621">
        <f t="shared" si="318"/>
      </c>
      <c r="W104" s="621">
        <f t="shared" si="137"/>
      </c>
      <c r="X104" s="653" t="s">
        <v>327</v>
      </c>
      <c r="Y104" s="613" t="s">
        <v>348</v>
      </c>
      <c r="Z104" s="622">
        <v>255874</v>
      </c>
      <c r="AA104" s="622">
        <v>25143</v>
      </c>
      <c r="AB104" s="622">
        <v>228026</v>
      </c>
      <c r="AC104" s="622">
        <v>1688</v>
      </c>
      <c r="AD104" s="622">
        <v>5</v>
      </c>
      <c r="AE104" s="622">
        <v>35325</v>
      </c>
      <c r="AF104" s="622">
        <v>606</v>
      </c>
      <c r="AG104" s="622">
        <v>590</v>
      </c>
      <c r="AH104" s="622">
        <v>38</v>
      </c>
      <c r="AI104" s="623">
        <v>1</v>
      </c>
    </row>
    <row r="105">
      <c r="A105" s="612"/>
      <c r="B105" s="653" t="s">
        <v>333</v>
      </c>
      <c r="C105" s="616" t="s">
        <v>343</v>
      </c>
      <c r="D105" s="669">
        <v>1889.764</v>
      </c>
      <c r="E105" s="667">
        <v>5</v>
      </c>
      <c r="F105" s="647">
        <v>1666.3</v>
      </c>
      <c r="G105" s="671">
        <f t="shared" si="354"/>
      </c>
      <c r="H105" s="617">
        <f t="shared" si="520"/>
      </c>
      <c r="I105" s="618">
        <f t="shared" si="7"/>
      </c>
      <c r="J105" s="619">
        <f t="shared" si="382"/>
      </c>
      <c r="K105" s="620">
        <f t="shared" si="435"/>
      </c>
      <c r="L105" s="617">
        <f t="shared" si="191"/>
      </c>
      <c r="M105" s="617">
        <f t="shared" si="276"/>
      </c>
      <c r="N105" s="621">
        <f t="shared" si="60"/>
      </c>
      <c r="O105" s="621">
        <f t="shared" si="102"/>
      </c>
      <c r="P105" s="621">
        <f t="shared" si="164"/>
      </c>
      <c r="Q105" s="621">
        <f t="shared" si="546"/>
      </c>
      <c r="R105" s="617">
        <f t="shared" si="33"/>
      </c>
      <c r="S105" s="619">
        <f t="shared" si="408"/>
      </c>
      <c r="T105" s="621">
        <f t="shared" si="477"/>
      </c>
      <c r="U105" s="621">
        <f t="shared" si="233"/>
      </c>
      <c r="V105" s="621">
        <f t="shared" si="318"/>
      </c>
      <c r="W105" s="621">
        <f t="shared" si="137"/>
      </c>
      <c r="X105" s="653" t="s">
        <v>327</v>
      </c>
      <c r="Y105" s="613" t="s">
        <v>348</v>
      </c>
      <c r="Z105" s="622">
        <v>196719</v>
      </c>
      <c r="AA105" s="622">
        <v>18221</v>
      </c>
      <c r="AB105" s="622">
        <v>163648</v>
      </c>
      <c r="AC105" s="622">
        <v>1254</v>
      </c>
      <c r="AD105" s="622">
        <v>4</v>
      </c>
      <c r="AE105" s="622">
        <v>20499</v>
      </c>
      <c r="AF105" s="622">
        <v>396</v>
      </c>
      <c r="AG105" s="622">
        <v>406</v>
      </c>
      <c r="AH105" s="622">
        <v>33</v>
      </c>
      <c r="AI105" s="623">
        <v>1</v>
      </c>
    </row>
    <row r="106">
      <c r="A106" s="612"/>
      <c r="B106" s="625" t="s">
        <v>332</v>
      </c>
      <c r="C106" s="625"/>
      <c r="D106" s="626">
        <f>SUM(D101:D105)</f>
      </c>
      <c r="E106" s="626">
        <f>SUM(E101:E105)</f>
      </c>
      <c r="F106" s="626">
        <f>SUM(F101:F105)</f>
      </c>
      <c r="G106" s="626">
        <f t="shared" si="354"/>
      </c>
      <c r="H106" s="628">
        <f t="shared" si="520"/>
      </c>
      <c r="I106" s="629">
        <f t="shared" si="7"/>
      </c>
      <c r="J106" s="630">
        <f t="shared" si="382"/>
      </c>
      <c r="K106" s="631">
        <f t="shared" si="435"/>
      </c>
      <c r="L106" s="628">
        <f t="shared" si="191"/>
      </c>
      <c r="M106" s="628">
        <f t="shared" si="276"/>
      </c>
      <c r="N106" s="632">
        <f t="shared" si="60"/>
      </c>
      <c r="O106" s="632">
        <f t="shared" si="102"/>
      </c>
      <c r="P106" s="632">
        <f t="shared" si="164"/>
      </c>
      <c r="Q106" s="632">
        <f t="shared" si="546"/>
      </c>
      <c r="R106" s="628">
        <f t="shared" si="33"/>
      </c>
      <c r="S106" s="630">
        <f t="shared" si="408"/>
      </c>
      <c r="T106" s="632">
        <f t="shared" si="477"/>
      </c>
      <c r="U106" s="632">
        <f t="shared" si="233"/>
      </c>
      <c r="V106" s="632">
        <f t="shared" si="318"/>
      </c>
      <c r="W106" s="632">
        <f t="shared" si="137"/>
      </c>
      <c r="X106" s="632"/>
      <c r="Y106" s="633"/>
      <c r="Z106" s="626">
        <f>SUM(Z101:Z105)</f>
      </c>
      <c r="AA106" s="626">
        <f>SUM(AA101:AA105)</f>
      </c>
      <c r="AB106" s="626">
        <f>SUM(AB101:AB105)</f>
      </c>
      <c r="AC106" s="626">
        <f>SUM(AC101:AC105)</f>
      </c>
      <c r="AD106" s="626">
        <f>SUM(AD101:AD105)</f>
      </c>
      <c r="AE106" s="626">
        <f>SUM(AE101:AE105)</f>
      </c>
      <c r="AF106" s="626">
        <f>SUM(AF101:AF105)</f>
      </c>
      <c r="AG106" s="626">
        <f>SUM(AG101:AG105)</f>
      </c>
      <c r="AH106" s="626">
        <f>SUM(AH101:AH105)</f>
      </c>
      <c r="AI106" s="626">
        <f>SUM(AI101:AI105)</f>
      </c>
    </row>
    <row r="107">
      <c r="A107" s="612"/>
      <c r="B107" s="653" t="s">
        <v>325</v>
      </c>
      <c r="C107" s="672" t="s">
        <v>344</v>
      </c>
      <c r="D107" s="668">
        <v>1992.398</v>
      </c>
      <c r="E107" s="664">
        <v>7</v>
      </c>
      <c r="F107" s="665">
        <v>3265.6</v>
      </c>
      <c r="G107" s="671">
        <f t="shared" si="354"/>
      </c>
      <c r="H107" s="617">
        <f t="shared" si="520"/>
      </c>
      <c r="I107" s="618">
        <f t="shared" si="7"/>
      </c>
      <c r="J107" s="619">
        <f t="shared" si="382"/>
      </c>
      <c r="K107" s="620">
        <f t="shared" si="435"/>
      </c>
      <c r="L107" s="617">
        <f t="shared" si="191"/>
      </c>
      <c r="M107" s="617">
        <f t="shared" si="276"/>
      </c>
      <c r="N107" s="621">
        <f t="shared" si="60"/>
      </c>
      <c r="O107" s="621">
        <f t="shared" si="102"/>
      </c>
      <c r="P107" s="621">
        <f t="shared" si="164"/>
      </c>
      <c r="Q107" s="621">
        <f t="shared" si="546"/>
      </c>
      <c r="R107" s="617">
        <f t="shared" si="33"/>
      </c>
      <c r="S107" s="619">
        <f t="shared" si="408"/>
      </c>
      <c r="T107" s="621">
        <f t="shared" si="477"/>
      </c>
      <c r="U107" s="621">
        <f t="shared" si="233"/>
      </c>
      <c r="V107" s="621">
        <f t="shared" si="318"/>
      </c>
      <c r="W107" s="621">
        <f t="shared" si="137"/>
      </c>
      <c r="X107" s="653" t="s">
        <v>327</v>
      </c>
      <c r="Y107" s="613" t="s">
        <v>348</v>
      </c>
      <c r="Z107" s="655">
        <v>224317</v>
      </c>
      <c r="AA107" s="655">
        <v>15945</v>
      </c>
      <c r="AB107" s="655">
        <v>154320</v>
      </c>
      <c r="AC107" s="622">
        <v>1253</v>
      </c>
      <c r="AD107" s="622">
        <v>6</v>
      </c>
      <c r="AE107" s="655">
        <v>15475</v>
      </c>
      <c r="AF107" s="622">
        <v>356</v>
      </c>
      <c r="AG107" s="622">
        <v>310</v>
      </c>
      <c r="AH107" s="622">
        <v>33</v>
      </c>
      <c r="AI107" s="623">
        <v>1</v>
      </c>
    </row>
    <row r="108">
      <c r="A108" s="612"/>
      <c r="B108" s="653" t="s">
        <v>325</v>
      </c>
      <c r="C108" s="672" t="s">
        <v>345</v>
      </c>
      <c r="D108" s="668">
        <v>1794.778</v>
      </c>
      <c r="E108" s="664">
        <v>6</v>
      </c>
      <c r="F108" s="665">
        <v>4120.8</v>
      </c>
      <c r="G108" s="671">
        <f t="shared" si="354"/>
      </c>
      <c r="H108" s="617">
        <f t="shared" si="520"/>
      </c>
      <c r="I108" s="618">
        <f t="shared" si="7"/>
      </c>
      <c r="J108" s="619">
        <f t="shared" si="382"/>
      </c>
      <c r="K108" s="620">
        <f t="shared" si="435"/>
      </c>
      <c r="L108" s="617">
        <f t="shared" si="191"/>
      </c>
      <c r="M108" s="617">
        <f t="shared" si="276"/>
      </c>
      <c r="N108" s="621">
        <f t="shared" si="60"/>
      </c>
      <c r="O108" s="621">
        <f t="shared" si="102"/>
      </c>
      <c r="P108" s="621">
        <f t="shared" si="164"/>
      </c>
      <c r="Q108" s="621">
        <f t="shared" si="546"/>
      </c>
      <c r="R108" s="617">
        <f t="shared" si="33"/>
      </c>
      <c r="S108" s="619">
        <f t="shared" si="408"/>
      </c>
      <c r="T108" s="621">
        <f t="shared" si="477"/>
      </c>
      <c r="U108" s="621">
        <f t="shared" si="233"/>
      </c>
      <c r="V108" s="621">
        <f t="shared" si="318"/>
      </c>
      <c r="W108" s="621">
        <f t="shared" si="137"/>
      </c>
      <c r="X108" s="653" t="s">
        <v>327</v>
      </c>
      <c r="Y108" s="613" t="s">
        <v>348</v>
      </c>
      <c r="Z108" s="622">
        <v>189818</v>
      </c>
      <c r="AA108" s="622">
        <v>16460</v>
      </c>
      <c r="AB108" s="622">
        <v>134167</v>
      </c>
      <c r="AC108" s="622">
        <v>1248</v>
      </c>
      <c r="AD108" s="622">
        <v>3</v>
      </c>
      <c r="AE108" s="622">
        <v>13500</v>
      </c>
      <c r="AF108" s="622">
        <v>318</v>
      </c>
      <c r="AG108" s="622">
        <v>309</v>
      </c>
      <c r="AH108" s="622">
        <v>39</v>
      </c>
      <c r="AI108" s="623">
        <v>2</v>
      </c>
    </row>
    <row r="109">
      <c r="A109" s="612"/>
      <c r="B109" s="653" t="s">
        <v>325</v>
      </c>
      <c r="C109" s="672" t="s">
        <v>346</v>
      </c>
      <c r="D109" s="668">
        <v>1800.405</v>
      </c>
      <c r="E109" s="664">
        <v>4</v>
      </c>
      <c r="F109" s="665">
        <v>838.3</v>
      </c>
      <c r="G109" s="671">
        <f t="shared" si="354"/>
      </c>
      <c r="H109" s="617">
        <f t="shared" si="520"/>
      </c>
      <c r="I109" s="618">
        <f t="shared" si="7"/>
      </c>
      <c r="J109" s="619">
        <f t="shared" si="382"/>
      </c>
      <c r="K109" s="620">
        <f t="shared" si="435"/>
      </c>
      <c r="L109" s="617">
        <f t="shared" si="191"/>
      </c>
      <c r="M109" s="617">
        <f t="shared" si="276"/>
      </c>
      <c r="N109" s="621">
        <f t="shared" si="60"/>
      </c>
      <c r="O109" s="621">
        <f t="shared" si="102"/>
      </c>
      <c r="P109" s="621">
        <f t="shared" si="164"/>
      </c>
      <c r="Q109" s="621">
        <f t="shared" si="546"/>
      </c>
      <c r="R109" s="617">
        <f t="shared" si="33"/>
      </c>
      <c r="S109" s="619">
        <f t="shared" si="408"/>
      </c>
      <c r="T109" s="621">
        <f t="shared" si="477"/>
      </c>
      <c r="U109" s="621">
        <f t="shared" si="233"/>
      </c>
      <c r="V109" s="621">
        <f t="shared" si="318"/>
      </c>
      <c r="W109" s="621">
        <f t="shared" si="137"/>
      </c>
      <c r="X109" s="653" t="s">
        <v>327</v>
      </c>
      <c r="Y109" s="613" t="s">
        <v>348</v>
      </c>
      <c r="Z109" s="622">
        <v>172176</v>
      </c>
      <c r="AA109" s="622">
        <v>17057</v>
      </c>
      <c r="AB109" s="622">
        <v>140008</v>
      </c>
      <c r="AC109" s="622">
        <v>1139</v>
      </c>
      <c r="AD109" s="622">
        <v>4</v>
      </c>
      <c r="AE109" s="622">
        <v>14749</v>
      </c>
      <c r="AF109" s="622">
        <v>281</v>
      </c>
      <c r="AG109" s="622">
        <v>291</v>
      </c>
      <c r="AH109" s="622">
        <v>40</v>
      </c>
      <c r="AI109" s="623">
        <v>1</v>
      </c>
    </row>
    <row r="110">
      <c r="A110" s="612"/>
      <c r="B110" s="653" t="s">
        <v>325</v>
      </c>
      <c r="C110" s="616" t="s">
        <v>326</v>
      </c>
      <c r="D110" s="669">
        <v>2440.539</v>
      </c>
      <c r="E110" s="667">
        <v>5</v>
      </c>
      <c r="F110" s="647">
        <v>1708</v>
      </c>
      <c r="G110" s="671">
        <f t="shared" si="354"/>
      </c>
      <c r="H110" s="617">
        <f t="shared" si="520"/>
      </c>
      <c r="I110" s="618">
        <f t="shared" si="7"/>
      </c>
      <c r="J110" s="619">
        <f t="shared" si="382"/>
      </c>
      <c r="K110" s="620">
        <f t="shared" si="435"/>
      </c>
      <c r="L110" s="617">
        <f t="shared" si="191"/>
      </c>
      <c r="M110" s="617">
        <f t="shared" si="276"/>
      </c>
      <c r="N110" s="621">
        <f t="shared" si="60"/>
      </c>
      <c r="O110" s="621">
        <f t="shared" si="102"/>
      </c>
      <c r="P110" s="621">
        <f t="shared" si="164"/>
      </c>
      <c r="Q110" s="621">
        <f t="shared" si="546"/>
      </c>
      <c r="R110" s="617">
        <f t="shared" si="33"/>
      </c>
      <c r="S110" s="619">
        <f t="shared" si="408"/>
      </c>
      <c r="T110" s="621">
        <f t="shared" si="477"/>
      </c>
      <c r="U110" s="621">
        <f t="shared" si="233"/>
      </c>
      <c r="V110" s="621">
        <f t="shared" si="318"/>
      </c>
      <c r="W110" s="621">
        <f t="shared" si="137"/>
      </c>
      <c r="X110" s="653" t="s">
        <v>327</v>
      </c>
      <c r="Y110" s="613" t="s">
        <v>348</v>
      </c>
      <c r="Z110" s="622">
        <v>266146</v>
      </c>
      <c r="AA110" s="622">
        <v>27279</v>
      </c>
      <c r="AB110" s="622">
        <v>228127</v>
      </c>
      <c r="AC110" s="622">
        <v>1427</v>
      </c>
      <c r="AD110" s="622">
        <v>4</v>
      </c>
      <c r="AE110" s="622">
        <v>21128</v>
      </c>
      <c r="AF110" s="622">
        <v>456</v>
      </c>
      <c r="AG110" s="622">
        <v>474</v>
      </c>
      <c r="AH110" s="622">
        <v>32</v>
      </c>
      <c r="AI110" s="623">
        <v>0</v>
      </c>
    </row>
    <row r="111">
      <c r="A111" s="612"/>
      <c r="B111" s="653" t="s">
        <v>325</v>
      </c>
      <c r="C111" s="616" t="s">
        <v>329</v>
      </c>
      <c r="D111" s="669">
        <v>2872.584</v>
      </c>
      <c r="E111" s="667">
        <v>14</v>
      </c>
      <c r="F111" s="647">
        <v>4757.9</v>
      </c>
      <c r="G111" s="671">
        <f t="shared" si="354"/>
      </c>
      <c r="H111" s="617">
        <f t="shared" si="520"/>
      </c>
      <c r="I111" s="618">
        <f t="shared" si="7"/>
      </c>
      <c r="J111" s="619">
        <f t="shared" si="382"/>
      </c>
      <c r="K111" s="620">
        <f t="shared" si="435"/>
      </c>
      <c r="L111" s="617">
        <f t="shared" si="191"/>
      </c>
      <c r="M111" s="617">
        <f t="shared" si="276"/>
      </c>
      <c r="N111" s="621">
        <f t="shared" si="60"/>
      </c>
      <c r="O111" s="621">
        <f t="shared" si="102"/>
      </c>
      <c r="P111" s="621">
        <f t="shared" si="164"/>
      </c>
      <c r="Q111" s="621">
        <f t="shared" si="546"/>
      </c>
      <c r="R111" s="617">
        <f t="shared" si="33"/>
      </c>
      <c r="S111" s="619">
        <f t="shared" si="408"/>
      </c>
      <c r="T111" s="621">
        <f t="shared" si="477"/>
      </c>
      <c r="U111" s="621">
        <f t="shared" si="233"/>
      </c>
      <c r="V111" s="621">
        <f t="shared" si="318"/>
      </c>
      <c r="W111" s="621">
        <f t="shared" si="137"/>
      </c>
      <c r="X111" s="653" t="s">
        <v>327</v>
      </c>
      <c r="Y111" s="613" t="s">
        <v>348</v>
      </c>
      <c r="Z111" s="622">
        <v>330481</v>
      </c>
      <c r="AA111" s="622">
        <v>30414</v>
      </c>
      <c r="AB111" s="622">
        <v>298856</v>
      </c>
      <c r="AC111" s="622">
        <v>1413</v>
      </c>
      <c r="AD111" s="622">
        <v>12</v>
      </c>
      <c r="AE111" s="622">
        <v>25364</v>
      </c>
      <c r="AF111" s="622">
        <v>397</v>
      </c>
      <c r="AG111" s="622">
        <v>495</v>
      </c>
      <c r="AH111" s="622">
        <v>32</v>
      </c>
      <c r="AI111" s="623">
        <v>3</v>
      </c>
    </row>
    <row r="112">
      <c r="A112" s="612"/>
      <c r="B112" s="625" t="s">
        <v>332</v>
      </c>
      <c r="C112" s="625"/>
      <c r="D112" s="626">
        <f>SUM(D107:D111)</f>
      </c>
      <c r="E112" s="626">
        <f>SUM(E107:E111)</f>
      </c>
      <c r="F112" s="626">
        <f>SUM(F107:F111)</f>
      </c>
      <c r="G112" s="626">
        <f t="shared" si="354"/>
      </c>
      <c r="H112" s="628">
        <f t="shared" si="520"/>
      </c>
      <c r="I112" s="629">
        <f t="shared" si="7"/>
      </c>
      <c r="J112" s="630">
        <f t="shared" si="382"/>
      </c>
      <c r="K112" s="631">
        <f t="shared" si="435"/>
      </c>
      <c r="L112" s="628">
        <f t="shared" si="191"/>
      </c>
      <c r="M112" s="628">
        <f t="shared" si="276"/>
      </c>
      <c r="N112" s="632">
        <f t="shared" si="60"/>
      </c>
      <c r="O112" s="632">
        <f t="shared" si="102"/>
      </c>
      <c r="P112" s="632">
        <f t="shared" si="164"/>
      </c>
      <c r="Q112" s="632">
        <f t="shared" si="546"/>
      </c>
      <c r="R112" s="628">
        <f t="shared" si="33"/>
      </c>
      <c r="S112" s="630">
        <f t="shared" si="408"/>
      </c>
      <c r="T112" s="632">
        <f t="shared" si="477"/>
      </c>
      <c r="U112" s="632">
        <f t="shared" si="233"/>
      </c>
      <c r="V112" s="632">
        <f t="shared" si="318"/>
      </c>
      <c r="W112" s="632">
        <f t="shared" si="137"/>
      </c>
      <c r="X112" s="632"/>
      <c r="Y112" s="633"/>
      <c r="Z112" s="626">
        <f>SUM(Z107:Z111)</f>
      </c>
      <c r="AA112" s="626">
        <f>SUM(AA107:AA111)</f>
      </c>
      <c r="AB112" s="626">
        <f>SUM(AB107:AB111)</f>
      </c>
      <c r="AC112" s="626">
        <f>SUM(AC107:AC111)</f>
      </c>
      <c r="AD112" s="626">
        <f>SUM(AD107:AD111)</f>
      </c>
      <c r="AE112" s="626">
        <f>SUM(AE107:AE111)</f>
      </c>
      <c r="AF112" s="626">
        <f>SUM(AF107:AF111)</f>
      </c>
      <c r="AG112" s="626">
        <f>SUM(AG107:AG111)</f>
      </c>
      <c r="AH112" s="626">
        <f>SUM(AH107:AH111)</f>
      </c>
      <c r="AI112" s="626">
        <f>SUM(AI107:AI111)</f>
      </c>
    </row>
    <row r="113">
      <c r="A113" s="612"/>
      <c r="B113" s="613" t="s">
        <v>352</v>
      </c>
      <c r="C113" s="616" t="s">
        <v>330</v>
      </c>
      <c r="D113" s="614">
        <v>3002.0829999999996</v>
      </c>
      <c r="E113" s="615">
        <v>3</v>
      </c>
      <c r="F113" s="647">
        <v>620</v>
      </c>
      <c r="G113" s="671">
        <f t="shared" si="354"/>
      </c>
      <c r="H113" s="617">
        <f t="shared" si="520"/>
      </c>
      <c r="I113" s="618">
        <f t="shared" si="7"/>
      </c>
      <c r="J113" s="619">
        <f t="shared" si="382"/>
      </c>
      <c r="K113" s="620">
        <f t="shared" si="435"/>
      </c>
      <c r="L113" s="617">
        <f t="shared" si="191"/>
      </c>
      <c r="M113" s="622">
        <f t="shared" si="276"/>
      </c>
      <c r="N113" s="621">
        <f t="shared" si="60"/>
      </c>
      <c r="O113" s="621">
        <f t="shared" si="102"/>
      </c>
      <c r="P113" s="621">
        <f t="shared" si="164"/>
      </c>
      <c r="Q113" s="621">
        <f t="shared" si="546"/>
      </c>
      <c r="R113" s="617">
        <f t="shared" si="33"/>
      </c>
      <c r="S113" s="619">
        <f t="shared" si="408"/>
      </c>
      <c r="T113" s="621">
        <f t="shared" si="477"/>
      </c>
      <c r="U113" s="621">
        <f t="shared" si="233"/>
      </c>
      <c r="V113" s="621">
        <f t="shared" si="318"/>
      </c>
      <c r="W113" s="621">
        <f t="shared" si="137"/>
      </c>
      <c r="X113" s="653" t="s">
        <v>327</v>
      </c>
      <c r="Y113" s="613" t="s">
        <v>348</v>
      </c>
      <c r="Z113" s="622">
        <v>335668</v>
      </c>
      <c r="AA113" s="622">
        <v>32707</v>
      </c>
      <c r="AB113" s="622">
        <v>310493</v>
      </c>
      <c r="AC113" s="622">
        <v>1592</v>
      </c>
      <c r="AD113" s="622">
        <v>3</v>
      </c>
      <c r="AE113" s="622">
        <v>26949</v>
      </c>
      <c r="AF113" s="622">
        <v>513</v>
      </c>
      <c r="AG113" s="622">
        <v>525</v>
      </c>
      <c r="AH113" s="623">
        <v>25</v>
      </c>
      <c r="AI113" s="623">
        <v>0</v>
      </c>
    </row>
    <row r="114">
      <c r="A114" s="612"/>
      <c r="B114" s="613" t="s">
        <v>352</v>
      </c>
      <c r="C114" s="616" t="s">
        <v>331</v>
      </c>
      <c r="D114" s="614">
        <v>1952.38</v>
      </c>
      <c r="E114" s="615">
        <v>2</v>
      </c>
      <c r="F114" s="647">
        <v>392</v>
      </c>
      <c r="G114" s="671">
        <f t="shared" si="354"/>
      </c>
      <c r="H114" s="617">
        <f t="shared" si="520"/>
      </c>
      <c r="I114" s="618">
        <f t="shared" si="7"/>
      </c>
      <c r="J114" s="619">
        <f t="shared" si="382"/>
      </c>
      <c r="K114" s="620">
        <f t="shared" si="435"/>
      </c>
      <c r="L114" s="617">
        <f t="shared" si="191"/>
      </c>
      <c r="M114" s="617">
        <f t="shared" si="276"/>
      </c>
      <c r="N114" s="621">
        <f t="shared" si="60"/>
      </c>
      <c r="O114" s="621">
        <f t="shared" si="102"/>
      </c>
      <c r="P114" s="621">
        <f t="shared" si="164"/>
      </c>
      <c r="Q114" s="621">
        <f t="shared" si="546"/>
      </c>
      <c r="R114" s="617">
        <f t="shared" si="33"/>
      </c>
      <c r="S114" s="619">
        <f t="shared" si="408"/>
      </c>
      <c r="T114" s="621">
        <f t="shared" si="477"/>
      </c>
      <c r="U114" s="621">
        <f t="shared" si="233"/>
      </c>
      <c r="V114" s="621">
        <f t="shared" si="318"/>
      </c>
      <c r="W114" s="621">
        <f t="shared" si="137"/>
      </c>
      <c r="X114" s="653" t="s">
        <v>327</v>
      </c>
      <c r="Y114" s="613" t="s">
        <v>351</v>
      </c>
      <c r="Z114" s="622">
        <v>214001</v>
      </c>
      <c r="AA114" s="622">
        <v>20629</v>
      </c>
      <c r="AB114" s="622">
        <v>198890</v>
      </c>
      <c r="AC114" s="622">
        <v>871</v>
      </c>
      <c r="AD114" s="622">
        <v>2</v>
      </c>
      <c r="AE114" s="622">
        <v>13454</v>
      </c>
      <c r="AF114" s="622">
        <v>263</v>
      </c>
      <c r="AG114" s="622">
        <v>312</v>
      </c>
      <c r="AH114" s="622">
        <v>18</v>
      </c>
      <c r="AI114" s="623">
        <v>0</v>
      </c>
    </row>
    <row r="115">
      <c r="A115" s="612"/>
      <c r="B115" s="625" t="s">
        <v>332</v>
      </c>
      <c r="C115" s="625"/>
      <c r="D115" s="626">
        <f>SUM(D113:D114)</f>
      </c>
      <c r="E115" s="626">
        <f>SUM(E113:E114)</f>
      </c>
      <c r="F115" s="626">
        <f>SUM(F113:F114)</f>
      </c>
      <c r="G115" s="626">
        <f t="shared" si="354"/>
      </c>
      <c r="H115" s="628">
        <f t="shared" si="520"/>
      </c>
      <c r="I115" s="629">
        <f t="shared" si="7"/>
      </c>
      <c r="J115" s="630">
        <f t="shared" si="382"/>
      </c>
      <c r="K115" s="631">
        <f t="shared" si="435"/>
      </c>
      <c r="L115" s="628">
        <f t="shared" si="191"/>
      </c>
      <c r="M115" s="628">
        <f t="shared" si="276"/>
      </c>
      <c r="N115" s="632">
        <f t="shared" si="60"/>
      </c>
      <c r="O115" s="632">
        <f t="shared" si="102"/>
      </c>
      <c r="P115" s="632">
        <f t="shared" si="164"/>
      </c>
      <c r="Q115" s="632">
        <f t="shared" si="546"/>
      </c>
      <c r="R115" s="628">
        <f t="shared" si="33"/>
      </c>
      <c r="S115" s="630">
        <f t="shared" si="408"/>
      </c>
      <c r="T115" s="632">
        <f t="shared" si="477"/>
      </c>
      <c r="U115" s="632">
        <f t="shared" si="233"/>
      </c>
      <c r="V115" s="632">
        <f t="shared" si="318"/>
      </c>
      <c r="W115" s="632">
        <f t="shared" si="137"/>
      </c>
      <c r="X115" s="632"/>
      <c r="Y115" s="633"/>
      <c r="Z115" s="626">
        <f>SUM(Z113:Z114)</f>
      </c>
      <c r="AA115" s="626">
        <f>SUM(AA113:AA114)</f>
      </c>
      <c r="AB115" s="626">
        <f>SUM(AB113:AB114)</f>
      </c>
      <c r="AC115" s="626">
        <f>SUM(AC113:AC114)</f>
      </c>
      <c r="AD115" s="626">
        <f>SUM(AD113:AD114)</f>
      </c>
      <c r="AE115" s="626">
        <f>SUM(AE113:AE114)</f>
      </c>
      <c r="AF115" s="626">
        <f>SUM(AF113:AF114)</f>
      </c>
      <c r="AG115" s="626">
        <f>SUM(AG113:AG114)</f>
      </c>
      <c r="AH115" s="626">
        <f>SUM(AH113:AH114)</f>
      </c>
      <c r="AI115" s="626">
        <f>SUM(AI113:AI114)</f>
      </c>
    </row>
    <row r="116">
      <c r="A116" s="612"/>
      <c r="B116" s="635" t="s">
        <v>337</v>
      </c>
      <c r="C116" s="635"/>
      <c r="D116" s="636">
        <f>SUM(D115+D112+D106)</f>
      </c>
      <c r="E116" s="636">
        <f>SUM(E115+E112+E106)</f>
      </c>
      <c r="F116" s="636">
        <f>SUM(F115+F112+F106)</f>
      </c>
      <c r="G116" s="636">
        <f t="shared" si="354"/>
      </c>
      <c r="H116" s="638">
        <f t="shared" si="520"/>
      </c>
      <c r="I116" s="639">
        <f t="shared" si="7"/>
      </c>
      <c r="J116" s="640">
        <f t="shared" si="382"/>
      </c>
      <c r="K116" s="641">
        <f t="shared" si="435"/>
      </c>
      <c r="L116" s="641">
        <f t="shared" si="191"/>
      </c>
      <c r="M116" s="642">
        <f t="shared" si="276"/>
      </c>
      <c r="N116" s="643">
        <f t="shared" si="60"/>
      </c>
      <c r="O116" s="643">
        <f t="shared" si="102"/>
      </c>
      <c r="P116" s="643">
        <f t="shared" si="164"/>
      </c>
      <c r="Q116" s="643">
        <f t="shared" si="546"/>
      </c>
      <c r="R116" s="642">
        <f t="shared" si="33"/>
      </c>
      <c r="S116" s="644">
        <f t="shared" si="408"/>
      </c>
      <c r="T116" s="645">
        <f t="shared" si="477"/>
      </c>
      <c r="U116" s="645">
        <f t="shared" si="233"/>
      </c>
      <c r="V116" s="645">
        <f t="shared" si="318"/>
      </c>
      <c r="W116" s="645">
        <f t="shared" si="137"/>
      </c>
      <c r="X116" s="645"/>
      <c r="Y116" s="646"/>
      <c r="Z116" s="636">
        <f>SUM(Z115+Z112+Z106)</f>
      </c>
      <c r="AA116" s="636">
        <f>SUM(AA115+AA112+AA106)</f>
      </c>
      <c r="AB116" s="636">
        <f>SUM(AB115+AB112+AB106)</f>
      </c>
      <c r="AC116" s="636">
        <f>SUM(AC115+AC112+AC106)</f>
      </c>
      <c r="AD116" s="636">
        <f>SUM(AD115+AD112+AD106)</f>
      </c>
      <c r="AE116" s="636">
        <f>SUM(AE115+AE112+AE106)</f>
      </c>
      <c r="AF116" s="636">
        <f>SUM(AF115+AF112+AF106)</f>
      </c>
      <c r="AG116" s="636">
        <f>SUM(AG115+AG112+AG106)</f>
      </c>
      <c r="AH116" s="636">
        <f>SUM(AH115+AH112+AH106)</f>
      </c>
      <c r="AI116" s="636">
        <f>SUM(AI115+AI112+AI106)</f>
      </c>
    </row>
    <row r="117">
      <c r="A117" s="594"/>
      <c r="B117" s="594"/>
      <c r="C117" s="594"/>
      <c r="D117" s="604" t="s">
        <v>288</v>
      </c>
      <c r="E117" s="604"/>
      <c r="F117" s="604"/>
      <c r="G117" s="604"/>
      <c r="H117" s="604"/>
      <c r="I117" s="604"/>
      <c r="J117" s="604"/>
      <c r="K117" s="597" t="s">
        <v>289</v>
      </c>
      <c r="L117" s="597"/>
      <c r="M117" s="597"/>
      <c r="N117" s="597"/>
      <c r="O117" s="597"/>
      <c r="P117" s="597"/>
      <c r="Q117" s="597"/>
      <c r="R117" s="597"/>
      <c r="S117" s="597"/>
      <c r="T117" s="598" t="s">
        <v>290</v>
      </c>
      <c r="U117" s="598"/>
      <c r="V117" s="598"/>
      <c r="W117" s="598"/>
      <c r="X117" s="599"/>
      <c r="Y117" s="599"/>
      <c r="Z117" s="601"/>
      <c r="AA117" s="601"/>
      <c r="AB117" s="601"/>
      <c r="AC117" s="601"/>
      <c r="AD117" s="601"/>
      <c r="AE117" s="601"/>
      <c r="AF117" s="601"/>
      <c r="AG117" s="601"/>
      <c r="AH117" s="602"/>
      <c r="AI117" s="601"/>
    </row>
    <row r="118">
      <c r="A118" s="603" t="s">
        <v>291</v>
      </c>
      <c r="B118" s="594" t="s">
        <v>292</v>
      </c>
      <c r="C118" s="659" t="s">
        <v>293</v>
      </c>
      <c r="D118" s="660" t="s">
        <v>294</v>
      </c>
      <c r="E118" s="661" t="s">
        <v>295</v>
      </c>
      <c r="F118" s="662" t="s">
        <v>296</v>
      </c>
      <c r="G118" s="670" t="s">
        <v>349</v>
      </c>
      <c r="H118" s="595" t="s">
        <v>297</v>
      </c>
      <c r="I118" s="595" t="s">
        <v>298</v>
      </c>
      <c r="J118" s="595" t="s">
        <v>299</v>
      </c>
      <c r="K118" s="597" t="s">
        <v>300</v>
      </c>
      <c r="L118" s="597" t="s">
        <v>301</v>
      </c>
      <c r="M118" s="597" t="s">
        <v>302</v>
      </c>
      <c r="N118" s="597" t="s">
        <v>303</v>
      </c>
      <c r="O118" s="597" t="s">
        <v>304</v>
      </c>
      <c r="P118" s="597" t="s">
        <v>305</v>
      </c>
      <c r="Q118" s="597" t="s">
        <v>306</v>
      </c>
      <c r="R118" s="597" t="s">
        <v>307</v>
      </c>
      <c r="S118" s="597" t="s">
        <v>308</v>
      </c>
      <c r="T118" s="606" t="s">
        <v>309</v>
      </c>
      <c r="U118" s="606" t="s">
        <v>310</v>
      </c>
      <c r="V118" s="606" t="s">
        <v>311</v>
      </c>
      <c r="W118" s="606" t="s">
        <v>312</v>
      </c>
      <c r="X118" s="607" t="s">
        <v>313</v>
      </c>
      <c r="Y118" s="607" t="s">
        <v>314</v>
      </c>
      <c r="Z118" s="651" t="s">
        <v>315</v>
      </c>
      <c r="AA118" s="651" t="s">
        <v>316</v>
      </c>
      <c r="AB118" s="651" t="s">
        <v>317</v>
      </c>
      <c r="AC118" s="609" t="s">
        <v>318</v>
      </c>
      <c r="AD118" s="609" t="s">
        <v>319</v>
      </c>
      <c r="AE118" s="652" t="s">
        <v>320</v>
      </c>
      <c r="AF118" s="609" t="s">
        <v>321</v>
      </c>
      <c r="AG118" s="609" t="s">
        <v>322</v>
      </c>
      <c r="AH118" s="611" t="s">
        <v>323</v>
      </c>
      <c r="AI118" s="609" t="s">
        <v>324</v>
      </c>
    </row>
    <row r="119">
      <c r="A119" s="612">
        <v>46187</v>
      </c>
      <c r="B119" s="653" t="s">
        <v>325</v>
      </c>
      <c r="C119" s="611" t="s">
        <v>338</v>
      </c>
      <c r="D119" s="668">
        <v>2740.215</v>
      </c>
      <c r="E119" s="664">
        <v>6</v>
      </c>
      <c r="F119" s="665">
        <v>1304</v>
      </c>
      <c r="G119" s="671">
        <f t="shared" ref="G119:G131" si="355">D119/AD119</f>
      </c>
      <c r="H119" s="617">
        <f t="shared" ref="H119:H131" si="521">F119/E119</f>
      </c>
      <c r="I119" s="618">
        <f t="shared" ref="I119:I131" si="8">D119/E119</f>
      </c>
      <c r="J119" s="619">
        <f t="shared" ref="J119:J131" si="383">F119/D119</f>
      </c>
      <c r="K119" s="620">
        <f t="shared" ref="K119:K131" si="436">D119/AB119</f>
      </c>
      <c r="L119" s="617">
        <f t="shared" ref="L119:L131" si="192">D119/AC119</f>
      </c>
      <c r="M119" s="617">
        <f t="shared" ref="M119:M131" si="277">D119/AD119</f>
      </c>
      <c r="N119" s="621">
        <f t="shared" ref="N119:N131" si="61">AC119/AB119</f>
      </c>
      <c r="O119" s="621">
        <f t="shared" ref="O119:O131" si="103">AD119/AC119</f>
      </c>
      <c r="P119" s="621">
        <f t="shared" ref="P119:P131" si="165">AA119/Z119</f>
      </c>
      <c r="Q119" s="621">
        <f t="shared" ref="Q119:Q131" si="547">AD119/AA119</f>
      </c>
      <c r="R119" s="617">
        <f t="shared" ref="R119:R131" si="34">D119/Z119*1000</f>
      </c>
      <c r="S119" s="619">
        <f t="shared" ref="S119:S131" si="409">D119/AA119</f>
      </c>
      <c r="T119" s="621">
        <f t="shared" ref="T119:T131" si="478">AE119/AB119</f>
      </c>
      <c r="U119" s="621">
        <f t="shared" ref="U119:U131" si="234">AF119/AB119</f>
      </c>
      <c r="V119" s="621">
        <f t="shared" ref="V119:V131" si="319">AG119/AB119</f>
      </c>
      <c r="W119" s="621">
        <f t="shared" ref="W119:W131" si="138">AH119/AB119</f>
      </c>
      <c r="X119" s="653" t="s">
        <v>327</v>
      </c>
      <c r="Y119" s="613" t="s">
        <v>348</v>
      </c>
      <c r="Z119" s="655">
        <v>289408</v>
      </c>
      <c r="AA119" s="655">
        <v>24795</v>
      </c>
      <c r="AB119" s="655">
        <v>273395</v>
      </c>
      <c r="AC119" s="622">
        <v>1812</v>
      </c>
      <c r="AD119" s="622">
        <v>6</v>
      </c>
      <c r="AE119" s="655">
        <v>51624</v>
      </c>
      <c r="AF119" s="622">
        <v>785</v>
      </c>
      <c r="AG119" s="622">
        <v>763</v>
      </c>
      <c r="AH119" s="622">
        <v>31</v>
      </c>
      <c r="AI119" s="623">
        <v>0</v>
      </c>
    </row>
    <row r="120">
      <c r="A120" s="612"/>
      <c r="B120" s="653" t="s">
        <v>325</v>
      </c>
      <c r="C120" s="611" t="s">
        <v>340</v>
      </c>
      <c r="D120" s="668">
        <v>3913.011</v>
      </c>
      <c r="E120" s="664">
        <v>8</v>
      </c>
      <c r="F120" s="665">
        <v>4121.6</v>
      </c>
      <c r="G120" s="671">
        <f t="shared" si="355"/>
      </c>
      <c r="H120" s="617">
        <f t="shared" si="521"/>
      </c>
      <c r="I120" s="618">
        <f t="shared" si="8"/>
      </c>
      <c r="J120" s="619">
        <f t="shared" si="383"/>
      </c>
      <c r="K120" s="620">
        <f t="shared" si="436"/>
      </c>
      <c r="L120" s="617">
        <f t="shared" si="192"/>
      </c>
      <c r="M120" s="617">
        <f t="shared" si="277"/>
      </c>
      <c r="N120" s="621">
        <f t="shared" si="61"/>
      </c>
      <c r="O120" s="621">
        <f t="shared" si="103"/>
      </c>
      <c r="P120" s="621">
        <f t="shared" si="165"/>
      </c>
      <c r="Q120" s="621">
        <f t="shared" si="547"/>
      </c>
      <c r="R120" s="617">
        <f t="shared" si="34"/>
      </c>
      <c r="S120" s="619">
        <f t="shared" si="409"/>
      </c>
      <c r="T120" s="621">
        <f t="shared" si="478"/>
      </c>
      <c r="U120" s="621">
        <f t="shared" si="234"/>
      </c>
      <c r="V120" s="621">
        <f t="shared" si="319"/>
      </c>
      <c r="W120" s="621">
        <f t="shared" si="138"/>
      </c>
      <c r="X120" s="653" t="s">
        <v>327</v>
      </c>
      <c r="Y120" s="613" t="s">
        <v>348</v>
      </c>
      <c r="Z120" s="622">
        <v>348420</v>
      </c>
      <c r="AA120" s="622">
        <v>29227</v>
      </c>
      <c r="AB120" s="622">
        <v>331382</v>
      </c>
      <c r="AC120" s="622">
        <v>2197</v>
      </c>
      <c r="AD120" s="622">
        <v>6</v>
      </c>
      <c r="AE120" s="622">
        <v>52665</v>
      </c>
      <c r="AF120" s="622">
        <v>775</v>
      </c>
      <c r="AG120" s="622">
        <v>794</v>
      </c>
      <c r="AH120" s="622">
        <v>79</v>
      </c>
      <c r="AI120" s="623">
        <v>1</v>
      </c>
    </row>
    <row r="121">
      <c r="A121" s="612"/>
      <c r="B121" s="653" t="s">
        <v>325</v>
      </c>
      <c r="C121" s="611" t="s">
        <v>341</v>
      </c>
      <c r="D121" s="668">
        <v>2181.291</v>
      </c>
      <c r="E121" s="664">
        <v>5</v>
      </c>
      <c r="F121" s="665">
        <v>3072</v>
      </c>
      <c r="G121" s="671">
        <f t="shared" si="355"/>
      </c>
      <c r="H121" s="617">
        <f t="shared" si="521"/>
      </c>
      <c r="I121" s="618">
        <f t="shared" si="8"/>
      </c>
      <c r="J121" s="619">
        <f t="shared" si="383"/>
      </c>
      <c r="K121" s="620">
        <f t="shared" si="436"/>
      </c>
      <c r="L121" s="617">
        <f t="shared" si="192"/>
      </c>
      <c r="M121" s="617">
        <f t="shared" si="277"/>
      </c>
      <c r="N121" s="621">
        <f t="shared" si="61"/>
      </c>
      <c r="O121" s="621">
        <f t="shared" si="103"/>
      </c>
      <c r="P121" s="621">
        <f t="shared" si="165"/>
      </c>
      <c r="Q121" s="621">
        <f t="shared" si="547"/>
      </c>
      <c r="R121" s="617">
        <f t="shared" si="34"/>
      </c>
      <c r="S121" s="619">
        <f t="shared" si="409"/>
      </c>
      <c r="T121" s="621">
        <f t="shared" si="478"/>
      </c>
      <c r="U121" s="621">
        <f t="shared" si="234"/>
      </c>
      <c r="V121" s="621">
        <f t="shared" si="319"/>
      </c>
      <c r="W121" s="621">
        <f t="shared" si="138"/>
      </c>
      <c r="X121" s="653" t="s">
        <v>327</v>
      </c>
      <c r="Y121" s="613" t="s">
        <v>348</v>
      </c>
      <c r="Z121" s="622">
        <v>241283</v>
      </c>
      <c r="AA121" s="622">
        <v>23864</v>
      </c>
      <c r="AB121" s="622">
        <v>216245</v>
      </c>
      <c r="AC121" s="622">
        <v>1649</v>
      </c>
      <c r="AD121" s="622">
        <v>4</v>
      </c>
      <c r="AE121" s="622">
        <v>29185</v>
      </c>
      <c r="AF121" s="622">
        <v>594</v>
      </c>
      <c r="AG121" s="622">
        <v>512</v>
      </c>
      <c r="AH121" s="622">
        <v>49</v>
      </c>
      <c r="AI121" s="623">
        <v>1</v>
      </c>
    </row>
    <row r="122">
      <c r="A122" s="612"/>
      <c r="B122" s="653" t="s">
        <v>325</v>
      </c>
      <c r="C122" s="609" t="s">
        <v>342</v>
      </c>
      <c r="D122" s="669">
        <v>1069.375</v>
      </c>
      <c r="E122" s="667">
        <v>1</v>
      </c>
      <c r="F122" s="647">
        <v>828</v>
      </c>
      <c r="G122" s="671">
        <f t="shared" si="355"/>
      </c>
      <c r="H122" s="617">
        <f t="shared" si="521"/>
      </c>
      <c r="I122" s="618">
        <f t="shared" si="8"/>
      </c>
      <c r="J122" s="619">
        <f t="shared" si="383"/>
      </c>
      <c r="K122" s="620">
        <f t="shared" si="436"/>
      </c>
      <c r="L122" s="617">
        <f t="shared" si="192"/>
      </c>
      <c r="M122" s="617">
        <f t="shared" si="277"/>
      </c>
      <c r="N122" s="621">
        <f t="shared" si="61"/>
      </c>
      <c r="O122" s="621">
        <f t="shared" si="103"/>
      </c>
      <c r="P122" s="621">
        <f t="shared" si="165"/>
      </c>
      <c r="Q122" s="621">
        <f t="shared" si="547"/>
      </c>
      <c r="R122" s="617">
        <f t="shared" si="34"/>
      </c>
      <c r="S122" s="619">
        <f t="shared" si="409"/>
      </c>
      <c r="T122" s="621">
        <f t="shared" si="478"/>
      </c>
      <c r="U122" s="621">
        <f t="shared" si="234"/>
      </c>
      <c r="V122" s="621">
        <f t="shared" si="319"/>
      </c>
      <c r="W122" s="621">
        <f t="shared" si="138"/>
      </c>
      <c r="X122" s="653" t="s">
        <v>327</v>
      </c>
      <c r="Y122" s="613" t="s">
        <v>348</v>
      </c>
      <c r="Z122" s="622">
        <v>134713</v>
      </c>
      <c r="AA122" s="622">
        <v>11590</v>
      </c>
      <c r="AB122" s="622">
        <v>108187</v>
      </c>
      <c r="AC122" s="622">
        <v>966</v>
      </c>
      <c r="AD122" s="622">
        <v>1</v>
      </c>
      <c r="AE122" s="622">
        <v>11232</v>
      </c>
      <c r="AF122" s="622">
        <v>350</v>
      </c>
      <c r="AG122" s="622">
        <v>207</v>
      </c>
      <c r="AH122" s="622">
        <v>22</v>
      </c>
      <c r="AI122" s="623">
        <v>0</v>
      </c>
    </row>
    <row r="123">
      <c r="A123" s="612"/>
      <c r="B123" s="653" t="s">
        <v>325</v>
      </c>
      <c r="C123" s="616" t="s">
        <v>343</v>
      </c>
      <c r="D123" s="669">
        <v>823.445</v>
      </c>
      <c r="E123" s="667">
        <v>0</v>
      </c>
      <c r="F123" s="647">
        <v>0</v>
      </c>
      <c r="G123" s="671">
        <f t="shared" si="355"/>
      </c>
      <c r="H123" s="617">
        <f t="shared" si="521"/>
      </c>
      <c r="I123" s="618">
        <f t="shared" si="8"/>
      </c>
      <c r="J123" s="619">
        <f t="shared" si="383"/>
      </c>
      <c r="K123" s="620">
        <f t="shared" si="436"/>
      </c>
      <c r="L123" s="617">
        <f t="shared" si="192"/>
      </c>
      <c r="M123" s="617">
        <f t="shared" si="277"/>
      </c>
      <c r="N123" s="621">
        <f t="shared" si="61"/>
      </c>
      <c r="O123" s="621">
        <f t="shared" si="103"/>
      </c>
      <c r="P123" s="621">
        <f t="shared" si="165"/>
      </c>
      <c r="Q123" s="621">
        <f t="shared" si="547"/>
      </c>
      <c r="R123" s="617">
        <f t="shared" si="34"/>
      </c>
      <c r="S123" s="619">
        <f t="shared" si="409"/>
      </c>
      <c r="T123" s="621">
        <f t="shared" si="478"/>
      </c>
      <c r="U123" s="621">
        <f t="shared" si="234"/>
      </c>
      <c r="V123" s="621">
        <f t="shared" si="319"/>
      </c>
      <c r="W123" s="621">
        <f t="shared" si="138"/>
      </c>
      <c r="X123" s="653" t="s">
        <v>327</v>
      </c>
      <c r="Y123" s="613" t="s">
        <v>348</v>
      </c>
      <c r="Z123" s="622">
        <v>109744</v>
      </c>
      <c r="AA123" s="622">
        <v>8625</v>
      </c>
      <c r="AB123" s="622">
        <v>89128</v>
      </c>
      <c r="AC123" s="622">
        <v>540</v>
      </c>
      <c r="AD123" s="622">
        <v>0</v>
      </c>
      <c r="AE123" s="622">
        <v>7321</v>
      </c>
      <c r="AF123" s="622">
        <v>160</v>
      </c>
      <c r="AG123" s="622">
        <v>150</v>
      </c>
      <c r="AH123" s="622">
        <v>21</v>
      </c>
      <c r="AI123" s="623">
        <v>0</v>
      </c>
    </row>
    <row r="124">
      <c r="A124" s="612"/>
      <c r="B124" s="625" t="s">
        <v>332</v>
      </c>
      <c r="C124" s="625"/>
      <c r="D124" s="626">
        <f>SUM(D119:D123)</f>
      </c>
      <c r="E124" s="626">
        <f>SUM(E119:E123)</f>
      </c>
      <c r="F124" s="626">
        <f>SUM(F119:F123)</f>
      </c>
      <c r="G124" s="626">
        <f t="shared" si="355"/>
      </c>
      <c r="H124" s="628">
        <f t="shared" si="521"/>
      </c>
      <c r="I124" s="629">
        <f t="shared" si="8"/>
      </c>
      <c r="J124" s="630">
        <f t="shared" si="383"/>
      </c>
      <c r="K124" s="631">
        <f t="shared" si="436"/>
      </c>
      <c r="L124" s="628">
        <f t="shared" si="192"/>
      </c>
      <c r="M124" s="628">
        <f t="shared" si="277"/>
      </c>
      <c r="N124" s="632">
        <f t="shared" si="61"/>
      </c>
      <c r="O124" s="632">
        <f t="shared" si="103"/>
      </c>
      <c r="P124" s="632">
        <f t="shared" si="165"/>
      </c>
      <c r="Q124" s="632">
        <f t="shared" si="547"/>
      </c>
      <c r="R124" s="628">
        <f t="shared" si="34"/>
      </c>
      <c r="S124" s="630">
        <f t="shared" si="409"/>
      </c>
      <c r="T124" s="632">
        <f t="shared" si="478"/>
      </c>
      <c r="U124" s="632">
        <f t="shared" si="234"/>
      </c>
      <c r="V124" s="632">
        <f t="shared" si="319"/>
      </c>
      <c r="W124" s="632">
        <f t="shared" si="138"/>
      </c>
      <c r="X124" s="632"/>
      <c r="Y124" s="633"/>
      <c r="Z124" s="626">
        <f>SUM(Z119:Z123)</f>
      </c>
      <c r="AA124" s="626">
        <f>SUM(AA119:AA123)</f>
      </c>
      <c r="AB124" s="626">
        <f>SUM(AB119:AB123)</f>
      </c>
      <c r="AC124" s="626">
        <f>SUM(AC119:AC123)</f>
      </c>
      <c r="AD124" s="626">
        <f>SUM(AD119:AD123)</f>
      </c>
      <c r="AE124" s="626">
        <f>SUM(AE119:AE123)</f>
      </c>
      <c r="AF124" s="626">
        <f>SUM(AF119:AF123)</f>
      </c>
      <c r="AG124" s="626">
        <f>SUM(AG119:AG123)</f>
      </c>
      <c r="AH124" s="626">
        <f>SUM(AH119:AH123)</f>
      </c>
      <c r="AI124" s="626">
        <f>SUM(AI119:AI123)</f>
      </c>
    </row>
    <row r="125">
      <c r="A125" s="612"/>
      <c r="B125" s="653" t="s">
        <v>333</v>
      </c>
      <c r="C125" s="672" t="s">
        <v>344</v>
      </c>
      <c r="D125" s="668">
        <v>496.668</v>
      </c>
      <c r="E125" s="664">
        <v>0</v>
      </c>
      <c r="F125" s="665">
        <v>0</v>
      </c>
      <c r="G125" s="671">
        <f t="shared" si="355"/>
      </c>
      <c r="H125" s="617">
        <f t="shared" si="521"/>
      </c>
      <c r="I125" s="618">
        <f t="shared" si="8"/>
      </c>
      <c r="J125" s="619">
        <f t="shared" si="383"/>
      </c>
      <c r="K125" s="620">
        <f t="shared" si="436"/>
      </c>
      <c r="L125" s="617">
        <f t="shared" si="192"/>
      </c>
      <c r="M125" s="617">
        <f t="shared" si="277"/>
      </c>
      <c r="N125" s="621">
        <f t="shared" si="61"/>
      </c>
      <c r="O125" s="621">
        <f t="shared" si="103"/>
      </c>
      <c r="P125" s="621">
        <f t="shared" si="165"/>
      </c>
      <c r="Q125" s="621">
        <f t="shared" si="547"/>
      </c>
      <c r="R125" s="617">
        <f t="shared" si="34"/>
      </c>
      <c r="S125" s="619">
        <f t="shared" si="409"/>
      </c>
      <c r="T125" s="621">
        <f t="shared" si="478"/>
      </c>
      <c r="U125" s="621">
        <f t="shared" si="234"/>
      </c>
      <c r="V125" s="621">
        <f t="shared" si="319"/>
      </c>
      <c r="W125" s="621">
        <f t="shared" si="138"/>
      </c>
      <c r="X125" s="653" t="s">
        <v>327</v>
      </c>
      <c r="Y125" s="613" t="s">
        <v>348</v>
      </c>
      <c r="Z125" s="655">
        <v>61171</v>
      </c>
      <c r="AA125" s="655">
        <v>5724</v>
      </c>
      <c r="AB125" s="655">
        <v>49381</v>
      </c>
      <c r="AC125" s="622">
        <v>317</v>
      </c>
      <c r="AD125" s="622">
        <v>1</v>
      </c>
      <c r="AE125" s="655">
        <v>3406</v>
      </c>
      <c r="AF125" s="622">
        <v>103</v>
      </c>
      <c r="AG125" s="622">
        <v>96</v>
      </c>
      <c r="AH125" s="622">
        <v>24</v>
      </c>
      <c r="AI125" s="623">
        <v>0</v>
      </c>
    </row>
    <row r="126">
      <c r="A126" s="612"/>
      <c r="B126" s="653" t="s">
        <v>333</v>
      </c>
      <c r="C126" s="672" t="s">
        <v>345</v>
      </c>
      <c r="D126" s="668">
        <v>1082.285</v>
      </c>
      <c r="E126" s="664">
        <v>7</v>
      </c>
      <c r="F126" s="665">
        <v>3290.4</v>
      </c>
      <c r="G126" s="671">
        <f t="shared" si="355"/>
      </c>
      <c r="H126" s="617">
        <f t="shared" si="521"/>
      </c>
      <c r="I126" s="618">
        <f t="shared" si="8"/>
      </c>
      <c r="J126" s="619">
        <f t="shared" si="383"/>
      </c>
      <c r="K126" s="620">
        <f t="shared" si="436"/>
      </c>
      <c r="L126" s="617">
        <f t="shared" si="192"/>
      </c>
      <c r="M126" s="617">
        <f t="shared" si="277"/>
      </c>
      <c r="N126" s="621">
        <f t="shared" si="61"/>
      </c>
      <c r="O126" s="621">
        <f t="shared" si="103"/>
      </c>
      <c r="P126" s="621">
        <f t="shared" si="165"/>
      </c>
      <c r="Q126" s="621">
        <f t="shared" si="547"/>
      </c>
      <c r="R126" s="617">
        <f t="shared" si="34"/>
      </c>
      <c r="S126" s="619">
        <f t="shared" si="409"/>
      </c>
      <c r="T126" s="621">
        <f t="shared" si="478"/>
      </c>
      <c r="U126" s="621">
        <f t="shared" si="234"/>
      </c>
      <c r="V126" s="621">
        <f t="shared" si="319"/>
      </c>
      <c r="W126" s="621">
        <f t="shared" si="138"/>
      </c>
      <c r="X126" s="653" t="s">
        <v>327</v>
      </c>
      <c r="Y126" s="613" t="s">
        <v>348</v>
      </c>
      <c r="Z126" s="622">
        <v>132150</v>
      </c>
      <c r="AA126" s="622">
        <v>10804</v>
      </c>
      <c r="AB126" s="622">
        <v>111703</v>
      </c>
      <c r="AC126" s="622">
        <v>655</v>
      </c>
      <c r="AD126" s="622">
        <v>6</v>
      </c>
      <c r="AE126" s="622">
        <v>7705</v>
      </c>
      <c r="AF126" s="622">
        <v>187</v>
      </c>
      <c r="AG126" s="622">
        <v>183</v>
      </c>
      <c r="AH126" s="622">
        <v>24</v>
      </c>
      <c r="AI126" s="623">
        <v>1</v>
      </c>
    </row>
    <row r="127">
      <c r="A127" s="612"/>
      <c r="B127" s="653" t="s">
        <v>333</v>
      </c>
      <c r="C127" s="672" t="s">
        <v>346</v>
      </c>
      <c r="D127" s="668">
        <v>1287.065</v>
      </c>
      <c r="E127" s="664">
        <v>4</v>
      </c>
      <c r="F127" s="665">
        <v>2022</v>
      </c>
      <c r="G127" s="671">
        <f t="shared" si="355"/>
      </c>
      <c r="H127" s="617">
        <f t="shared" si="521"/>
      </c>
      <c r="I127" s="618">
        <f t="shared" si="8"/>
      </c>
      <c r="J127" s="619">
        <f t="shared" si="383"/>
      </c>
      <c r="K127" s="620">
        <f t="shared" si="436"/>
      </c>
      <c r="L127" s="617">
        <f t="shared" si="192"/>
      </c>
      <c r="M127" s="617">
        <f t="shared" si="277"/>
      </c>
      <c r="N127" s="621">
        <f t="shared" si="61"/>
      </c>
      <c r="O127" s="621">
        <f t="shared" si="103"/>
      </c>
      <c r="P127" s="621">
        <f t="shared" si="165"/>
      </c>
      <c r="Q127" s="621">
        <f t="shared" si="547"/>
      </c>
      <c r="R127" s="617">
        <f t="shared" si="34"/>
      </c>
      <c r="S127" s="619">
        <f t="shared" si="409"/>
      </c>
      <c r="T127" s="621">
        <f t="shared" si="478"/>
      </c>
      <c r="U127" s="621">
        <f t="shared" si="234"/>
      </c>
      <c r="V127" s="621">
        <f t="shared" si="319"/>
      </c>
      <c r="W127" s="621">
        <f t="shared" si="138"/>
      </c>
      <c r="X127" s="653" t="s">
        <v>327</v>
      </c>
      <c r="Y127" s="613" t="s">
        <v>348</v>
      </c>
      <c r="Z127" s="622">
        <v>177049</v>
      </c>
      <c r="AA127" s="622">
        <v>13473</v>
      </c>
      <c r="AB127" s="622">
        <v>142809</v>
      </c>
      <c r="AC127" s="622">
        <v>804</v>
      </c>
      <c r="AD127" s="622">
        <v>3</v>
      </c>
      <c r="AE127" s="622">
        <v>9215</v>
      </c>
      <c r="AF127" s="622">
        <v>218</v>
      </c>
      <c r="AG127" s="622">
        <v>202</v>
      </c>
      <c r="AH127" s="622">
        <v>24</v>
      </c>
      <c r="AI127" s="623">
        <v>2</v>
      </c>
    </row>
    <row r="128">
      <c r="A128" s="612"/>
      <c r="B128" s="653" t="s">
        <v>333</v>
      </c>
      <c r="C128" s="616" t="s">
        <v>326</v>
      </c>
      <c r="D128" s="669">
        <v>979.346</v>
      </c>
      <c r="E128" s="667">
        <v>2</v>
      </c>
      <c r="F128" s="647">
        <v>1056</v>
      </c>
      <c r="G128" s="671">
        <f t="shared" si="355"/>
      </c>
      <c r="H128" s="617">
        <f t="shared" si="521"/>
      </c>
      <c r="I128" s="618">
        <f t="shared" si="8"/>
      </c>
      <c r="J128" s="619">
        <f t="shared" si="383"/>
      </c>
      <c r="K128" s="620">
        <f t="shared" si="436"/>
      </c>
      <c r="L128" s="617">
        <f t="shared" si="192"/>
      </c>
      <c r="M128" s="617">
        <f t="shared" si="277"/>
      </c>
      <c r="N128" s="621">
        <f t="shared" si="61"/>
      </c>
      <c r="O128" s="621">
        <f t="shared" si="103"/>
      </c>
      <c r="P128" s="621">
        <f t="shared" si="165"/>
      </c>
      <c r="Q128" s="621">
        <f t="shared" si="547"/>
      </c>
      <c r="R128" s="617">
        <f t="shared" si="34"/>
      </c>
      <c r="S128" s="619">
        <f t="shared" si="409"/>
      </c>
      <c r="T128" s="621">
        <f t="shared" si="478"/>
      </c>
      <c r="U128" s="621">
        <f t="shared" si="234"/>
      </c>
      <c r="V128" s="621">
        <f t="shared" si="319"/>
      </c>
      <c r="W128" s="621">
        <f t="shared" si="138"/>
      </c>
      <c r="X128" s="653" t="s">
        <v>327</v>
      </c>
      <c r="Y128" s="613" t="s">
        <v>348</v>
      </c>
      <c r="Z128" s="622">
        <v>136774</v>
      </c>
      <c r="AA128" s="622">
        <v>12842</v>
      </c>
      <c r="AB128" s="622">
        <v>110023</v>
      </c>
      <c r="AC128" s="622">
        <v>692</v>
      </c>
      <c r="AD128" s="622">
        <v>2</v>
      </c>
      <c r="AE128" s="622">
        <v>7631</v>
      </c>
      <c r="AF128" s="622">
        <v>166</v>
      </c>
      <c r="AG128" s="622">
        <v>185</v>
      </c>
      <c r="AH128" s="622">
        <v>19</v>
      </c>
      <c r="AI128" s="623">
        <v>0</v>
      </c>
    </row>
    <row r="129">
      <c r="A129" s="612"/>
      <c r="B129" s="653" t="s">
        <v>333</v>
      </c>
      <c r="C129" s="616" t="s">
        <v>329</v>
      </c>
      <c r="D129" s="669">
        <v>1408.16</v>
      </c>
      <c r="E129" s="667">
        <v>3</v>
      </c>
      <c r="F129" s="647">
        <v>652</v>
      </c>
      <c r="G129" s="671">
        <f t="shared" si="355"/>
      </c>
      <c r="H129" s="617">
        <f t="shared" si="521"/>
      </c>
      <c r="I129" s="618">
        <f t="shared" si="8"/>
      </c>
      <c r="J129" s="619">
        <f t="shared" si="383"/>
      </c>
      <c r="K129" s="620">
        <f t="shared" si="436"/>
      </c>
      <c r="L129" s="617">
        <f t="shared" si="192"/>
      </c>
      <c r="M129" s="617">
        <f t="shared" si="277"/>
      </c>
      <c r="N129" s="621">
        <f t="shared" si="61"/>
      </c>
      <c r="O129" s="621">
        <f t="shared" si="103"/>
      </c>
      <c r="P129" s="621">
        <f t="shared" si="165"/>
      </c>
      <c r="Q129" s="621">
        <f t="shared" si="547"/>
      </c>
      <c r="R129" s="617">
        <f t="shared" si="34"/>
      </c>
      <c r="S129" s="619">
        <f t="shared" si="409"/>
      </c>
      <c r="T129" s="621">
        <f t="shared" si="478"/>
      </c>
      <c r="U129" s="621">
        <f t="shared" si="234"/>
      </c>
      <c r="V129" s="621">
        <f t="shared" si="319"/>
      </c>
      <c r="W129" s="621">
        <f t="shared" si="138"/>
      </c>
      <c r="X129" s="653" t="s">
        <v>327</v>
      </c>
      <c r="Y129" s="613" t="s">
        <v>348</v>
      </c>
      <c r="Z129" s="622">
        <v>202115</v>
      </c>
      <c r="AA129" s="622">
        <v>18352</v>
      </c>
      <c r="AB129" s="622">
        <v>158829</v>
      </c>
      <c r="AC129" s="622">
        <v>860</v>
      </c>
      <c r="AD129" s="622">
        <v>3</v>
      </c>
      <c r="AE129" s="622">
        <v>12633</v>
      </c>
      <c r="AF129" s="622">
        <v>255</v>
      </c>
      <c r="AG129" s="622">
        <v>263</v>
      </c>
      <c r="AH129" s="622">
        <v>11</v>
      </c>
      <c r="AI129" s="623">
        <v>0</v>
      </c>
    </row>
    <row r="130">
      <c r="A130" s="612"/>
      <c r="B130" s="625" t="s">
        <v>332</v>
      </c>
      <c r="C130" s="625"/>
      <c r="D130" s="626">
        <f>SUM(D125:D129)</f>
      </c>
      <c r="E130" s="626">
        <f>SUM(E125:E129)</f>
      </c>
      <c r="F130" s="626">
        <f>SUM(F125:F129)</f>
      </c>
      <c r="G130" s="626">
        <f t="shared" si="355"/>
      </c>
      <c r="H130" s="628">
        <f t="shared" si="521"/>
      </c>
      <c r="I130" s="629">
        <f t="shared" si="8"/>
      </c>
      <c r="J130" s="630">
        <f t="shared" si="383"/>
      </c>
      <c r="K130" s="631">
        <f t="shared" si="436"/>
      </c>
      <c r="L130" s="628">
        <f t="shared" si="192"/>
      </c>
      <c r="M130" s="628">
        <f t="shared" si="277"/>
      </c>
      <c r="N130" s="632">
        <f t="shared" si="61"/>
      </c>
      <c r="O130" s="632">
        <f t="shared" si="103"/>
      </c>
      <c r="P130" s="632">
        <f t="shared" si="165"/>
      </c>
      <c r="Q130" s="632">
        <f t="shared" si="547"/>
      </c>
      <c r="R130" s="628">
        <f t="shared" si="34"/>
      </c>
      <c r="S130" s="630">
        <f t="shared" si="409"/>
      </c>
      <c r="T130" s="632">
        <f t="shared" si="478"/>
      </c>
      <c r="U130" s="632">
        <f t="shared" si="234"/>
      </c>
      <c r="V130" s="632">
        <f t="shared" si="319"/>
      </c>
      <c r="W130" s="632">
        <f t="shared" si="138"/>
      </c>
      <c r="X130" s="632"/>
      <c r="Y130" s="633"/>
      <c r="Z130" s="626">
        <f>SUM(Z125:Z129)</f>
      </c>
      <c r="AA130" s="626">
        <f>SUM(AA125:AA129)</f>
      </c>
      <c r="AB130" s="626">
        <f>SUM(AB125:AB129)</f>
      </c>
      <c r="AC130" s="626">
        <f>SUM(AC125:AC129)</f>
      </c>
      <c r="AD130" s="626">
        <f>SUM(AD125:AD129)</f>
      </c>
      <c r="AE130" s="626">
        <f>SUM(AE125:AE129)</f>
      </c>
      <c r="AF130" s="626">
        <f>SUM(AF125:AF129)</f>
      </c>
      <c r="AG130" s="626">
        <f>SUM(AG125:AG129)</f>
      </c>
      <c r="AH130" s="626">
        <f>SUM(AH125:AH129)</f>
      </c>
      <c r="AI130" s="626">
        <f>SUM(AI125:AI129)</f>
      </c>
    </row>
    <row r="131">
      <c r="A131" s="612"/>
      <c r="B131" s="635" t="s">
        <v>337</v>
      </c>
      <c r="C131" s="635"/>
      <c r="D131" s="636">
        <f>SUM(D130+D124)</f>
      </c>
      <c r="E131" s="636">
        <f>SUM(E130+E124)</f>
      </c>
      <c r="F131" s="636">
        <f>SUM(F130+F124)</f>
      </c>
      <c r="G131" s="636">
        <f t="shared" si="355"/>
      </c>
      <c r="H131" s="638">
        <f t="shared" si="521"/>
      </c>
      <c r="I131" s="639">
        <f t="shared" si="8"/>
      </c>
      <c r="J131" s="640">
        <f t="shared" si="383"/>
      </c>
      <c r="K131" s="641">
        <f t="shared" si="436"/>
      </c>
      <c r="L131" s="641">
        <f t="shared" si="192"/>
      </c>
      <c r="M131" s="642">
        <f t="shared" si="277"/>
      </c>
      <c r="N131" s="643">
        <f t="shared" si="61"/>
      </c>
      <c r="O131" s="643">
        <f t="shared" si="103"/>
      </c>
      <c r="P131" s="643">
        <f t="shared" si="165"/>
      </c>
      <c r="Q131" s="643">
        <f t="shared" si="547"/>
      </c>
      <c r="R131" s="642">
        <f t="shared" si="34"/>
      </c>
      <c r="S131" s="644">
        <f t="shared" si="409"/>
      </c>
      <c r="T131" s="645">
        <f t="shared" si="478"/>
      </c>
      <c r="U131" s="645">
        <f t="shared" si="234"/>
      </c>
      <c r="V131" s="645">
        <f t="shared" si="319"/>
      </c>
      <c r="W131" s="645">
        <f t="shared" si="138"/>
      </c>
      <c r="X131" s="645"/>
      <c r="Y131" s="646"/>
      <c r="Z131" s="658">
        <f>Z124+Z130</f>
      </c>
      <c r="AA131" s="658">
        <f>AA124+AA130</f>
      </c>
      <c r="AB131" s="658">
        <f>AB124+AB130</f>
      </c>
      <c r="AC131" s="658">
        <f>AC124+AC130</f>
      </c>
      <c r="AD131" s="658">
        <f>AD124+AD130</f>
      </c>
      <c r="AE131" s="658">
        <f>AE124+AE130</f>
      </c>
      <c r="AF131" s="658">
        <f>AF124+AF130</f>
      </c>
      <c r="AG131" s="658">
        <f>AG124+AG130</f>
      </c>
      <c r="AH131" s="658">
        <f>AH124+AH130</f>
      </c>
      <c r="AI131" s="658">
        <f>AI124+AI130</f>
      </c>
    </row>
    <row r="132">
      <c r="A132" s="594"/>
      <c r="B132" s="594"/>
      <c r="C132" s="594"/>
      <c r="D132" s="604" t="s">
        <v>288</v>
      </c>
      <c r="E132" s="604"/>
      <c r="F132" s="604"/>
      <c r="G132" s="604"/>
      <c r="H132" s="604"/>
      <c r="I132" s="604"/>
      <c r="J132" s="604"/>
      <c r="K132" s="597" t="s">
        <v>289</v>
      </c>
      <c r="L132" s="597"/>
      <c r="M132" s="597"/>
      <c r="N132" s="597"/>
      <c r="O132" s="597"/>
      <c r="P132" s="597"/>
      <c r="Q132" s="597"/>
      <c r="R132" s="597"/>
      <c r="S132" s="597"/>
      <c r="T132" s="598" t="s">
        <v>290</v>
      </c>
      <c r="U132" s="598"/>
      <c r="V132" s="598"/>
      <c r="W132" s="598"/>
      <c r="X132" s="599"/>
      <c r="Y132" s="599"/>
      <c r="Z132" s="601"/>
      <c r="AA132" s="601"/>
      <c r="AB132" s="601"/>
      <c r="AC132" s="601"/>
      <c r="AD132" s="601"/>
      <c r="AE132" s="601"/>
      <c r="AF132" s="601"/>
      <c r="AG132" s="601"/>
      <c r="AH132" s="602"/>
      <c r="AI132" s="601"/>
    </row>
    <row r="133">
      <c r="A133" s="603" t="s">
        <v>291</v>
      </c>
      <c r="B133" s="594" t="s">
        <v>292</v>
      </c>
      <c r="C133" s="659" t="s">
        <v>293</v>
      </c>
      <c r="D133" s="660" t="s">
        <v>294</v>
      </c>
      <c r="E133" s="661" t="s">
        <v>295</v>
      </c>
      <c r="F133" s="662" t="s">
        <v>296</v>
      </c>
      <c r="G133" s="670" t="s">
        <v>349</v>
      </c>
      <c r="H133" s="595" t="s">
        <v>297</v>
      </c>
      <c r="I133" s="595" t="s">
        <v>298</v>
      </c>
      <c r="J133" s="595" t="s">
        <v>299</v>
      </c>
      <c r="K133" s="597" t="s">
        <v>300</v>
      </c>
      <c r="L133" s="597" t="s">
        <v>301</v>
      </c>
      <c r="M133" s="597" t="s">
        <v>302</v>
      </c>
      <c r="N133" s="597" t="s">
        <v>303</v>
      </c>
      <c r="O133" s="597" t="s">
        <v>304</v>
      </c>
      <c r="P133" s="597" t="s">
        <v>305</v>
      </c>
      <c r="Q133" s="597" t="s">
        <v>306</v>
      </c>
      <c r="R133" s="597" t="s">
        <v>307</v>
      </c>
      <c r="S133" s="597" t="s">
        <v>308</v>
      </c>
      <c r="T133" s="606" t="s">
        <v>309</v>
      </c>
      <c r="U133" s="606" t="s">
        <v>310</v>
      </c>
      <c r="V133" s="606" t="s">
        <v>311</v>
      </c>
      <c r="W133" s="606" t="s">
        <v>312</v>
      </c>
      <c r="X133" s="607" t="s">
        <v>313</v>
      </c>
      <c r="Y133" s="607" t="s">
        <v>314</v>
      </c>
      <c r="Z133" s="651" t="s">
        <v>315</v>
      </c>
      <c r="AA133" s="651" t="s">
        <v>316</v>
      </c>
      <c r="AB133" s="651" t="s">
        <v>317</v>
      </c>
      <c r="AC133" s="609" t="s">
        <v>318</v>
      </c>
      <c r="AD133" s="609" t="s">
        <v>319</v>
      </c>
      <c r="AE133" s="652" t="s">
        <v>320</v>
      </c>
      <c r="AF133" s="609" t="s">
        <v>321</v>
      </c>
      <c r="AG133" s="609" t="s">
        <v>322</v>
      </c>
      <c r="AH133" s="611" t="s">
        <v>323</v>
      </c>
      <c r="AI133" s="609" t="s">
        <v>324</v>
      </c>
    </row>
    <row r="134">
      <c r="A134" s="612">
        <v>46188</v>
      </c>
      <c r="B134" s="653" t="s">
        <v>333</v>
      </c>
      <c r="C134" s="611" t="s">
        <v>338</v>
      </c>
      <c r="D134" s="668">
        <v>957.073</v>
      </c>
      <c r="E134" s="664">
        <v>1</v>
      </c>
      <c r="F134" s="665">
        <v>228</v>
      </c>
      <c r="G134" s="671">
        <f t="shared" ref="G134:G140" si="356">D134/AD134</f>
      </c>
      <c r="H134" s="617">
        <f t="shared" ref="H134:H152" si="522">F134/E134</f>
      </c>
      <c r="I134" s="618">
        <f t="shared" ref="I134:I152" si="9">D134/E134</f>
      </c>
      <c r="J134" s="619">
        <f t="shared" ref="J134:J152" si="384">F134/D134</f>
      </c>
      <c r="K134" s="620">
        <f t="shared" ref="K134:K140" si="437">D134/AB134</f>
      </c>
      <c r="L134" s="617">
        <f t="shared" ref="L134:L140" si="193">D134/AC134</f>
      </c>
      <c r="M134" s="617">
        <f t="shared" ref="M134:M140" si="278">D134/AD134</f>
      </c>
      <c r="N134" s="621">
        <f t="shared" ref="N134:N140" si="62">AC134/AB134</f>
      </c>
      <c r="O134" s="621">
        <f t="shared" ref="O134:O140" si="104">AD134/AC134</f>
      </c>
      <c r="P134" s="621">
        <f t="shared" ref="P134:P152" si="166">AA134/Z134</f>
      </c>
      <c r="Q134" s="621">
        <f t="shared" ref="Q134:Q140" si="548">AD134/AA134</f>
      </c>
      <c r="R134" s="617">
        <f t="shared" ref="R134:R152" si="35">D134/Z134*1000</f>
      </c>
      <c r="S134" s="619">
        <f t="shared" ref="S134:S152" si="410">D134/AA134</f>
      </c>
      <c r="T134" s="621">
        <f t="shared" ref="T134:T140" si="479">AE134/AB134</f>
      </c>
      <c r="U134" s="621">
        <f t="shared" ref="U134:U140" si="235">AF134/AB134</f>
      </c>
      <c r="V134" s="621">
        <f t="shared" ref="V134:V140" si="320">AG134/AB134</f>
      </c>
      <c r="W134" s="621">
        <f t="shared" ref="W134:W152" si="139">AH134/AB134</f>
      </c>
      <c r="X134" s="653" t="s">
        <v>327</v>
      </c>
      <c r="Y134" s="613" t="s">
        <v>348</v>
      </c>
      <c r="Z134" s="655">
        <v>107457</v>
      </c>
      <c r="AA134" s="655">
        <v>6848</v>
      </c>
      <c r="AB134" s="655">
        <v>74926</v>
      </c>
      <c r="AC134" s="622">
        <v>819</v>
      </c>
      <c r="AD134" s="622">
        <v>1</v>
      </c>
      <c r="AE134" s="655">
        <v>13244</v>
      </c>
      <c r="AF134" s="622">
        <v>220</v>
      </c>
      <c r="AG134" s="622">
        <v>156</v>
      </c>
      <c r="AH134" s="622">
        <v>16</v>
      </c>
      <c r="AI134" s="623">
        <v>0</v>
      </c>
    </row>
    <row r="135">
      <c r="A135" s="612"/>
      <c r="B135" s="653" t="s">
        <v>333</v>
      </c>
      <c r="C135" s="611" t="s">
        <v>340</v>
      </c>
      <c r="D135" s="668">
        <v>712.291</v>
      </c>
      <c r="E135" s="664">
        <v>3</v>
      </c>
      <c r="F135" s="665">
        <v>652</v>
      </c>
      <c r="G135" s="671">
        <f t="shared" si="356"/>
      </c>
      <c r="H135" s="617">
        <f t="shared" si="522"/>
      </c>
      <c r="I135" s="618">
        <f t="shared" si="9"/>
      </c>
      <c r="J135" s="619">
        <f t="shared" si="384"/>
      </c>
      <c r="K135" s="620">
        <f t="shared" si="437"/>
      </c>
      <c r="L135" s="617">
        <f t="shared" si="193"/>
      </c>
      <c r="M135" s="617">
        <f t="shared" si="278"/>
      </c>
      <c r="N135" s="621">
        <f t="shared" si="62"/>
      </c>
      <c r="O135" s="621">
        <f t="shared" si="104"/>
      </c>
      <c r="P135" s="621">
        <f t="shared" si="166"/>
      </c>
      <c r="Q135" s="621">
        <f t="shared" si="548"/>
      </c>
      <c r="R135" s="617">
        <f t="shared" si="35"/>
      </c>
      <c r="S135" s="619">
        <f t="shared" si="410"/>
      </c>
      <c r="T135" s="621">
        <f t="shared" si="479"/>
      </c>
      <c r="U135" s="621">
        <f t="shared" si="235"/>
      </c>
      <c r="V135" s="621">
        <f t="shared" si="320"/>
      </c>
      <c r="W135" s="621">
        <f t="shared" si="139"/>
      </c>
      <c r="X135" s="653" t="s">
        <v>327</v>
      </c>
      <c r="Y135" s="613" t="s">
        <v>348</v>
      </c>
      <c r="Z135" s="622">
        <v>65510</v>
      </c>
      <c r="AA135" s="622">
        <v>3905</v>
      </c>
      <c r="AB135" s="622">
        <v>38558</v>
      </c>
      <c r="AC135" s="622">
        <v>717</v>
      </c>
      <c r="AD135" s="622">
        <v>3</v>
      </c>
      <c r="AE135" s="622">
        <v>5373</v>
      </c>
      <c r="AF135" s="622">
        <v>232</v>
      </c>
      <c r="AG135" s="622">
        <v>79</v>
      </c>
      <c r="AH135" s="622">
        <v>16</v>
      </c>
      <c r="AI135" s="623">
        <v>0</v>
      </c>
    </row>
    <row r="136">
      <c r="A136" s="612"/>
      <c r="B136" s="653" t="s">
        <v>333</v>
      </c>
      <c r="C136" s="611" t="s">
        <v>341</v>
      </c>
      <c r="D136" s="668">
        <v>372.969</v>
      </c>
      <c r="E136" s="664">
        <v>0</v>
      </c>
      <c r="F136" s="665">
        <v>0</v>
      </c>
      <c r="G136" s="671">
        <f t="shared" si="356"/>
      </c>
      <c r="H136" s="617">
        <f t="shared" si="522"/>
      </c>
      <c r="I136" s="618">
        <f t="shared" si="9"/>
      </c>
      <c r="J136" s="619">
        <f t="shared" si="384"/>
      </c>
      <c r="K136" s="620">
        <f t="shared" si="437"/>
      </c>
      <c r="L136" s="617">
        <f t="shared" si="193"/>
      </c>
      <c r="M136" s="617">
        <f t="shared" si="278"/>
      </c>
      <c r="N136" s="621">
        <f t="shared" si="62"/>
      </c>
      <c r="O136" s="621">
        <f t="shared" si="104"/>
      </c>
      <c r="P136" s="621">
        <f t="shared" si="166"/>
      </c>
      <c r="Q136" s="621">
        <f t="shared" si="548"/>
      </c>
      <c r="R136" s="617">
        <f t="shared" si="35"/>
      </c>
      <c r="S136" s="619">
        <f t="shared" si="410"/>
      </c>
      <c r="T136" s="621">
        <f t="shared" si="479"/>
      </c>
      <c r="U136" s="621">
        <f t="shared" si="235"/>
      </c>
      <c r="V136" s="621">
        <f t="shared" si="320"/>
      </c>
      <c r="W136" s="621">
        <f t="shared" si="139"/>
      </c>
      <c r="X136" s="653" t="s">
        <v>327</v>
      </c>
      <c r="Y136" s="613" t="s">
        <v>348</v>
      </c>
      <c r="Z136" s="622">
        <v>34902</v>
      </c>
      <c r="AA136" s="622">
        <v>2928</v>
      </c>
      <c r="AB136" s="622">
        <v>24422</v>
      </c>
      <c r="AC136" s="622">
        <v>326</v>
      </c>
      <c r="AD136" s="622">
        <v>0</v>
      </c>
      <c r="AE136" s="622">
        <v>2820</v>
      </c>
      <c r="AF136" s="622">
        <v>98</v>
      </c>
      <c r="AG136" s="622">
        <v>45</v>
      </c>
      <c r="AH136" s="622">
        <v>17</v>
      </c>
      <c r="AI136" s="623">
        <v>0</v>
      </c>
    </row>
    <row r="137">
      <c r="A137" s="612"/>
      <c r="B137" s="653" t="s">
        <v>333</v>
      </c>
      <c r="C137" s="609" t="s">
        <v>342</v>
      </c>
      <c r="D137" s="669">
        <v>563.739</v>
      </c>
      <c r="E137" s="667">
        <v>1</v>
      </c>
      <c r="F137" s="647">
        <v>228</v>
      </c>
      <c r="G137" s="671">
        <f t="shared" si="356"/>
      </c>
      <c r="H137" s="617">
        <f t="shared" si="522"/>
      </c>
      <c r="I137" s="618">
        <f t="shared" si="9"/>
      </c>
      <c r="J137" s="619">
        <f t="shared" si="384"/>
      </c>
      <c r="K137" s="620">
        <f t="shared" si="437"/>
      </c>
      <c r="L137" s="617">
        <f t="shared" si="193"/>
      </c>
      <c r="M137" s="617">
        <f t="shared" si="278"/>
      </c>
      <c r="N137" s="621">
        <f t="shared" si="62"/>
      </c>
      <c r="O137" s="621">
        <f t="shared" si="104"/>
      </c>
      <c r="P137" s="621">
        <f t="shared" si="166"/>
      </c>
      <c r="Q137" s="621">
        <f t="shared" si="548"/>
      </c>
      <c r="R137" s="617">
        <f t="shared" si="35"/>
      </c>
      <c r="S137" s="619">
        <f t="shared" si="410"/>
      </c>
      <c r="T137" s="621">
        <f t="shared" si="479"/>
      </c>
      <c r="U137" s="621">
        <f t="shared" si="235"/>
      </c>
      <c r="V137" s="621">
        <f t="shared" si="320"/>
      </c>
      <c r="W137" s="621">
        <f t="shared" si="139"/>
      </c>
      <c r="X137" s="653" t="s">
        <v>327</v>
      </c>
      <c r="Y137" s="613" t="s">
        <v>348</v>
      </c>
      <c r="Z137" s="622">
        <v>56468</v>
      </c>
      <c r="AA137" s="622">
        <v>4534</v>
      </c>
      <c r="AB137" s="622">
        <v>34223</v>
      </c>
      <c r="AC137" s="622">
        <v>500</v>
      </c>
      <c r="AD137" s="622">
        <v>1</v>
      </c>
      <c r="AE137" s="622">
        <v>4279</v>
      </c>
      <c r="AF137" s="622">
        <v>165</v>
      </c>
      <c r="AG137" s="622">
        <v>71</v>
      </c>
      <c r="AH137" s="622">
        <v>22</v>
      </c>
      <c r="AI137" s="623">
        <v>0</v>
      </c>
    </row>
    <row r="138">
      <c r="A138" s="612"/>
      <c r="B138" s="653" t="s">
        <v>333</v>
      </c>
      <c r="C138" s="616" t="s">
        <v>343</v>
      </c>
      <c r="D138" s="669">
        <v>888.776</v>
      </c>
      <c r="E138" s="667">
        <v>4</v>
      </c>
      <c r="F138" s="647">
        <v>806.3</v>
      </c>
      <c r="G138" s="671">
        <f t="shared" si="356"/>
      </c>
      <c r="H138" s="617">
        <f t="shared" si="522"/>
      </c>
      <c r="I138" s="618">
        <f t="shared" si="9"/>
      </c>
      <c r="J138" s="619">
        <f t="shared" si="384"/>
      </c>
      <c r="K138" s="620">
        <f t="shared" si="437"/>
      </c>
      <c r="L138" s="617">
        <f t="shared" si="193"/>
      </c>
      <c r="M138" s="617">
        <f t="shared" si="278"/>
      </c>
      <c r="N138" s="621">
        <f t="shared" si="62"/>
      </c>
      <c r="O138" s="621">
        <f t="shared" si="104"/>
      </c>
      <c r="P138" s="621">
        <f t="shared" si="166"/>
      </c>
      <c r="Q138" s="621">
        <f t="shared" si="548"/>
      </c>
      <c r="R138" s="617">
        <f t="shared" si="35"/>
      </c>
      <c r="S138" s="619">
        <f t="shared" si="410"/>
      </c>
      <c r="T138" s="621">
        <f t="shared" si="479"/>
      </c>
      <c r="U138" s="621">
        <f t="shared" si="235"/>
      </c>
      <c r="V138" s="621">
        <f t="shared" si="320"/>
      </c>
      <c r="W138" s="621">
        <f t="shared" si="139"/>
      </c>
      <c r="X138" s="653" t="s">
        <v>327</v>
      </c>
      <c r="Y138" s="613" t="s">
        <v>348</v>
      </c>
      <c r="Z138" s="622">
        <v>101281</v>
      </c>
      <c r="AA138" s="622">
        <v>5799</v>
      </c>
      <c r="AB138" s="622">
        <v>66333</v>
      </c>
      <c r="AC138" s="622">
        <v>658</v>
      </c>
      <c r="AD138" s="622">
        <v>3</v>
      </c>
      <c r="AE138" s="622">
        <v>5840</v>
      </c>
      <c r="AF138" s="622">
        <v>148</v>
      </c>
      <c r="AG138" s="622">
        <v>102</v>
      </c>
      <c r="AH138" s="622">
        <v>13</v>
      </c>
      <c r="AI138" s="623">
        <v>1</v>
      </c>
    </row>
    <row r="139">
      <c r="A139" s="612"/>
      <c r="B139" s="625" t="s">
        <v>332</v>
      </c>
      <c r="C139" s="625"/>
      <c r="D139" s="626">
        <f>SUM(D134:D138)</f>
      </c>
      <c r="E139" s="626">
        <f>SUM(E134:E138)</f>
      </c>
      <c r="F139" s="626">
        <f>SUM(F134:F138)</f>
      </c>
      <c r="G139" s="626">
        <f t="shared" si="356"/>
      </c>
      <c r="H139" s="628">
        <f t="shared" si="522"/>
      </c>
      <c r="I139" s="629">
        <f t="shared" si="9"/>
      </c>
      <c r="J139" s="630">
        <f t="shared" si="384"/>
      </c>
      <c r="K139" s="631">
        <f t="shared" si="437"/>
      </c>
      <c r="L139" s="628">
        <f t="shared" si="193"/>
      </c>
      <c r="M139" s="628">
        <f t="shared" si="278"/>
      </c>
      <c r="N139" s="632">
        <f t="shared" si="62"/>
      </c>
      <c r="O139" s="632">
        <f t="shared" si="104"/>
      </c>
      <c r="P139" s="632">
        <f t="shared" si="166"/>
      </c>
      <c r="Q139" s="632">
        <f t="shared" si="548"/>
      </c>
      <c r="R139" s="628">
        <f t="shared" si="35"/>
      </c>
      <c r="S139" s="630">
        <f t="shared" si="410"/>
      </c>
      <c r="T139" s="632">
        <f t="shared" si="479"/>
      </c>
      <c r="U139" s="632">
        <f t="shared" si="235"/>
      </c>
      <c r="V139" s="632">
        <f t="shared" si="320"/>
      </c>
      <c r="W139" s="632">
        <f t="shared" si="139"/>
      </c>
      <c r="X139" s="632"/>
      <c r="Y139" s="633"/>
      <c r="Z139" s="626">
        <f>SUM(Z134:Z138)</f>
      </c>
      <c r="AA139" s="626">
        <f>SUM(AA134:AA138)</f>
      </c>
      <c r="AB139" s="626">
        <f>SUM(AB134:AB138)</f>
      </c>
      <c r="AC139" s="626">
        <f>SUM(AC134:AC138)</f>
      </c>
      <c r="AD139" s="626">
        <f>SUM(AD134:AD138)</f>
      </c>
      <c r="AE139" s="626">
        <f>SUM(AE134:AE138)</f>
      </c>
      <c r="AF139" s="626">
        <f>SUM(AF134:AF138)</f>
      </c>
      <c r="AG139" s="626">
        <f>SUM(AG134:AG138)</f>
      </c>
      <c r="AH139" s="626">
        <f>SUM(AH134:AH138)</f>
      </c>
      <c r="AI139" s="626">
        <f>SUM(AI134:AI138)</f>
      </c>
    </row>
    <row r="140">
      <c r="A140" s="612"/>
      <c r="B140" s="653" t="s">
        <v>325</v>
      </c>
      <c r="C140" s="672" t="s">
        <v>344</v>
      </c>
      <c r="D140" s="668">
        <v>1132.244</v>
      </c>
      <c r="E140" s="664">
        <v>1</v>
      </c>
      <c r="F140" s="665">
        <v>228</v>
      </c>
      <c r="G140" s="671">
        <f t="shared" si="356"/>
      </c>
      <c r="H140" s="617">
        <f t="shared" si="522"/>
      </c>
      <c r="I140" s="618">
        <f t="shared" si="9"/>
      </c>
      <c r="J140" s="619">
        <f t="shared" si="384"/>
      </c>
      <c r="K140" s="620">
        <f t="shared" si="437"/>
      </c>
      <c r="L140" s="617">
        <f t="shared" si="193"/>
      </c>
      <c r="M140" s="617">
        <f t="shared" si="278"/>
      </c>
      <c r="N140" s="621">
        <f t="shared" si="62"/>
      </c>
      <c r="O140" s="621">
        <f t="shared" si="104"/>
      </c>
      <c r="P140" s="621">
        <f t="shared" si="166"/>
      </c>
      <c r="Q140" s="621">
        <f t="shared" si="548"/>
      </c>
      <c r="R140" s="617">
        <f t="shared" si="35"/>
      </c>
      <c r="S140" s="619">
        <f t="shared" si="410"/>
      </c>
      <c r="T140" s="621">
        <f t="shared" si="479"/>
      </c>
      <c r="U140" s="621">
        <f t="shared" si="235"/>
      </c>
      <c r="V140" s="621">
        <f t="shared" si="320"/>
      </c>
      <c r="W140" s="621">
        <f t="shared" si="139"/>
      </c>
      <c r="X140" s="653" t="s">
        <v>327</v>
      </c>
      <c r="Y140" s="613" t="s">
        <v>348</v>
      </c>
      <c r="Z140" s="655">
        <v>126716</v>
      </c>
      <c r="AA140" s="655">
        <v>9097</v>
      </c>
      <c r="AB140" s="655">
        <v>104287</v>
      </c>
      <c r="AC140" s="622">
        <v>684</v>
      </c>
      <c r="AD140" s="622">
        <v>1</v>
      </c>
      <c r="AE140" s="655">
        <v>8918</v>
      </c>
      <c r="AF140" s="622">
        <v>207</v>
      </c>
      <c r="AG140" s="622">
        <v>163</v>
      </c>
      <c r="AH140" s="622">
        <v>31</v>
      </c>
      <c r="AI140" s="623">
        <v>0</v>
      </c>
    </row>
    <row r="141">
      <c r="A141" s="612"/>
      <c r="B141" s="653" t="s">
        <v>325</v>
      </c>
      <c r="C141" s="672" t="s">
        <v>345</v>
      </c>
      <c r="D141" s="668">
        <v>728.121</v>
      </c>
      <c r="E141" s="664">
        <v>1</v>
      </c>
      <c r="F141" s="665">
        <v>828</v>
      </c>
      <c r="G141" s="671">
        <f>D141/AE141</f>
      </c>
      <c r="H141" s="617">
        <f t="shared" si="522"/>
      </c>
      <c r="I141" s="618">
        <f t="shared" si="9"/>
      </c>
      <c r="J141" s="619">
        <f t="shared" si="384"/>
      </c>
      <c r="K141" s="620">
        <f>D141/AC141</f>
      </c>
      <c r="L141" s="617">
        <f>D141/AD141</f>
      </c>
      <c r="M141" s="617">
        <f>D141/AE141</f>
      </c>
      <c r="N141" s="621">
        <f>AD141/AC141</f>
      </c>
      <c r="O141" s="621">
        <f>AE141/AD141</f>
      </c>
      <c r="P141" s="621">
        <f t="shared" si="166"/>
      </c>
      <c r="Q141" s="621">
        <f>AE141/AA141</f>
      </c>
      <c r="R141" s="617">
        <f t="shared" si="35"/>
      </c>
      <c r="S141" s="619">
        <f t="shared" si="410"/>
      </c>
      <c r="T141" s="621">
        <f>AF141/AC141</f>
      </c>
      <c r="U141" s="621">
        <f>AG141/AC141</f>
      </c>
      <c r="V141" s="621">
        <f>AH141/AC141</f>
      </c>
      <c r="W141" s="621">
        <f t="shared" si="139"/>
      </c>
      <c r="X141" s="653" t="s">
        <v>327</v>
      </c>
      <c r="Y141" s="613" t="s">
        <v>348</v>
      </c>
      <c r="Z141" s="622">
        <v>76036</v>
      </c>
      <c r="AA141" s="622">
        <v>6412</v>
      </c>
      <c r="AB141" s="673">
        <v>62326</v>
      </c>
      <c r="AC141" s="674">
        <v>489</v>
      </c>
      <c r="AD141" s="674">
        <v>1</v>
      </c>
      <c r="AE141" s="674">
        <v>5554</v>
      </c>
      <c r="AF141" s="675">
        <v>138</v>
      </c>
      <c r="AG141" s="674">
        <v>115</v>
      </c>
      <c r="AH141" s="674">
        <v>13</v>
      </c>
      <c r="AI141" s="623">
        <v>0</v>
      </c>
    </row>
    <row r="142">
      <c r="A142" s="612"/>
      <c r="B142" s="653" t="s">
        <v>325</v>
      </c>
      <c r="C142" s="672" t="s">
        <v>346</v>
      </c>
      <c r="D142" s="668">
        <v>637.832</v>
      </c>
      <c r="E142" s="664">
        <v>1</v>
      </c>
      <c r="F142" s="665">
        <v>789.6</v>
      </c>
      <c r="G142" s="671">
        <f t="shared" ref="G142:G152" si="357">D142/AD142</f>
      </c>
      <c r="H142" s="617">
        <f t="shared" si="522"/>
      </c>
      <c r="I142" s="618">
        <f t="shared" si="9"/>
      </c>
      <c r="J142" s="619">
        <f t="shared" si="384"/>
      </c>
      <c r="K142" s="620">
        <f t="shared" ref="K142:K152" si="438">D142/AB142</f>
      </c>
      <c r="L142" s="617">
        <f t="shared" ref="L142:L152" si="194">D142/AC142</f>
      </c>
      <c r="M142" s="617">
        <f t="shared" ref="M142:M152" si="279">D142/AD142</f>
      </c>
      <c r="N142" s="621">
        <f t="shared" ref="N142:N152" si="63">AC142/AB142</f>
      </c>
      <c r="O142" s="621">
        <f t="shared" ref="O142:O152" si="105">AD142/AC142</f>
      </c>
      <c r="P142" s="621">
        <f t="shared" si="166"/>
      </c>
      <c r="Q142" s="621">
        <f t="shared" ref="Q142:Q152" si="549">AD142/AA142</f>
      </c>
      <c r="R142" s="617">
        <f t="shared" si="35"/>
      </c>
      <c r="S142" s="619">
        <f t="shared" si="410"/>
      </c>
      <c r="T142" s="621">
        <f t="shared" ref="T142:T152" si="480">AE142/AB142</f>
      </c>
      <c r="U142" s="621">
        <f t="shared" ref="U142:U152" si="236">AF142/AB142</f>
      </c>
      <c r="V142" s="621">
        <f t="shared" ref="V142:V152" si="321">AG142/AB142</f>
      </c>
      <c r="W142" s="621">
        <f t="shared" si="139"/>
      </c>
      <c r="X142" s="653" t="s">
        <v>327</v>
      </c>
      <c r="Y142" s="613" t="s">
        <v>348</v>
      </c>
      <c r="Z142" s="622">
        <v>61753</v>
      </c>
      <c r="AA142" s="622">
        <v>5211</v>
      </c>
      <c r="AB142" s="622">
        <v>51555</v>
      </c>
      <c r="AC142" s="676">
        <v>446</v>
      </c>
      <c r="AD142" s="676">
        <v>0</v>
      </c>
      <c r="AE142" s="676">
        <v>4343</v>
      </c>
      <c r="AF142" s="676">
        <v>100</v>
      </c>
      <c r="AG142" s="676">
        <v>81</v>
      </c>
      <c r="AH142" s="676">
        <v>9</v>
      </c>
      <c r="AI142" s="623">
        <v>1</v>
      </c>
    </row>
    <row r="143">
      <c r="A143" s="612"/>
      <c r="B143" s="653" t="s">
        <v>325</v>
      </c>
      <c r="C143" s="616" t="s">
        <v>326</v>
      </c>
      <c r="D143" s="669">
        <v>399.242</v>
      </c>
      <c r="E143" s="667">
        <v>1</v>
      </c>
      <c r="F143" s="647">
        <v>228</v>
      </c>
      <c r="G143" s="671">
        <f t="shared" si="357"/>
      </c>
      <c r="H143" s="617">
        <f t="shared" si="522"/>
      </c>
      <c r="I143" s="618">
        <f t="shared" si="9"/>
      </c>
      <c r="J143" s="619">
        <f t="shared" si="384"/>
      </c>
      <c r="K143" s="620">
        <f t="shared" si="438"/>
      </c>
      <c r="L143" s="617">
        <f t="shared" si="194"/>
      </c>
      <c r="M143" s="617">
        <f t="shared" si="279"/>
      </c>
      <c r="N143" s="621">
        <f t="shared" si="63"/>
      </c>
      <c r="O143" s="621">
        <f t="shared" si="105"/>
      </c>
      <c r="P143" s="621">
        <f t="shared" si="166"/>
      </c>
      <c r="Q143" s="621">
        <f t="shared" si="549"/>
      </c>
      <c r="R143" s="617">
        <f t="shared" si="35"/>
      </c>
      <c r="S143" s="619">
        <f t="shared" si="410"/>
      </c>
      <c r="T143" s="621">
        <f t="shared" si="480"/>
      </c>
      <c r="U143" s="621">
        <f t="shared" si="236"/>
      </c>
      <c r="V143" s="621">
        <f t="shared" si="321"/>
      </c>
      <c r="W143" s="621">
        <f t="shared" si="139"/>
      </c>
      <c r="X143" s="653" t="s">
        <v>327</v>
      </c>
      <c r="Y143" s="613" t="s">
        <v>348</v>
      </c>
      <c r="Z143" s="622">
        <v>40944</v>
      </c>
      <c r="AA143" s="622">
        <v>3568</v>
      </c>
      <c r="AB143" s="622">
        <v>32610</v>
      </c>
      <c r="AC143" s="622">
        <v>259</v>
      </c>
      <c r="AD143" s="622">
        <v>1</v>
      </c>
      <c r="AE143" s="622">
        <v>2543</v>
      </c>
      <c r="AF143" s="622">
        <v>70</v>
      </c>
      <c r="AG143" s="622">
        <v>37</v>
      </c>
      <c r="AH143" s="622">
        <v>8</v>
      </c>
      <c r="AI143" s="623">
        <v>0</v>
      </c>
    </row>
    <row r="144">
      <c r="A144" s="612"/>
      <c r="B144" s="653" t="s">
        <v>325</v>
      </c>
      <c r="C144" s="616" t="s">
        <v>329</v>
      </c>
      <c r="D144" s="669">
        <v>492.438</v>
      </c>
      <c r="E144" s="667">
        <v>2</v>
      </c>
      <c r="F144" s="647">
        <v>424</v>
      </c>
      <c r="G144" s="671">
        <f t="shared" si="357"/>
      </c>
      <c r="H144" s="617">
        <f t="shared" si="522"/>
      </c>
      <c r="I144" s="618">
        <f t="shared" si="9"/>
      </c>
      <c r="J144" s="619">
        <f t="shared" si="384"/>
      </c>
      <c r="K144" s="620">
        <f t="shared" si="438"/>
      </c>
      <c r="L144" s="617">
        <f t="shared" si="194"/>
      </c>
      <c r="M144" s="617">
        <f t="shared" si="279"/>
      </c>
      <c r="N144" s="621">
        <f t="shared" si="63"/>
      </c>
      <c r="O144" s="621">
        <f t="shared" si="105"/>
      </c>
      <c r="P144" s="621">
        <f t="shared" si="166"/>
      </c>
      <c r="Q144" s="621">
        <f t="shared" si="549"/>
      </c>
      <c r="R144" s="617">
        <f t="shared" si="35"/>
      </c>
      <c r="S144" s="619">
        <f t="shared" si="410"/>
      </c>
      <c r="T144" s="621">
        <f t="shared" si="480"/>
      </c>
      <c r="U144" s="621">
        <f t="shared" si="236"/>
      </c>
      <c r="V144" s="621">
        <f t="shared" si="321"/>
      </c>
      <c r="W144" s="621">
        <f t="shared" si="139"/>
      </c>
      <c r="X144" s="653" t="s">
        <v>327</v>
      </c>
      <c r="Y144" s="613" t="s">
        <v>348</v>
      </c>
      <c r="Z144" s="622">
        <v>54772</v>
      </c>
      <c r="AA144" s="622">
        <v>4478</v>
      </c>
      <c r="AB144" s="622">
        <v>48408</v>
      </c>
      <c r="AC144" s="622">
        <v>250</v>
      </c>
      <c r="AD144" s="622">
        <v>2</v>
      </c>
      <c r="AE144" s="622">
        <v>3268</v>
      </c>
      <c r="AF144" s="622">
        <v>73</v>
      </c>
      <c r="AG144" s="622">
        <v>68</v>
      </c>
      <c r="AH144" s="622">
        <v>4</v>
      </c>
      <c r="AI144" s="623">
        <v>0</v>
      </c>
    </row>
    <row r="145">
      <c r="A145" s="612"/>
      <c r="B145" s="625" t="s">
        <v>332</v>
      </c>
      <c r="C145" s="625"/>
      <c r="D145" s="626">
        <f>SUM(D140:D144)</f>
      </c>
      <c r="E145" s="626">
        <f>SUM(E140:E144)</f>
      </c>
      <c r="F145" s="626">
        <f>SUM(F140:F144)</f>
      </c>
      <c r="G145" s="626">
        <f t="shared" si="357"/>
      </c>
      <c r="H145" s="628">
        <f t="shared" si="522"/>
      </c>
      <c r="I145" s="629">
        <f t="shared" si="9"/>
      </c>
      <c r="J145" s="630">
        <f t="shared" si="384"/>
      </c>
      <c r="K145" s="631">
        <f t="shared" si="438"/>
      </c>
      <c r="L145" s="628">
        <f t="shared" si="194"/>
      </c>
      <c r="M145" s="628">
        <f t="shared" si="279"/>
      </c>
      <c r="N145" s="632">
        <f t="shared" si="63"/>
      </c>
      <c r="O145" s="632">
        <f t="shared" si="105"/>
      </c>
      <c r="P145" s="632">
        <f t="shared" si="166"/>
      </c>
      <c r="Q145" s="632">
        <f t="shared" si="549"/>
      </c>
      <c r="R145" s="628">
        <f t="shared" si="35"/>
      </c>
      <c r="S145" s="630">
        <f t="shared" si="410"/>
      </c>
      <c r="T145" s="632">
        <f t="shared" si="480"/>
      </c>
      <c r="U145" s="632">
        <f t="shared" si="236"/>
      </c>
      <c r="V145" s="632">
        <f t="shared" si="321"/>
      </c>
      <c r="W145" s="632">
        <f t="shared" si="139"/>
      </c>
      <c r="X145" s="632"/>
      <c r="Y145" s="633"/>
      <c r="Z145" s="626">
        <f>SUM(Z140:Z144)</f>
      </c>
      <c r="AA145" s="626">
        <f>SUM(AA140:AA144)</f>
      </c>
      <c r="AB145" s="626">
        <f>SUM(AB140:AB144)</f>
      </c>
      <c r="AC145" s="626">
        <f>SUM(AC140:AC144)</f>
      </c>
      <c r="AD145" s="626">
        <f>SUM(AD140:AD144)</f>
      </c>
      <c r="AE145" s="626">
        <f>SUM(AE140:AE144)</f>
      </c>
      <c r="AF145" s="626">
        <f>SUM(AF140:AF144)</f>
      </c>
      <c r="AG145" s="626">
        <f>SUM(AG140:AG144)</f>
      </c>
      <c r="AH145" s="626">
        <f>SUM(AH140:AH144)</f>
      </c>
      <c r="AI145" s="626">
        <f>SUM(AI140:AI144)</f>
      </c>
    </row>
    <row r="146">
      <c r="A146" s="612"/>
      <c r="B146" s="613" t="s">
        <v>353</v>
      </c>
      <c r="C146" s="616" t="s">
        <v>330</v>
      </c>
      <c r="D146" s="614">
        <v>528.6279999999999</v>
      </c>
      <c r="E146" s="615">
        <v>2</v>
      </c>
      <c r="F146" s="647">
        <v>456.0000000000009</v>
      </c>
      <c r="G146" s="671">
        <f t="shared" si="357"/>
      </c>
      <c r="H146" s="617">
        <f t="shared" si="522"/>
      </c>
      <c r="I146" s="618">
        <f t="shared" si="9"/>
      </c>
      <c r="J146" s="619">
        <f t="shared" si="384"/>
      </c>
      <c r="K146" s="620">
        <f t="shared" si="438"/>
      </c>
      <c r="L146" s="617">
        <f t="shared" si="194"/>
      </c>
      <c r="M146" s="622">
        <f t="shared" si="279"/>
      </c>
      <c r="N146" s="621">
        <f t="shared" si="63"/>
      </c>
      <c r="O146" s="621">
        <f t="shared" si="105"/>
      </c>
      <c r="P146" s="621">
        <f t="shared" si="166"/>
      </c>
      <c r="Q146" s="621">
        <f t="shared" si="549"/>
      </c>
      <c r="R146" s="617">
        <f t="shared" si="35"/>
      </c>
      <c r="S146" s="619">
        <f t="shared" si="410"/>
      </c>
      <c r="T146" s="621">
        <f t="shared" si="480"/>
      </c>
      <c r="U146" s="621">
        <f t="shared" si="236"/>
      </c>
      <c r="V146" s="621">
        <f t="shared" si="321"/>
      </c>
      <c r="W146" s="621">
        <f t="shared" si="139"/>
      </c>
      <c r="X146" s="653" t="s">
        <v>327</v>
      </c>
      <c r="Y146" s="613" t="s">
        <v>348</v>
      </c>
      <c r="Z146" s="622">
        <v>67030</v>
      </c>
      <c r="AA146" s="622">
        <v>5271</v>
      </c>
      <c r="AB146" s="622">
        <v>61126</v>
      </c>
      <c r="AC146" s="622">
        <v>289</v>
      </c>
      <c r="AD146" s="622">
        <v>2</v>
      </c>
      <c r="AE146" s="622">
        <v>3627</v>
      </c>
      <c r="AF146" s="622">
        <v>98</v>
      </c>
      <c r="AG146" s="622">
        <v>82</v>
      </c>
      <c r="AH146" s="623">
        <v>10</v>
      </c>
      <c r="AI146" s="623">
        <v>0</v>
      </c>
    </row>
    <row r="147">
      <c r="A147" s="612"/>
      <c r="B147" s="613" t="s">
        <v>353</v>
      </c>
      <c r="C147" s="616" t="s">
        <v>331</v>
      </c>
      <c r="D147" s="614">
        <v>524.143</v>
      </c>
      <c r="E147" s="615">
        <v>3</v>
      </c>
      <c r="F147" s="647">
        <v>673.1999999999998</v>
      </c>
      <c r="G147" s="671">
        <f t="shared" si="357"/>
      </c>
      <c r="H147" s="617">
        <f t="shared" si="522"/>
      </c>
      <c r="I147" s="618">
        <f t="shared" si="9"/>
      </c>
      <c r="J147" s="619">
        <f t="shared" si="384"/>
      </c>
      <c r="K147" s="620">
        <f t="shared" si="438"/>
      </c>
      <c r="L147" s="617">
        <f t="shared" si="194"/>
      </c>
      <c r="M147" s="617">
        <f t="shared" si="279"/>
      </c>
      <c r="N147" s="621">
        <f t="shared" si="63"/>
      </c>
      <c r="O147" s="621">
        <f t="shared" si="105"/>
      </c>
      <c r="P147" s="621">
        <f t="shared" si="166"/>
      </c>
      <c r="Q147" s="621">
        <f t="shared" si="549"/>
      </c>
      <c r="R147" s="617">
        <f t="shared" si="35"/>
      </c>
      <c r="S147" s="619">
        <f t="shared" si="410"/>
      </c>
      <c r="T147" s="621">
        <f t="shared" si="480"/>
      </c>
      <c r="U147" s="621">
        <f t="shared" si="236"/>
      </c>
      <c r="V147" s="621">
        <f t="shared" si="321"/>
      </c>
      <c r="W147" s="621">
        <f t="shared" si="139"/>
      </c>
      <c r="X147" s="653" t="s">
        <v>327</v>
      </c>
      <c r="Y147" s="613" t="s">
        <v>351</v>
      </c>
      <c r="Z147" s="622">
        <v>69118</v>
      </c>
      <c r="AA147" s="622">
        <v>5137</v>
      </c>
      <c r="AB147" s="622">
        <v>63297</v>
      </c>
      <c r="AC147" s="622">
        <v>281</v>
      </c>
      <c r="AD147" s="622">
        <v>2</v>
      </c>
      <c r="AE147" s="622">
        <v>3282</v>
      </c>
      <c r="AF147" s="622">
        <v>101</v>
      </c>
      <c r="AG147" s="622">
        <v>91</v>
      </c>
      <c r="AH147" s="622">
        <v>2</v>
      </c>
      <c r="AI147" s="623">
        <v>1</v>
      </c>
    </row>
    <row r="148">
      <c r="A148" s="612"/>
      <c r="B148" s="613" t="s">
        <v>353</v>
      </c>
      <c r="C148" s="616" t="s">
        <v>334</v>
      </c>
      <c r="D148" s="614">
        <v>1239.221</v>
      </c>
      <c r="E148" s="615">
        <v>1</v>
      </c>
      <c r="F148" s="647">
        <v>228</v>
      </c>
      <c r="G148" s="671">
        <f t="shared" si="357"/>
      </c>
      <c r="H148" s="617">
        <f t="shared" si="522"/>
      </c>
      <c r="I148" s="618">
        <f t="shared" si="9"/>
      </c>
      <c r="J148" s="619">
        <f t="shared" si="384"/>
      </c>
      <c r="K148" s="620">
        <f t="shared" si="438"/>
      </c>
      <c r="L148" s="617">
        <f t="shared" si="194"/>
      </c>
      <c r="M148" s="617">
        <f t="shared" si="279"/>
      </c>
      <c r="N148" s="621">
        <f t="shared" si="63"/>
      </c>
      <c r="O148" s="621">
        <f t="shared" si="105"/>
      </c>
      <c r="P148" s="621">
        <f t="shared" si="166"/>
      </c>
      <c r="Q148" s="621">
        <f t="shared" si="549"/>
      </c>
      <c r="R148" s="617">
        <f t="shared" si="35"/>
      </c>
      <c r="S148" s="619">
        <f t="shared" si="410"/>
      </c>
      <c r="T148" s="621">
        <f t="shared" si="480"/>
      </c>
      <c r="U148" s="621">
        <f t="shared" si="236"/>
      </c>
      <c r="V148" s="621">
        <f t="shared" si="321"/>
      </c>
      <c r="W148" s="621">
        <f t="shared" si="139"/>
      </c>
      <c r="X148" s="653" t="s">
        <v>327</v>
      </c>
      <c r="Y148" s="613" t="s">
        <v>351</v>
      </c>
      <c r="Z148" s="622">
        <v>131036</v>
      </c>
      <c r="AA148" s="622">
        <v>8855</v>
      </c>
      <c r="AB148" s="622">
        <v>89304</v>
      </c>
      <c r="AC148" s="622">
        <v>678</v>
      </c>
      <c r="AD148" s="622">
        <v>1</v>
      </c>
      <c r="AE148" s="622">
        <v>5213</v>
      </c>
      <c r="AF148" s="622">
        <v>178</v>
      </c>
      <c r="AG148" s="622">
        <v>147</v>
      </c>
      <c r="AH148" s="622">
        <v>15</v>
      </c>
      <c r="AI148" s="623">
        <v>0</v>
      </c>
    </row>
    <row r="149">
      <c r="A149" s="612"/>
      <c r="B149" s="613" t="s">
        <v>353</v>
      </c>
      <c r="C149" s="616" t="s">
        <v>335</v>
      </c>
      <c r="D149" s="614">
        <v>1590.338</v>
      </c>
      <c r="E149" s="615">
        <v>5</v>
      </c>
      <c r="F149" s="647">
        <v>1620</v>
      </c>
      <c r="G149" s="671">
        <f t="shared" si="357"/>
      </c>
      <c r="H149" s="617">
        <f t="shared" si="522"/>
      </c>
      <c r="I149" s="618">
        <f t="shared" si="9"/>
      </c>
      <c r="J149" s="619">
        <f t="shared" si="384"/>
      </c>
      <c r="K149" s="620">
        <f t="shared" si="438"/>
      </c>
      <c r="L149" s="617">
        <f t="shared" si="194"/>
      </c>
      <c r="M149" s="617">
        <f t="shared" si="279"/>
      </c>
      <c r="N149" s="621">
        <f t="shared" si="63"/>
      </c>
      <c r="O149" s="621">
        <f t="shared" si="105"/>
      </c>
      <c r="P149" s="621">
        <f t="shared" si="166"/>
      </c>
      <c r="Q149" s="621">
        <f t="shared" si="549"/>
      </c>
      <c r="R149" s="617">
        <f t="shared" si="35"/>
      </c>
      <c r="S149" s="619">
        <f t="shared" si="410"/>
      </c>
      <c r="T149" s="621">
        <f t="shared" si="480"/>
      </c>
      <c r="U149" s="621">
        <f t="shared" si="236"/>
      </c>
      <c r="V149" s="621">
        <f t="shared" si="321"/>
      </c>
      <c r="W149" s="621">
        <f t="shared" si="139"/>
      </c>
      <c r="X149" s="653" t="s">
        <v>327</v>
      </c>
      <c r="Y149" s="613" t="s">
        <v>351</v>
      </c>
      <c r="Z149" s="622">
        <v>237995</v>
      </c>
      <c r="AA149" s="622">
        <v>10707</v>
      </c>
      <c r="AB149" s="622">
        <v>209343</v>
      </c>
      <c r="AC149" s="622">
        <v>812</v>
      </c>
      <c r="AD149" s="622">
        <v>5</v>
      </c>
      <c r="AE149" s="622">
        <v>7844</v>
      </c>
      <c r="AF149" s="622">
        <v>232</v>
      </c>
      <c r="AG149" s="622">
        <v>214</v>
      </c>
      <c r="AH149" s="622">
        <v>14</v>
      </c>
      <c r="AI149" s="623">
        <v>0</v>
      </c>
    </row>
    <row r="150">
      <c r="A150" s="612"/>
      <c r="B150" s="613" t="s">
        <v>353</v>
      </c>
      <c r="C150" s="616" t="s">
        <v>336</v>
      </c>
      <c r="D150" s="614">
        <v>1998.0299999999997</v>
      </c>
      <c r="E150" s="615">
        <v>5</v>
      </c>
      <c r="F150" s="647">
        <v>1740.000000000001</v>
      </c>
      <c r="G150" s="671">
        <f t="shared" si="357"/>
      </c>
      <c r="H150" s="617">
        <f t="shared" si="522"/>
      </c>
      <c r="I150" s="618">
        <f t="shared" si="9"/>
      </c>
      <c r="J150" s="619">
        <f t="shared" si="384"/>
      </c>
      <c r="K150" s="620">
        <f t="shared" si="438"/>
      </c>
      <c r="L150" s="617">
        <f t="shared" si="194"/>
      </c>
      <c r="M150" s="617">
        <f t="shared" si="279"/>
      </c>
      <c r="N150" s="621">
        <f t="shared" si="63"/>
      </c>
      <c r="O150" s="621">
        <f t="shared" si="105"/>
      </c>
      <c r="P150" s="621">
        <f t="shared" si="166"/>
      </c>
      <c r="Q150" s="621">
        <f t="shared" si="549"/>
      </c>
      <c r="R150" s="617">
        <f t="shared" si="35"/>
      </c>
      <c r="S150" s="619">
        <f t="shared" si="410"/>
      </c>
      <c r="T150" s="621">
        <f t="shared" si="480"/>
      </c>
      <c r="U150" s="621">
        <f t="shared" si="236"/>
      </c>
      <c r="V150" s="621">
        <f t="shared" si="321"/>
      </c>
      <c r="W150" s="621">
        <f t="shared" si="139"/>
      </c>
      <c r="X150" s="653" t="s">
        <v>327</v>
      </c>
      <c r="Y150" s="613" t="s">
        <v>351</v>
      </c>
      <c r="Z150" s="622">
        <v>260005</v>
      </c>
      <c r="AA150" s="622">
        <v>8765</v>
      </c>
      <c r="AB150" s="622">
        <v>226997</v>
      </c>
      <c r="AC150" s="622">
        <v>788</v>
      </c>
      <c r="AD150" s="622">
        <v>5</v>
      </c>
      <c r="AE150" s="622">
        <v>7721</v>
      </c>
      <c r="AF150" s="622">
        <v>194</v>
      </c>
      <c r="AG150" s="622">
        <v>166</v>
      </c>
      <c r="AH150" s="622">
        <v>15</v>
      </c>
      <c r="AI150" s="623">
        <v>0</v>
      </c>
    </row>
    <row r="151">
      <c r="A151" s="612"/>
      <c r="B151" s="625" t="s">
        <v>332</v>
      </c>
      <c r="C151" s="625"/>
      <c r="D151" s="626">
        <f>SUM(D146:D150)</f>
      </c>
      <c r="E151" s="626">
        <f>SUM(E146:E150)</f>
      </c>
      <c r="F151" s="626">
        <f>SUM(F146:F150)</f>
      </c>
      <c r="G151" s="626">
        <f t="shared" si="357"/>
      </c>
      <c r="H151" s="628">
        <f t="shared" si="522"/>
      </c>
      <c r="I151" s="629">
        <f t="shared" si="9"/>
      </c>
      <c r="J151" s="630">
        <f t="shared" si="384"/>
      </c>
      <c r="K151" s="631">
        <f t="shared" si="438"/>
      </c>
      <c r="L151" s="628">
        <f t="shared" si="194"/>
      </c>
      <c r="M151" s="628">
        <f t="shared" si="279"/>
      </c>
      <c r="N151" s="632">
        <f t="shared" si="63"/>
      </c>
      <c r="O151" s="632">
        <f t="shared" si="105"/>
      </c>
      <c r="P151" s="632">
        <f t="shared" si="166"/>
      </c>
      <c r="Q151" s="632">
        <f t="shared" si="549"/>
      </c>
      <c r="R151" s="628">
        <f t="shared" si="35"/>
      </c>
      <c r="S151" s="630">
        <f t="shared" si="410"/>
      </c>
      <c r="T151" s="632">
        <f t="shared" si="480"/>
      </c>
      <c r="U151" s="632">
        <f t="shared" si="236"/>
      </c>
      <c r="V151" s="632">
        <f t="shared" si="321"/>
      </c>
      <c r="W151" s="632">
        <f t="shared" si="139"/>
      </c>
      <c r="X151" s="632"/>
      <c r="Y151" s="633"/>
      <c r="Z151" s="626">
        <f>SUM(Z146:Z150)</f>
      </c>
      <c r="AA151" s="626">
        <f>SUM(AA146:AA150)</f>
      </c>
      <c r="AB151" s="626">
        <f>SUM(AB146:AB150)</f>
      </c>
      <c r="AC151" s="626">
        <f>SUM(AC146:AC150)</f>
      </c>
      <c r="AD151" s="626">
        <f>SUM(AD146:AD150)</f>
      </c>
      <c r="AE151" s="626">
        <f>SUM(AE146:AE150)</f>
      </c>
      <c r="AF151" s="626">
        <f>SUM(AF146:AF150)</f>
      </c>
      <c r="AG151" s="626">
        <f>SUM(AG146:AG150)</f>
      </c>
      <c r="AH151" s="626">
        <f>SUM(AH146:AH150)</f>
      </c>
      <c r="AI151" s="626">
        <f>SUM(AI146:AI150)</f>
      </c>
    </row>
    <row r="152">
      <c r="A152" s="677"/>
      <c r="B152" s="678" t="s">
        <v>337</v>
      </c>
      <c r="C152" s="678"/>
      <c r="D152" s="679">
        <f>SUM(D151+D145+D139)</f>
      </c>
      <c r="E152" s="679">
        <f>SUM(E151+E145+E139)</f>
      </c>
      <c r="F152" s="679">
        <f>SUM(F151+F145+F139)</f>
      </c>
      <c r="G152" s="679">
        <f t="shared" si="357"/>
      </c>
      <c r="H152" s="680">
        <f t="shared" si="522"/>
      </c>
      <c r="I152" s="681">
        <f t="shared" si="9"/>
      </c>
      <c r="J152" s="682">
        <f t="shared" si="384"/>
      </c>
      <c r="K152" s="683">
        <f t="shared" si="438"/>
      </c>
      <c r="L152" s="683">
        <f t="shared" si="194"/>
      </c>
      <c r="M152" s="684">
        <f t="shared" si="279"/>
      </c>
      <c r="N152" s="685">
        <f t="shared" si="63"/>
      </c>
      <c r="O152" s="685">
        <f t="shared" si="105"/>
      </c>
      <c r="P152" s="685">
        <f t="shared" si="166"/>
      </c>
      <c r="Q152" s="685">
        <f t="shared" si="549"/>
      </c>
      <c r="R152" s="684">
        <f t="shared" si="35"/>
      </c>
      <c r="S152" s="686">
        <f t="shared" si="410"/>
      </c>
      <c r="T152" s="687">
        <f t="shared" si="480"/>
      </c>
      <c r="U152" s="687">
        <f t="shared" si="236"/>
      </c>
      <c r="V152" s="687">
        <f t="shared" si="321"/>
      </c>
      <c r="W152" s="687">
        <f t="shared" si="139"/>
      </c>
      <c r="X152" s="687"/>
      <c r="Y152" s="658"/>
      <c r="Z152" s="679">
        <f>SUM(Z151+Z145+Z139)</f>
      </c>
      <c r="AA152" s="679">
        <f>SUM(AA151+AA145+AA139)</f>
      </c>
      <c r="AB152" s="679">
        <f>SUM(AB151+AB145+AB139)</f>
      </c>
      <c r="AC152" s="679">
        <f>SUM(AC151+AC145+AC139)</f>
      </c>
      <c r="AD152" s="679">
        <f>SUM(AD151+AD145+AD139)</f>
      </c>
      <c r="AE152" s="679">
        <f>SUM(AE151+AE145+AE139)</f>
      </c>
      <c r="AF152" s="679">
        <f>SUM(AF151+AF145+AF139)</f>
      </c>
      <c r="AG152" s="679">
        <f>SUM(AG151+AG145+AG139)</f>
      </c>
      <c r="AH152" s="679">
        <f>SUM(AH151+AH145+AH139)</f>
      </c>
      <c r="AI152" s="679">
        <f>SUM(AI151+AI145+AI139)</f>
      </c>
    </row>
    <row r="153">
      <c r="A153" s="594"/>
      <c r="B153" s="594"/>
      <c r="C153" s="594"/>
      <c r="D153" s="604" t="s">
        <v>288</v>
      </c>
      <c r="E153" s="604"/>
      <c r="F153" s="604"/>
      <c r="G153" s="604"/>
      <c r="H153" s="604"/>
      <c r="I153" s="604"/>
      <c r="J153" s="604"/>
      <c r="K153" s="597" t="s">
        <v>289</v>
      </c>
      <c r="L153" s="597"/>
      <c r="M153" s="597"/>
      <c r="N153" s="597"/>
      <c r="O153" s="597"/>
      <c r="P153" s="597"/>
      <c r="Q153" s="597"/>
      <c r="R153" s="597"/>
      <c r="S153" s="597"/>
      <c r="T153" s="598" t="s">
        <v>290</v>
      </c>
      <c r="U153" s="598"/>
      <c r="V153" s="598"/>
      <c r="W153" s="598"/>
      <c r="X153" s="599"/>
      <c r="Y153" s="599"/>
      <c r="Z153" s="601"/>
      <c r="AA153" s="601"/>
      <c r="AB153" s="601"/>
      <c r="AC153" s="601"/>
      <c r="AD153" s="601"/>
      <c r="AE153" s="601"/>
      <c r="AF153" s="601"/>
      <c r="AG153" s="601"/>
      <c r="AH153" s="602"/>
      <c r="AI153" s="601"/>
    </row>
    <row r="154">
      <c r="A154" s="603" t="s">
        <v>291</v>
      </c>
      <c r="B154" s="594" t="s">
        <v>292</v>
      </c>
      <c r="C154" s="659" t="s">
        <v>293</v>
      </c>
      <c r="D154" s="660" t="s">
        <v>294</v>
      </c>
      <c r="E154" s="661" t="s">
        <v>295</v>
      </c>
      <c r="F154" s="662" t="s">
        <v>296</v>
      </c>
      <c r="G154" s="670" t="s">
        <v>349</v>
      </c>
      <c r="H154" s="595" t="s">
        <v>297</v>
      </c>
      <c r="I154" s="595" t="s">
        <v>298</v>
      </c>
      <c r="J154" s="595" t="s">
        <v>299</v>
      </c>
      <c r="K154" s="597" t="s">
        <v>300</v>
      </c>
      <c r="L154" s="597" t="s">
        <v>301</v>
      </c>
      <c r="M154" s="597" t="s">
        <v>302</v>
      </c>
      <c r="N154" s="597" t="s">
        <v>303</v>
      </c>
      <c r="O154" s="597" t="s">
        <v>304</v>
      </c>
      <c r="P154" s="597" t="s">
        <v>305</v>
      </c>
      <c r="Q154" s="597" t="s">
        <v>306</v>
      </c>
      <c r="R154" s="597" t="s">
        <v>307</v>
      </c>
      <c r="S154" s="597" t="s">
        <v>308</v>
      </c>
      <c r="T154" s="606" t="s">
        <v>309</v>
      </c>
      <c r="U154" s="606" t="s">
        <v>310</v>
      </c>
      <c r="V154" s="606" t="s">
        <v>311</v>
      </c>
      <c r="W154" s="606" t="s">
        <v>312</v>
      </c>
      <c r="X154" s="607" t="s">
        <v>313</v>
      </c>
      <c r="Y154" s="607" t="s">
        <v>314</v>
      </c>
      <c r="Z154" s="651" t="s">
        <v>315</v>
      </c>
      <c r="AA154" s="651" t="s">
        <v>316</v>
      </c>
      <c r="AB154" s="651" t="s">
        <v>317</v>
      </c>
      <c r="AC154" s="609" t="s">
        <v>318</v>
      </c>
      <c r="AD154" s="609" t="s">
        <v>319</v>
      </c>
      <c r="AE154" s="652" t="s">
        <v>320</v>
      </c>
      <c r="AF154" s="609" t="s">
        <v>321</v>
      </c>
      <c r="AG154" s="609" t="s">
        <v>322</v>
      </c>
      <c r="AH154" s="611" t="s">
        <v>323</v>
      </c>
      <c r="AI154" s="609" t="s">
        <v>324</v>
      </c>
    </row>
    <row r="155">
      <c r="A155" s="612">
        <v>46189</v>
      </c>
      <c r="B155" s="653" t="s">
        <v>333</v>
      </c>
      <c r="C155" s="611" t="s">
        <v>338</v>
      </c>
      <c r="D155" s="668">
        <v>874.839</v>
      </c>
      <c r="E155" s="664">
        <v>5</v>
      </c>
      <c r="F155" s="665">
        <v>1646.7</v>
      </c>
      <c r="G155" s="671">
        <f t="shared" ref="G155:G173" si="358">D155/AD155</f>
      </c>
      <c r="H155" s="617">
        <f t="shared" ref="H155:H173" si="523">F155/E155</f>
      </c>
      <c r="I155" s="618">
        <f t="shared" ref="I155:I173" si="10">D155/E155</f>
      </c>
      <c r="J155" s="619">
        <f t="shared" ref="J155:J173" si="385">F155/D155</f>
      </c>
      <c r="K155" s="620">
        <f t="shared" ref="K155:K161" si="439">D155/AB155</f>
      </c>
      <c r="L155" s="617">
        <f t="shared" ref="L155:L161" si="195">D155/AC155</f>
      </c>
      <c r="M155" s="617">
        <f t="shared" ref="M155:M161" si="280">D155/AD155</f>
      </c>
      <c r="N155" s="621">
        <f t="shared" ref="N155:N161" si="64">AC155/AB155</f>
      </c>
      <c r="O155" s="621">
        <f t="shared" ref="O155:O161" si="106">AD155/AC155</f>
      </c>
      <c r="P155" s="621">
        <f t="shared" ref="P155:P173" si="167">AA155/Z155</f>
      </c>
      <c r="Q155" s="621">
        <f t="shared" ref="Q155:Q161" si="550">AD155/AA155</f>
      </c>
      <c r="R155" s="617">
        <f t="shared" ref="R155:R173" si="36">D155/Z155*1000</f>
      </c>
      <c r="S155" s="619">
        <f t="shared" ref="S155:S173" si="411">D155/AA155</f>
      </c>
      <c r="T155" s="621">
        <f t="shared" ref="T155:T161" si="481">AE155/AB155</f>
      </c>
      <c r="U155" s="621">
        <f t="shared" ref="U155:U161" si="237">AF155/AB155</f>
      </c>
      <c r="V155" s="621">
        <f t="shared" ref="V155:V161" si="322">AG155/AB155</f>
      </c>
      <c r="W155" s="621">
        <f t="shared" ref="W155:W173" si="140">AH155/AB155</f>
      </c>
      <c r="X155" s="653" t="s">
        <v>327</v>
      </c>
      <c r="Y155" s="613" t="s">
        <v>348</v>
      </c>
      <c r="Z155" s="655">
        <v>85501</v>
      </c>
      <c r="AA155" s="655">
        <v>3810</v>
      </c>
      <c r="AB155" s="655">
        <v>59338</v>
      </c>
      <c r="AC155" s="622">
        <v>633</v>
      </c>
      <c r="AD155" s="622">
        <v>4</v>
      </c>
      <c r="AE155" s="655">
        <v>8114</v>
      </c>
      <c r="AF155" s="622">
        <v>207</v>
      </c>
      <c r="AG155" s="622">
        <v>105</v>
      </c>
      <c r="AH155" s="622">
        <v>7</v>
      </c>
      <c r="AI155" s="623">
        <v>1</v>
      </c>
    </row>
    <row r="156">
      <c r="A156" s="612"/>
      <c r="B156" s="653" t="s">
        <v>333</v>
      </c>
      <c r="C156" s="611" t="s">
        <v>340</v>
      </c>
      <c r="D156" s="668">
        <v>1153.072</v>
      </c>
      <c r="E156" s="664">
        <v>5</v>
      </c>
      <c r="F156" s="665">
        <v>1698.3</v>
      </c>
      <c r="G156" s="671">
        <f t="shared" si="358"/>
      </c>
      <c r="H156" s="617">
        <f t="shared" si="523"/>
      </c>
      <c r="I156" s="618">
        <f t="shared" si="10"/>
      </c>
      <c r="J156" s="619">
        <f t="shared" si="385"/>
      </c>
      <c r="K156" s="620">
        <f t="shared" si="439"/>
      </c>
      <c r="L156" s="617">
        <f t="shared" si="195"/>
      </c>
      <c r="M156" s="617">
        <f t="shared" si="280"/>
      </c>
      <c r="N156" s="621">
        <f t="shared" si="64"/>
      </c>
      <c r="O156" s="621">
        <f t="shared" si="106"/>
      </c>
      <c r="P156" s="621">
        <f t="shared" si="167"/>
      </c>
      <c r="Q156" s="621">
        <f t="shared" si="550"/>
      </c>
      <c r="R156" s="617">
        <f t="shared" si="36"/>
      </c>
      <c r="S156" s="619">
        <f t="shared" si="411"/>
      </c>
      <c r="T156" s="621">
        <f t="shared" si="481"/>
      </c>
      <c r="U156" s="621">
        <f t="shared" si="237"/>
      </c>
      <c r="V156" s="621">
        <f t="shared" si="322"/>
      </c>
      <c r="W156" s="621">
        <f t="shared" si="140"/>
      </c>
      <c r="X156" s="653" t="s">
        <v>327</v>
      </c>
      <c r="Y156" s="613" t="s">
        <v>348</v>
      </c>
      <c r="Z156" s="622">
        <v>84254</v>
      </c>
      <c r="AA156" s="622">
        <v>4513</v>
      </c>
      <c r="AB156" s="622">
        <v>57477</v>
      </c>
      <c r="AC156" s="622">
        <v>745</v>
      </c>
      <c r="AD156" s="622">
        <v>4</v>
      </c>
      <c r="AE156" s="622">
        <v>7576</v>
      </c>
      <c r="AF156" s="622">
        <v>226</v>
      </c>
      <c r="AG156" s="622">
        <v>116</v>
      </c>
      <c r="AH156" s="622">
        <v>27</v>
      </c>
      <c r="AI156" s="623">
        <v>1</v>
      </c>
    </row>
    <row r="157">
      <c r="A157" s="612"/>
      <c r="B157" s="653" t="s">
        <v>333</v>
      </c>
      <c r="C157" s="611" t="s">
        <v>341</v>
      </c>
      <c r="D157" s="668">
        <v>918.673</v>
      </c>
      <c r="E157" s="664">
        <v>1</v>
      </c>
      <c r="F157" s="665">
        <v>828</v>
      </c>
      <c r="G157" s="671">
        <f t="shared" si="358"/>
      </c>
      <c r="H157" s="617">
        <f t="shared" si="523"/>
      </c>
      <c r="I157" s="618">
        <f t="shared" si="10"/>
      </c>
      <c r="J157" s="619">
        <f t="shared" si="385"/>
      </c>
      <c r="K157" s="620">
        <f t="shared" si="439"/>
      </c>
      <c r="L157" s="617">
        <f t="shared" si="195"/>
      </c>
      <c r="M157" s="617">
        <f t="shared" si="280"/>
      </c>
      <c r="N157" s="621">
        <f t="shared" si="64"/>
      </c>
      <c r="O157" s="621">
        <f t="shared" si="106"/>
      </c>
      <c r="P157" s="621">
        <f t="shared" si="167"/>
      </c>
      <c r="Q157" s="621">
        <f t="shared" si="550"/>
      </c>
      <c r="R157" s="617">
        <f t="shared" si="36"/>
      </c>
      <c r="S157" s="619">
        <f t="shared" si="411"/>
      </c>
      <c r="T157" s="621">
        <f t="shared" si="481"/>
      </c>
      <c r="U157" s="621">
        <f t="shared" si="237"/>
      </c>
      <c r="V157" s="621">
        <f t="shared" si="322"/>
      </c>
      <c r="W157" s="621">
        <f t="shared" si="140"/>
      </c>
      <c r="X157" s="653" t="s">
        <v>327</v>
      </c>
      <c r="Y157" s="613" t="s">
        <v>348</v>
      </c>
      <c r="Z157" s="622">
        <v>84110</v>
      </c>
      <c r="AA157" s="622">
        <v>3995</v>
      </c>
      <c r="AB157" s="622">
        <v>62829</v>
      </c>
      <c r="AC157" s="622">
        <v>750</v>
      </c>
      <c r="AD157" s="622">
        <v>1</v>
      </c>
      <c r="AE157" s="622">
        <v>5625</v>
      </c>
      <c r="AF157" s="622">
        <v>237</v>
      </c>
      <c r="AG157" s="622">
        <v>94</v>
      </c>
      <c r="AH157" s="622">
        <v>21</v>
      </c>
      <c r="AI157" s="623">
        <v>0</v>
      </c>
    </row>
    <row r="158">
      <c r="A158" s="612"/>
      <c r="B158" s="653" t="s">
        <v>333</v>
      </c>
      <c r="C158" s="609" t="s">
        <v>342</v>
      </c>
      <c r="D158" s="669">
        <v>889.849</v>
      </c>
      <c r="E158" s="667">
        <v>7</v>
      </c>
      <c r="F158" s="647">
        <v>2328.1</v>
      </c>
      <c r="G158" s="671">
        <f t="shared" si="358"/>
      </c>
      <c r="H158" s="617">
        <f t="shared" si="523"/>
      </c>
      <c r="I158" s="618">
        <f t="shared" si="10"/>
      </c>
      <c r="J158" s="619">
        <f t="shared" si="385"/>
      </c>
      <c r="K158" s="620">
        <f t="shared" si="439"/>
      </c>
      <c r="L158" s="617">
        <f t="shared" si="195"/>
      </c>
      <c r="M158" s="617">
        <f t="shared" si="280"/>
      </c>
      <c r="N158" s="621">
        <f t="shared" si="64"/>
      </c>
      <c r="O158" s="621">
        <f t="shared" si="106"/>
      </c>
      <c r="P158" s="621">
        <f t="shared" si="167"/>
      </c>
      <c r="Q158" s="621">
        <f t="shared" si="550"/>
      </c>
      <c r="R158" s="617">
        <f t="shared" si="36"/>
      </c>
      <c r="S158" s="619">
        <f t="shared" si="411"/>
      </c>
      <c r="T158" s="621">
        <f t="shared" si="481"/>
      </c>
      <c r="U158" s="621">
        <f t="shared" si="237"/>
      </c>
      <c r="V158" s="621">
        <f t="shared" si="322"/>
      </c>
      <c r="W158" s="621">
        <f t="shared" si="140"/>
      </c>
      <c r="X158" s="653" t="s">
        <v>327</v>
      </c>
      <c r="Y158" s="613" t="s">
        <v>348</v>
      </c>
      <c r="Z158" s="622">
        <v>118344</v>
      </c>
      <c r="AA158" s="622">
        <v>6698</v>
      </c>
      <c r="AB158" s="622">
        <v>94301</v>
      </c>
      <c r="AC158" s="622">
        <v>734</v>
      </c>
      <c r="AD158" s="622">
        <v>3</v>
      </c>
      <c r="AE158" s="622">
        <v>7346</v>
      </c>
      <c r="AF158" s="622">
        <v>179</v>
      </c>
      <c r="AG158" s="622">
        <v>116</v>
      </c>
      <c r="AH158" s="622">
        <v>20</v>
      </c>
      <c r="AI158" s="623">
        <v>4</v>
      </c>
    </row>
    <row r="159">
      <c r="A159" s="612"/>
      <c r="B159" s="653" t="s">
        <v>333</v>
      </c>
      <c r="C159" s="616" t="s">
        <v>343</v>
      </c>
      <c r="D159" s="669">
        <v>1415.999</v>
      </c>
      <c r="E159" s="667">
        <v>8</v>
      </c>
      <c r="F159" s="647">
        <v>4717.6</v>
      </c>
      <c r="G159" s="671">
        <f t="shared" si="358"/>
      </c>
      <c r="H159" s="617">
        <f t="shared" si="523"/>
      </c>
      <c r="I159" s="618">
        <f t="shared" si="10"/>
      </c>
      <c r="J159" s="619">
        <f t="shared" si="385"/>
      </c>
      <c r="K159" s="620">
        <f t="shared" si="439"/>
      </c>
      <c r="L159" s="617">
        <f t="shared" si="195"/>
      </c>
      <c r="M159" s="617">
        <f t="shared" si="280"/>
      </c>
      <c r="N159" s="621">
        <f t="shared" si="64"/>
      </c>
      <c r="O159" s="621">
        <f t="shared" si="106"/>
      </c>
      <c r="P159" s="621">
        <f t="shared" si="167"/>
      </c>
      <c r="Q159" s="621">
        <f t="shared" si="550"/>
      </c>
      <c r="R159" s="617">
        <f t="shared" si="36"/>
      </c>
      <c r="S159" s="619">
        <f t="shared" si="411"/>
      </c>
      <c r="T159" s="621">
        <f t="shared" si="481"/>
      </c>
      <c r="U159" s="621">
        <f t="shared" si="237"/>
      </c>
      <c r="V159" s="621">
        <f t="shared" si="322"/>
      </c>
      <c r="W159" s="621">
        <f t="shared" si="140"/>
      </c>
      <c r="X159" s="653" t="s">
        <v>327</v>
      </c>
      <c r="Y159" s="613" t="s">
        <v>348</v>
      </c>
      <c r="Z159" s="622">
        <v>211099</v>
      </c>
      <c r="AA159" s="622">
        <v>7422</v>
      </c>
      <c r="AB159" s="622">
        <v>118253</v>
      </c>
      <c r="AC159" s="622">
        <v>1167</v>
      </c>
      <c r="AD159" s="622">
        <v>7</v>
      </c>
      <c r="AE159" s="622">
        <v>7117</v>
      </c>
      <c r="AF159" s="622">
        <v>228</v>
      </c>
      <c r="AG159" s="622">
        <v>128</v>
      </c>
      <c r="AH159" s="622">
        <v>23</v>
      </c>
      <c r="AI159" s="623">
        <v>1</v>
      </c>
    </row>
    <row r="160">
      <c r="A160" s="612"/>
      <c r="B160" s="625" t="s">
        <v>332</v>
      </c>
      <c r="C160" s="625"/>
      <c r="D160" s="626">
        <f>SUM(D155:D159)</f>
      </c>
      <c r="E160" s="627">
        <f>SUM(E155:E159)</f>
      </c>
      <c r="F160" s="626">
        <f>SUM(F155:F159)</f>
      </c>
      <c r="G160" s="626">
        <f t="shared" si="358"/>
      </c>
      <c r="H160" s="628">
        <f t="shared" si="523"/>
      </c>
      <c r="I160" s="629">
        <f t="shared" si="10"/>
      </c>
      <c r="J160" s="630">
        <f t="shared" si="385"/>
      </c>
      <c r="K160" s="631">
        <f t="shared" si="439"/>
      </c>
      <c r="L160" s="628">
        <f t="shared" si="195"/>
      </c>
      <c r="M160" s="628">
        <f t="shared" si="280"/>
      </c>
      <c r="N160" s="632">
        <f t="shared" si="64"/>
      </c>
      <c r="O160" s="632">
        <f t="shared" si="106"/>
      </c>
      <c r="P160" s="632">
        <f t="shared" si="167"/>
      </c>
      <c r="Q160" s="632">
        <f t="shared" si="550"/>
      </c>
      <c r="R160" s="628">
        <f t="shared" si="36"/>
      </c>
      <c r="S160" s="630">
        <f t="shared" si="411"/>
      </c>
      <c r="T160" s="632">
        <f t="shared" si="481"/>
      </c>
      <c r="U160" s="632">
        <f t="shared" si="237"/>
      </c>
      <c r="V160" s="632">
        <f t="shared" si="322"/>
      </c>
      <c r="W160" s="632">
        <f t="shared" si="140"/>
      </c>
      <c r="X160" s="632"/>
      <c r="Y160" s="633"/>
      <c r="Z160" s="626">
        <f>SUM(Z155:Z159)</f>
      </c>
      <c r="AA160" s="626">
        <f>SUM(AA155:AA159)</f>
      </c>
      <c r="AB160" s="626">
        <f>SUM(AB155:AB159)</f>
      </c>
      <c r="AC160" s="626">
        <f>SUM(AC155:AC159)</f>
      </c>
      <c r="AD160" s="626">
        <f>SUM(AD155:AD159)</f>
      </c>
      <c r="AE160" s="626">
        <f>SUM(AE155:AE159)</f>
      </c>
      <c r="AF160" s="626">
        <f>SUM(AF155:AF159)</f>
      </c>
      <c r="AG160" s="626">
        <f>SUM(AG155:AG159)</f>
      </c>
      <c r="AH160" s="626">
        <f>SUM(AH155:AH159)</f>
      </c>
      <c r="AI160" s="626">
        <f>SUM(AI155:AI159)</f>
      </c>
    </row>
    <row r="161">
      <c r="A161" s="612"/>
      <c r="B161" s="613" t="s">
        <v>354</v>
      </c>
      <c r="C161" s="672" t="s">
        <v>344</v>
      </c>
      <c r="D161" s="668">
        <v>1827.375</v>
      </c>
      <c r="E161" s="664">
        <v>4</v>
      </c>
      <c r="F161" s="665">
        <v>879.6</v>
      </c>
      <c r="G161" s="671">
        <f t="shared" si="358"/>
      </c>
      <c r="H161" s="617">
        <f t="shared" si="523"/>
      </c>
      <c r="I161" s="618">
        <f t="shared" si="10"/>
      </c>
      <c r="J161" s="619">
        <f t="shared" si="385"/>
      </c>
      <c r="K161" s="620">
        <f t="shared" si="439"/>
      </c>
      <c r="L161" s="617">
        <f t="shared" si="195"/>
      </c>
      <c r="M161" s="617">
        <f t="shared" si="280"/>
      </c>
      <c r="N161" s="621">
        <f t="shared" si="64"/>
      </c>
      <c r="O161" s="621">
        <f t="shared" si="106"/>
      </c>
      <c r="P161" s="621">
        <f t="shared" si="167"/>
      </c>
      <c r="Q161" s="621">
        <f t="shared" si="550"/>
      </c>
      <c r="R161" s="617">
        <f t="shared" si="36"/>
      </c>
      <c r="S161" s="619">
        <f t="shared" si="411"/>
      </c>
      <c r="T161" s="621">
        <f t="shared" si="481"/>
      </c>
      <c r="U161" s="621">
        <f t="shared" si="237"/>
      </c>
      <c r="V161" s="621">
        <f t="shared" si="322"/>
      </c>
      <c r="W161" s="621">
        <f t="shared" si="140"/>
      </c>
      <c r="X161" s="653" t="s">
        <v>327</v>
      </c>
      <c r="Y161" s="613" t="s">
        <v>348</v>
      </c>
      <c r="Z161" s="655">
        <v>284137</v>
      </c>
      <c r="AA161" s="655">
        <v>8115</v>
      </c>
      <c r="AB161" s="655">
        <v>101558</v>
      </c>
      <c r="AC161" s="622">
        <v>1718</v>
      </c>
      <c r="AD161" s="622">
        <v>3</v>
      </c>
      <c r="AE161" s="655">
        <v>5832</v>
      </c>
      <c r="AF161" s="622">
        <v>268</v>
      </c>
      <c r="AG161" s="622">
        <v>117</v>
      </c>
      <c r="AH161" s="622">
        <v>21</v>
      </c>
      <c r="AI161" s="623">
        <v>2</v>
      </c>
    </row>
    <row r="162">
      <c r="A162" s="612"/>
      <c r="B162" s="613" t="s">
        <v>354</v>
      </c>
      <c r="C162" s="672" t="s">
        <v>345</v>
      </c>
      <c r="D162" s="668">
        <v>1077.492</v>
      </c>
      <c r="E162" s="664">
        <v>4</v>
      </c>
      <c r="F162" s="665">
        <v>880</v>
      </c>
      <c r="G162" s="671">
        <f t="shared" si="358"/>
      </c>
      <c r="H162" s="617">
        <f t="shared" si="523"/>
      </c>
      <c r="I162" s="618">
        <f t="shared" si="10"/>
      </c>
      <c r="J162" s="619">
        <f t="shared" si="385"/>
      </c>
      <c r="K162" s="620">
        <f>D162/AC162</f>
      </c>
      <c r="L162" s="617">
        <f>D162/AD162</f>
      </c>
      <c r="M162" s="617">
        <f>D162/AE162</f>
      </c>
      <c r="N162" s="621">
        <f>AD162/AC162</f>
      </c>
      <c r="O162" s="621">
        <f>AE162/AD162</f>
      </c>
      <c r="P162" s="621">
        <f t="shared" si="167"/>
      </c>
      <c r="Q162" s="621">
        <f>AE162/AA162</f>
      </c>
      <c r="R162" s="617">
        <f t="shared" si="36"/>
      </c>
      <c r="S162" s="619">
        <f t="shared" si="411"/>
      </c>
      <c r="T162" s="621">
        <f>AF162/AC162</f>
      </c>
      <c r="U162" s="621">
        <f>AG162/AC162</f>
      </c>
      <c r="V162" s="621">
        <f>AH162/AC162</f>
      </c>
      <c r="W162" s="621">
        <f t="shared" si="140"/>
      </c>
      <c r="X162" s="653" t="s">
        <v>327</v>
      </c>
      <c r="Y162" s="613" t="s">
        <v>348</v>
      </c>
      <c r="Z162" s="622">
        <v>160184</v>
      </c>
      <c r="AA162" s="622">
        <v>4804</v>
      </c>
      <c r="AB162" s="673">
        <v>55184</v>
      </c>
      <c r="AC162" s="674">
        <v>1054</v>
      </c>
      <c r="AD162" s="674">
        <v>5</v>
      </c>
      <c r="AE162" s="674">
        <v>3494</v>
      </c>
      <c r="AF162" s="675">
        <v>203</v>
      </c>
      <c r="AG162" s="674">
        <v>76</v>
      </c>
      <c r="AH162" s="674">
        <v>18</v>
      </c>
      <c r="AI162" s="623">
        <v>0</v>
      </c>
    </row>
    <row r="163">
      <c r="A163" s="612"/>
      <c r="B163" s="613" t="s">
        <v>354</v>
      </c>
      <c r="C163" s="672" t="s">
        <v>346</v>
      </c>
      <c r="D163" s="668">
        <v>1363.615</v>
      </c>
      <c r="E163" s="664">
        <v>10</v>
      </c>
      <c r="F163" s="665">
        <v>5895.5</v>
      </c>
      <c r="G163" s="671">
        <f t="shared" si="358"/>
      </c>
      <c r="H163" s="617">
        <f t="shared" si="523"/>
      </c>
      <c r="I163" s="618">
        <f t="shared" si="10"/>
      </c>
      <c r="J163" s="619">
        <f t="shared" si="385"/>
      </c>
      <c r="K163" s="620">
        <f t="shared" ref="K163:K173" si="440">D163/AB163</f>
      </c>
      <c r="L163" s="617">
        <f t="shared" ref="L163:L173" si="196">D163/AC163</f>
      </c>
      <c r="M163" s="617">
        <f t="shared" ref="M163:M173" si="281">D163/AD163</f>
      </c>
      <c r="N163" s="621">
        <f t="shared" ref="N163:N173" si="65">AC163/AB163</f>
      </c>
      <c r="O163" s="621">
        <f t="shared" ref="O163:O173" si="107">AD163/AC163</f>
      </c>
      <c r="P163" s="621">
        <f t="shared" si="167"/>
      </c>
      <c r="Q163" s="621">
        <f t="shared" ref="Q163:Q173" si="551">AD163/AA163</f>
      </c>
      <c r="R163" s="617">
        <f t="shared" si="36"/>
      </c>
      <c r="S163" s="619">
        <f t="shared" si="411"/>
      </c>
      <c r="T163" s="621">
        <f t="shared" ref="T163:T173" si="482">AE163/AB163</f>
      </c>
      <c r="U163" s="621">
        <f t="shared" ref="U163:U173" si="238">AF163/AB163</f>
      </c>
      <c r="V163" s="621">
        <f t="shared" ref="V163:V173" si="323">AG163/AB163</f>
      </c>
      <c r="W163" s="621">
        <f t="shared" si="140"/>
      </c>
      <c r="X163" s="653" t="s">
        <v>327</v>
      </c>
      <c r="Y163" s="613" t="s">
        <v>348</v>
      </c>
      <c r="Z163" s="622">
        <v>192471</v>
      </c>
      <c r="AA163" s="622">
        <v>5246</v>
      </c>
      <c r="AB163" s="622">
        <v>66710</v>
      </c>
      <c r="AC163" s="676">
        <v>1264</v>
      </c>
      <c r="AD163" s="676">
        <v>5</v>
      </c>
      <c r="AE163" s="676">
        <v>3203</v>
      </c>
      <c r="AF163" s="676">
        <v>224</v>
      </c>
      <c r="AG163" s="676">
        <v>70</v>
      </c>
      <c r="AH163" s="676">
        <v>18</v>
      </c>
      <c r="AI163" s="623">
        <v>3</v>
      </c>
    </row>
    <row r="164">
      <c r="A164" s="612"/>
      <c r="B164" s="613" t="s">
        <v>354</v>
      </c>
      <c r="C164" s="616" t="s">
        <v>326</v>
      </c>
      <c r="D164" s="669">
        <v>1326.64</v>
      </c>
      <c r="E164" s="667">
        <v>0</v>
      </c>
      <c r="F164" s="647">
        <v>0</v>
      </c>
      <c r="G164" s="671">
        <f t="shared" si="358"/>
      </c>
      <c r="H164" s="617">
        <f t="shared" si="523"/>
      </c>
      <c r="I164" s="618">
        <f t="shared" si="10"/>
      </c>
      <c r="J164" s="619">
        <f t="shared" si="385"/>
      </c>
      <c r="K164" s="620">
        <f t="shared" si="440"/>
      </c>
      <c r="L164" s="617">
        <f t="shared" si="196"/>
      </c>
      <c r="M164" s="617">
        <f t="shared" si="281"/>
      </c>
      <c r="N164" s="621">
        <f t="shared" si="65"/>
      </c>
      <c r="O164" s="621">
        <f t="shared" si="107"/>
      </c>
      <c r="P164" s="621">
        <f t="shared" si="167"/>
      </c>
      <c r="Q164" s="621">
        <f t="shared" si="551"/>
      </c>
      <c r="R164" s="617">
        <f t="shared" si="36"/>
      </c>
      <c r="S164" s="619">
        <f t="shared" si="411"/>
      </c>
      <c r="T164" s="621">
        <f t="shared" si="482"/>
      </c>
      <c r="U164" s="621">
        <f t="shared" si="238"/>
      </c>
      <c r="V164" s="621">
        <f t="shared" si="323"/>
      </c>
      <c r="W164" s="621">
        <f t="shared" si="140"/>
      </c>
      <c r="X164" s="653" t="s">
        <v>327</v>
      </c>
      <c r="Y164" s="613" t="s">
        <v>355</v>
      </c>
      <c r="Z164" s="622">
        <v>193834</v>
      </c>
      <c r="AA164" s="622">
        <v>7739</v>
      </c>
      <c r="AB164" s="622">
        <v>108673</v>
      </c>
      <c r="AC164" s="622">
        <v>977</v>
      </c>
      <c r="AD164" s="622">
        <v>2</v>
      </c>
      <c r="AE164" s="622">
        <v>5161</v>
      </c>
      <c r="AF164" s="622">
        <v>203</v>
      </c>
      <c r="AG164" s="622">
        <v>87</v>
      </c>
      <c r="AH164" s="622">
        <v>8</v>
      </c>
      <c r="AI164" s="623">
        <v>0</v>
      </c>
    </row>
    <row r="165">
      <c r="A165" s="612"/>
      <c r="B165" s="613" t="s">
        <v>354</v>
      </c>
      <c r="C165" s="616" t="s">
        <v>329</v>
      </c>
      <c r="D165" s="669">
        <v>2238.949</v>
      </c>
      <c r="E165" s="667">
        <v>4</v>
      </c>
      <c r="F165" s="647">
        <v>1511.9999999999964</v>
      </c>
      <c r="G165" s="671">
        <f t="shared" si="358"/>
      </c>
      <c r="H165" s="617">
        <f t="shared" si="523"/>
      </c>
      <c r="I165" s="618">
        <f t="shared" si="10"/>
      </c>
      <c r="J165" s="619">
        <f t="shared" si="385"/>
      </c>
      <c r="K165" s="620">
        <f t="shared" si="440"/>
      </c>
      <c r="L165" s="617">
        <f t="shared" si="196"/>
      </c>
      <c r="M165" s="617">
        <f t="shared" si="281"/>
      </c>
      <c r="N165" s="621">
        <f t="shared" si="65"/>
      </c>
      <c r="O165" s="621">
        <f t="shared" si="107"/>
      </c>
      <c r="P165" s="621">
        <f t="shared" si="167"/>
      </c>
      <c r="Q165" s="621">
        <f t="shared" si="551"/>
      </c>
      <c r="R165" s="617">
        <f t="shared" si="36"/>
      </c>
      <c r="S165" s="619">
        <f t="shared" si="411"/>
      </c>
      <c r="T165" s="621">
        <f t="shared" si="482"/>
      </c>
      <c r="U165" s="621">
        <f t="shared" si="238"/>
      </c>
      <c r="V165" s="621">
        <f t="shared" si="323"/>
      </c>
      <c r="W165" s="621">
        <f t="shared" si="140"/>
      </c>
      <c r="X165" s="653" t="s">
        <v>327</v>
      </c>
      <c r="Y165" s="613" t="s">
        <v>355</v>
      </c>
      <c r="Z165" s="622">
        <v>330771</v>
      </c>
      <c r="AA165" s="622">
        <v>11756</v>
      </c>
      <c r="AB165" s="622">
        <v>186302</v>
      </c>
      <c r="AC165" s="622">
        <v>1396</v>
      </c>
      <c r="AD165" s="622">
        <v>4</v>
      </c>
      <c r="AE165" s="622">
        <v>8070</v>
      </c>
      <c r="AF165" s="622">
        <v>284</v>
      </c>
      <c r="AG165" s="622">
        <v>164</v>
      </c>
      <c r="AH165" s="622">
        <v>16</v>
      </c>
      <c r="AI165" s="623">
        <v>0</v>
      </c>
    </row>
    <row r="166">
      <c r="A166" s="612"/>
      <c r="B166" s="625" t="s">
        <v>332</v>
      </c>
      <c r="C166" s="625"/>
      <c r="D166" s="626">
        <f>SUM(D161:D165)</f>
      </c>
      <c r="E166" s="627">
        <f>SUM(E161:E165)</f>
      </c>
      <c r="F166" s="626">
        <f>SUM(F161:F165)</f>
      </c>
      <c r="G166" s="626">
        <f t="shared" si="358"/>
      </c>
      <c r="H166" s="628">
        <f t="shared" si="523"/>
      </c>
      <c r="I166" s="629">
        <f t="shared" si="10"/>
      </c>
      <c r="J166" s="630">
        <f t="shared" si="385"/>
      </c>
      <c r="K166" s="631">
        <f t="shared" si="440"/>
      </c>
      <c r="L166" s="628">
        <f t="shared" si="196"/>
      </c>
      <c r="M166" s="628">
        <f t="shared" si="281"/>
      </c>
      <c r="N166" s="632">
        <f t="shared" si="65"/>
      </c>
      <c r="O166" s="632">
        <f t="shared" si="107"/>
      </c>
      <c r="P166" s="632">
        <f t="shared" si="167"/>
      </c>
      <c r="Q166" s="632">
        <f t="shared" si="551"/>
      </c>
      <c r="R166" s="628">
        <f t="shared" si="36"/>
      </c>
      <c r="S166" s="630">
        <f t="shared" si="411"/>
      </c>
      <c r="T166" s="632">
        <f t="shared" si="482"/>
      </c>
      <c r="U166" s="632">
        <f t="shared" si="238"/>
      </c>
      <c r="V166" s="632">
        <f t="shared" si="323"/>
      </c>
      <c r="W166" s="632">
        <f t="shared" si="140"/>
      </c>
      <c r="X166" s="632"/>
      <c r="Y166" s="633"/>
      <c r="Z166" s="626">
        <f>SUM(Z161:Z165)</f>
      </c>
      <c r="AA166" s="626">
        <f>SUM(AA161:AA165)</f>
      </c>
      <c r="AB166" s="626">
        <f>SUM(AB161:AB165)</f>
      </c>
      <c r="AC166" s="626">
        <f>SUM(AC161:AC165)</f>
      </c>
      <c r="AD166" s="626">
        <f>SUM(AD161:AD165)</f>
      </c>
      <c r="AE166" s="626">
        <f>SUM(AE161:AE165)</f>
      </c>
      <c r="AF166" s="626">
        <f>SUM(AF161:AF165)</f>
      </c>
      <c r="AG166" s="626">
        <f>SUM(AG161:AG165)</f>
      </c>
      <c r="AH166" s="626">
        <f>SUM(AH161:AH165)</f>
      </c>
      <c r="AI166" s="626">
        <f>SUM(AI161:AI165)</f>
      </c>
    </row>
    <row r="167">
      <c r="A167" s="612"/>
      <c r="B167" s="613" t="s">
        <v>325</v>
      </c>
      <c r="C167" s="616" t="s">
        <v>330</v>
      </c>
      <c r="D167" s="614">
        <v>2201.755</v>
      </c>
      <c r="E167" s="615">
        <v>6</v>
      </c>
      <c r="F167" s="647">
        <v>1262.300000000003</v>
      </c>
      <c r="G167" s="671">
        <f t="shared" si="358"/>
      </c>
      <c r="H167" s="617">
        <f t="shared" si="523"/>
      </c>
      <c r="I167" s="618">
        <f t="shared" si="10"/>
      </c>
      <c r="J167" s="619">
        <f t="shared" si="385"/>
      </c>
      <c r="K167" s="620">
        <f t="shared" si="440"/>
      </c>
      <c r="L167" s="617">
        <f t="shared" si="196"/>
      </c>
      <c r="M167" s="622">
        <f t="shared" si="281"/>
      </c>
      <c r="N167" s="621">
        <f t="shared" si="65"/>
      </c>
      <c r="O167" s="621">
        <f t="shared" si="107"/>
      </c>
      <c r="P167" s="621">
        <f t="shared" si="167"/>
      </c>
      <c r="Q167" s="621">
        <f t="shared" si="551"/>
      </c>
      <c r="R167" s="617">
        <f t="shared" si="36"/>
      </c>
      <c r="S167" s="619">
        <f t="shared" si="411"/>
      </c>
      <c r="T167" s="621">
        <f t="shared" si="482"/>
      </c>
      <c r="U167" s="621">
        <f t="shared" si="238"/>
      </c>
      <c r="V167" s="621">
        <f t="shared" si="323"/>
      </c>
      <c r="W167" s="621">
        <f t="shared" si="140"/>
      </c>
      <c r="X167" s="653" t="s">
        <v>327</v>
      </c>
      <c r="Y167" s="613" t="s">
        <v>355</v>
      </c>
      <c r="Z167" s="622">
        <v>352026</v>
      </c>
      <c r="AA167" s="622">
        <v>11748</v>
      </c>
      <c r="AB167" s="622">
        <v>205268</v>
      </c>
      <c r="AC167" s="622">
        <v>1363</v>
      </c>
      <c r="AD167" s="622">
        <v>4</v>
      </c>
      <c r="AE167" s="622">
        <v>8860</v>
      </c>
      <c r="AF167" s="622">
        <v>305</v>
      </c>
      <c r="AG167" s="622">
        <v>205</v>
      </c>
      <c r="AH167" s="623">
        <v>12</v>
      </c>
      <c r="AI167" s="623">
        <v>1</v>
      </c>
    </row>
    <row r="168">
      <c r="A168" s="612"/>
      <c r="B168" s="613" t="s">
        <v>325</v>
      </c>
      <c r="C168" s="616" t="s">
        <v>331</v>
      </c>
      <c r="D168" s="614">
        <v>3785.946</v>
      </c>
      <c r="E168" s="615">
        <v>13</v>
      </c>
      <c r="F168" s="647">
        <v>3479.0999999999985</v>
      </c>
      <c r="G168" s="671">
        <f t="shared" si="358"/>
      </c>
      <c r="H168" s="617">
        <f t="shared" si="523"/>
      </c>
      <c r="I168" s="618">
        <f t="shared" si="10"/>
      </c>
      <c r="J168" s="619">
        <f t="shared" si="385"/>
      </c>
      <c r="K168" s="620">
        <f t="shared" si="440"/>
      </c>
      <c r="L168" s="617">
        <f t="shared" si="196"/>
      </c>
      <c r="M168" s="617">
        <f t="shared" si="281"/>
      </c>
      <c r="N168" s="621">
        <f t="shared" si="65"/>
      </c>
      <c r="O168" s="621">
        <f t="shared" si="107"/>
      </c>
      <c r="P168" s="621">
        <f t="shared" si="167"/>
      </c>
      <c r="Q168" s="621">
        <f t="shared" si="551"/>
      </c>
      <c r="R168" s="617">
        <f t="shared" si="36"/>
      </c>
      <c r="S168" s="619">
        <f t="shared" si="411"/>
      </c>
      <c r="T168" s="621">
        <f t="shared" si="482"/>
      </c>
      <c r="U168" s="621">
        <f t="shared" si="238"/>
      </c>
      <c r="V168" s="621">
        <f t="shared" si="323"/>
      </c>
      <c r="W168" s="621">
        <f t="shared" si="140"/>
      </c>
      <c r="X168" s="653" t="s">
        <v>327</v>
      </c>
      <c r="Y168" s="613" t="s">
        <v>351</v>
      </c>
      <c r="Z168" s="622">
        <v>647187</v>
      </c>
      <c r="AA168" s="622">
        <v>18921</v>
      </c>
      <c r="AB168" s="622">
        <v>340451</v>
      </c>
      <c r="AC168" s="622">
        <v>1969</v>
      </c>
      <c r="AD168" s="622">
        <v>10</v>
      </c>
      <c r="AE168" s="622">
        <v>13768</v>
      </c>
      <c r="AF168" s="622">
        <v>322</v>
      </c>
      <c r="AG168" s="622">
        <v>301</v>
      </c>
      <c r="AH168" s="622">
        <v>20</v>
      </c>
      <c r="AI168" s="623">
        <v>2</v>
      </c>
    </row>
    <row r="169">
      <c r="A169" s="612"/>
      <c r="B169" s="613" t="s">
        <v>325</v>
      </c>
      <c r="C169" s="616" t="s">
        <v>334</v>
      </c>
      <c r="D169" s="614">
        <v>3054.0370000000003</v>
      </c>
      <c r="E169" s="615">
        <v>10</v>
      </c>
      <c r="F169" s="647">
        <v>4866.4000000000015</v>
      </c>
      <c r="G169" s="671">
        <f t="shared" si="358"/>
      </c>
      <c r="H169" s="617">
        <f t="shared" si="523"/>
      </c>
      <c r="I169" s="618">
        <f t="shared" si="10"/>
      </c>
      <c r="J169" s="619">
        <f t="shared" si="385"/>
      </c>
      <c r="K169" s="620">
        <f t="shared" si="440"/>
      </c>
      <c r="L169" s="617">
        <f t="shared" si="196"/>
      </c>
      <c r="M169" s="617">
        <f t="shared" si="281"/>
      </c>
      <c r="N169" s="621">
        <f t="shared" si="65"/>
      </c>
      <c r="O169" s="621">
        <f t="shared" si="107"/>
      </c>
      <c r="P169" s="621">
        <f t="shared" si="167"/>
      </c>
      <c r="Q169" s="621">
        <f t="shared" si="551"/>
      </c>
      <c r="R169" s="617">
        <f t="shared" si="36"/>
      </c>
      <c r="S169" s="619">
        <f t="shared" si="411"/>
      </c>
      <c r="T169" s="621">
        <f t="shared" si="482"/>
      </c>
      <c r="U169" s="621">
        <f t="shared" si="238"/>
      </c>
      <c r="V169" s="621">
        <f t="shared" si="323"/>
      </c>
      <c r="W169" s="621">
        <f t="shared" si="140"/>
      </c>
      <c r="X169" s="653" t="s">
        <v>327</v>
      </c>
      <c r="Y169" s="613" t="s">
        <v>351</v>
      </c>
      <c r="Z169" s="622">
        <v>540372</v>
      </c>
      <c r="AA169" s="622">
        <v>16035</v>
      </c>
      <c r="AB169" s="622">
        <v>237959</v>
      </c>
      <c r="AC169" s="622">
        <v>2011</v>
      </c>
      <c r="AD169" s="622">
        <v>8</v>
      </c>
      <c r="AE169" s="622">
        <v>10443</v>
      </c>
      <c r="AF169" s="622">
        <v>370</v>
      </c>
      <c r="AG169" s="622">
        <v>294</v>
      </c>
      <c r="AH169" s="622">
        <v>15</v>
      </c>
      <c r="AI169" s="623">
        <v>2</v>
      </c>
    </row>
    <row r="170">
      <c r="A170" s="612"/>
      <c r="B170" s="613" t="s">
        <v>325</v>
      </c>
      <c r="C170" s="616" t="s">
        <v>335</v>
      </c>
      <c r="D170" s="614">
        <v>3200.077</v>
      </c>
      <c r="E170" s="615">
        <v>4</v>
      </c>
      <c r="F170" s="647">
        <v>1511.9999999999964</v>
      </c>
      <c r="G170" s="671">
        <f t="shared" si="358"/>
      </c>
      <c r="H170" s="617">
        <f t="shared" si="523"/>
      </c>
      <c r="I170" s="618">
        <f t="shared" si="10"/>
      </c>
      <c r="J170" s="619">
        <f t="shared" si="385"/>
      </c>
      <c r="K170" s="620">
        <f t="shared" si="440"/>
      </c>
      <c r="L170" s="617">
        <f t="shared" si="196"/>
      </c>
      <c r="M170" s="617">
        <f t="shared" si="281"/>
      </c>
      <c r="N170" s="621">
        <f t="shared" si="65"/>
      </c>
      <c r="O170" s="621">
        <f t="shared" si="107"/>
      </c>
      <c r="P170" s="621">
        <f t="shared" si="167"/>
      </c>
      <c r="Q170" s="621">
        <f t="shared" si="551"/>
      </c>
      <c r="R170" s="617">
        <f t="shared" si="36"/>
      </c>
      <c r="S170" s="619">
        <f t="shared" si="411"/>
      </c>
      <c r="T170" s="621">
        <f t="shared" si="482"/>
      </c>
      <c r="U170" s="621">
        <f t="shared" si="238"/>
      </c>
      <c r="V170" s="621">
        <f t="shared" si="323"/>
      </c>
      <c r="W170" s="621">
        <f t="shared" si="140"/>
      </c>
      <c r="X170" s="653" t="s">
        <v>327</v>
      </c>
      <c r="Y170" s="613" t="s">
        <v>351</v>
      </c>
      <c r="Z170" s="622">
        <v>589477</v>
      </c>
      <c r="AA170" s="622">
        <v>16225</v>
      </c>
      <c r="AB170" s="622">
        <v>420880</v>
      </c>
      <c r="AC170" s="622">
        <v>1820</v>
      </c>
      <c r="AD170" s="622">
        <v>5</v>
      </c>
      <c r="AE170" s="622">
        <v>14359</v>
      </c>
      <c r="AF170" s="622">
        <v>309</v>
      </c>
      <c r="AG170" s="622">
        <v>330</v>
      </c>
      <c r="AH170" s="622">
        <v>28</v>
      </c>
      <c r="AI170" s="623">
        <v>0</v>
      </c>
    </row>
    <row r="171">
      <c r="A171" s="612"/>
      <c r="B171" s="613" t="s">
        <v>325</v>
      </c>
      <c r="C171" s="616" t="s">
        <v>336</v>
      </c>
      <c r="D171" s="614">
        <v>1568.269</v>
      </c>
      <c r="E171" s="615">
        <v>4</v>
      </c>
      <c r="F171" s="647">
        <v>1406.3000000000065</v>
      </c>
      <c r="G171" s="671">
        <f t="shared" si="358"/>
      </c>
      <c r="H171" s="617">
        <f t="shared" si="523"/>
      </c>
      <c r="I171" s="618">
        <f t="shared" si="10"/>
      </c>
      <c r="J171" s="619">
        <f t="shared" si="385"/>
      </c>
      <c r="K171" s="620">
        <f t="shared" si="440"/>
      </c>
      <c r="L171" s="617">
        <f t="shared" si="196"/>
      </c>
      <c r="M171" s="617">
        <f t="shared" si="281"/>
      </c>
      <c r="N171" s="621">
        <f t="shared" si="65"/>
      </c>
      <c r="O171" s="621">
        <f t="shared" si="107"/>
      </c>
      <c r="P171" s="621">
        <f t="shared" si="167"/>
      </c>
      <c r="Q171" s="621">
        <f t="shared" si="551"/>
      </c>
      <c r="R171" s="617">
        <f t="shared" si="36"/>
      </c>
      <c r="S171" s="619">
        <f t="shared" si="411"/>
      </c>
      <c r="T171" s="621">
        <f t="shared" si="482"/>
      </c>
      <c r="U171" s="621">
        <f t="shared" si="238"/>
      </c>
      <c r="V171" s="621">
        <f t="shared" si="323"/>
      </c>
      <c r="W171" s="621">
        <f t="shared" si="140"/>
      </c>
      <c r="X171" s="653" t="s">
        <v>327</v>
      </c>
      <c r="Y171" s="613" t="s">
        <v>351</v>
      </c>
      <c r="Z171" s="622">
        <v>321503</v>
      </c>
      <c r="AA171" s="622">
        <v>10659</v>
      </c>
      <c r="AB171" s="622">
        <v>245503</v>
      </c>
      <c r="AC171" s="622">
        <v>973</v>
      </c>
      <c r="AD171" s="622">
        <v>2</v>
      </c>
      <c r="AE171" s="622">
        <v>11222</v>
      </c>
      <c r="AF171" s="622">
        <v>190</v>
      </c>
      <c r="AG171" s="622">
        <v>268</v>
      </c>
      <c r="AH171" s="622">
        <v>29</v>
      </c>
      <c r="AI171" s="623">
        <v>1</v>
      </c>
    </row>
    <row r="172">
      <c r="A172" s="612"/>
      <c r="B172" s="625" t="s">
        <v>332</v>
      </c>
      <c r="C172" s="625"/>
      <c r="D172" s="626">
        <f>SUM(D167:D171)</f>
      </c>
      <c r="E172" s="627">
        <f>SUM(E167:E171)</f>
      </c>
      <c r="F172" s="626">
        <f>SUM(F167:F171)</f>
      </c>
      <c r="G172" s="626">
        <f t="shared" si="358"/>
      </c>
      <c r="H172" s="628">
        <f t="shared" si="523"/>
      </c>
      <c r="I172" s="629">
        <f t="shared" si="10"/>
      </c>
      <c r="J172" s="630">
        <f t="shared" si="385"/>
      </c>
      <c r="K172" s="631">
        <f t="shared" si="440"/>
      </c>
      <c r="L172" s="628">
        <f t="shared" si="196"/>
      </c>
      <c r="M172" s="628">
        <f t="shared" si="281"/>
      </c>
      <c r="N172" s="632">
        <f t="shared" si="65"/>
      </c>
      <c r="O172" s="632">
        <f t="shared" si="107"/>
      </c>
      <c r="P172" s="632">
        <f t="shared" si="167"/>
      </c>
      <c r="Q172" s="632">
        <f t="shared" si="551"/>
      </c>
      <c r="R172" s="628">
        <f t="shared" si="36"/>
      </c>
      <c r="S172" s="630">
        <f t="shared" si="411"/>
      </c>
      <c r="T172" s="632">
        <f t="shared" si="482"/>
      </c>
      <c r="U172" s="632">
        <f t="shared" si="238"/>
      </c>
      <c r="V172" s="632">
        <f t="shared" si="323"/>
      </c>
      <c r="W172" s="632">
        <f t="shared" si="140"/>
      </c>
      <c r="X172" s="632"/>
      <c r="Y172" s="633"/>
      <c r="Z172" s="626">
        <f>SUM(Z167:Z171)</f>
      </c>
      <c r="AA172" s="626">
        <f>SUM(AA167:AA171)</f>
      </c>
      <c r="AB172" s="626">
        <f>SUM(AB167:AB171)</f>
      </c>
      <c r="AC172" s="626">
        <f>SUM(AC167:AC171)</f>
      </c>
      <c r="AD172" s="626">
        <f>SUM(AD167:AD171)</f>
      </c>
      <c r="AE172" s="626">
        <f>SUM(AE167:AE171)</f>
      </c>
      <c r="AF172" s="626">
        <f>SUM(AF167:AF171)</f>
      </c>
      <c r="AG172" s="626">
        <f>SUM(AG167:AG171)</f>
      </c>
      <c r="AH172" s="626">
        <f>SUM(AH167:AH171)</f>
      </c>
      <c r="AI172" s="626">
        <f>SUM(AI167:AI171)</f>
      </c>
    </row>
    <row r="173">
      <c r="A173" s="612"/>
      <c r="B173" s="678" t="s">
        <v>337</v>
      </c>
      <c r="C173" s="678"/>
      <c r="D173" s="679">
        <f>SUM(D172+D166+D160)</f>
      </c>
      <c r="E173" s="688">
        <f>SUM(E172+E166+E160)</f>
      </c>
      <c r="F173" s="679">
        <f>SUM(F172+F166+F160)</f>
      </c>
      <c r="G173" s="679">
        <f t="shared" si="358"/>
      </c>
      <c r="H173" s="680">
        <f t="shared" si="523"/>
      </c>
      <c r="I173" s="681">
        <f t="shared" si="10"/>
      </c>
      <c r="J173" s="682">
        <f t="shared" si="385"/>
      </c>
      <c r="K173" s="683">
        <f t="shared" si="440"/>
      </c>
      <c r="L173" s="683">
        <f t="shared" si="196"/>
      </c>
      <c r="M173" s="684">
        <f t="shared" si="281"/>
      </c>
      <c r="N173" s="685">
        <f t="shared" si="65"/>
      </c>
      <c r="O173" s="685">
        <f t="shared" si="107"/>
      </c>
      <c r="P173" s="685">
        <f t="shared" si="167"/>
      </c>
      <c r="Q173" s="685">
        <f t="shared" si="551"/>
      </c>
      <c r="R173" s="684">
        <f t="shared" si="36"/>
      </c>
      <c r="S173" s="686">
        <f t="shared" si="411"/>
      </c>
      <c r="T173" s="687">
        <f t="shared" si="482"/>
      </c>
      <c r="U173" s="687">
        <f t="shared" si="238"/>
      </c>
      <c r="V173" s="687">
        <f t="shared" si="323"/>
      </c>
      <c r="W173" s="687">
        <f t="shared" si="140"/>
      </c>
      <c r="X173" s="687"/>
      <c r="Y173" s="658"/>
      <c r="Z173" s="679">
        <f>SUM(Z172+Z166+Z160)</f>
      </c>
      <c r="AA173" s="679">
        <f>SUM(AA172+AA166+AA160)</f>
      </c>
      <c r="AB173" s="679">
        <f>SUM(AB172+AB166+AB160)</f>
      </c>
      <c r="AC173" s="679">
        <f>SUM(AC172+AC166+AC160)</f>
      </c>
      <c r="AD173" s="679">
        <f>SUM(AD172+AD166+AD160)</f>
      </c>
      <c r="AE173" s="679">
        <f>SUM(AE172+AE166+AE160)</f>
      </c>
      <c r="AF173" s="679">
        <f>SUM(AF172+AF166+AF160)</f>
      </c>
      <c r="AG173" s="679">
        <f>SUM(AG172+AG166+AG160)</f>
      </c>
      <c r="AH173" s="679">
        <f>SUM(AH172+AH166+AH160)</f>
      </c>
      <c r="AI173" s="679">
        <f>SUM(AI172+AI166+AI160)</f>
      </c>
    </row>
    <row r="174">
      <c r="A174" s="603" t="s">
        <v>291</v>
      </c>
      <c r="B174" s="594" t="s">
        <v>292</v>
      </c>
      <c r="C174" s="659" t="s">
        <v>293</v>
      </c>
      <c r="D174" s="689" t="s">
        <v>294</v>
      </c>
      <c r="E174" s="690" t="s">
        <v>295</v>
      </c>
      <c r="F174" s="662" t="s">
        <v>296</v>
      </c>
      <c r="G174" s="662" t="s">
        <v>349</v>
      </c>
      <c r="H174" s="595" t="s">
        <v>297</v>
      </c>
      <c r="I174" s="595" t="s">
        <v>298</v>
      </c>
      <c r="J174" s="595" t="s">
        <v>299</v>
      </c>
      <c r="K174" s="597" t="s">
        <v>300</v>
      </c>
      <c r="L174" s="597" t="s">
        <v>301</v>
      </c>
      <c r="M174" s="597" t="s">
        <v>302</v>
      </c>
      <c r="N174" s="597" t="s">
        <v>303</v>
      </c>
      <c r="O174" s="597" t="s">
        <v>304</v>
      </c>
      <c r="P174" s="597" t="s">
        <v>305</v>
      </c>
      <c r="Q174" s="597" t="s">
        <v>306</v>
      </c>
      <c r="R174" s="597" t="s">
        <v>307</v>
      </c>
      <c r="S174" s="597" t="s">
        <v>308</v>
      </c>
      <c r="T174" s="606" t="s">
        <v>309</v>
      </c>
      <c r="U174" s="606" t="s">
        <v>310</v>
      </c>
      <c r="V174" s="606" t="s">
        <v>311</v>
      </c>
      <c r="W174" s="606" t="s">
        <v>312</v>
      </c>
      <c r="X174" s="607" t="s">
        <v>313</v>
      </c>
      <c r="Y174" s="607" t="s">
        <v>314</v>
      </c>
      <c r="Z174" s="651" t="s">
        <v>315</v>
      </c>
      <c r="AA174" s="651" t="s">
        <v>316</v>
      </c>
      <c r="AB174" s="651" t="s">
        <v>317</v>
      </c>
      <c r="AC174" s="609" t="s">
        <v>318</v>
      </c>
      <c r="AD174" s="609" t="s">
        <v>319</v>
      </c>
      <c r="AE174" s="652" t="s">
        <v>320</v>
      </c>
      <c r="AF174" s="609" t="s">
        <v>321</v>
      </c>
      <c r="AG174" s="609" t="s">
        <v>322</v>
      </c>
      <c r="AH174" s="611" t="s">
        <v>323</v>
      </c>
      <c r="AI174" s="609" t="s">
        <v>324</v>
      </c>
    </row>
    <row r="175">
      <c r="A175" s="612">
        <v>46190</v>
      </c>
      <c r="B175" s="653" t="s">
        <v>333</v>
      </c>
      <c r="C175" s="611" t="s">
        <v>338</v>
      </c>
      <c r="D175" s="691">
        <v>1219.715</v>
      </c>
      <c r="E175" s="692">
        <v>1</v>
      </c>
      <c r="F175" s="665">
        <v>828</v>
      </c>
      <c r="G175" s="693">
        <f t="shared" ref="G175:G193" si="359">D175/AD175</f>
      </c>
      <c r="H175" s="617">
        <f t="shared" ref="H175:H193" si="524">F175/E175</f>
      </c>
      <c r="I175" s="618">
        <f t="shared" ref="I175:I193" si="11">D175/E175</f>
      </c>
      <c r="J175" s="619">
        <f t="shared" ref="J175:J193" si="386">F175/D175</f>
      </c>
      <c r="K175" s="620">
        <f t="shared" ref="K175:K181" si="441">D175/AB175</f>
      </c>
      <c r="L175" s="617">
        <f t="shared" ref="L175:L181" si="197">D175/AC175</f>
      </c>
      <c r="M175" s="617">
        <f t="shared" ref="M175:M181" si="282">D175/AD175</f>
      </c>
      <c r="N175" s="621">
        <f t="shared" ref="N175:N181" si="66">AC175/AB175</f>
      </c>
      <c r="O175" s="621">
        <f t="shared" ref="O175:O193" si="108">AD175/AC175</f>
      </c>
      <c r="P175" s="621">
        <f t="shared" ref="P175:P193" si="168">AA175/Z175</f>
      </c>
      <c r="Q175" s="621">
        <f t="shared" ref="Q175:Q181" si="552">AD175/AA175</f>
      </c>
      <c r="R175" s="617">
        <f t="shared" ref="R175:R193" si="37">D175/Z175*1000</f>
      </c>
      <c r="S175" s="619">
        <f t="shared" ref="S175:S193" si="412">D175/AA175</f>
      </c>
      <c r="T175" s="621">
        <f t="shared" ref="T175:T181" si="483">AE175/AB175</f>
      </c>
      <c r="U175" s="621">
        <f t="shared" ref="U175:U181" si="239">AF175/AB175</f>
      </c>
      <c r="V175" s="621">
        <f t="shared" ref="V175:V181" si="324">AG175/AB175</f>
      </c>
      <c r="W175" s="621">
        <f t="shared" ref="W175:W193" si="141">AH175/AB175</f>
      </c>
      <c r="X175" s="653" t="s">
        <v>327</v>
      </c>
      <c r="Y175" s="653" t="s">
        <v>348</v>
      </c>
      <c r="Z175" s="655">
        <v>154867</v>
      </c>
      <c r="AA175" s="655">
        <v>6906</v>
      </c>
      <c r="AB175" s="655">
        <v>84350</v>
      </c>
      <c r="AC175" s="655">
        <v>1004</v>
      </c>
      <c r="AD175" s="622">
        <v>1</v>
      </c>
      <c r="AE175" s="655">
        <v>13536</v>
      </c>
      <c r="AF175" s="622">
        <v>297</v>
      </c>
      <c r="AG175" s="622">
        <v>168</v>
      </c>
      <c r="AH175" s="622">
        <v>20</v>
      </c>
      <c r="AI175" s="623">
        <v>0</v>
      </c>
    </row>
    <row r="176">
      <c r="A176" s="656"/>
      <c r="B176" s="694" t="s">
        <v>333</v>
      </c>
      <c r="C176" s="611" t="s">
        <v>340</v>
      </c>
      <c r="D176" s="691">
        <v>1003.095</v>
      </c>
      <c r="E176" s="692">
        <v>1</v>
      </c>
      <c r="F176" s="665">
        <v>228</v>
      </c>
      <c r="G176" s="693">
        <f t="shared" si="359"/>
      </c>
      <c r="H176" s="617">
        <f t="shared" si="524"/>
      </c>
      <c r="I176" s="618">
        <f t="shared" si="11"/>
      </c>
      <c r="J176" s="619">
        <f t="shared" si="386"/>
      </c>
      <c r="K176" s="620">
        <f t="shared" si="441"/>
      </c>
      <c r="L176" s="617">
        <f t="shared" si="197"/>
      </c>
      <c r="M176" s="617">
        <f t="shared" si="282"/>
      </c>
      <c r="N176" s="621">
        <f t="shared" si="66"/>
      </c>
      <c r="O176" s="621">
        <f t="shared" si="108"/>
      </c>
      <c r="P176" s="621">
        <f t="shared" si="168"/>
      </c>
      <c r="Q176" s="621">
        <f t="shared" si="552"/>
      </c>
      <c r="R176" s="617">
        <f t="shared" si="37"/>
      </c>
      <c r="S176" s="619">
        <f t="shared" si="412"/>
      </c>
      <c r="T176" s="621">
        <f t="shared" si="483"/>
      </c>
      <c r="U176" s="621">
        <f t="shared" si="239"/>
      </c>
      <c r="V176" s="621">
        <f t="shared" si="324"/>
      </c>
      <c r="W176" s="621">
        <f t="shared" si="141"/>
      </c>
      <c r="X176" s="653" t="s">
        <v>327</v>
      </c>
      <c r="Y176" s="653" t="s">
        <v>348</v>
      </c>
      <c r="Z176" s="655">
        <v>127691</v>
      </c>
      <c r="AA176" s="655">
        <v>4311</v>
      </c>
      <c r="AB176" s="655">
        <v>53653</v>
      </c>
      <c r="AC176" s="655">
        <v>989</v>
      </c>
      <c r="AD176" s="622">
        <v>1</v>
      </c>
      <c r="AE176" s="655">
        <v>6135</v>
      </c>
      <c r="AF176" s="622">
        <v>211</v>
      </c>
      <c r="AG176" s="622">
        <v>109</v>
      </c>
      <c r="AH176" s="622">
        <v>16</v>
      </c>
      <c r="AI176" s="623">
        <v>0</v>
      </c>
    </row>
    <row r="177">
      <c r="A177" s="656"/>
      <c r="B177" s="693" t="s">
        <v>333</v>
      </c>
      <c r="C177" s="695" t="s">
        <v>341</v>
      </c>
      <c r="D177" s="691">
        <v>723.372</v>
      </c>
      <c r="E177" s="692">
        <v>3</v>
      </c>
      <c r="F177" s="665">
        <v>652</v>
      </c>
      <c r="G177" s="693">
        <f t="shared" si="359"/>
      </c>
      <c r="H177" s="617">
        <f t="shared" si="524"/>
      </c>
      <c r="I177" s="618">
        <f t="shared" si="11"/>
      </c>
      <c r="J177" s="619">
        <f t="shared" si="386"/>
      </c>
      <c r="K177" s="620">
        <f t="shared" si="441"/>
      </c>
      <c r="L177" s="617">
        <f t="shared" si="197"/>
      </c>
      <c r="M177" s="617">
        <f t="shared" si="282"/>
      </c>
      <c r="N177" s="621">
        <f t="shared" si="66"/>
      </c>
      <c r="O177" s="621">
        <f t="shared" si="108"/>
      </c>
      <c r="P177" s="621">
        <f t="shared" si="168"/>
      </c>
      <c r="Q177" s="621">
        <f t="shared" si="552"/>
      </c>
      <c r="R177" s="617">
        <f t="shared" si="37"/>
      </c>
      <c r="S177" s="619">
        <f t="shared" si="412"/>
      </c>
      <c r="T177" s="621">
        <f t="shared" si="483"/>
      </c>
      <c r="U177" s="621">
        <f t="shared" si="239"/>
      </c>
      <c r="V177" s="621">
        <f t="shared" si="324"/>
      </c>
      <c r="W177" s="621">
        <f t="shared" si="141"/>
      </c>
      <c r="X177" s="693" t="s">
        <v>327</v>
      </c>
      <c r="Y177" s="693" t="s">
        <v>348</v>
      </c>
      <c r="Z177" s="622">
        <v>84890</v>
      </c>
      <c r="AA177" s="622">
        <v>3307</v>
      </c>
      <c r="AB177" s="622">
        <v>41168</v>
      </c>
      <c r="AC177" s="622">
        <v>649</v>
      </c>
      <c r="AD177" s="622">
        <v>3</v>
      </c>
      <c r="AE177" s="622">
        <v>3693</v>
      </c>
      <c r="AF177" s="622">
        <v>170</v>
      </c>
      <c r="AG177" s="622">
        <v>55</v>
      </c>
      <c r="AH177" s="622">
        <v>7</v>
      </c>
      <c r="AI177" s="623">
        <v>0</v>
      </c>
    </row>
    <row r="178">
      <c r="A178" s="656"/>
      <c r="B178" s="696" t="s">
        <v>333</v>
      </c>
      <c r="C178" s="697" t="s">
        <v>342</v>
      </c>
      <c r="D178" s="669">
        <v>1026.463</v>
      </c>
      <c r="E178" s="667">
        <v>4</v>
      </c>
      <c r="F178" s="647">
        <v>2673.6</v>
      </c>
      <c r="G178" s="693">
        <f t="shared" si="359"/>
      </c>
      <c r="H178" s="617">
        <f t="shared" si="524"/>
      </c>
      <c r="I178" s="618">
        <f t="shared" si="11"/>
      </c>
      <c r="J178" s="619">
        <f t="shared" si="386"/>
      </c>
      <c r="K178" s="620">
        <f t="shared" si="441"/>
      </c>
      <c r="L178" s="617">
        <f t="shared" si="197"/>
      </c>
      <c r="M178" s="617">
        <f t="shared" si="282"/>
      </c>
      <c r="N178" s="621">
        <f t="shared" si="66"/>
      </c>
      <c r="O178" s="621">
        <f t="shared" si="108"/>
      </c>
      <c r="P178" s="621">
        <f t="shared" si="168"/>
      </c>
      <c r="Q178" s="621">
        <f t="shared" si="552"/>
      </c>
      <c r="R178" s="617">
        <f t="shared" si="37"/>
      </c>
      <c r="S178" s="619">
        <f t="shared" si="412"/>
      </c>
      <c r="T178" s="621">
        <f t="shared" si="483"/>
      </c>
      <c r="U178" s="621">
        <f t="shared" si="239"/>
      </c>
      <c r="V178" s="621">
        <f t="shared" si="324"/>
      </c>
      <c r="W178" s="621">
        <f t="shared" si="141"/>
      </c>
      <c r="X178" s="696" t="s">
        <v>327</v>
      </c>
      <c r="Y178" s="696" t="s">
        <v>348</v>
      </c>
      <c r="Z178" s="622">
        <v>139385</v>
      </c>
      <c r="AA178" s="622">
        <v>4039</v>
      </c>
      <c r="AB178" s="622">
        <v>67947</v>
      </c>
      <c r="AC178" s="622">
        <v>836</v>
      </c>
      <c r="AD178" s="622">
        <v>3</v>
      </c>
      <c r="AE178" s="622">
        <v>4225</v>
      </c>
      <c r="AF178" s="622">
        <v>153</v>
      </c>
      <c r="AG178" s="622">
        <v>72</v>
      </c>
      <c r="AH178" s="622">
        <v>7</v>
      </c>
      <c r="AI178" s="623">
        <v>1</v>
      </c>
    </row>
    <row r="179">
      <c r="A179" s="656"/>
      <c r="B179" s="696" t="s">
        <v>333</v>
      </c>
      <c r="C179" s="697" t="s">
        <v>343</v>
      </c>
      <c r="D179" s="669">
        <v>1356.286</v>
      </c>
      <c r="E179" s="667">
        <v>1</v>
      </c>
      <c r="F179" s="647">
        <v>228</v>
      </c>
      <c r="G179" s="693">
        <f t="shared" si="359"/>
      </c>
      <c r="H179" s="617">
        <f t="shared" si="524"/>
      </c>
      <c r="I179" s="618">
        <f t="shared" si="11"/>
      </c>
      <c r="J179" s="619">
        <f t="shared" si="386"/>
      </c>
      <c r="K179" s="620">
        <f t="shared" si="441"/>
      </c>
      <c r="L179" s="617">
        <f t="shared" si="197"/>
      </c>
      <c r="M179" s="617">
        <f t="shared" si="282"/>
      </c>
      <c r="N179" s="621">
        <f t="shared" si="66"/>
      </c>
      <c r="O179" s="621">
        <f t="shared" si="108"/>
      </c>
      <c r="P179" s="621">
        <f t="shared" si="168"/>
      </c>
      <c r="Q179" s="621">
        <f t="shared" si="552"/>
      </c>
      <c r="R179" s="617">
        <f t="shared" si="37"/>
      </c>
      <c r="S179" s="619">
        <f t="shared" si="412"/>
      </c>
      <c r="T179" s="621">
        <f t="shared" si="483"/>
      </c>
      <c r="U179" s="621">
        <f t="shared" si="239"/>
      </c>
      <c r="V179" s="621">
        <f t="shared" si="324"/>
      </c>
      <c r="W179" s="621">
        <f t="shared" si="141"/>
      </c>
      <c r="X179" s="696" t="s">
        <v>327</v>
      </c>
      <c r="Y179" s="696" t="s">
        <v>348</v>
      </c>
      <c r="Z179" s="622">
        <v>197961</v>
      </c>
      <c r="AA179" s="622">
        <v>3834</v>
      </c>
      <c r="AB179" s="622">
        <v>114257</v>
      </c>
      <c r="AC179" s="622">
        <v>775</v>
      </c>
      <c r="AD179" s="622">
        <v>1</v>
      </c>
      <c r="AE179" s="622">
        <v>3782</v>
      </c>
      <c r="AF179" s="622">
        <v>140</v>
      </c>
      <c r="AG179" s="622">
        <v>49</v>
      </c>
      <c r="AH179" s="622">
        <v>16</v>
      </c>
      <c r="AI179" s="623">
        <v>0</v>
      </c>
    </row>
    <row r="180">
      <c r="A180" s="656"/>
      <c r="B180" s="625" t="s">
        <v>332</v>
      </c>
      <c r="C180" s="625"/>
      <c r="D180" s="626">
        <f>SUM(D175:D179)</f>
      </c>
      <c r="E180" s="627">
        <f>SUM(E175:E179)</f>
      </c>
      <c r="F180" s="626">
        <f>SUM(F175:F179)</f>
      </c>
      <c r="G180" s="626">
        <f t="shared" si="359"/>
      </c>
      <c r="H180" s="628">
        <f t="shared" si="524"/>
      </c>
      <c r="I180" s="629">
        <f t="shared" si="11"/>
      </c>
      <c r="J180" s="630">
        <f t="shared" si="386"/>
      </c>
      <c r="K180" s="631">
        <f t="shared" si="441"/>
      </c>
      <c r="L180" s="628">
        <f t="shared" si="197"/>
      </c>
      <c r="M180" s="628">
        <f t="shared" si="282"/>
      </c>
      <c r="N180" s="632">
        <f t="shared" si="66"/>
      </c>
      <c r="O180" s="632">
        <f t="shared" si="108"/>
      </c>
      <c r="P180" s="632">
        <f t="shared" si="168"/>
      </c>
      <c r="Q180" s="632">
        <f t="shared" si="552"/>
      </c>
      <c r="R180" s="628">
        <f t="shared" si="37"/>
      </c>
      <c r="S180" s="630">
        <f t="shared" si="412"/>
      </c>
      <c r="T180" s="632">
        <f t="shared" si="483"/>
      </c>
      <c r="U180" s="632">
        <f t="shared" si="239"/>
      </c>
      <c r="V180" s="632">
        <f t="shared" si="324"/>
      </c>
      <c r="W180" s="632">
        <f t="shared" si="141"/>
      </c>
      <c r="X180" s="632"/>
      <c r="Y180" s="698"/>
      <c r="Z180" s="626">
        <f>SUM(Z175:Z179)</f>
      </c>
      <c r="AA180" s="626">
        <f>SUM(AA175:AA179)</f>
      </c>
      <c r="AB180" s="626">
        <f>SUM(AB175:AB179)</f>
      </c>
      <c r="AC180" s="626">
        <f>SUM(AC175:AC179)</f>
      </c>
      <c r="AD180" s="626">
        <f>SUM(AD175:AD179)</f>
      </c>
      <c r="AE180" s="626">
        <f>SUM(AE175:AE179)</f>
      </c>
      <c r="AF180" s="626">
        <f>SUM(AF175:AF179)</f>
      </c>
      <c r="AG180" s="626">
        <f>SUM(AG175:AG179)</f>
      </c>
      <c r="AH180" s="626">
        <f>SUM(AH175:AH179)</f>
      </c>
      <c r="AI180" s="626">
        <f>SUM(AI175:AI179)</f>
      </c>
    </row>
    <row r="181">
      <c r="A181" s="656"/>
      <c r="B181" s="696" t="s">
        <v>354</v>
      </c>
      <c r="C181" s="699" t="s">
        <v>344</v>
      </c>
      <c r="D181" s="691">
        <v>1179.4</v>
      </c>
      <c r="E181" s="692">
        <v>1</v>
      </c>
      <c r="F181" s="665">
        <v>228</v>
      </c>
      <c r="G181" s="693">
        <f t="shared" si="359"/>
      </c>
      <c r="H181" s="617">
        <f t="shared" si="524"/>
      </c>
      <c r="I181" s="618">
        <f t="shared" si="11"/>
      </c>
      <c r="J181" s="619">
        <f t="shared" si="386"/>
      </c>
      <c r="K181" s="620">
        <f t="shared" si="441"/>
      </c>
      <c r="L181" s="617">
        <f t="shared" si="197"/>
      </c>
      <c r="M181" s="617">
        <f t="shared" si="282"/>
      </c>
      <c r="N181" s="621">
        <f t="shared" si="66"/>
      </c>
      <c r="O181" s="621">
        <f t="shared" si="108"/>
      </c>
      <c r="P181" s="621">
        <f t="shared" si="168"/>
      </c>
      <c r="Q181" s="621">
        <f t="shared" si="552"/>
      </c>
      <c r="R181" s="617">
        <f t="shared" si="37"/>
      </c>
      <c r="S181" s="619">
        <f t="shared" si="412"/>
      </c>
      <c r="T181" s="621">
        <f t="shared" si="483"/>
      </c>
      <c r="U181" s="621">
        <f t="shared" si="239"/>
      </c>
      <c r="V181" s="621">
        <f t="shared" si="324"/>
      </c>
      <c r="W181" s="621">
        <f t="shared" si="141"/>
      </c>
      <c r="X181" s="696" t="s">
        <v>327</v>
      </c>
      <c r="Y181" s="696" t="s">
        <v>348</v>
      </c>
      <c r="Z181" s="655">
        <v>164799</v>
      </c>
      <c r="AA181" s="655">
        <v>3554</v>
      </c>
      <c r="AB181" s="655">
        <v>116081</v>
      </c>
      <c r="AC181" s="622">
        <v>556</v>
      </c>
      <c r="AD181" s="622">
        <v>1</v>
      </c>
      <c r="AE181" s="655">
        <v>3241</v>
      </c>
      <c r="AF181" s="622">
        <v>96</v>
      </c>
      <c r="AG181" s="622">
        <v>46</v>
      </c>
      <c r="AH181" s="622">
        <v>10</v>
      </c>
      <c r="AI181" s="623">
        <v>0</v>
      </c>
    </row>
    <row r="182">
      <c r="A182" s="656"/>
      <c r="B182" s="696" t="s">
        <v>354</v>
      </c>
      <c r="C182" s="699" t="s">
        <v>345</v>
      </c>
      <c r="D182" s="691">
        <v>840.19</v>
      </c>
      <c r="E182" s="692">
        <v>2</v>
      </c>
      <c r="F182" s="665">
        <v>1024</v>
      </c>
      <c r="G182" s="693">
        <f t="shared" si="359"/>
      </c>
      <c r="H182" s="617">
        <f t="shared" si="524"/>
      </c>
      <c r="I182" s="618">
        <f t="shared" si="11"/>
      </c>
      <c r="J182" s="619">
        <f t="shared" si="386"/>
      </c>
      <c r="K182" s="620">
        <f>D182/AC182</f>
      </c>
      <c r="L182" s="617">
        <f>D182/AD182</f>
      </c>
      <c r="M182" s="617">
        <f>D182/AE182</f>
      </c>
      <c r="N182" s="621">
        <f>AD182/AC182</f>
      </c>
      <c r="O182" s="621">
        <f t="shared" si="108"/>
      </c>
      <c r="P182" s="621">
        <f t="shared" si="168"/>
      </c>
      <c r="Q182" s="621">
        <f>AE182/AA182</f>
      </c>
      <c r="R182" s="617">
        <f t="shared" si="37"/>
      </c>
      <c r="S182" s="619">
        <f t="shared" si="412"/>
      </c>
      <c r="T182" s="621">
        <f>AF182/AC182</f>
      </c>
      <c r="U182" s="621">
        <f>AG182/AC182</f>
      </c>
      <c r="V182" s="621">
        <f>AH182/AC182</f>
      </c>
      <c r="W182" s="621">
        <f t="shared" si="141"/>
      </c>
      <c r="X182" s="696" t="s">
        <v>327</v>
      </c>
      <c r="Y182" s="696" t="s">
        <v>348</v>
      </c>
      <c r="Z182" s="622">
        <v>110282</v>
      </c>
      <c r="AA182" s="622">
        <v>2383</v>
      </c>
      <c r="AB182" s="700">
        <v>74807</v>
      </c>
      <c r="AC182" s="701">
        <v>438</v>
      </c>
      <c r="AD182" s="701">
        <v>2</v>
      </c>
      <c r="AE182" s="701">
        <v>2091</v>
      </c>
      <c r="AF182" s="701">
        <v>84</v>
      </c>
      <c r="AG182" s="701">
        <v>40</v>
      </c>
      <c r="AH182" s="701">
        <v>10</v>
      </c>
      <c r="AI182" s="623">
        <v>0</v>
      </c>
    </row>
    <row r="183">
      <c r="A183" s="656"/>
      <c r="B183" s="696" t="s">
        <v>354</v>
      </c>
      <c r="C183" s="699" t="s">
        <v>346</v>
      </c>
      <c r="D183" s="702">
        <v>708.679</v>
      </c>
      <c r="E183" s="703">
        <v>3</v>
      </c>
      <c r="F183" s="704">
        <v>1845.6000000000004</v>
      </c>
      <c r="G183" s="693">
        <f t="shared" si="359"/>
      </c>
      <c r="H183" s="617">
        <f t="shared" si="524"/>
      </c>
      <c r="I183" s="618">
        <f t="shared" si="11"/>
      </c>
      <c r="J183" s="619">
        <f t="shared" si="386"/>
      </c>
      <c r="K183" s="620">
        <f t="shared" ref="K183:K193" si="442">D183/AB183</f>
      </c>
      <c r="L183" s="617">
        <f t="shared" ref="L183:L193" si="198">D183/AC183</f>
      </c>
      <c r="M183" s="617">
        <f t="shared" ref="M183:M193" si="283">D183/AD183</f>
      </c>
      <c r="N183" s="621">
        <f t="shared" ref="N183:N193" si="67">AC183/AB183</f>
      </c>
      <c r="O183" s="621">
        <f t="shared" si="108"/>
      </c>
      <c r="P183" s="621">
        <f t="shared" si="168"/>
      </c>
      <c r="Q183" s="621">
        <f t="shared" ref="Q183:Q193" si="553">AD183/AA183</f>
      </c>
      <c r="R183" s="617">
        <f t="shared" si="37"/>
      </c>
      <c r="S183" s="619">
        <f t="shared" si="412"/>
      </c>
      <c r="T183" s="621">
        <f t="shared" ref="T183:T193" si="484">AE183/AB183</f>
      </c>
      <c r="U183" s="621">
        <f t="shared" ref="U183:U193" si="240">AF183/AB183</f>
      </c>
      <c r="V183" s="621">
        <f t="shared" ref="V183:V193" si="325">AG183/AB183</f>
      </c>
      <c r="W183" s="621">
        <f t="shared" si="141"/>
      </c>
      <c r="X183" s="696" t="s">
        <v>327</v>
      </c>
      <c r="Y183" s="696" t="s">
        <v>348</v>
      </c>
      <c r="Z183" s="622">
        <v>71173</v>
      </c>
      <c r="AA183" s="622">
        <v>3548</v>
      </c>
      <c r="AB183" s="622">
        <v>53121</v>
      </c>
      <c r="AC183" s="676">
        <v>360</v>
      </c>
      <c r="AD183" s="676">
        <v>3</v>
      </c>
      <c r="AE183" s="676">
        <v>2897</v>
      </c>
      <c r="AF183" s="676">
        <v>99</v>
      </c>
      <c r="AG183" s="676">
        <v>52</v>
      </c>
      <c r="AH183" s="676">
        <v>12</v>
      </c>
      <c r="AI183" s="623">
        <v>0</v>
      </c>
    </row>
    <row r="184">
      <c r="A184" s="656"/>
      <c r="B184" s="696" t="s">
        <v>354</v>
      </c>
      <c r="C184" s="697" t="s">
        <v>326</v>
      </c>
      <c r="D184" s="666">
        <v>1031.917</v>
      </c>
      <c r="E184" s="705">
        <v>2</v>
      </c>
      <c r="F184" s="657">
        <v>413.1999999999998</v>
      </c>
      <c r="G184" s="693">
        <f t="shared" si="359"/>
      </c>
      <c r="H184" s="617">
        <f t="shared" si="524"/>
      </c>
      <c r="I184" s="618">
        <f t="shared" si="11"/>
      </c>
      <c r="J184" s="619">
        <f t="shared" si="386"/>
      </c>
      <c r="K184" s="620">
        <f t="shared" si="442"/>
      </c>
      <c r="L184" s="617">
        <f t="shared" si="198"/>
      </c>
      <c r="M184" s="617">
        <f t="shared" si="283"/>
      </c>
      <c r="N184" s="621">
        <f t="shared" si="67"/>
      </c>
      <c r="O184" s="621">
        <f t="shared" si="108"/>
      </c>
      <c r="P184" s="621">
        <f t="shared" si="168"/>
      </c>
      <c r="Q184" s="621">
        <f t="shared" si="553"/>
      </c>
      <c r="R184" s="617">
        <f t="shared" si="37"/>
      </c>
      <c r="S184" s="619">
        <f t="shared" si="412"/>
      </c>
      <c r="T184" s="621">
        <f t="shared" si="484"/>
      </c>
      <c r="U184" s="621">
        <f t="shared" si="240"/>
      </c>
      <c r="V184" s="621">
        <f t="shared" si="325"/>
      </c>
      <c r="W184" s="621">
        <f t="shared" si="141"/>
      </c>
      <c r="X184" s="696" t="s">
        <v>327</v>
      </c>
      <c r="Y184" s="696" t="s">
        <v>355</v>
      </c>
      <c r="Z184" s="622">
        <v>120063</v>
      </c>
      <c r="AA184" s="622">
        <v>6141</v>
      </c>
      <c r="AB184" s="622">
        <v>92219</v>
      </c>
      <c r="AC184" s="622">
        <v>631</v>
      </c>
      <c r="AD184" s="622">
        <v>1</v>
      </c>
      <c r="AE184" s="622">
        <v>5401</v>
      </c>
      <c r="AF184" s="622">
        <v>198</v>
      </c>
      <c r="AG184" s="622">
        <v>76</v>
      </c>
      <c r="AH184" s="622">
        <v>9</v>
      </c>
      <c r="AI184" s="623">
        <v>0</v>
      </c>
    </row>
    <row r="185">
      <c r="A185" s="656"/>
      <c r="B185" s="696" t="s">
        <v>354</v>
      </c>
      <c r="C185" s="697" t="s">
        <v>329</v>
      </c>
      <c r="D185" s="666">
        <v>855.95</v>
      </c>
      <c r="E185" s="705">
        <v>3</v>
      </c>
      <c r="F185" s="657">
        <v>610.3000000000002</v>
      </c>
      <c r="G185" s="693">
        <f t="shared" si="359"/>
      </c>
      <c r="H185" s="617">
        <f t="shared" si="524"/>
      </c>
      <c r="I185" s="618">
        <f t="shared" si="11"/>
      </c>
      <c r="J185" s="619">
        <f t="shared" si="386"/>
      </c>
      <c r="K185" s="620">
        <f t="shared" si="442"/>
      </c>
      <c r="L185" s="617">
        <f t="shared" si="198"/>
      </c>
      <c r="M185" s="617">
        <f t="shared" si="283"/>
      </c>
      <c r="N185" s="621">
        <f t="shared" si="67"/>
      </c>
      <c r="O185" s="621">
        <f t="shared" si="108"/>
      </c>
      <c r="P185" s="621">
        <f t="shared" si="168"/>
      </c>
      <c r="Q185" s="621">
        <f t="shared" si="553"/>
      </c>
      <c r="R185" s="617">
        <f t="shared" si="37"/>
      </c>
      <c r="S185" s="619">
        <f t="shared" si="412"/>
      </c>
      <c r="T185" s="621">
        <f t="shared" si="484"/>
      </c>
      <c r="U185" s="621">
        <f t="shared" si="240"/>
      </c>
      <c r="V185" s="621">
        <f t="shared" si="325"/>
      </c>
      <c r="W185" s="621">
        <f t="shared" si="141"/>
      </c>
      <c r="X185" s="696" t="s">
        <v>327</v>
      </c>
      <c r="Y185" s="696" t="s">
        <v>355</v>
      </c>
      <c r="Z185" s="622">
        <v>101827</v>
      </c>
      <c r="AA185" s="622">
        <v>6492</v>
      </c>
      <c r="AB185" s="622">
        <v>68065</v>
      </c>
      <c r="AC185" s="622">
        <v>572</v>
      </c>
      <c r="AD185" s="622">
        <v>1</v>
      </c>
      <c r="AE185" s="622">
        <v>5065</v>
      </c>
      <c r="AF185" s="622">
        <v>129</v>
      </c>
      <c r="AG185" s="622">
        <v>91</v>
      </c>
      <c r="AH185" s="622">
        <v>2</v>
      </c>
      <c r="AI185" s="623">
        <v>1</v>
      </c>
    </row>
    <row r="186">
      <c r="A186" s="656"/>
      <c r="B186" s="625" t="s">
        <v>332</v>
      </c>
      <c r="C186" s="625"/>
      <c r="D186" s="626">
        <f>SUM(D181:D185)</f>
      </c>
      <c r="E186" s="627">
        <f>SUM(E181:E185)</f>
      </c>
      <c r="F186" s="626">
        <f>SUM(F181:F185)</f>
      </c>
      <c r="G186" s="626">
        <f t="shared" si="359"/>
      </c>
      <c r="H186" s="628">
        <f t="shared" si="524"/>
      </c>
      <c r="I186" s="629">
        <f t="shared" si="11"/>
      </c>
      <c r="J186" s="630">
        <f t="shared" si="386"/>
      </c>
      <c r="K186" s="631">
        <f t="shared" si="442"/>
      </c>
      <c r="L186" s="628">
        <f t="shared" si="198"/>
      </c>
      <c r="M186" s="628">
        <f t="shared" si="283"/>
      </c>
      <c r="N186" s="632">
        <f t="shared" si="67"/>
      </c>
      <c r="O186" s="632">
        <f t="shared" si="108"/>
      </c>
      <c r="P186" s="632">
        <f t="shared" si="168"/>
      </c>
      <c r="Q186" s="632">
        <f t="shared" si="553"/>
      </c>
      <c r="R186" s="628">
        <f t="shared" si="37"/>
      </c>
      <c r="S186" s="630">
        <f t="shared" si="412"/>
      </c>
      <c r="T186" s="632">
        <f t="shared" si="484"/>
      </c>
      <c r="U186" s="632">
        <f t="shared" si="240"/>
      </c>
      <c r="V186" s="632">
        <f t="shared" si="325"/>
      </c>
      <c r="W186" s="632">
        <f t="shared" si="141"/>
      </c>
      <c r="X186" s="632"/>
      <c r="Y186" s="698"/>
      <c r="Z186" s="626">
        <f>SUM(Z181:Z185)</f>
      </c>
      <c r="AA186" s="626">
        <f>SUM(AA181:AA185)</f>
      </c>
      <c r="AB186" s="626">
        <f>SUM(AB181:AB185)</f>
      </c>
      <c r="AC186" s="626">
        <f>SUM(AC181:AC185)</f>
      </c>
      <c r="AD186" s="626">
        <f>SUM(AD181:AD185)</f>
      </c>
      <c r="AE186" s="626">
        <f>SUM(AE181:AE185)</f>
      </c>
      <c r="AF186" s="626">
        <f>SUM(AF181:AF185)</f>
      </c>
      <c r="AG186" s="626">
        <f>SUM(AG181:AG185)</f>
      </c>
      <c r="AH186" s="626">
        <f>SUM(AH181:AH185)</f>
      </c>
      <c r="AI186" s="626">
        <f>SUM(AI181:AI185)</f>
      </c>
    </row>
    <row r="187">
      <c r="A187" s="656"/>
      <c r="B187" s="696" t="s">
        <v>325</v>
      </c>
      <c r="C187" s="697" t="s">
        <v>330</v>
      </c>
      <c r="D187" s="654">
        <v>735.331</v>
      </c>
      <c r="E187" s="615">
        <v>2</v>
      </c>
      <c r="F187" s="657">
        <v>424</v>
      </c>
      <c r="G187" s="693">
        <f t="shared" si="359"/>
      </c>
      <c r="H187" s="617">
        <f t="shared" si="524"/>
      </c>
      <c r="I187" s="618">
        <f t="shared" si="11"/>
      </c>
      <c r="J187" s="619">
        <f t="shared" si="386"/>
      </c>
      <c r="K187" s="620">
        <f t="shared" si="442"/>
      </c>
      <c r="L187" s="617">
        <f t="shared" si="198"/>
      </c>
      <c r="M187" s="622">
        <f t="shared" si="283"/>
      </c>
      <c r="N187" s="621">
        <f t="shared" si="67"/>
      </c>
      <c r="O187" s="621">
        <f t="shared" si="108"/>
      </c>
      <c r="P187" s="621">
        <f t="shared" si="168"/>
      </c>
      <c r="Q187" s="621">
        <f t="shared" si="553"/>
      </c>
      <c r="R187" s="617">
        <f t="shared" si="37"/>
      </c>
      <c r="S187" s="619">
        <f t="shared" si="412"/>
      </c>
      <c r="T187" s="621">
        <f t="shared" si="484"/>
      </c>
      <c r="U187" s="621">
        <f t="shared" si="240"/>
      </c>
      <c r="V187" s="621">
        <f t="shared" si="325"/>
      </c>
      <c r="W187" s="621">
        <f t="shared" si="141"/>
      </c>
      <c r="X187" s="696" t="s">
        <v>327</v>
      </c>
      <c r="Y187" s="696" t="s">
        <v>355</v>
      </c>
      <c r="Z187" s="622">
        <v>84542</v>
      </c>
      <c r="AA187" s="622">
        <v>4446</v>
      </c>
      <c r="AB187" s="622">
        <v>58718</v>
      </c>
      <c r="AC187" s="622">
        <v>448</v>
      </c>
      <c r="AD187" s="622">
        <v>2</v>
      </c>
      <c r="AE187" s="622">
        <v>3888</v>
      </c>
      <c r="AF187" s="622">
        <v>112</v>
      </c>
      <c r="AG187" s="622">
        <v>83</v>
      </c>
      <c r="AH187" s="623">
        <v>7</v>
      </c>
      <c r="AI187" s="623">
        <v>0</v>
      </c>
    </row>
    <row r="188">
      <c r="A188" s="656"/>
      <c r="B188" s="696" t="s">
        <v>325</v>
      </c>
      <c r="C188" s="697" t="s">
        <v>331</v>
      </c>
      <c r="D188" s="654">
        <v>718.375</v>
      </c>
      <c r="E188" s="615">
        <v>4</v>
      </c>
      <c r="F188" s="657">
        <v>1354.3999999999996</v>
      </c>
      <c r="G188" s="693">
        <f t="shared" si="359"/>
      </c>
      <c r="H188" s="617">
        <f t="shared" si="524"/>
      </c>
      <c r="I188" s="618">
        <f t="shared" si="11"/>
      </c>
      <c r="J188" s="619">
        <f t="shared" si="386"/>
      </c>
      <c r="K188" s="620">
        <f t="shared" si="442"/>
      </c>
      <c r="L188" s="617">
        <f t="shared" si="198"/>
      </c>
      <c r="M188" s="617">
        <f t="shared" si="283"/>
      </c>
      <c r="N188" s="621">
        <f t="shared" si="67"/>
      </c>
      <c r="O188" s="621">
        <f t="shared" si="108"/>
      </c>
      <c r="P188" s="621">
        <f t="shared" si="168"/>
      </c>
      <c r="Q188" s="621">
        <f t="shared" si="553"/>
      </c>
      <c r="R188" s="617">
        <f t="shared" si="37"/>
      </c>
      <c r="S188" s="619">
        <f t="shared" si="412"/>
      </c>
      <c r="T188" s="621">
        <f t="shared" si="484"/>
      </c>
      <c r="U188" s="621">
        <f t="shared" si="240"/>
      </c>
      <c r="V188" s="621">
        <f t="shared" si="325"/>
      </c>
      <c r="W188" s="621">
        <f t="shared" si="141"/>
      </c>
      <c r="X188" s="696" t="s">
        <v>327</v>
      </c>
      <c r="Y188" s="706" t="s">
        <v>356</v>
      </c>
      <c r="Z188" s="622">
        <v>83412</v>
      </c>
      <c r="AA188" s="622">
        <v>3749</v>
      </c>
      <c r="AB188" s="622">
        <v>62598</v>
      </c>
      <c r="AC188" s="622">
        <v>353</v>
      </c>
      <c r="AD188" s="622">
        <v>1</v>
      </c>
      <c r="AE188" s="622">
        <v>3228</v>
      </c>
      <c r="AF188" s="622">
        <v>99</v>
      </c>
      <c r="AG188" s="622">
        <v>65</v>
      </c>
      <c r="AH188" s="622">
        <v>9</v>
      </c>
      <c r="AI188" s="623">
        <v>1</v>
      </c>
    </row>
    <row r="189">
      <c r="A189" s="656"/>
      <c r="B189" s="696" t="s">
        <v>325</v>
      </c>
      <c r="C189" s="697" t="s">
        <v>334</v>
      </c>
      <c r="D189" s="654">
        <v>1147.133</v>
      </c>
      <c r="E189" s="615">
        <v>1</v>
      </c>
      <c r="F189" s="657">
        <v>228</v>
      </c>
      <c r="G189" s="693">
        <f t="shared" si="359"/>
      </c>
      <c r="H189" s="617">
        <f t="shared" si="524"/>
      </c>
      <c r="I189" s="618">
        <f t="shared" si="11"/>
      </c>
      <c r="J189" s="619">
        <f t="shared" si="386"/>
      </c>
      <c r="K189" s="620">
        <f t="shared" si="442"/>
      </c>
      <c r="L189" s="617">
        <f t="shared" si="198"/>
      </c>
      <c r="M189" s="617">
        <f t="shared" si="283"/>
      </c>
      <c r="N189" s="621">
        <f t="shared" si="67"/>
      </c>
      <c r="O189" s="621">
        <f t="shared" si="108"/>
      </c>
      <c r="P189" s="621">
        <f t="shared" si="168"/>
      </c>
      <c r="Q189" s="621">
        <f t="shared" si="553"/>
      </c>
      <c r="R189" s="617">
        <f t="shared" si="37"/>
      </c>
      <c r="S189" s="619">
        <f t="shared" si="412"/>
      </c>
      <c r="T189" s="621">
        <f t="shared" si="484"/>
      </c>
      <c r="U189" s="621">
        <f t="shared" si="240"/>
      </c>
      <c r="V189" s="621">
        <f t="shared" si="325"/>
      </c>
      <c r="W189" s="621">
        <f t="shared" si="141"/>
      </c>
      <c r="X189" s="696" t="s">
        <v>327</v>
      </c>
      <c r="Y189" s="706" t="s">
        <v>356</v>
      </c>
      <c r="Z189" s="622">
        <v>152271</v>
      </c>
      <c r="AA189" s="622">
        <v>4656</v>
      </c>
      <c r="AB189" s="622">
        <v>110870</v>
      </c>
      <c r="AC189" s="622">
        <v>409</v>
      </c>
      <c r="AD189" s="622">
        <v>3</v>
      </c>
      <c r="AE189" s="622">
        <v>3956</v>
      </c>
      <c r="AF189" s="622">
        <v>97</v>
      </c>
      <c r="AG189" s="622">
        <v>82</v>
      </c>
      <c r="AH189" s="622">
        <v>7</v>
      </c>
      <c r="AI189" s="623">
        <v>0</v>
      </c>
    </row>
    <row r="190">
      <c r="A190" s="656"/>
      <c r="B190" s="696" t="s">
        <v>325</v>
      </c>
      <c r="C190" s="697" t="s">
        <v>335</v>
      </c>
      <c r="D190" s="654">
        <v>1024.7240000000002</v>
      </c>
      <c r="E190" s="615">
        <v>3</v>
      </c>
      <c r="F190" s="657">
        <v>823.6000000000004</v>
      </c>
      <c r="G190" s="693">
        <f t="shared" si="359"/>
      </c>
      <c r="H190" s="617">
        <f t="shared" si="524"/>
      </c>
      <c r="I190" s="618">
        <f t="shared" si="11"/>
      </c>
      <c r="J190" s="619">
        <f t="shared" si="386"/>
      </c>
      <c r="K190" s="620">
        <f t="shared" si="442"/>
      </c>
      <c r="L190" s="617">
        <f t="shared" si="198"/>
      </c>
      <c r="M190" s="617">
        <f t="shared" si="283"/>
      </c>
      <c r="N190" s="621">
        <f t="shared" si="67"/>
      </c>
      <c r="O190" s="621">
        <f t="shared" si="108"/>
      </c>
      <c r="P190" s="621">
        <f t="shared" si="168"/>
      </c>
      <c r="Q190" s="621">
        <f t="shared" si="553"/>
      </c>
      <c r="R190" s="617">
        <f t="shared" si="37"/>
      </c>
      <c r="S190" s="619">
        <f t="shared" si="412"/>
      </c>
      <c r="T190" s="621">
        <f t="shared" si="484"/>
      </c>
      <c r="U190" s="621">
        <f t="shared" si="240"/>
      </c>
      <c r="V190" s="621">
        <f t="shared" si="325"/>
      </c>
      <c r="W190" s="621">
        <f t="shared" si="141"/>
      </c>
      <c r="X190" s="696" t="s">
        <v>327</v>
      </c>
      <c r="Y190" s="706" t="s">
        <v>356</v>
      </c>
      <c r="Z190" s="622">
        <v>146699</v>
      </c>
      <c r="AA190" s="622">
        <v>5538</v>
      </c>
      <c r="AB190" s="622">
        <v>112689</v>
      </c>
      <c r="AC190" s="622">
        <v>495</v>
      </c>
      <c r="AD190" s="622">
        <v>2</v>
      </c>
      <c r="AE190" s="622">
        <v>5480</v>
      </c>
      <c r="AF190" s="622">
        <v>114</v>
      </c>
      <c r="AG190" s="622">
        <v>115</v>
      </c>
      <c r="AH190" s="623">
        <v>5</v>
      </c>
      <c r="AI190" s="623">
        <v>1</v>
      </c>
    </row>
    <row r="191">
      <c r="A191" s="656"/>
      <c r="B191" s="696" t="s">
        <v>325</v>
      </c>
      <c r="C191" s="697" t="s">
        <v>336</v>
      </c>
      <c r="D191" s="654">
        <v>1082.992</v>
      </c>
      <c r="E191" s="615">
        <v>1</v>
      </c>
      <c r="F191" s="657">
        <v>217.20000000000073</v>
      </c>
      <c r="G191" s="693">
        <f t="shared" si="359"/>
      </c>
      <c r="H191" s="617">
        <f t="shared" si="524"/>
      </c>
      <c r="I191" s="618">
        <f t="shared" si="11"/>
      </c>
      <c r="J191" s="619">
        <f t="shared" si="386"/>
      </c>
      <c r="K191" s="620">
        <f t="shared" si="442"/>
      </c>
      <c r="L191" s="617">
        <f t="shared" si="198"/>
      </c>
      <c r="M191" s="617">
        <f t="shared" si="283"/>
      </c>
      <c r="N191" s="621">
        <f t="shared" si="67"/>
      </c>
      <c r="O191" s="621">
        <f t="shared" si="108"/>
      </c>
      <c r="P191" s="621">
        <f t="shared" si="168"/>
      </c>
      <c r="Q191" s="621">
        <f t="shared" si="553"/>
      </c>
      <c r="R191" s="617">
        <f t="shared" si="37"/>
      </c>
      <c r="S191" s="619">
        <f t="shared" si="412"/>
      </c>
      <c r="T191" s="621">
        <f t="shared" si="484"/>
      </c>
      <c r="U191" s="621">
        <f t="shared" si="240"/>
      </c>
      <c r="V191" s="621">
        <f t="shared" si="325"/>
      </c>
      <c r="W191" s="621">
        <f t="shared" si="141"/>
      </c>
      <c r="X191" s="696" t="s">
        <v>327</v>
      </c>
      <c r="Y191" s="706" t="s">
        <v>356</v>
      </c>
      <c r="Z191" s="622">
        <v>164460</v>
      </c>
      <c r="AA191" s="622">
        <v>6833</v>
      </c>
      <c r="AB191" s="622">
        <v>129576</v>
      </c>
      <c r="AC191" s="622">
        <v>567</v>
      </c>
      <c r="AD191" s="622">
        <v>0</v>
      </c>
      <c r="AE191" s="622">
        <v>6158</v>
      </c>
      <c r="AF191" s="622">
        <v>128</v>
      </c>
      <c r="AG191" s="622">
        <v>116</v>
      </c>
      <c r="AH191" s="622">
        <v>7</v>
      </c>
      <c r="AI191" s="623">
        <v>0</v>
      </c>
    </row>
    <row r="192">
      <c r="A192" s="656"/>
      <c r="B192" s="625" t="s">
        <v>332</v>
      </c>
      <c r="C192" s="625"/>
      <c r="D192" s="626">
        <f>SUM(D187:D191)</f>
      </c>
      <c r="E192" s="627">
        <f>SUM(E187:E191)</f>
      </c>
      <c r="F192" s="626">
        <f>SUM(F187:F191)</f>
      </c>
      <c r="G192" s="626">
        <f t="shared" si="359"/>
      </c>
      <c r="H192" s="628">
        <f t="shared" si="524"/>
      </c>
      <c r="I192" s="629">
        <f t="shared" si="11"/>
      </c>
      <c r="J192" s="630">
        <f t="shared" si="386"/>
      </c>
      <c r="K192" s="631">
        <f t="shared" si="442"/>
      </c>
      <c r="L192" s="628">
        <f t="shared" si="198"/>
      </c>
      <c r="M192" s="628">
        <f t="shared" si="283"/>
      </c>
      <c r="N192" s="632">
        <f t="shared" si="67"/>
      </c>
      <c r="O192" s="632">
        <f t="shared" si="108"/>
      </c>
      <c r="P192" s="632">
        <f t="shared" si="168"/>
      </c>
      <c r="Q192" s="632">
        <f t="shared" si="553"/>
      </c>
      <c r="R192" s="628">
        <f t="shared" si="37"/>
      </c>
      <c r="S192" s="630">
        <f t="shared" si="412"/>
      </c>
      <c r="T192" s="632">
        <f t="shared" si="484"/>
      </c>
      <c r="U192" s="632">
        <f t="shared" si="240"/>
      </c>
      <c r="V192" s="632">
        <f t="shared" si="325"/>
      </c>
      <c r="W192" s="632">
        <f t="shared" si="141"/>
      </c>
      <c r="X192" s="632"/>
      <c r="Y192" s="698"/>
      <c r="Z192" s="626">
        <f>SUM(Z187:Z191)</f>
      </c>
      <c r="AA192" s="626">
        <f>SUM(AA187:AA191)</f>
      </c>
      <c r="AB192" s="626">
        <f>SUM(AB187:AB191)</f>
      </c>
      <c r="AC192" s="626">
        <f>SUM(AC187:AC191)</f>
      </c>
      <c r="AD192" s="626">
        <f>SUM(AD187:AD191)</f>
      </c>
      <c r="AE192" s="626">
        <f>SUM(AE187:AE191)</f>
      </c>
      <c r="AF192" s="626">
        <f>SUM(AF187:AF191)</f>
      </c>
      <c r="AG192" s="626">
        <f>SUM(AG187:AG191)</f>
      </c>
      <c r="AH192" s="626">
        <f>SUM(AH187:AH191)</f>
      </c>
      <c r="AI192" s="626">
        <f>SUM(AI187:AI191)</f>
      </c>
    </row>
    <row r="193">
      <c r="A193" s="656"/>
      <c r="B193" s="678" t="s">
        <v>337</v>
      </c>
      <c r="C193" s="678"/>
      <c r="D193" s="679">
        <f>SUM(D192+D186+D180)</f>
      </c>
      <c r="E193" s="688">
        <f>SUM(E192+E186+E180)</f>
      </c>
      <c r="F193" s="679">
        <f>SUM(F192+F186+F180)</f>
      </c>
      <c r="G193" s="679">
        <f t="shared" si="359"/>
      </c>
      <c r="H193" s="680">
        <f t="shared" si="524"/>
      </c>
      <c r="I193" s="681">
        <f t="shared" si="11"/>
      </c>
      <c r="J193" s="682">
        <f t="shared" si="386"/>
      </c>
      <c r="K193" s="683">
        <f t="shared" si="442"/>
      </c>
      <c r="L193" s="683">
        <f t="shared" si="198"/>
      </c>
      <c r="M193" s="684">
        <f t="shared" si="283"/>
      </c>
      <c r="N193" s="685">
        <f t="shared" si="67"/>
      </c>
      <c r="O193" s="685">
        <f t="shared" si="108"/>
      </c>
      <c r="P193" s="685">
        <f t="shared" si="168"/>
      </c>
      <c r="Q193" s="685">
        <f t="shared" si="553"/>
      </c>
      <c r="R193" s="684">
        <f t="shared" si="37"/>
      </c>
      <c r="S193" s="686">
        <f t="shared" si="412"/>
      </c>
      <c r="T193" s="687">
        <f t="shared" si="484"/>
      </c>
      <c r="U193" s="687">
        <f t="shared" si="240"/>
      </c>
      <c r="V193" s="687">
        <f t="shared" si="325"/>
      </c>
      <c r="W193" s="687">
        <f t="shared" si="141"/>
      </c>
      <c r="X193" s="687"/>
      <c r="Y193" s="658"/>
      <c r="Z193" s="679">
        <f>SUM(Z192+Z186+Z180)</f>
      </c>
      <c r="AA193" s="679">
        <f>SUM(AA192+AA186+AA180)</f>
      </c>
      <c r="AB193" s="679">
        <f>SUM(AB192+AB186+AB180)</f>
      </c>
      <c r="AC193" s="679">
        <f>SUM(AC192+AC186+AC180)</f>
      </c>
      <c r="AD193" s="679">
        <f>SUM(AD192+AD186+AD180)</f>
      </c>
      <c r="AE193" s="679">
        <f>SUM(AE192+AE186+AE180)</f>
      </c>
      <c r="AF193" s="679">
        <f>SUM(AF192+AF186+AF180)</f>
      </c>
      <c r="AG193" s="679">
        <f>SUM(AG192+AG186+AG180)</f>
      </c>
      <c r="AH193" s="679">
        <f>SUM(AH192+AH186+AH180)</f>
      </c>
      <c r="AI193" s="679">
        <f>SUM(AI192+AI186+AI180)</f>
      </c>
    </row>
    <row r="194">
      <c r="A194" s="603" t="s">
        <v>291</v>
      </c>
      <c r="B194" s="594" t="s">
        <v>292</v>
      </c>
      <c r="C194" s="659" t="s">
        <v>293</v>
      </c>
      <c r="D194" s="689" t="s">
        <v>294</v>
      </c>
      <c r="E194" s="690" t="s">
        <v>295</v>
      </c>
      <c r="F194" s="662" t="s">
        <v>296</v>
      </c>
      <c r="G194" s="662" t="s">
        <v>349</v>
      </c>
      <c r="H194" s="595" t="s">
        <v>297</v>
      </c>
      <c r="I194" s="595" t="s">
        <v>298</v>
      </c>
      <c r="J194" s="595" t="s">
        <v>299</v>
      </c>
      <c r="K194" s="597" t="s">
        <v>300</v>
      </c>
      <c r="L194" s="597" t="s">
        <v>301</v>
      </c>
      <c r="M194" s="597" t="s">
        <v>302</v>
      </c>
      <c r="N194" s="597" t="s">
        <v>303</v>
      </c>
      <c r="O194" s="597" t="s">
        <v>304</v>
      </c>
      <c r="P194" s="597" t="s">
        <v>305</v>
      </c>
      <c r="Q194" s="597" t="s">
        <v>306</v>
      </c>
      <c r="R194" s="597" t="s">
        <v>307</v>
      </c>
      <c r="S194" s="597" t="s">
        <v>308</v>
      </c>
      <c r="T194" s="606" t="s">
        <v>309</v>
      </c>
      <c r="U194" s="606" t="s">
        <v>310</v>
      </c>
      <c r="V194" s="606" t="s">
        <v>311</v>
      </c>
      <c r="W194" s="606" t="s">
        <v>312</v>
      </c>
      <c r="X194" s="607" t="s">
        <v>313</v>
      </c>
      <c r="Y194" s="607" t="s">
        <v>314</v>
      </c>
      <c r="Z194" s="651" t="s">
        <v>315</v>
      </c>
      <c r="AA194" s="651" t="s">
        <v>316</v>
      </c>
      <c r="AB194" s="651" t="s">
        <v>317</v>
      </c>
      <c r="AC194" s="609" t="s">
        <v>318</v>
      </c>
      <c r="AD194" s="609" t="s">
        <v>319</v>
      </c>
      <c r="AE194" s="652" t="s">
        <v>320</v>
      </c>
      <c r="AF194" s="609" t="s">
        <v>321</v>
      </c>
      <c r="AG194" s="609" t="s">
        <v>322</v>
      </c>
      <c r="AH194" s="611" t="s">
        <v>323</v>
      </c>
      <c r="AI194" s="609" t="s">
        <v>324</v>
      </c>
    </row>
    <row r="195">
      <c r="A195" s="612">
        <v>46191</v>
      </c>
      <c r="B195" s="653" t="s">
        <v>333</v>
      </c>
      <c r="C195" s="611" t="s">
        <v>338</v>
      </c>
      <c r="D195" s="691">
        <v>675.496</v>
      </c>
      <c r="E195" s="692">
        <v>1</v>
      </c>
      <c r="F195" s="665">
        <v>228</v>
      </c>
      <c r="G195" s="693">
        <f t="shared" ref="G195:G213" si="360">D195/AD195</f>
      </c>
      <c r="H195" s="617">
        <f t="shared" ref="H195:H213" si="525">F195/E195</f>
      </c>
      <c r="I195" s="618">
        <f t="shared" ref="I195:I213" si="12">D195/E195</f>
      </c>
      <c r="J195" s="619">
        <f t="shared" ref="J195:J213" si="387">F195/D195</f>
      </c>
      <c r="K195" s="620">
        <f t="shared" ref="K195:K201" si="443">D195/AB195</f>
      </c>
      <c r="L195" s="617">
        <f t="shared" ref="L195:L201" si="199">D195/AC195</f>
      </c>
      <c r="M195" s="617">
        <f t="shared" ref="M195:M201" si="284">D195/AD195</f>
      </c>
      <c r="N195" s="621">
        <f t="shared" ref="N195:N201" si="68">AC195/AB195</f>
      </c>
      <c r="O195" s="621">
        <f t="shared" ref="O195:O213" si="109">AD195/AC195</f>
      </c>
      <c r="P195" s="621">
        <f t="shared" ref="P195:P213" si="169">AA195/Z195</f>
      </c>
      <c r="Q195" s="621">
        <f t="shared" ref="Q195:Q201" si="554">AD195/AA195</f>
      </c>
      <c r="R195" s="617">
        <f t="shared" ref="R195:R213" si="38">D195/Z195*1000</f>
      </c>
      <c r="S195" s="619">
        <f t="shared" ref="S195:S213" si="413">D195/AA195</f>
      </c>
      <c r="T195" s="621">
        <f t="shared" ref="T195:T201" si="485">AE195/AB195</f>
      </c>
      <c r="U195" s="621">
        <f t="shared" ref="U195:U201" si="241">AF195/AB195</f>
      </c>
      <c r="V195" s="621">
        <f t="shared" ref="V195:V201" si="326">AG195/AB195</f>
      </c>
      <c r="W195" s="621">
        <f t="shared" ref="W195:W213" si="142">AH195/AB195</f>
      </c>
      <c r="X195" s="653" t="s">
        <v>327</v>
      </c>
      <c r="Y195" s="653" t="s">
        <v>348</v>
      </c>
      <c r="Z195" s="655">
        <v>67876</v>
      </c>
      <c r="AA195" s="655">
        <v>3871</v>
      </c>
      <c r="AB195" s="655">
        <v>49215</v>
      </c>
      <c r="AC195" s="655">
        <v>419</v>
      </c>
      <c r="AD195" s="622">
        <v>1</v>
      </c>
      <c r="AE195" s="655">
        <v>6943</v>
      </c>
      <c r="AF195" s="622">
        <v>158</v>
      </c>
      <c r="AG195" s="622">
        <v>81</v>
      </c>
      <c r="AH195" s="622">
        <v>4</v>
      </c>
      <c r="AI195" s="623">
        <v>0</v>
      </c>
    </row>
    <row r="196">
      <c r="A196" s="612"/>
      <c r="B196" s="694" t="s">
        <v>333</v>
      </c>
      <c r="C196" s="611" t="s">
        <v>340</v>
      </c>
      <c r="D196" s="691">
        <v>637.578</v>
      </c>
      <c r="E196" s="692">
        <v>4</v>
      </c>
      <c r="F196" s="665">
        <v>805.2</v>
      </c>
      <c r="G196" s="693">
        <f t="shared" si="360"/>
      </c>
      <c r="H196" s="617">
        <f t="shared" si="525"/>
      </c>
      <c r="I196" s="618">
        <f t="shared" si="12"/>
      </c>
      <c r="J196" s="619">
        <f t="shared" si="387"/>
      </c>
      <c r="K196" s="620">
        <f t="shared" si="443"/>
      </c>
      <c r="L196" s="617">
        <f t="shared" si="199"/>
      </c>
      <c r="M196" s="617">
        <f t="shared" si="284"/>
      </c>
      <c r="N196" s="621">
        <f t="shared" si="68"/>
      </c>
      <c r="O196" s="621">
        <f t="shared" si="109"/>
      </c>
      <c r="P196" s="621">
        <f t="shared" si="169"/>
      </c>
      <c r="Q196" s="621">
        <f t="shared" si="554"/>
      </c>
      <c r="R196" s="617">
        <f t="shared" si="38"/>
      </c>
      <c r="S196" s="619">
        <f t="shared" si="413"/>
      </c>
      <c r="T196" s="621">
        <f t="shared" si="485"/>
      </c>
      <c r="U196" s="621">
        <f t="shared" si="241"/>
      </c>
      <c r="V196" s="621">
        <f t="shared" si="326"/>
      </c>
      <c r="W196" s="621">
        <f t="shared" si="142"/>
      </c>
      <c r="X196" s="653" t="s">
        <v>327</v>
      </c>
      <c r="Y196" s="653" t="s">
        <v>348</v>
      </c>
      <c r="Z196" s="622">
        <v>55901</v>
      </c>
      <c r="AA196" s="655">
        <v>3144</v>
      </c>
      <c r="AB196" s="655">
        <v>40469</v>
      </c>
      <c r="AC196" s="655">
        <v>346</v>
      </c>
      <c r="AD196" s="622">
        <v>4</v>
      </c>
      <c r="AE196" s="655">
        <v>5041</v>
      </c>
      <c r="AF196" s="622">
        <v>120</v>
      </c>
      <c r="AG196" s="622">
        <v>62</v>
      </c>
      <c r="AH196" s="622">
        <v>6</v>
      </c>
      <c r="AI196" s="623">
        <v>1</v>
      </c>
    </row>
    <row r="197">
      <c r="A197" s="612"/>
      <c r="B197" s="693" t="s">
        <v>333</v>
      </c>
      <c r="C197" s="695" t="s">
        <v>341</v>
      </c>
      <c r="D197" s="691">
        <v>798.855</v>
      </c>
      <c r="E197" s="692">
        <v>3</v>
      </c>
      <c r="F197" s="665">
        <v>1252</v>
      </c>
      <c r="G197" s="693">
        <f t="shared" si="360"/>
      </c>
      <c r="H197" s="617">
        <f t="shared" si="525"/>
      </c>
      <c r="I197" s="618">
        <f t="shared" si="12"/>
      </c>
      <c r="J197" s="619">
        <f t="shared" si="387"/>
      </c>
      <c r="K197" s="620">
        <f t="shared" si="443"/>
      </c>
      <c r="L197" s="617">
        <f t="shared" si="199"/>
      </c>
      <c r="M197" s="617">
        <f t="shared" si="284"/>
      </c>
      <c r="N197" s="621">
        <f t="shared" si="68"/>
      </c>
      <c r="O197" s="621">
        <f t="shared" si="109"/>
      </c>
      <c r="P197" s="621">
        <f t="shared" si="169"/>
      </c>
      <c r="Q197" s="621">
        <f t="shared" si="554"/>
      </c>
      <c r="R197" s="617">
        <f t="shared" si="38"/>
      </c>
      <c r="S197" s="619">
        <f t="shared" si="413"/>
      </c>
      <c r="T197" s="621">
        <f t="shared" si="485"/>
      </c>
      <c r="U197" s="621">
        <f t="shared" si="241"/>
      </c>
      <c r="V197" s="621">
        <f t="shared" si="326"/>
      </c>
      <c r="W197" s="621">
        <f t="shared" si="142"/>
      </c>
      <c r="X197" s="693" t="s">
        <v>327</v>
      </c>
      <c r="Y197" s="693" t="s">
        <v>348</v>
      </c>
      <c r="Z197" s="622">
        <v>72612</v>
      </c>
      <c r="AA197" s="622">
        <v>4143</v>
      </c>
      <c r="AB197" s="622">
        <v>57474</v>
      </c>
      <c r="AC197" s="622">
        <v>301</v>
      </c>
      <c r="AD197" s="622">
        <v>3</v>
      </c>
      <c r="AE197" s="622">
        <v>5610</v>
      </c>
      <c r="AF197" s="622">
        <v>112</v>
      </c>
      <c r="AG197" s="622">
        <v>61</v>
      </c>
      <c r="AH197" s="622">
        <v>11</v>
      </c>
      <c r="AI197" s="623">
        <v>0</v>
      </c>
    </row>
    <row customHeight="true" ht="16.071428571428573" r="198">
      <c r="A198" s="612"/>
      <c r="B198" s="696" t="s">
        <v>333</v>
      </c>
      <c r="C198" s="697" t="s">
        <v>342</v>
      </c>
      <c r="D198" s="669">
        <v>1357.802</v>
      </c>
      <c r="E198" s="667">
        <v>5</v>
      </c>
      <c r="F198" s="647">
        <v>1676</v>
      </c>
      <c r="G198" s="693">
        <f t="shared" si="360"/>
      </c>
      <c r="H198" s="617">
        <f t="shared" si="525"/>
      </c>
      <c r="I198" s="618">
        <f t="shared" si="12"/>
      </c>
      <c r="J198" s="619">
        <f t="shared" si="387"/>
      </c>
      <c r="K198" s="620">
        <f t="shared" si="443"/>
      </c>
      <c r="L198" s="617">
        <f t="shared" si="199"/>
      </c>
      <c r="M198" s="617">
        <f t="shared" si="284"/>
      </c>
      <c r="N198" s="621">
        <f t="shared" si="68"/>
      </c>
      <c r="O198" s="621">
        <f t="shared" si="109"/>
      </c>
      <c r="P198" s="621">
        <f t="shared" si="169"/>
      </c>
      <c r="Q198" s="621">
        <f t="shared" si="554"/>
      </c>
      <c r="R198" s="617">
        <f t="shared" si="38"/>
      </c>
      <c r="S198" s="619">
        <f t="shared" si="413"/>
      </c>
      <c r="T198" s="621">
        <f t="shared" si="485"/>
      </c>
      <c r="U198" s="621">
        <f t="shared" si="241"/>
      </c>
      <c r="V198" s="621">
        <f t="shared" si="326"/>
      </c>
      <c r="W198" s="621">
        <f t="shared" si="142"/>
      </c>
      <c r="X198" s="696" t="s">
        <v>327</v>
      </c>
      <c r="Y198" s="696" t="s">
        <v>348</v>
      </c>
      <c r="Z198" s="622">
        <v>140314</v>
      </c>
      <c r="AA198" s="622">
        <v>5908</v>
      </c>
      <c r="AB198" s="622">
        <v>127712</v>
      </c>
      <c r="AC198" s="622">
        <v>463</v>
      </c>
      <c r="AD198" s="622">
        <v>5</v>
      </c>
      <c r="AE198" s="622">
        <v>8506</v>
      </c>
      <c r="AF198" s="622">
        <v>212</v>
      </c>
      <c r="AG198" s="622">
        <v>131</v>
      </c>
      <c r="AH198" s="622">
        <v>23</v>
      </c>
      <c r="AI198" s="623">
        <v>0</v>
      </c>
    </row>
    <row customHeight="true" ht="16.071428571428573" r="199">
      <c r="A199" s="612"/>
      <c r="B199" s="696" t="s">
        <v>333</v>
      </c>
      <c r="C199" s="697" t="s">
        <v>343</v>
      </c>
      <c r="D199" s="669">
        <v>1686.494</v>
      </c>
      <c r="E199" s="667">
        <v>3</v>
      </c>
      <c r="F199" s="647">
        <v>684</v>
      </c>
      <c r="G199" s="693">
        <f t="shared" si="360"/>
      </c>
      <c r="H199" s="617">
        <f t="shared" si="525"/>
      </c>
      <c r="I199" s="618">
        <f t="shared" si="12"/>
      </c>
      <c r="J199" s="619">
        <f t="shared" si="387"/>
      </c>
      <c r="K199" s="620">
        <f t="shared" si="443"/>
      </c>
      <c r="L199" s="617">
        <f t="shared" si="199"/>
      </c>
      <c r="M199" s="617">
        <f t="shared" si="284"/>
      </c>
      <c r="N199" s="621">
        <f t="shared" si="68"/>
      </c>
      <c r="O199" s="621">
        <f t="shared" si="109"/>
      </c>
      <c r="P199" s="621">
        <f t="shared" si="169"/>
      </c>
      <c r="Q199" s="621">
        <f t="shared" si="554"/>
      </c>
      <c r="R199" s="617">
        <f t="shared" si="38"/>
      </c>
      <c r="S199" s="619">
        <f t="shared" si="413"/>
      </c>
      <c r="T199" s="621">
        <f t="shared" si="485"/>
      </c>
      <c r="U199" s="621">
        <f t="shared" si="241"/>
      </c>
      <c r="V199" s="621">
        <f t="shared" si="326"/>
      </c>
      <c r="W199" s="621">
        <f t="shared" si="142"/>
      </c>
      <c r="X199" s="696" t="s">
        <v>327</v>
      </c>
      <c r="Y199" s="696" t="s">
        <v>348</v>
      </c>
      <c r="Z199" s="622">
        <v>203886</v>
      </c>
      <c r="AA199" s="622">
        <v>8774</v>
      </c>
      <c r="AB199" s="622">
        <v>181556</v>
      </c>
      <c r="AC199" s="622">
        <v>641</v>
      </c>
      <c r="AD199" s="622">
        <v>3</v>
      </c>
      <c r="AE199" s="622">
        <v>10839</v>
      </c>
      <c r="AF199" s="622">
        <v>177</v>
      </c>
      <c r="AG199" s="622">
        <v>173</v>
      </c>
      <c r="AH199" s="622">
        <v>25</v>
      </c>
      <c r="AI199" s="623">
        <v>0</v>
      </c>
    </row>
    <row customHeight="true" ht="16.071428571428573" r="200">
      <c r="A200" s="612"/>
      <c r="B200" s="625" t="s">
        <v>332</v>
      </c>
      <c r="C200" s="625"/>
      <c r="D200" s="626">
        <f>SUM(D195:D199)</f>
      </c>
      <c r="E200" s="627">
        <f>SUM(E195:E199)</f>
      </c>
      <c r="F200" s="626">
        <f>SUM(F195:F199)</f>
      </c>
      <c r="G200" s="626">
        <f t="shared" si="360"/>
      </c>
      <c r="H200" s="628">
        <f t="shared" si="525"/>
      </c>
      <c r="I200" s="629">
        <f t="shared" si="12"/>
      </c>
      <c r="J200" s="630">
        <f t="shared" si="387"/>
      </c>
      <c r="K200" s="631">
        <f t="shared" si="443"/>
      </c>
      <c r="L200" s="628">
        <f t="shared" si="199"/>
      </c>
      <c r="M200" s="628">
        <f t="shared" si="284"/>
      </c>
      <c r="N200" s="632">
        <f t="shared" si="68"/>
      </c>
      <c r="O200" s="632">
        <f t="shared" si="109"/>
      </c>
      <c r="P200" s="632">
        <f t="shared" si="169"/>
      </c>
      <c r="Q200" s="632">
        <f t="shared" si="554"/>
      </c>
      <c r="R200" s="628">
        <f t="shared" si="38"/>
      </c>
      <c r="S200" s="630">
        <f t="shared" si="413"/>
      </c>
      <c r="T200" s="632">
        <f t="shared" si="485"/>
      </c>
      <c r="U200" s="632">
        <f t="shared" si="241"/>
      </c>
      <c r="V200" s="632">
        <f t="shared" si="326"/>
      </c>
      <c r="W200" s="632">
        <f t="shared" si="142"/>
      </c>
      <c r="X200" s="632"/>
      <c r="Y200" s="698"/>
      <c r="Z200" s="626">
        <f>SUM(Z195:Z199)</f>
      </c>
      <c r="AA200" s="626">
        <f>SUM(AA195:AA199)</f>
      </c>
      <c r="AB200" s="626">
        <f>SUM(AB195:AB199)</f>
      </c>
      <c r="AC200" s="626">
        <f>SUM(AC195:AC199)</f>
      </c>
      <c r="AD200" s="626">
        <f>SUM(AD195:AD199)</f>
      </c>
      <c r="AE200" s="626">
        <f>SUM(AE195:AE199)</f>
      </c>
      <c r="AF200" s="626">
        <f>SUM(AF195:AF199)</f>
      </c>
      <c r="AG200" s="626">
        <f>SUM(AG195:AG199)</f>
      </c>
      <c r="AH200" s="626">
        <f>SUM(AH195:AH199)</f>
      </c>
      <c r="AI200" s="626">
        <f>SUM(AI195:AI199)</f>
      </c>
    </row>
    <row customHeight="true" ht="16.071428571428573" r="201">
      <c r="A201" s="612"/>
      <c r="B201" s="696" t="s">
        <v>354</v>
      </c>
      <c r="C201" s="699" t="s">
        <v>344</v>
      </c>
      <c r="D201" s="691">
        <v>1388.598</v>
      </c>
      <c r="E201" s="692">
        <v>1</v>
      </c>
      <c r="F201" s="665">
        <v>228</v>
      </c>
      <c r="G201" s="693">
        <f t="shared" si="360"/>
      </c>
      <c r="H201" s="617">
        <f t="shared" si="525"/>
      </c>
      <c r="I201" s="618">
        <f t="shared" si="12"/>
      </c>
      <c r="J201" s="619">
        <f t="shared" si="387"/>
      </c>
      <c r="K201" s="620">
        <f t="shared" si="443"/>
      </c>
      <c r="L201" s="617">
        <f t="shared" si="199"/>
      </c>
      <c r="M201" s="617">
        <f t="shared" si="284"/>
      </c>
      <c r="N201" s="621">
        <f t="shared" si="68"/>
      </c>
      <c r="O201" s="621">
        <f t="shared" si="109"/>
      </c>
      <c r="P201" s="621">
        <f t="shared" si="169"/>
      </c>
      <c r="Q201" s="621">
        <f t="shared" si="554"/>
      </c>
      <c r="R201" s="617">
        <f t="shared" si="38"/>
      </c>
      <c r="S201" s="619">
        <f t="shared" si="413"/>
      </c>
      <c r="T201" s="621">
        <f t="shared" si="485"/>
      </c>
      <c r="U201" s="621">
        <f t="shared" si="241"/>
      </c>
      <c r="V201" s="621">
        <f t="shared" si="326"/>
      </c>
      <c r="W201" s="621">
        <f t="shared" si="142"/>
      </c>
      <c r="X201" s="696" t="s">
        <v>327</v>
      </c>
      <c r="Y201" s="696" t="s">
        <v>348</v>
      </c>
      <c r="Z201" s="655">
        <v>162952</v>
      </c>
      <c r="AA201" s="655">
        <v>8467</v>
      </c>
      <c r="AB201" s="655">
        <v>132546</v>
      </c>
      <c r="AC201" s="622">
        <v>660</v>
      </c>
      <c r="AD201" s="622">
        <v>1</v>
      </c>
      <c r="AE201" s="655">
        <v>8639</v>
      </c>
      <c r="AF201" s="622">
        <v>159</v>
      </c>
      <c r="AG201" s="622">
        <v>138</v>
      </c>
      <c r="AH201" s="622">
        <v>14</v>
      </c>
      <c r="AI201" s="623">
        <v>0</v>
      </c>
    </row>
    <row customHeight="true" ht="16.071428571428573" r="202">
      <c r="A202" s="612"/>
      <c r="B202" s="696" t="s">
        <v>354</v>
      </c>
      <c r="C202" s="699" t="s">
        <v>345</v>
      </c>
      <c r="D202" s="691">
        <v>624.399</v>
      </c>
      <c r="E202" s="692">
        <v>1</v>
      </c>
      <c r="F202" s="665">
        <v>228</v>
      </c>
      <c r="G202" s="693">
        <f t="shared" si="360"/>
      </c>
      <c r="H202" s="617">
        <f t="shared" si="525"/>
      </c>
      <c r="I202" s="618">
        <f t="shared" si="12"/>
      </c>
      <c r="J202" s="619">
        <f t="shared" si="387"/>
      </c>
      <c r="K202" s="620">
        <f>D202/AC202</f>
      </c>
      <c r="L202" s="617">
        <f>D202/AD202</f>
      </c>
      <c r="M202" s="617">
        <f>D202/AE202</f>
      </c>
      <c r="N202" s="621">
        <f>AD202/AC202</f>
      </c>
      <c r="O202" s="621">
        <f t="shared" si="109"/>
      </c>
      <c r="P202" s="621">
        <f t="shared" si="169"/>
      </c>
      <c r="Q202" s="621">
        <f>AE202/AA202</f>
      </c>
      <c r="R202" s="617">
        <f t="shared" si="38"/>
      </c>
      <c r="S202" s="619">
        <f t="shared" si="413"/>
      </c>
      <c r="T202" s="621">
        <f>AF202/AC202</f>
      </c>
      <c r="U202" s="621">
        <f>AG202/AC202</f>
      </c>
      <c r="V202" s="621">
        <f>AH202/AC202</f>
      </c>
      <c r="W202" s="621">
        <f t="shared" si="142"/>
      </c>
      <c r="X202" s="696" t="s">
        <v>327</v>
      </c>
      <c r="Y202" s="696" t="s">
        <v>348</v>
      </c>
      <c r="Z202" s="622">
        <v>70763</v>
      </c>
      <c r="AA202" s="622">
        <v>4231</v>
      </c>
      <c r="AB202" s="700">
        <v>53193</v>
      </c>
      <c r="AC202" s="701">
        <v>371</v>
      </c>
      <c r="AD202" s="701">
        <v>1</v>
      </c>
      <c r="AE202" s="701">
        <v>3611</v>
      </c>
      <c r="AF202" s="701">
        <v>82</v>
      </c>
      <c r="AG202" s="701">
        <v>61</v>
      </c>
      <c r="AH202" s="701">
        <v>11</v>
      </c>
      <c r="AI202" s="623">
        <v>0</v>
      </c>
    </row>
    <row customHeight="true" ht="16.071428571428573" r="203">
      <c r="A203" s="612"/>
      <c r="B203" s="696" t="s">
        <v>354</v>
      </c>
      <c r="C203" s="699" t="s">
        <v>346</v>
      </c>
      <c r="D203" s="702">
        <v>713.369</v>
      </c>
      <c r="E203" s="692">
        <v>1</v>
      </c>
      <c r="F203" s="665">
        <v>228</v>
      </c>
      <c r="G203" s="693">
        <f t="shared" si="360"/>
      </c>
      <c r="H203" s="617">
        <f t="shared" si="525"/>
      </c>
      <c r="I203" s="618">
        <f t="shared" si="12"/>
      </c>
      <c r="J203" s="619">
        <f t="shared" si="387"/>
      </c>
      <c r="K203" s="620">
        <f t="shared" ref="K203:K213" si="444">D203/AB203</f>
      </c>
      <c r="L203" s="617">
        <f t="shared" ref="L203:L213" si="200">D203/AC203</f>
      </c>
      <c r="M203" s="617">
        <f t="shared" ref="M203:M213" si="285">D203/AD203</f>
      </c>
      <c r="N203" s="621">
        <f t="shared" ref="N203:N213" si="69">AC203/AB203</f>
      </c>
      <c r="O203" s="621">
        <f t="shared" si="109"/>
      </c>
      <c r="P203" s="621">
        <f t="shared" si="169"/>
      </c>
      <c r="Q203" s="621">
        <f t="shared" ref="Q203:Q213" si="555">AD203/AA203</f>
      </c>
      <c r="R203" s="617">
        <f t="shared" si="38"/>
      </c>
      <c r="S203" s="619">
        <f t="shared" si="413"/>
      </c>
      <c r="T203" s="621">
        <f t="shared" ref="T203:T213" si="486">AE203/AB203</f>
      </c>
      <c r="U203" s="621">
        <f t="shared" ref="U203:U213" si="242">AF203/AB203</f>
      </c>
      <c r="V203" s="621">
        <f t="shared" ref="V203:V213" si="327">AG203/AB203</f>
      </c>
      <c r="W203" s="621">
        <f t="shared" si="142"/>
      </c>
      <c r="X203" s="696" t="s">
        <v>327</v>
      </c>
      <c r="Y203" s="696" t="s">
        <v>348</v>
      </c>
      <c r="Z203" s="622">
        <v>86572</v>
      </c>
      <c r="AA203" s="622">
        <v>4305</v>
      </c>
      <c r="AB203" s="622">
        <v>57784</v>
      </c>
      <c r="AC203" s="676">
        <v>436</v>
      </c>
      <c r="AD203" s="676">
        <v>1</v>
      </c>
      <c r="AE203" s="676">
        <v>2825</v>
      </c>
      <c r="AF203" s="676">
        <v>95</v>
      </c>
      <c r="AG203" s="676">
        <v>51</v>
      </c>
      <c r="AH203" s="676">
        <v>6</v>
      </c>
      <c r="AI203" s="623">
        <v>0</v>
      </c>
    </row>
    <row customHeight="true" ht="16.071428571428573" r="204">
      <c r="A204" s="612"/>
      <c r="B204" s="696" t="s">
        <v>354</v>
      </c>
      <c r="C204" s="697" t="s">
        <v>326</v>
      </c>
      <c r="D204" s="666">
        <v>471.216</v>
      </c>
      <c r="E204" s="667">
        <v>0</v>
      </c>
      <c r="F204" s="647">
        <v>0</v>
      </c>
      <c r="G204" s="693">
        <f t="shared" si="360"/>
      </c>
      <c r="H204" s="617">
        <f t="shared" si="525"/>
      </c>
      <c r="I204" s="618">
        <f t="shared" si="12"/>
      </c>
      <c r="J204" s="619">
        <f t="shared" si="387"/>
      </c>
      <c r="K204" s="620">
        <f t="shared" si="444"/>
      </c>
      <c r="L204" s="617">
        <f t="shared" si="200"/>
      </c>
      <c r="M204" s="617">
        <f t="shared" si="285"/>
      </c>
      <c r="N204" s="621">
        <f t="shared" si="69"/>
      </c>
      <c r="O204" s="621">
        <f t="shared" si="109"/>
      </c>
      <c r="P204" s="621">
        <f t="shared" si="169"/>
      </c>
      <c r="Q204" s="621">
        <f t="shared" si="555"/>
      </c>
      <c r="R204" s="617">
        <f t="shared" si="38"/>
      </c>
      <c r="S204" s="619">
        <f t="shared" si="413"/>
      </c>
      <c r="T204" s="621">
        <f t="shared" si="486"/>
      </c>
      <c r="U204" s="621">
        <f t="shared" si="242"/>
      </c>
      <c r="V204" s="621">
        <f t="shared" si="327"/>
      </c>
      <c r="W204" s="621">
        <f t="shared" si="142"/>
      </c>
      <c r="X204" s="696" t="s">
        <v>327</v>
      </c>
      <c r="Y204" s="706" t="s">
        <v>356</v>
      </c>
      <c r="Z204" s="622">
        <v>52088</v>
      </c>
      <c r="AA204" s="622">
        <v>3212</v>
      </c>
      <c r="AB204" s="622">
        <v>40229</v>
      </c>
      <c r="AC204" s="622">
        <v>160</v>
      </c>
      <c r="AD204" s="622">
        <v>0</v>
      </c>
      <c r="AE204" s="622">
        <v>1990</v>
      </c>
      <c r="AF204" s="622">
        <v>56</v>
      </c>
      <c r="AG204" s="622">
        <v>28</v>
      </c>
      <c r="AH204" s="622">
        <v>4</v>
      </c>
      <c r="AI204" s="623">
        <v>0</v>
      </c>
    </row>
    <row customHeight="true" ht="16.071428571428573" r="205">
      <c r="A205" s="612"/>
      <c r="B205" s="696" t="s">
        <v>354</v>
      </c>
      <c r="C205" s="697" t="s">
        <v>329</v>
      </c>
      <c r="D205" s="666">
        <v>505.162</v>
      </c>
      <c r="E205" s="667">
        <v>0</v>
      </c>
      <c r="F205" s="647">
        <v>0</v>
      </c>
      <c r="G205" s="693">
        <f t="shared" si="360"/>
      </c>
      <c r="H205" s="617">
        <f t="shared" si="525"/>
      </c>
      <c r="I205" s="618">
        <f t="shared" si="12"/>
      </c>
      <c r="J205" s="619">
        <f t="shared" si="387"/>
      </c>
      <c r="K205" s="620">
        <f t="shared" si="444"/>
      </c>
      <c r="L205" s="617">
        <f t="shared" si="200"/>
      </c>
      <c r="M205" s="617">
        <f t="shared" si="285"/>
      </c>
      <c r="N205" s="621">
        <f t="shared" si="69"/>
      </c>
      <c r="O205" s="621">
        <f t="shared" si="109"/>
      </c>
      <c r="P205" s="621">
        <f t="shared" si="169"/>
      </c>
      <c r="Q205" s="621">
        <f t="shared" si="555"/>
      </c>
      <c r="R205" s="617">
        <f t="shared" si="38"/>
      </c>
      <c r="S205" s="619">
        <f t="shared" si="413"/>
      </c>
      <c r="T205" s="621">
        <f t="shared" si="486"/>
      </c>
      <c r="U205" s="621">
        <f t="shared" si="242"/>
      </c>
      <c r="V205" s="621">
        <f t="shared" si="327"/>
      </c>
      <c r="W205" s="621">
        <f t="shared" si="142"/>
      </c>
      <c r="X205" s="696" t="s">
        <v>327</v>
      </c>
      <c r="Y205" s="706" t="s">
        <v>356</v>
      </c>
      <c r="Z205" s="622">
        <v>63368</v>
      </c>
      <c r="AA205" s="622">
        <v>3738</v>
      </c>
      <c r="AB205" s="622">
        <v>49897</v>
      </c>
      <c r="AC205" s="622">
        <v>227</v>
      </c>
      <c r="AD205" s="622">
        <v>0</v>
      </c>
      <c r="AE205" s="622">
        <v>2604</v>
      </c>
      <c r="AF205" s="622">
        <v>54</v>
      </c>
      <c r="AG205" s="622">
        <v>41</v>
      </c>
      <c r="AH205" s="622">
        <v>5</v>
      </c>
      <c r="AI205" s="623">
        <v>0</v>
      </c>
    </row>
    <row customHeight="true" ht="16.071428571428573" r="206">
      <c r="A206" s="612"/>
      <c r="B206" s="625" t="s">
        <v>332</v>
      </c>
      <c r="C206" s="625"/>
      <c r="D206" s="626">
        <f>SUM(D201:D205)</f>
      </c>
      <c r="E206" s="627">
        <f>SUM(E201:E205)</f>
      </c>
      <c r="F206" s="626">
        <f>SUM(F201:F205)</f>
      </c>
      <c r="G206" s="626">
        <f t="shared" si="360"/>
      </c>
      <c r="H206" s="628">
        <f t="shared" si="525"/>
      </c>
      <c r="I206" s="629">
        <f t="shared" si="12"/>
      </c>
      <c r="J206" s="630">
        <f t="shared" si="387"/>
      </c>
      <c r="K206" s="631">
        <f t="shared" si="444"/>
      </c>
      <c r="L206" s="628">
        <f t="shared" si="200"/>
      </c>
      <c r="M206" s="628">
        <f t="shared" si="285"/>
      </c>
      <c r="N206" s="632">
        <f t="shared" si="69"/>
      </c>
      <c r="O206" s="632">
        <f t="shared" si="109"/>
      </c>
      <c r="P206" s="632">
        <f t="shared" si="169"/>
      </c>
      <c r="Q206" s="632">
        <f t="shared" si="555"/>
      </c>
      <c r="R206" s="628">
        <f t="shared" si="38"/>
      </c>
      <c r="S206" s="630">
        <f t="shared" si="413"/>
      </c>
      <c r="T206" s="632">
        <f t="shared" si="486"/>
      </c>
      <c r="U206" s="632">
        <f t="shared" si="242"/>
      </c>
      <c r="V206" s="632">
        <f t="shared" si="327"/>
      </c>
      <c r="W206" s="632">
        <f t="shared" si="142"/>
      </c>
      <c r="X206" s="632"/>
      <c r="Y206" s="698"/>
      <c r="Z206" s="626">
        <f>SUM(Z201:Z205)</f>
      </c>
      <c r="AA206" s="626">
        <f>SUM(AA201:AA205)</f>
      </c>
      <c r="AB206" s="626">
        <f>SUM(AB201:AB205)</f>
      </c>
      <c r="AC206" s="626">
        <f>SUM(AC201:AC205)</f>
      </c>
      <c r="AD206" s="626">
        <f>SUM(AD201:AD205)</f>
      </c>
      <c r="AE206" s="626">
        <f>SUM(AE201:AE205)</f>
      </c>
      <c r="AF206" s="626">
        <f>SUM(AF201:AF205)</f>
      </c>
      <c r="AG206" s="626">
        <f>SUM(AG201:AG205)</f>
      </c>
      <c r="AH206" s="626">
        <f>SUM(AH201:AH205)</f>
      </c>
      <c r="AI206" s="626">
        <f>SUM(AI201:AI205)</f>
      </c>
    </row>
    <row customHeight="true" ht="16.071428571428573" r="207">
      <c r="A207" s="612"/>
      <c r="B207" s="696" t="s">
        <v>325</v>
      </c>
      <c r="C207" s="697" t="s">
        <v>330</v>
      </c>
      <c r="D207" s="654">
        <v>577.986</v>
      </c>
      <c r="E207" s="615">
        <v>5</v>
      </c>
      <c r="F207" s="657">
        <v>1582.7000000000007</v>
      </c>
      <c r="G207" s="693">
        <f t="shared" si="360"/>
      </c>
      <c r="H207" s="617">
        <f t="shared" si="525"/>
      </c>
      <c r="I207" s="618">
        <f t="shared" si="12"/>
      </c>
      <c r="J207" s="619">
        <f t="shared" si="387"/>
      </c>
      <c r="K207" s="620">
        <f t="shared" si="444"/>
      </c>
      <c r="L207" s="617">
        <f t="shared" si="200"/>
      </c>
      <c r="M207" s="622">
        <f t="shared" si="285"/>
      </c>
      <c r="N207" s="621">
        <f t="shared" si="69"/>
      </c>
      <c r="O207" s="621">
        <f t="shared" si="109"/>
      </c>
      <c r="P207" s="621">
        <f t="shared" si="169"/>
      </c>
      <c r="Q207" s="621">
        <f t="shared" si="555"/>
      </c>
      <c r="R207" s="617">
        <f t="shared" si="38"/>
      </c>
      <c r="S207" s="619">
        <f t="shared" si="413"/>
      </c>
      <c r="T207" s="621">
        <f t="shared" si="486"/>
      </c>
      <c r="U207" s="621">
        <f t="shared" si="242"/>
      </c>
      <c r="V207" s="621">
        <f t="shared" si="327"/>
      </c>
      <c r="W207" s="621">
        <f t="shared" si="142"/>
      </c>
      <c r="X207" s="696" t="s">
        <v>327</v>
      </c>
      <c r="Y207" s="706" t="s">
        <v>356</v>
      </c>
      <c r="Z207" s="622">
        <v>68090</v>
      </c>
      <c r="AA207" s="622">
        <v>4204</v>
      </c>
      <c r="AB207" s="622">
        <v>58564</v>
      </c>
      <c r="AC207" s="622">
        <v>172</v>
      </c>
      <c r="AD207" s="622">
        <v>2</v>
      </c>
      <c r="AE207" s="622">
        <v>2760</v>
      </c>
      <c r="AF207" s="622">
        <v>71</v>
      </c>
      <c r="AG207" s="622">
        <v>48</v>
      </c>
      <c r="AH207" s="623">
        <v>5</v>
      </c>
      <c r="AI207" s="623">
        <v>1</v>
      </c>
    </row>
    <row customHeight="true" ht="16.071428571428573" r="208">
      <c r="A208" s="612"/>
      <c r="B208" s="696" t="s">
        <v>325</v>
      </c>
      <c r="C208" s="697" t="s">
        <v>331</v>
      </c>
      <c r="D208" s="654">
        <v>589.535</v>
      </c>
      <c r="E208" s="615">
        <v>1</v>
      </c>
      <c r="F208" s="657">
        <v>228</v>
      </c>
      <c r="G208" s="693">
        <f t="shared" si="360"/>
      </c>
      <c r="H208" s="617">
        <f t="shared" si="525"/>
      </c>
      <c r="I208" s="618">
        <f t="shared" si="12"/>
      </c>
      <c r="J208" s="619">
        <f t="shared" si="387"/>
      </c>
      <c r="K208" s="620">
        <f t="shared" si="444"/>
      </c>
      <c r="L208" s="617">
        <f t="shared" si="200"/>
      </c>
      <c r="M208" s="617">
        <f t="shared" si="285"/>
      </c>
      <c r="N208" s="621">
        <f t="shared" si="69"/>
      </c>
      <c r="O208" s="621">
        <f t="shared" si="109"/>
      </c>
      <c r="P208" s="621">
        <f t="shared" si="169"/>
      </c>
      <c r="Q208" s="621">
        <f t="shared" si="555"/>
      </c>
      <c r="R208" s="617">
        <f t="shared" si="38"/>
      </c>
      <c r="S208" s="619">
        <f t="shared" si="413"/>
      </c>
      <c r="T208" s="621">
        <f t="shared" si="486"/>
      </c>
      <c r="U208" s="621">
        <f t="shared" si="242"/>
      </c>
      <c r="V208" s="621">
        <f t="shared" si="327"/>
      </c>
      <c r="W208" s="621">
        <f t="shared" si="142"/>
      </c>
      <c r="X208" s="696" t="s">
        <v>327</v>
      </c>
      <c r="Y208" s="706" t="s">
        <v>356</v>
      </c>
      <c r="Z208" s="622">
        <v>63631</v>
      </c>
      <c r="AA208" s="622">
        <v>3714</v>
      </c>
      <c r="AB208" s="622">
        <v>57460</v>
      </c>
      <c r="AC208" s="622">
        <v>128</v>
      </c>
      <c r="AD208" s="622">
        <v>1</v>
      </c>
      <c r="AE208" s="622">
        <v>2679</v>
      </c>
      <c r="AF208" s="622">
        <v>50</v>
      </c>
      <c r="AG208" s="622">
        <v>40</v>
      </c>
      <c r="AH208" s="622">
        <v>5</v>
      </c>
      <c r="AI208" s="623">
        <v>0</v>
      </c>
    </row>
    <row customHeight="true" ht="16.071428571428573" r="209">
      <c r="A209" s="612"/>
      <c r="B209" s="696" t="s">
        <v>325</v>
      </c>
      <c r="C209" s="697" t="s">
        <v>334</v>
      </c>
      <c r="D209" s="654">
        <v>579.682</v>
      </c>
      <c r="E209" s="615">
        <v>0</v>
      </c>
      <c r="F209" s="647">
        <v>0</v>
      </c>
      <c r="G209" s="693">
        <f t="shared" si="360"/>
      </c>
      <c r="H209" s="617">
        <f t="shared" si="525"/>
      </c>
      <c r="I209" s="618">
        <f t="shared" si="12"/>
      </c>
      <c r="J209" s="619">
        <f t="shared" si="387"/>
      </c>
      <c r="K209" s="620">
        <f t="shared" si="444"/>
      </c>
      <c r="L209" s="617">
        <f t="shared" si="200"/>
      </c>
      <c r="M209" s="617">
        <f t="shared" si="285"/>
      </c>
      <c r="N209" s="621">
        <f t="shared" si="69"/>
      </c>
      <c r="O209" s="621">
        <f t="shared" si="109"/>
      </c>
      <c r="P209" s="621">
        <f t="shared" si="169"/>
      </c>
      <c r="Q209" s="621">
        <f t="shared" si="555"/>
      </c>
      <c r="R209" s="617">
        <f t="shared" si="38"/>
      </c>
      <c r="S209" s="619">
        <f t="shared" si="413"/>
      </c>
      <c r="T209" s="621">
        <f t="shared" si="486"/>
      </c>
      <c r="U209" s="621">
        <f t="shared" si="242"/>
      </c>
      <c r="V209" s="621">
        <f t="shared" si="327"/>
      </c>
      <c r="W209" s="621">
        <f t="shared" si="142"/>
      </c>
      <c r="X209" s="696" t="s">
        <v>327</v>
      </c>
      <c r="Y209" s="706" t="s">
        <v>356</v>
      </c>
      <c r="Z209" s="622">
        <v>79965</v>
      </c>
      <c r="AA209" s="622">
        <v>4551</v>
      </c>
      <c r="AB209" s="622">
        <v>74815</v>
      </c>
      <c r="AC209" s="622">
        <v>159</v>
      </c>
      <c r="AD209" s="622">
        <v>0</v>
      </c>
      <c r="AE209" s="622">
        <v>2604</v>
      </c>
      <c r="AF209" s="622">
        <v>28</v>
      </c>
      <c r="AG209" s="622">
        <v>79</v>
      </c>
      <c r="AH209" s="622">
        <v>0</v>
      </c>
      <c r="AI209" s="623">
        <v>0</v>
      </c>
    </row>
    <row customHeight="true" ht="16.071428571428573" r="210">
      <c r="A210" s="612"/>
      <c r="B210" s="696" t="s">
        <v>325</v>
      </c>
      <c r="C210" s="697" t="s">
        <v>335</v>
      </c>
      <c r="D210" s="654">
        <v>704.9609999999999</v>
      </c>
      <c r="E210" s="615">
        <v>1</v>
      </c>
      <c r="F210" s="657">
        <v>228</v>
      </c>
      <c r="G210" s="693">
        <f t="shared" si="360"/>
      </c>
      <c r="H210" s="617">
        <f t="shared" si="525"/>
      </c>
      <c r="I210" s="618">
        <f t="shared" si="12"/>
      </c>
      <c r="J210" s="619">
        <f t="shared" si="387"/>
      </c>
      <c r="K210" s="620">
        <f t="shared" si="444"/>
      </c>
      <c r="L210" s="617">
        <f t="shared" si="200"/>
      </c>
      <c r="M210" s="617">
        <f t="shared" si="285"/>
      </c>
      <c r="N210" s="621">
        <f t="shared" si="69"/>
      </c>
      <c r="O210" s="621">
        <f t="shared" si="109"/>
      </c>
      <c r="P210" s="621">
        <f t="shared" si="169"/>
      </c>
      <c r="Q210" s="621">
        <f t="shared" si="555"/>
      </c>
      <c r="R210" s="617">
        <f t="shared" si="38"/>
      </c>
      <c r="S210" s="619">
        <f t="shared" si="413"/>
      </c>
      <c r="T210" s="621">
        <f t="shared" si="486"/>
      </c>
      <c r="U210" s="621">
        <f t="shared" si="242"/>
      </c>
      <c r="V210" s="621">
        <f t="shared" si="327"/>
      </c>
      <c r="W210" s="621">
        <f t="shared" si="142"/>
      </c>
      <c r="X210" s="696" t="s">
        <v>327</v>
      </c>
      <c r="Y210" s="706" t="s">
        <v>356</v>
      </c>
      <c r="Z210" s="622">
        <v>91809</v>
      </c>
      <c r="AA210" s="622">
        <v>6383</v>
      </c>
      <c r="AB210" s="622">
        <v>84256</v>
      </c>
      <c r="AC210" s="622">
        <v>200</v>
      </c>
      <c r="AD210" s="622">
        <v>1</v>
      </c>
      <c r="AE210" s="622">
        <v>4121</v>
      </c>
      <c r="AF210" s="622">
        <v>49</v>
      </c>
      <c r="AG210" s="622">
        <v>101</v>
      </c>
      <c r="AH210" s="623">
        <v>7</v>
      </c>
      <c r="AI210" s="623">
        <v>0</v>
      </c>
    </row>
    <row customHeight="true" ht="16.071428571428573" r="211">
      <c r="A211" s="612"/>
      <c r="B211" s="696" t="s">
        <v>325</v>
      </c>
      <c r="C211" s="697" t="s">
        <v>336</v>
      </c>
      <c r="D211" s="654">
        <v>604.107</v>
      </c>
      <c r="E211" s="615">
        <v>1</v>
      </c>
      <c r="F211" s="657">
        <v>196</v>
      </c>
      <c r="G211" s="693">
        <f t="shared" si="360"/>
      </c>
      <c r="H211" s="617">
        <f t="shared" si="525"/>
      </c>
      <c r="I211" s="618">
        <f t="shared" si="12"/>
      </c>
      <c r="J211" s="619">
        <f t="shared" si="387"/>
      </c>
      <c r="K211" s="620">
        <f t="shared" si="444"/>
      </c>
      <c r="L211" s="617">
        <f t="shared" si="200"/>
      </c>
      <c r="M211" s="617">
        <f t="shared" si="285"/>
      </c>
      <c r="N211" s="621">
        <f t="shared" si="69"/>
      </c>
      <c r="O211" s="621">
        <f t="shared" si="109"/>
      </c>
      <c r="P211" s="621">
        <f t="shared" si="169"/>
      </c>
      <c r="Q211" s="621">
        <f t="shared" si="555"/>
      </c>
      <c r="R211" s="617">
        <f t="shared" si="38"/>
      </c>
      <c r="S211" s="619">
        <f t="shared" si="413"/>
      </c>
      <c r="T211" s="621">
        <f t="shared" si="486"/>
      </c>
      <c r="U211" s="621">
        <f t="shared" si="242"/>
      </c>
      <c r="V211" s="621">
        <f t="shared" si="327"/>
      </c>
      <c r="W211" s="621">
        <f t="shared" si="142"/>
      </c>
      <c r="X211" s="696" t="s">
        <v>327</v>
      </c>
      <c r="Y211" s="706" t="s">
        <v>356</v>
      </c>
      <c r="Z211" s="622">
        <v>92438</v>
      </c>
      <c r="AA211" s="622">
        <v>6125</v>
      </c>
      <c r="AB211" s="622">
        <v>85560</v>
      </c>
      <c r="AC211" s="622">
        <v>227</v>
      </c>
      <c r="AD211" s="622">
        <v>2</v>
      </c>
      <c r="AE211" s="622">
        <v>4266</v>
      </c>
      <c r="AF211" s="622">
        <v>53</v>
      </c>
      <c r="AG211" s="622">
        <v>85</v>
      </c>
      <c r="AH211" s="622">
        <v>7</v>
      </c>
      <c r="AI211" s="623">
        <v>0</v>
      </c>
    </row>
    <row customHeight="true" ht="16.071428571428573" r="212">
      <c r="A212" s="612"/>
      <c r="B212" s="625" t="s">
        <v>332</v>
      </c>
      <c r="C212" s="625"/>
      <c r="D212" s="626">
        <f>SUM(D207:D211)</f>
      </c>
      <c r="E212" s="627">
        <f>SUM(E207:E211)</f>
      </c>
      <c r="F212" s="626">
        <f>SUM(F207:F211)</f>
      </c>
      <c r="G212" s="626">
        <f t="shared" si="360"/>
      </c>
      <c r="H212" s="628">
        <f t="shared" si="525"/>
      </c>
      <c r="I212" s="629">
        <f t="shared" si="12"/>
      </c>
      <c r="J212" s="630">
        <f t="shared" si="387"/>
      </c>
      <c r="K212" s="631">
        <f t="shared" si="444"/>
      </c>
      <c r="L212" s="628">
        <f t="shared" si="200"/>
      </c>
      <c r="M212" s="628">
        <f t="shared" si="285"/>
      </c>
      <c r="N212" s="632">
        <f t="shared" si="69"/>
      </c>
      <c r="O212" s="632">
        <f t="shared" si="109"/>
      </c>
      <c r="P212" s="632">
        <f t="shared" si="169"/>
      </c>
      <c r="Q212" s="632">
        <f t="shared" si="555"/>
      </c>
      <c r="R212" s="628">
        <f t="shared" si="38"/>
      </c>
      <c r="S212" s="630">
        <f t="shared" si="413"/>
      </c>
      <c r="T212" s="632">
        <f t="shared" si="486"/>
      </c>
      <c r="U212" s="632">
        <f t="shared" si="242"/>
      </c>
      <c r="V212" s="632">
        <f t="shared" si="327"/>
      </c>
      <c r="W212" s="632">
        <f t="shared" si="142"/>
      </c>
      <c r="X212" s="632"/>
      <c r="Y212" s="698"/>
      <c r="Z212" s="626">
        <f>SUM(Z207:Z211)</f>
      </c>
      <c r="AA212" s="626">
        <f>SUM(AA207:AA211)</f>
      </c>
      <c r="AB212" s="626">
        <f>SUM(AB207:AB211)</f>
      </c>
      <c r="AC212" s="626">
        <f>SUM(AC207:AC211)</f>
      </c>
      <c r="AD212" s="626">
        <f>SUM(AD207:AD211)</f>
      </c>
      <c r="AE212" s="626">
        <f>SUM(AE207:AE211)</f>
      </c>
      <c r="AF212" s="626">
        <f>SUM(AF207:AF211)</f>
      </c>
      <c r="AG212" s="626">
        <f>SUM(AG207:AG211)</f>
      </c>
      <c r="AH212" s="626">
        <f>SUM(AH207:AH211)</f>
      </c>
      <c r="AI212" s="626">
        <f>SUM(AI207:AI211)</f>
      </c>
    </row>
    <row customHeight="true" ht="16.071428571428573" r="213">
      <c r="A213" s="612"/>
      <c r="B213" s="678" t="s">
        <v>337</v>
      </c>
      <c r="C213" s="678"/>
      <c r="D213" s="679">
        <f>SUM(D212+D206+D200)</f>
      </c>
      <c r="E213" s="688">
        <f>SUM(E212+E206+E200)</f>
      </c>
      <c r="F213" s="679">
        <f>SUM(F212+F206+F200)</f>
      </c>
      <c r="G213" s="679">
        <f t="shared" si="360"/>
      </c>
      <c r="H213" s="680">
        <f t="shared" si="525"/>
      </c>
      <c r="I213" s="681">
        <f t="shared" si="12"/>
      </c>
      <c r="J213" s="682">
        <f t="shared" si="387"/>
      </c>
      <c r="K213" s="683">
        <f t="shared" si="444"/>
      </c>
      <c r="L213" s="683">
        <f t="shared" si="200"/>
      </c>
      <c r="M213" s="684">
        <f t="shared" si="285"/>
      </c>
      <c r="N213" s="685">
        <f t="shared" si="69"/>
      </c>
      <c r="O213" s="685">
        <f t="shared" si="109"/>
      </c>
      <c r="P213" s="685">
        <f t="shared" si="169"/>
      </c>
      <c r="Q213" s="685">
        <f t="shared" si="555"/>
      </c>
      <c r="R213" s="684">
        <f t="shared" si="38"/>
      </c>
      <c r="S213" s="686">
        <f t="shared" si="413"/>
      </c>
      <c r="T213" s="687">
        <f t="shared" si="486"/>
      </c>
      <c r="U213" s="687">
        <f t="shared" si="242"/>
      </c>
      <c r="V213" s="687">
        <f t="shared" si="327"/>
      </c>
      <c r="W213" s="687">
        <f t="shared" si="142"/>
      </c>
      <c r="X213" s="687"/>
      <c r="Y213" s="658"/>
      <c r="Z213" s="679">
        <f>SUM(Z212+Z206+Z200)</f>
      </c>
      <c r="AA213" s="679">
        <f>SUM(AA212+AA206+AA200)</f>
      </c>
      <c r="AB213" s="679">
        <f>SUM(AB212+AB206+AB200)</f>
      </c>
      <c r="AC213" s="679">
        <f>SUM(AC212+AC206+AC200)</f>
      </c>
      <c r="AD213" s="679">
        <f>SUM(AD212+AD206+AD200)</f>
      </c>
      <c r="AE213" s="679">
        <f>SUM(AE212+AE206+AE200)</f>
      </c>
      <c r="AF213" s="679">
        <f>SUM(AF212+AF206+AF200)</f>
      </c>
      <c r="AG213" s="679">
        <f>SUM(AG212+AG206+AG200)</f>
      </c>
      <c r="AH213" s="679">
        <f>SUM(AH212+AH206+AH200)</f>
      </c>
      <c r="AI213" s="679">
        <f>SUM(AI212+AI206+AI200)</f>
      </c>
    </row>
    <row customHeight="true" ht="16.071428571428573" r="214">
      <c r="A214" s="603" t="s">
        <v>291</v>
      </c>
      <c r="B214" s="594" t="s">
        <v>292</v>
      </c>
      <c r="C214" s="659" t="s">
        <v>293</v>
      </c>
      <c r="D214" s="689" t="s">
        <v>294</v>
      </c>
      <c r="E214" s="690" t="s">
        <v>295</v>
      </c>
      <c r="F214" s="662" t="s">
        <v>296</v>
      </c>
      <c r="G214" s="662" t="s">
        <v>349</v>
      </c>
      <c r="H214" s="595" t="s">
        <v>297</v>
      </c>
      <c r="I214" s="595" t="s">
        <v>298</v>
      </c>
      <c r="J214" s="595" t="s">
        <v>299</v>
      </c>
      <c r="K214" s="597" t="s">
        <v>300</v>
      </c>
      <c r="L214" s="597" t="s">
        <v>301</v>
      </c>
      <c r="M214" s="597" t="s">
        <v>302</v>
      </c>
      <c r="N214" s="597" t="s">
        <v>303</v>
      </c>
      <c r="O214" s="597" t="s">
        <v>304</v>
      </c>
      <c r="P214" s="597" t="s">
        <v>305</v>
      </c>
      <c r="Q214" s="597" t="s">
        <v>306</v>
      </c>
      <c r="R214" s="597" t="s">
        <v>307</v>
      </c>
      <c r="S214" s="597" t="s">
        <v>308</v>
      </c>
      <c r="T214" s="606" t="s">
        <v>309</v>
      </c>
      <c r="U214" s="606" t="s">
        <v>310</v>
      </c>
      <c r="V214" s="606" t="s">
        <v>311</v>
      </c>
      <c r="W214" s="606" t="s">
        <v>312</v>
      </c>
      <c r="X214" s="607" t="s">
        <v>313</v>
      </c>
      <c r="Y214" s="607" t="s">
        <v>314</v>
      </c>
      <c r="Z214" s="651" t="s">
        <v>315</v>
      </c>
      <c r="AA214" s="651" t="s">
        <v>316</v>
      </c>
      <c r="AB214" s="651" t="s">
        <v>317</v>
      </c>
      <c r="AC214" s="609" t="s">
        <v>318</v>
      </c>
      <c r="AD214" s="609" t="s">
        <v>319</v>
      </c>
      <c r="AE214" s="652" t="s">
        <v>320</v>
      </c>
      <c r="AF214" s="609" t="s">
        <v>321</v>
      </c>
      <c r="AG214" s="609" t="s">
        <v>322</v>
      </c>
      <c r="AH214" s="611" t="s">
        <v>323</v>
      </c>
      <c r="AI214" s="609" t="s">
        <v>324</v>
      </c>
    </row>
    <row customHeight="true" ht="16.071428571428573" r="215">
      <c r="A215" s="612">
        <v>46192</v>
      </c>
      <c r="B215" s="613" t="s">
        <v>353</v>
      </c>
      <c r="C215" s="611" t="s">
        <v>338</v>
      </c>
      <c r="D215" s="691">
        <v>603.743</v>
      </c>
      <c r="E215" s="692">
        <v>3</v>
      </c>
      <c r="F215" s="665">
        <v>1252</v>
      </c>
      <c r="G215" s="693">
        <f t="shared" ref="G215:G233" si="361">D215/AD215</f>
      </c>
      <c r="H215" s="617">
        <f t="shared" ref="H215:H233" si="526">F215/E215</f>
      </c>
      <c r="I215" s="618">
        <f t="shared" ref="I215:I233" si="13">D215/E215</f>
      </c>
      <c r="J215" s="619">
        <f t="shared" ref="J215:J233" si="388">F215/D215</f>
      </c>
      <c r="K215" s="620">
        <f t="shared" ref="K215:K221" si="445">D215/AB215</f>
      </c>
      <c r="L215" s="617">
        <f t="shared" ref="L215:L221" si="201">D215/AC215</f>
      </c>
      <c r="M215" s="617">
        <f t="shared" ref="M215:M221" si="286">D215/AD215</f>
      </c>
      <c r="N215" s="621">
        <f t="shared" ref="N215:N221" si="70">AC215/AB215</f>
      </c>
      <c r="O215" s="621">
        <f t="shared" ref="O215:O221" si="110">AD215/AC215</f>
      </c>
      <c r="P215" s="621">
        <f t="shared" ref="P215:P233" si="170">AA215/Z215</f>
      </c>
      <c r="Q215" s="621">
        <f t="shared" ref="Q215:Q221" si="556">AD215/AA215</f>
      </c>
      <c r="R215" s="617">
        <f t="shared" ref="R215:R233" si="39">D215/Z215*1000</f>
      </c>
      <c r="S215" s="619">
        <f t="shared" ref="S215:S233" si="414">D215/AA215</f>
      </c>
      <c r="T215" s="621">
        <f t="shared" ref="T215:T221" si="487">AE215/AB215</f>
      </c>
      <c r="U215" s="621">
        <f t="shared" ref="U215:U221" si="243">AF215/AB215</f>
      </c>
      <c r="V215" s="621">
        <f t="shared" ref="V215:V221" si="328">AG215/AB215</f>
      </c>
      <c r="W215" s="621">
        <f t="shared" ref="W215:W233" si="143">AH215/AB215</f>
      </c>
      <c r="X215" s="653" t="s">
        <v>327</v>
      </c>
      <c r="Y215" s="653" t="s">
        <v>348</v>
      </c>
      <c r="Z215" s="655">
        <v>77251</v>
      </c>
      <c r="AA215" s="655">
        <v>6615</v>
      </c>
      <c r="AB215" s="655">
        <v>66877</v>
      </c>
      <c r="AC215" s="655">
        <v>307</v>
      </c>
      <c r="AD215" s="622">
        <v>3</v>
      </c>
      <c r="AE215" s="655">
        <v>9330</v>
      </c>
      <c r="AF215" s="622">
        <v>146</v>
      </c>
      <c r="AG215" s="622">
        <v>143</v>
      </c>
      <c r="AH215" s="622">
        <v>7</v>
      </c>
      <c r="AI215" s="623">
        <v>0</v>
      </c>
    </row>
    <row customHeight="true" ht="16.071428571428573" r="216">
      <c r="A216" s="612"/>
      <c r="B216" s="613" t="s">
        <v>353</v>
      </c>
      <c r="C216" s="611" t="s">
        <v>340</v>
      </c>
      <c r="D216" s="691">
        <v>1199.372</v>
      </c>
      <c r="E216" s="692">
        <v>1</v>
      </c>
      <c r="F216" s="665">
        <v>228</v>
      </c>
      <c r="G216" s="693">
        <f t="shared" si="361"/>
      </c>
      <c r="H216" s="617">
        <f t="shared" si="526"/>
      </c>
      <c r="I216" s="618">
        <f t="shared" si="13"/>
      </c>
      <c r="J216" s="619">
        <f t="shared" si="388"/>
      </c>
      <c r="K216" s="620">
        <f t="shared" si="445"/>
      </c>
      <c r="L216" s="617">
        <f t="shared" si="201"/>
      </c>
      <c r="M216" s="617">
        <f t="shared" si="286"/>
      </c>
      <c r="N216" s="621">
        <f t="shared" si="70"/>
      </c>
      <c r="O216" s="621">
        <f t="shared" si="110"/>
      </c>
      <c r="P216" s="621">
        <f t="shared" si="170"/>
      </c>
      <c r="Q216" s="621">
        <f t="shared" si="556"/>
      </c>
      <c r="R216" s="617">
        <f t="shared" si="39"/>
      </c>
      <c r="S216" s="619">
        <f t="shared" si="414"/>
      </c>
      <c r="T216" s="621">
        <f t="shared" si="487"/>
      </c>
      <c r="U216" s="621">
        <f t="shared" si="243"/>
      </c>
      <c r="V216" s="621">
        <f t="shared" si="328"/>
      </c>
      <c r="W216" s="621">
        <f t="shared" si="143"/>
      </c>
      <c r="X216" s="653" t="s">
        <v>327</v>
      </c>
      <c r="Y216" s="653" t="s">
        <v>348</v>
      </c>
      <c r="Z216" s="622">
        <v>141182</v>
      </c>
      <c r="AA216" s="655">
        <v>8880</v>
      </c>
      <c r="AB216" s="655">
        <v>125189</v>
      </c>
      <c r="AC216" s="655">
        <v>518</v>
      </c>
      <c r="AD216" s="622">
        <v>1</v>
      </c>
      <c r="AE216" s="655">
        <v>13836</v>
      </c>
      <c r="AF216" s="622">
        <v>173</v>
      </c>
      <c r="AG216" s="622">
        <v>209</v>
      </c>
      <c r="AH216" s="622">
        <v>14</v>
      </c>
      <c r="AI216" s="623">
        <v>0</v>
      </c>
    </row>
    <row customHeight="true" ht="16.071428571428573" r="217">
      <c r="A217" s="612"/>
      <c r="B217" s="613" t="s">
        <v>353</v>
      </c>
      <c r="C217" s="695" t="s">
        <v>341</v>
      </c>
      <c r="D217" s="691">
        <v>870.396</v>
      </c>
      <c r="E217" s="692">
        <v>1</v>
      </c>
      <c r="F217" s="665">
        <v>196</v>
      </c>
      <c r="G217" s="693">
        <f t="shared" si="361"/>
      </c>
      <c r="H217" s="617">
        <f t="shared" si="526"/>
      </c>
      <c r="I217" s="618">
        <f t="shared" si="13"/>
      </c>
      <c r="J217" s="619">
        <f t="shared" si="388"/>
      </c>
      <c r="K217" s="620">
        <f t="shared" si="445"/>
      </c>
      <c r="L217" s="617">
        <f t="shared" si="201"/>
      </c>
      <c r="M217" s="617">
        <f t="shared" si="286"/>
      </c>
      <c r="N217" s="621">
        <f t="shared" si="70"/>
      </c>
      <c r="O217" s="621">
        <f t="shared" si="110"/>
      </c>
      <c r="P217" s="621">
        <f t="shared" si="170"/>
      </c>
      <c r="Q217" s="621">
        <f t="shared" si="556"/>
      </c>
      <c r="R217" s="617">
        <f t="shared" si="39"/>
      </c>
      <c r="S217" s="619">
        <f t="shared" si="414"/>
      </c>
      <c r="T217" s="621">
        <f t="shared" si="487"/>
      </c>
      <c r="U217" s="621">
        <f t="shared" si="243"/>
      </c>
      <c r="V217" s="621">
        <f t="shared" si="328"/>
      </c>
      <c r="W217" s="621">
        <f t="shared" si="143"/>
      </c>
      <c r="X217" s="693" t="s">
        <v>327</v>
      </c>
      <c r="Y217" s="693" t="s">
        <v>348</v>
      </c>
      <c r="Z217" s="622">
        <v>117868</v>
      </c>
      <c r="AA217" s="622">
        <v>10668</v>
      </c>
      <c r="AB217" s="622">
        <v>106086</v>
      </c>
      <c r="AC217" s="622">
        <v>459</v>
      </c>
      <c r="AD217" s="622">
        <v>1</v>
      </c>
      <c r="AE217" s="622">
        <v>10363</v>
      </c>
      <c r="AF217" s="622">
        <v>167</v>
      </c>
      <c r="AG217" s="622">
        <v>164</v>
      </c>
      <c r="AH217" s="622">
        <v>11</v>
      </c>
      <c r="AI217" s="623">
        <v>0</v>
      </c>
    </row>
    <row customHeight="true" ht="16.071428571428573" r="218">
      <c r="A218" s="612"/>
      <c r="B218" s="613" t="s">
        <v>353</v>
      </c>
      <c r="C218" s="697" t="s">
        <v>342</v>
      </c>
      <c r="D218" s="669">
        <v>637.328</v>
      </c>
      <c r="E218" s="667">
        <v>3</v>
      </c>
      <c r="F218" s="647">
        <v>684</v>
      </c>
      <c r="G218" s="693">
        <f t="shared" si="361"/>
      </c>
      <c r="H218" s="617">
        <f t="shared" si="526"/>
      </c>
      <c r="I218" s="618">
        <f t="shared" si="13"/>
      </c>
      <c r="J218" s="619">
        <f t="shared" si="388"/>
      </c>
      <c r="K218" s="620">
        <f t="shared" si="445"/>
      </c>
      <c r="L218" s="617">
        <f t="shared" si="201"/>
      </c>
      <c r="M218" s="617">
        <f t="shared" si="286"/>
      </c>
      <c r="N218" s="621">
        <f t="shared" si="70"/>
      </c>
      <c r="O218" s="621">
        <f t="shared" si="110"/>
      </c>
      <c r="P218" s="621">
        <f t="shared" si="170"/>
      </c>
      <c r="Q218" s="621">
        <f t="shared" si="556"/>
      </c>
      <c r="R218" s="617">
        <f t="shared" si="39"/>
      </c>
      <c r="S218" s="619">
        <f t="shared" si="414"/>
      </c>
      <c r="T218" s="621">
        <f t="shared" si="487"/>
      </c>
      <c r="U218" s="621">
        <f t="shared" si="243"/>
      </c>
      <c r="V218" s="621">
        <f t="shared" si="328"/>
      </c>
      <c r="W218" s="621">
        <f t="shared" si="143"/>
      </c>
      <c r="X218" s="696" t="s">
        <v>327</v>
      </c>
      <c r="Y218" s="696" t="s">
        <v>348</v>
      </c>
      <c r="Z218" s="622">
        <v>82596</v>
      </c>
      <c r="AA218" s="622">
        <v>7965</v>
      </c>
      <c r="AB218" s="622">
        <v>73427</v>
      </c>
      <c r="AC218" s="622">
        <v>313</v>
      </c>
      <c r="AD218" s="622">
        <v>3</v>
      </c>
      <c r="AE218" s="622">
        <v>7658</v>
      </c>
      <c r="AF218" s="622">
        <v>151</v>
      </c>
      <c r="AG218" s="622">
        <v>127</v>
      </c>
      <c r="AH218" s="622">
        <v>7</v>
      </c>
      <c r="AI218" s="623">
        <v>0</v>
      </c>
    </row>
    <row customHeight="true" ht="16.071428571428573" r="219">
      <c r="A219" s="612"/>
      <c r="B219" s="613" t="s">
        <v>353</v>
      </c>
      <c r="C219" s="697" t="s">
        <v>343</v>
      </c>
      <c r="D219" s="669">
        <v>527.15</v>
      </c>
      <c r="E219" s="667">
        <v>2</v>
      </c>
      <c r="F219" s="647">
        <v>456</v>
      </c>
      <c r="G219" s="693">
        <f t="shared" si="361"/>
      </c>
      <c r="H219" s="617">
        <f t="shared" si="526"/>
      </c>
      <c r="I219" s="618">
        <f t="shared" si="13"/>
      </c>
      <c r="J219" s="619">
        <f t="shared" si="388"/>
      </c>
      <c r="K219" s="620">
        <f t="shared" si="445"/>
      </c>
      <c r="L219" s="617">
        <f t="shared" si="201"/>
      </c>
      <c r="M219" s="617">
        <f t="shared" si="286"/>
      </c>
      <c r="N219" s="621">
        <f t="shared" si="70"/>
      </c>
      <c r="O219" s="621">
        <f t="shared" si="110"/>
      </c>
      <c r="P219" s="621">
        <f t="shared" si="170"/>
      </c>
      <c r="Q219" s="621">
        <f t="shared" si="556"/>
      </c>
      <c r="R219" s="617">
        <f t="shared" si="39"/>
      </c>
      <c r="S219" s="619">
        <f t="shared" si="414"/>
      </c>
      <c r="T219" s="621">
        <f t="shared" si="487"/>
      </c>
      <c r="U219" s="621">
        <f t="shared" si="243"/>
      </c>
      <c r="V219" s="621">
        <f t="shared" si="328"/>
      </c>
      <c r="W219" s="621">
        <f t="shared" si="143"/>
      </c>
      <c r="X219" s="696" t="s">
        <v>327</v>
      </c>
      <c r="Y219" s="696" t="s">
        <v>348</v>
      </c>
      <c r="Z219" s="622">
        <v>77794</v>
      </c>
      <c r="AA219" s="622">
        <v>8879</v>
      </c>
      <c r="AB219" s="622">
        <v>72293</v>
      </c>
      <c r="AC219" s="622">
        <v>262</v>
      </c>
      <c r="AD219" s="622">
        <v>2</v>
      </c>
      <c r="AE219" s="622">
        <v>6969</v>
      </c>
      <c r="AF219" s="622">
        <v>96</v>
      </c>
      <c r="AG219" s="622">
        <v>141</v>
      </c>
      <c r="AH219" s="622">
        <v>9</v>
      </c>
      <c r="AI219" s="623">
        <v>0</v>
      </c>
    </row>
    <row customHeight="true" ht="16.071428571428573" r="220">
      <c r="A220" s="612"/>
      <c r="B220" s="625" t="s">
        <v>332</v>
      </c>
      <c r="C220" s="625"/>
      <c r="D220" s="626">
        <f>SUM(D215:D219)</f>
      </c>
      <c r="E220" s="627">
        <f>SUM(E215:E219)</f>
      </c>
      <c r="F220" s="626">
        <f>SUM(F215:F219)</f>
      </c>
      <c r="G220" s="626">
        <f t="shared" si="361"/>
      </c>
      <c r="H220" s="628">
        <f t="shared" si="526"/>
      </c>
      <c r="I220" s="629">
        <f t="shared" si="13"/>
      </c>
      <c r="J220" s="630">
        <f t="shared" si="388"/>
      </c>
      <c r="K220" s="631">
        <f t="shared" si="445"/>
      </c>
      <c r="L220" s="628">
        <f t="shared" si="201"/>
      </c>
      <c r="M220" s="628">
        <f t="shared" si="286"/>
      </c>
      <c r="N220" s="632">
        <f t="shared" si="70"/>
      </c>
      <c r="O220" s="632">
        <f t="shared" si="110"/>
      </c>
      <c r="P220" s="632">
        <f t="shared" si="170"/>
      </c>
      <c r="Q220" s="632">
        <f t="shared" si="556"/>
      </c>
      <c r="R220" s="628">
        <f t="shared" si="39"/>
      </c>
      <c r="S220" s="630">
        <f t="shared" si="414"/>
      </c>
      <c r="T220" s="632">
        <f t="shared" si="487"/>
      </c>
      <c r="U220" s="632">
        <f t="shared" si="243"/>
      </c>
      <c r="V220" s="632">
        <f t="shared" si="328"/>
      </c>
      <c r="W220" s="632">
        <f t="shared" si="143"/>
      </c>
      <c r="X220" s="632"/>
      <c r="Y220" s="698"/>
      <c r="Z220" s="626">
        <f>SUM(Z215:Z219)</f>
      </c>
      <c r="AA220" s="626">
        <f>SUM(AA215:AA219)</f>
      </c>
      <c r="AB220" s="626">
        <f>SUM(AB215:AB219)</f>
      </c>
      <c r="AC220" s="626">
        <f>SUM(AC215:AC219)</f>
      </c>
      <c r="AD220" s="626">
        <f>SUM(AD215:AD219)</f>
      </c>
      <c r="AE220" s="626">
        <f>SUM(AE215:AE219)</f>
      </c>
      <c r="AF220" s="626">
        <f>SUM(AF215:AF219)</f>
      </c>
      <c r="AG220" s="626">
        <f>SUM(AG215:AG219)</f>
      </c>
      <c r="AH220" s="626">
        <f>SUM(AH215:AH219)</f>
      </c>
      <c r="AI220" s="626">
        <f>SUM(AI215:AI219)</f>
      </c>
    </row>
    <row customHeight="true" ht="16.071428571428573" r="221">
      <c r="A221" s="612"/>
      <c r="B221" s="696" t="s">
        <v>354</v>
      </c>
      <c r="C221" s="699" t="s">
        <v>344</v>
      </c>
      <c r="D221" s="691">
        <v>583.563</v>
      </c>
      <c r="E221" s="692">
        <v>5</v>
      </c>
      <c r="F221" s="665">
        <v>2876</v>
      </c>
      <c r="G221" s="693">
        <f t="shared" si="361"/>
      </c>
      <c r="H221" s="617">
        <f t="shared" si="526"/>
      </c>
      <c r="I221" s="618">
        <f t="shared" si="13"/>
      </c>
      <c r="J221" s="619">
        <f t="shared" si="388"/>
      </c>
      <c r="K221" s="620">
        <f t="shared" si="445"/>
      </c>
      <c r="L221" s="617">
        <f t="shared" si="201"/>
      </c>
      <c r="M221" s="617">
        <f t="shared" si="286"/>
      </c>
      <c r="N221" s="621">
        <f t="shared" si="70"/>
      </c>
      <c r="O221" s="621">
        <f t="shared" si="110"/>
      </c>
      <c r="P221" s="621">
        <f t="shared" si="170"/>
      </c>
      <c r="Q221" s="621">
        <f t="shared" si="556"/>
      </c>
      <c r="R221" s="617">
        <f t="shared" si="39"/>
      </c>
      <c r="S221" s="619">
        <f t="shared" si="414"/>
      </c>
      <c r="T221" s="621">
        <f t="shared" si="487"/>
      </c>
      <c r="U221" s="621">
        <f t="shared" si="243"/>
      </c>
      <c r="V221" s="621">
        <f t="shared" si="328"/>
      </c>
      <c r="W221" s="621">
        <f t="shared" si="143"/>
      </c>
      <c r="X221" s="696" t="s">
        <v>327</v>
      </c>
      <c r="Y221" s="696" t="s">
        <v>348</v>
      </c>
      <c r="Z221" s="655">
        <v>76080</v>
      </c>
      <c r="AA221" s="655">
        <v>8241</v>
      </c>
      <c r="AB221" s="655">
        <v>68262</v>
      </c>
      <c r="AC221" s="622">
        <v>315</v>
      </c>
      <c r="AD221" s="622">
        <v>5</v>
      </c>
      <c r="AE221" s="655">
        <v>6481</v>
      </c>
      <c r="AF221" s="622">
        <v>114</v>
      </c>
      <c r="AG221" s="622">
        <v>172</v>
      </c>
      <c r="AH221" s="622">
        <v>22</v>
      </c>
      <c r="AI221" s="623">
        <v>0</v>
      </c>
    </row>
    <row customHeight="true" ht="16.071428571428573" r="222">
      <c r="A222" s="612"/>
      <c r="B222" s="696" t="s">
        <v>354</v>
      </c>
      <c r="C222" s="699" t="s">
        <v>345</v>
      </c>
      <c r="D222" s="691">
        <v>870.63</v>
      </c>
      <c r="E222" s="692">
        <v>2</v>
      </c>
      <c r="F222" s="665">
        <v>456</v>
      </c>
      <c r="G222" s="693">
        <f t="shared" si="361"/>
      </c>
      <c r="H222" s="617">
        <f t="shared" si="526"/>
      </c>
      <c r="I222" s="618">
        <f t="shared" si="13"/>
      </c>
      <c r="J222" s="619">
        <f t="shared" si="388"/>
      </c>
      <c r="K222" s="620">
        <f>D222/AC222</f>
      </c>
      <c r="L222" s="617">
        <f>D222/AD222</f>
      </c>
      <c r="M222" s="617">
        <f>D222/AE222</f>
      </c>
      <c r="N222" s="621">
        <f>AD222/AC222</f>
      </c>
      <c r="O222" s="621">
        <f>AE222/AD222</f>
      </c>
      <c r="P222" s="621">
        <f t="shared" si="170"/>
      </c>
      <c r="Q222" s="621">
        <f>AE222/AA222</f>
      </c>
      <c r="R222" s="617">
        <f t="shared" si="39"/>
      </c>
      <c r="S222" s="619">
        <f t="shared" si="414"/>
      </c>
      <c r="T222" s="621">
        <f>AF222/AC222</f>
      </c>
      <c r="U222" s="621">
        <f>AG222/AC222</f>
      </c>
      <c r="V222" s="621">
        <f>AH222/AC222</f>
      </c>
      <c r="W222" s="621">
        <f t="shared" si="143"/>
      </c>
      <c r="X222" s="696" t="s">
        <v>327</v>
      </c>
      <c r="Y222" s="696" t="s">
        <v>348</v>
      </c>
      <c r="Z222" s="622">
        <v>95507</v>
      </c>
      <c r="AA222" s="622">
        <v>10132</v>
      </c>
      <c r="AB222" s="700">
        <v>86298</v>
      </c>
      <c r="AC222" s="701">
        <v>413</v>
      </c>
      <c r="AD222" s="701">
        <v>2</v>
      </c>
      <c r="AE222" s="701">
        <v>8918</v>
      </c>
      <c r="AF222" s="701">
        <v>137</v>
      </c>
      <c r="AG222" s="701">
        <v>186</v>
      </c>
      <c r="AH222" s="701">
        <v>19</v>
      </c>
      <c r="AI222" s="623">
        <v>0</v>
      </c>
    </row>
    <row customHeight="true" ht="16.071428571428573" r="223">
      <c r="A223" s="612"/>
      <c r="B223" s="696" t="s">
        <v>354</v>
      </c>
      <c r="C223" s="699" t="s">
        <v>346</v>
      </c>
      <c r="D223" s="702">
        <v>912.677</v>
      </c>
      <c r="E223" s="692">
        <v>2</v>
      </c>
      <c r="F223" s="665">
        <v>392</v>
      </c>
      <c r="G223" s="693">
        <f t="shared" si="361"/>
      </c>
      <c r="H223" s="617">
        <f t="shared" si="526"/>
      </c>
      <c r="I223" s="618">
        <f t="shared" si="13"/>
      </c>
      <c r="J223" s="619">
        <f t="shared" si="388"/>
      </c>
      <c r="K223" s="620">
        <f t="shared" ref="K223:K233" si="446">D223/AB223</f>
      </c>
      <c r="L223" s="617">
        <f t="shared" ref="L223:L233" si="202">D223/AC223</f>
      </c>
      <c r="M223" s="617">
        <f t="shared" ref="M223:M233" si="287">D223/AD223</f>
      </c>
      <c r="N223" s="621">
        <f t="shared" ref="N223:N233" si="71">AC223/AB223</f>
      </c>
      <c r="O223" s="621">
        <f t="shared" ref="O223:O233" si="111">AD223/AC223</f>
      </c>
      <c r="P223" s="621">
        <f t="shared" si="170"/>
      </c>
      <c r="Q223" s="621">
        <f t="shared" ref="Q223:Q233" si="557">AD223/AA223</f>
      </c>
      <c r="R223" s="617">
        <f t="shared" si="39"/>
      </c>
      <c r="S223" s="619">
        <f t="shared" si="414"/>
      </c>
      <c r="T223" s="621">
        <f t="shared" ref="T223:T233" si="488">AE223/AB223</f>
      </c>
      <c r="U223" s="621">
        <f t="shared" ref="U223:U233" si="244">AF223/AB223</f>
      </c>
      <c r="V223" s="621">
        <f t="shared" ref="V223:V233" si="329">AG223/AB223</f>
      </c>
      <c r="W223" s="621">
        <f t="shared" si="143"/>
      </c>
      <c r="X223" s="696" t="s">
        <v>327</v>
      </c>
      <c r="Y223" s="696" t="s">
        <v>348</v>
      </c>
      <c r="Z223" s="622">
        <v>100012</v>
      </c>
      <c r="AA223" s="622">
        <v>10906</v>
      </c>
      <c r="AB223" s="622">
        <v>86646</v>
      </c>
      <c r="AC223" s="676">
        <v>419</v>
      </c>
      <c r="AD223" s="676">
        <v>2</v>
      </c>
      <c r="AE223" s="676">
        <v>8864</v>
      </c>
      <c r="AF223" s="676">
        <v>149</v>
      </c>
      <c r="AG223" s="676">
        <v>191</v>
      </c>
      <c r="AH223" s="676">
        <v>9</v>
      </c>
      <c r="AI223" s="623">
        <v>0</v>
      </c>
    </row>
    <row customHeight="true" ht="16.071428571428573" r="224">
      <c r="A224" s="612"/>
      <c r="B224" s="696" t="s">
        <v>354</v>
      </c>
      <c r="C224" s="697" t="s">
        <v>326</v>
      </c>
      <c r="D224" s="666">
        <v>834.8580000000001</v>
      </c>
      <c r="E224" s="667">
        <v>2</v>
      </c>
      <c r="F224" s="647">
        <v>456</v>
      </c>
      <c r="G224" s="693">
        <f t="shared" si="361"/>
      </c>
      <c r="H224" s="617">
        <f t="shared" si="526"/>
      </c>
      <c r="I224" s="618">
        <f t="shared" si="13"/>
      </c>
      <c r="J224" s="619">
        <f t="shared" si="388"/>
      </c>
      <c r="K224" s="620">
        <f t="shared" si="446"/>
      </c>
      <c r="L224" s="617">
        <f t="shared" si="202"/>
      </c>
      <c r="M224" s="617">
        <f t="shared" si="287"/>
      </c>
      <c r="N224" s="621">
        <f t="shared" si="71"/>
      </c>
      <c r="O224" s="621">
        <f t="shared" si="111"/>
      </c>
      <c r="P224" s="621">
        <f t="shared" si="170"/>
      </c>
      <c r="Q224" s="621">
        <f t="shared" si="557"/>
      </c>
      <c r="R224" s="617">
        <f t="shared" si="39"/>
      </c>
      <c r="S224" s="619">
        <f t="shared" si="414"/>
      </c>
      <c r="T224" s="621">
        <f t="shared" si="488"/>
      </c>
      <c r="U224" s="621">
        <f t="shared" si="244"/>
      </c>
      <c r="V224" s="621">
        <f t="shared" si="329"/>
      </c>
      <c r="W224" s="621">
        <f t="shared" si="143"/>
      </c>
      <c r="X224" s="696" t="s">
        <v>327</v>
      </c>
      <c r="Y224" s="706" t="s">
        <v>356</v>
      </c>
      <c r="Z224" s="622">
        <v>106390</v>
      </c>
      <c r="AA224" s="622">
        <v>9657</v>
      </c>
      <c r="AB224" s="622">
        <v>89075</v>
      </c>
      <c r="AC224" s="622">
        <v>319</v>
      </c>
      <c r="AD224" s="622">
        <v>2</v>
      </c>
      <c r="AE224" s="622">
        <v>7265</v>
      </c>
      <c r="AF224" s="622">
        <v>131</v>
      </c>
      <c r="AG224" s="622">
        <v>137</v>
      </c>
      <c r="AH224" s="622">
        <v>16</v>
      </c>
      <c r="AI224" s="623">
        <v>0</v>
      </c>
    </row>
    <row customHeight="true" ht="16.071428571428573" r="225">
      <c r="A225" s="612"/>
      <c r="B225" s="696" t="s">
        <v>354</v>
      </c>
      <c r="C225" s="697" t="s">
        <v>329</v>
      </c>
      <c r="D225" s="669">
        <v>1326.2640000000001</v>
      </c>
      <c r="E225" s="667">
        <v>4</v>
      </c>
      <c r="F225" s="647">
        <v>2053.2000000000007</v>
      </c>
      <c r="G225" s="693">
        <f t="shared" si="361"/>
      </c>
      <c r="H225" s="617">
        <f t="shared" si="526"/>
      </c>
      <c r="I225" s="618">
        <f t="shared" si="13"/>
      </c>
      <c r="J225" s="619">
        <f t="shared" si="388"/>
      </c>
      <c r="K225" s="620">
        <f t="shared" si="446"/>
      </c>
      <c r="L225" s="617">
        <f t="shared" si="202"/>
      </c>
      <c r="M225" s="617">
        <f t="shared" si="287"/>
      </c>
      <c r="N225" s="621">
        <f t="shared" si="71"/>
      </c>
      <c r="O225" s="621">
        <f t="shared" si="111"/>
      </c>
      <c r="P225" s="621">
        <f t="shared" si="170"/>
      </c>
      <c r="Q225" s="621">
        <f t="shared" si="557"/>
      </c>
      <c r="R225" s="617">
        <f t="shared" si="39"/>
      </c>
      <c r="S225" s="619">
        <f t="shared" si="414"/>
      </c>
      <c r="T225" s="621">
        <f t="shared" si="488"/>
      </c>
      <c r="U225" s="621">
        <f t="shared" si="244"/>
      </c>
      <c r="V225" s="621">
        <f t="shared" si="329"/>
      </c>
      <c r="W225" s="621">
        <f t="shared" si="143"/>
      </c>
      <c r="X225" s="696" t="s">
        <v>327</v>
      </c>
      <c r="Y225" s="706" t="s">
        <v>356</v>
      </c>
      <c r="Z225" s="622">
        <v>188799</v>
      </c>
      <c r="AA225" s="622">
        <v>12394</v>
      </c>
      <c r="AB225" s="622">
        <v>173658</v>
      </c>
      <c r="AC225" s="622">
        <v>401</v>
      </c>
      <c r="AD225" s="622">
        <v>2</v>
      </c>
      <c r="AE225" s="622">
        <v>11826</v>
      </c>
      <c r="AF225" s="622">
        <v>145</v>
      </c>
      <c r="AG225" s="622">
        <v>208</v>
      </c>
      <c r="AH225" s="622">
        <v>15</v>
      </c>
      <c r="AI225" s="623">
        <v>1</v>
      </c>
    </row>
    <row customHeight="true" ht="16.071428571428573" r="226">
      <c r="A226" s="612"/>
      <c r="B226" s="625" t="s">
        <v>332</v>
      </c>
      <c r="C226" s="625"/>
      <c r="D226" s="626">
        <f>SUM(D221:D225)</f>
      </c>
      <c r="E226" s="627">
        <f>SUM(E221:E225)</f>
      </c>
      <c r="F226" s="626">
        <f>SUM(F221:F225)</f>
      </c>
      <c r="G226" s="626">
        <f t="shared" si="361"/>
      </c>
      <c r="H226" s="628">
        <f t="shared" si="526"/>
      </c>
      <c r="I226" s="629">
        <f t="shared" si="13"/>
      </c>
      <c r="J226" s="630">
        <f t="shared" si="388"/>
      </c>
      <c r="K226" s="631">
        <f t="shared" si="446"/>
      </c>
      <c r="L226" s="628">
        <f t="shared" si="202"/>
      </c>
      <c r="M226" s="628">
        <f t="shared" si="287"/>
      </c>
      <c r="N226" s="632">
        <f t="shared" si="71"/>
      </c>
      <c r="O226" s="632">
        <f t="shared" si="111"/>
      </c>
      <c r="P226" s="632">
        <f t="shared" si="170"/>
      </c>
      <c r="Q226" s="632">
        <f t="shared" si="557"/>
      </c>
      <c r="R226" s="628">
        <f t="shared" si="39"/>
      </c>
      <c r="S226" s="630">
        <f t="shared" si="414"/>
      </c>
      <c r="T226" s="632">
        <f t="shared" si="488"/>
      </c>
      <c r="U226" s="632">
        <f t="shared" si="244"/>
      </c>
      <c r="V226" s="632">
        <f t="shared" si="329"/>
      </c>
      <c r="W226" s="632">
        <f t="shared" si="143"/>
      </c>
      <c r="X226" s="632"/>
      <c r="Y226" s="698"/>
      <c r="Z226" s="626">
        <f>SUM(Z221:Z225)</f>
      </c>
      <c r="AA226" s="626">
        <f>SUM(AA221:AA225)</f>
      </c>
      <c r="AB226" s="626">
        <f>SUM(AB221:AB225)</f>
      </c>
      <c r="AC226" s="626">
        <f>SUM(AC221:AC225)</f>
      </c>
      <c r="AD226" s="626">
        <f>SUM(AD221:AD225)</f>
      </c>
      <c r="AE226" s="626">
        <f>SUM(AE221:AE225)</f>
      </c>
      <c r="AF226" s="626">
        <f>SUM(AF221:AF225)</f>
      </c>
      <c r="AG226" s="626">
        <f>SUM(AG221:AG225)</f>
      </c>
      <c r="AH226" s="626">
        <f>SUM(AH221:AH225)</f>
      </c>
      <c r="AI226" s="626">
        <f>SUM(AI221:AI225)</f>
      </c>
    </row>
    <row customHeight="true" ht="16.071428571428573" r="227">
      <c r="A227" s="612"/>
      <c r="B227" s="696" t="s">
        <v>325</v>
      </c>
      <c r="C227" s="697" t="s">
        <v>330</v>
      </c>
      <c r="D227" s="654">
        <v>1215.1019999999999</v>
      </c>
      <c r="E227" s="615">
        <v>4</v>
      </c>
      <c r="F227" s="657">
        <v>869.2000000000007</v>
      </c>
      <c r="G227" s="693">
        <f t="shared" si="361"/>
      </c>
      <c r="H227" s="617">
        <f t="shared" si="526"/>
      </c>
      <c r="I227" s="618">
        <f t="shared" si="13"/>
      </c>
      <c r="J227" s="619">
        <f t="shared" si="388"/>
      </c>
      <c r="K227" s="620">
        <f t="shared" si="446"/>
      </c>
      <c r="L227" s="617">
        <f t="shared" si="202"/>
      </c>
      <c r="M227" s="622">
        <f t="shared" si="287"/>
      </c>
      <c r="N227" s="621">
        <f t="shared" si="71"/>
      </c>
      <c r="O227" s="621">
        <f t="shared" si="111"/>
      </c>
      <c r="P227" s="621">
        <f t="shared" si="170"/>
      </c>
      <c r="Q227" s="621">
        <f t="shared" si="557"/>
      </c>
      <c r="R227" s="617">
        <f t="shared" si="39"/>
      </c>
      <c r="S227" s="619">
        <f t="shared" si="414"/>
      </c>
      <c r="T227" s="621">
        <f t="shared" si="488"/>
      </c>
      <c r="U227" s="621">
        <f t="shared" si="244"/>
      </c>
      <c r="V227" s="621">
        <f t="shared" si="329"/>
      </c>
      <c r="W227" s="621">
        <f t="shared" si="143"/>
      </c>
      <c r="X227" s="696" t="s">
        <v>327</v>
      </c>
      <c r="Y227" s="706" t="s">
        <v>356</v>
      </c>
      <c r="Z227" s="622">
        <v>152643</v>
      </c>
      <c r="AA227" s="622">
        <v>11657</v>
      </c>
      <c r="AB227" s="622">
        <v>137765</v>
      </c>
      <c r="AC227" s="622">
        <v>465</v>
      </c>
      <c r="AD227" s="622">
        <v>3</v>
      </c>
      <c r="AE227" s="622">
        <v>11869</v>
      </c>
      <c r="AF227" s="622">
        <v>232</v>
      </c>
      <c r="AG227" s="622">
        <v>216</v>
      </c>
      <c r="AH227" s="623">
        <v>8</v>
      </c>
      <c r="AI227" s="623">
        <v>1</v>
      </c>
    </row>
    <row customHeight="true" ht="16.071428571428573" r="228">
      <c r="A228" s="612"/>
      <c r="B228" s="696" t="s">
        <v>325</v>
      </c>
      <c r="C228" s="697" t="s">
        <v>331</v>
      </c>
      <c r="D228" s="654">
        <v>2156.286</v>
      </c>
      <c r="E228" s="615">
        <v>11</v>
      </c>
      <c r="F228" s="657">
        <v>3623.5</v>
      </c>
      <c r="G228" s="693">
        <f t="shared" si="361"/>
      </c>
      <c r="H228" s="617">
        <f t="shared" si="526"/>
      </c>
      <c r="I228" s="618">
        <f t="shared" si="13"/>
      </c>
      <c r="J228" s="619">
        <f t="shared" si="388"/>
      </c>
      <c r="K228" s="620">
        <f t="shared" si="446"/>
      </c>
      <c r="L228" s="617">
        <f t="shared" si="202"/>
      </c>
      <c r="M228" s="617">
        <f t="shared" si="287"/>
      </c>
      <c r="N228" s="621">
        <f t="shared" si="71"/>
      </c>
      <c r="O228" s="621">
        <f t="shared" si="111"/>
      </c>
      <c r="P228" s="621">
        <f t="shared" si="170"/>
      </c>
      <c r="Q228" s="621">
        <f t="shared" si="557"/>
      </c>
      <c r="R228" s="617">
        <f t="shared" si="39"/>
      </c>
      <c r="S228" s="619">
        <f t="shared" si="414"/>
      </c>
      <c r="T228" s="621">
        <f t="shared" si="488"/>
      </c>
      <c r="U228" s="621">
        <f t="shared" si="244"/>
      </c>
      <c r="V228" s="621">
        <f t="shared" si="329"/>
      </c>
      <c r="W228" s="621">
        <f t="shared" si="143"/>
      </c>
      <c r="X228" s="696" t="s">
        <v>327</v>
      </c>
      <c r="Y228" s="706" t="s">
        <v>356</v>
      </c>
      <c r="Z228" s="622">
        <v>264640</v>
      </c>
      <c r="AA228" s="622">
        <v>20087</v>
      </c>
      <c r="AB228" s="622">
        <v>265863</v>
      </c>
      <c r="AC228" s="622">
        <v>754</v>
      </c>
      <c r="AD228" s="622">
        <v>10</v>
      </c>
      <c r="AE228" s="622">
        <v>19647</v>
      </c>
      <c r="AF228" s="622">
        <v>322</v>
      </c>
      <c r="AG228" s="622">
        <v>381</v>
      </c>
      <c r="AH228" s="622">
        <v>16</v>
      </c>
      <c r="AI228" s="623">
        <v>2</v>
      </c>
    </row>
    <row customHeight="true" ht="16.071428571428573" r="229">
      <c r="A229" s="612"/>
      <c r="B229" s="696" t="s">
        <v>325</v>
      </c>
      <c r="C229" s="697" t="s">
        <v>334</v>
      </c>
      <c r="D229" s="654">
        <v>1833.293</v>
      </c>
      <c r="E229" s="615">
        <v>4</v>
      </c>
      <c r="F229" s="647">
        <v>2648</v>
      </c>
      <c r="G229" s="693">
        <f t="shared" si="361"/>
      </c>
      <c r="H229" s="617">
        <f t="shared" si="526"/>
      </c>
      <c r="I229" s="618">
        <f t="shared" si="13"/>
      </c>
      <c r="J229" s="619">
        <f t="shared" si="388"/>
      </c>
      <c r="K229" s="620">
        <f t="shared" si="446"/>
      </c>
      <c r="L229" s="617">
        <f t="shared" si="202"/>
      </c>
      <c r="M229" s="617">
        <f t="shared" si="287"/>
      </c>
      <c r="N229" s="621">
        <f t="shared" si="71"/>
      </c>
      <c r="O229" s="621">
        <f t="shared" si="111"/>
      </c>
      <c r="P229" s="621">
        <f t="shared" si="170"/>
      </c>
      <c r="Q229" s="621">
        <f t="shared" si="557"/>
      </c>
      <c r="R229" s="617">
        <f t="shared" si="39"/>
      </c>
      <c r="S229" s="619">
        <f t="shared" si="414"/>
      </c>
      <c r="T229" s="621">
        <f t="shared" si="488"/>
      </c>
      <c r="U229" s="621">
        <f t="shared" si="244"/>
      </c>
      <c r="V229" s="621">
        <f t="shared" si="329"/>
      </c>
      <c r="W229" s="621">
        <f t="shared" si="143"/>
      </c>
      <c r="X229" s="696" t="s">
        <v>327</v>
      </c>
      <c r="Y229" s="706" t="s">
        <v>356</v>
      </c>
      <c r="Z229" s="622">
        <v>247094</v>
      </c>
      <c r="AA229" s="622">
        <v>19583</v>
      </c>
      <c r="AB229" s="622">
        <v>237468</v>
      </c>
      <c r="AC229" s="622">
        <v>828</v>
      </c>
      <c r="AD229" s="622">
        <v>3</v>
      </c>
      <c r="AE229" s="622">
        <v>19229</v>
      </c>
      <c r="AF229" s="622">
        <v>303</v>
      </c>
      <c r="AG229" s="622">
        <v>384</v>
      </c>
      <c r="AH229" s="622">
        <v>21</v>
      </c>
      <c r="AI229" s="623">
        <v>0</v>
      </c>
    </row>
    <row customHeight="true" ht="16.071428571428573" r="230">
      <c r="A230" s="612"/>
      <c r="B230" s="696" t="s">
        <v>325</v>
      </c>
      <c r="C230" s="697" t="s">
        <v>335</v>
      </c>
      <c r="D230" s="654">
        <v>1642.196</v>
      </c>
      <c r="E230" s="615">
        <v>7</v>
      </c>
      <c r="F230" s="657">
        <v>2569.4000000000015</v>
      </c>
      <c r="G230" s="693">
        <f t="shared" si="361"/>
      </c>
      <c r="H230" s="617">
        <f t="shared" si="526"/>
      </c>
      <c r="I230" s="618">
        <f t="shared" si="13"/>
      </c>
      <c r="J230" s="619">
        <f t="shared" si="388"/>
      </c>
      <c r="K230" s="620">
        <f t="shared" si="446"/>
      </c>
      <c r="L230" s="617">
        <f t="shared" si="202"/>
      </c>
      <c r="M230" s="617">
        <f t="shared" si="287"/>
      </c>
      <c r="N230" s="621">
        <f t="shared" si="71"/>
      </c>
      <c r="O230" s="621">
        <f t="shared" si="111"/>
      </c>
      <c r="P230" s="621">
        <f t="shared" si="170"/>
      </c>
      <c r="Q230" s="621">
        <f t="shared" si="557"/>
      </c>
      <c r="R230" s="617">
        <f t="shared" si="39"/>
      </c>
      <c r="S230" s="619">
        <f t="shared" si="414"/>
      </c>
      <c r="T230" s="621">
        <f t="shared" si="488"/>
      </c>
      <c r="U230" s="621">
        <f t="shared" si="244"/>
      </c>
      <c r="V230" s="621">
        <f t="shared" si="329"/>
      </c>
      <c r="W230" s="621">
        <f t="shared" si="143"/>
      </c>
      <c r="X230" s="696" t="s">
        <v>327</v>
      </c>
      <c r="Y230" s="706" t="s">
        <v>356</v>
      </c>
      <c r="Z230" s="622">
        <v>223749</v>
      </c>
      <c r="AA230" s="622">
        <v>16707</v>
      </c>
      <c r="AB230" s="622">
        <v>208162</v>
      </c>
      <c r="AC230" s="622">
        <v>720</v>
      </c>
      <c r="AD230" s="622">
        <v>4</v>
      </c>
      <c r="AE230" s="622">
        <v>17723</v>
      </c>
      <c r="AF230" s="622">
        <v>249</v>
      </c>
      <c r="AG230" s="622">
        <v>357</v>
      </c>
      <c r="AH230" s="623">
        <v>18</v>
      </c>
      <c r="AI230" s="623">
        <v>3</v>
      </c>
    </row>
    <row customHeight="true" ht="16.071428571428573" r="231">
      <c r="A231" s="612"/>
      <c r="B231" s="696" t="s">
        <v>325</v>
      </c>
      <c r="C231" s="697" t="s">
        <v>336</v>
      </c>
      <c r="D231" s="654">
        <v>1639.0600000000002</v>
      </c>
      <c r="E231" s="615">
        <v>8</v>
      </c>
      <c r="F231" s="657">
        <v>3233.5999999999985</v>
      </c>
      <c r="G231" s="693">
        <f t="shared" si="361"/>
      </c>
      <c r="H231" s="617">
        <f t="shared" si="526"/>
      </c>
      <c r="I231" s="618">
        <f t="shared" si="13"/>
      </c>
      <c r="J231" s="619">
        <f t="shared" si="388"/>
      </c>
      <c r="K231" s="620">
        <f t="shared" si="446"/>
      </c>
      <c r="L231" s="617">
        <f t="shared" si="202"/>
      </c>
      <c r="M231" s="617">
        <f t="shared" si="287"/>
      </c>
      <c r="N231" s="621">
        <f t="shared" si="71"/>
      </c>
      <c r="O231" s="621">
        <f t="shared" si="111"/>
      </c>
      <c r="P231" s="621">
        <f t="shared" si="170"/>
      </c>
      <c r="Q231" s="621">
        <f t="shared" si="557"/>
      </c>
      <c r="R231" s="617">
        <f t="shared" si="39"/>
      </c>
      <c r="S231" s="619">
        <f t="shared" si="414"/>
      </c>
      <c r="T231" s="621">
        <f t="shared" si="488"/>
      </c>
      <c r="U231" s="621">
        <f t="shared" si="244"/>
      </c>
      <c r="V231" s="621">
        <f t="shared" si="329"/>
      </c>
      <c r="W231" s="621">
        <f t="shared" si="143"/>
      </c>
      <c r="X231" s="696" t="s">
        <v>327</v>
      </c>
      <c r="Y231" s="706" t="s">
        <v>356</v>
      </c>
      <c r="Z231" s="622">
        <v>224691</v>
      </c>
      <c r="AA231" s="622">
        <v>15463</v>
      </c>
      <c r="AB231" s="622">
        <v>202462</v>
      </c>
      <c r="AC231" s="622">
        <v>694</v>
      </c>
      <c r="AD231" s="622">
        <v>7</v>
      </c>
      <c r="AE231" s="622">
        <v>15683</v>
      </c>
      <c r="AF231" s="622">
        <v>225</v>
      </c>
      <c r="AG231" s="622">
        <v>284</v>
      </c>
      <c r="AH231" s="622">
        <v>21</v>
      </c>
      <c r="AI231" s="623">
        <v>1</v>
      </c>
    </row>
    <row customHeight="true" ht="16.071428571428573" r="232">
      <c r="A232" s="612"/>
      <c r="B232" s="625" t="s">
        <v>332</v>
      </c>
      <c r="C232" s="625"/>
      <c r="D232" s="626">
        <f>SUM(D227:D231)</f>
      </c>
      <c r="E232" s="627">
        <f>SUM(E227:E231)</f>
      </c>
      <c r="F232" s="626">
        <f>SUM(F227:F231)</f>
      </c>
      <c r="G232" s="626">
        <f t="shared" si="361"/>
      </c>
      <c r="H232" s="628">
        <f t="shared" si="526"/>
      </c>
      <c r="I232" s="629">
        <f t="shared" si="13"/>
      </c>
      <c r="J232" s="630">
        <f t="shared" si="388"/>
      </c>
      <c r="K232" s="631">
        <f t="shared" si="446"/>
      </c>
      <c r="L232" s="628">
        <f t="shared" si="202"/>
      </c>
      <c r="M232" s="628">
        <f t="shared" si="287"/>
      </c>
      <c r="N232" s="632">
        <f t="shared" si="71"/>
      </c>
      <c r="O232" s="632">
        <f t="shared" si="111"/>
      </c>
      <c r="P232" s="632">
        <f t="shared" si="170"/>
      </c>
      <c r="Q232" s="632">
        <f t="shared" si="557"/>
      </c>
      <c r="R232" s="628">
        <f t="shared" si="39"/>
      </c>
      <c r="S232" s="630">
        <f t="shared" si="414"/>
      </c>
      <c r="T232" s="632">
        <f t="shared" si="488"/>
      </c>
      <c r="U232" s="632">
        <f t="shared" si="244"/>
      </c>
      <c r="V232" s="632">
        <f t="shared" si="329"/>
      </c>
      <c r="W232" s="632">
        <f t="shared" si="143"/>
      </c>
      <c r="X232" s="632"/>
      <c r="Y232" s="698"/>
      <c r="Z232" s="626">
        <f>SUM(Z227:Z231)</f>
      </c>
      <c r="AA232" s="626">
        <f>SUM(AA227:AA231)</f>
      </c>
      <c r="AB232" s="626">
        <f>SUM(AB227:AB231)</f>
      </c>
      <c r="AC232" s="626">
        <f>SUM(AC227:AC231)</f>
      </c>
      <c r="AD232" s="626">
        <f>SUM(AD227:AD231)</f>
      </c>
      <c r="AE232" s="626">
        <f>SUM(AE227:AE231)</f>
      </c>
      <c r="AF232" s="626">
        <f>SUM(AF227:AF231)</f>
      </c>
      <c r="AG232" s="626">
        <f>SUM(AG227:AG231)</f>
      </c>
      <c r="AH232" s="626">
        <f>SUM(AH227:AH231)</f>
      </c>
      <c r="AI232" s="626">
        <f>SUM(AI227:AI231)</f>
      </c>
    </row>
    <row customHeight="true" ht="16.071428571428573" r="233">
      <c r="A233" s="612"/>
      <c r="B233" s="678" t="s">
        <v>337</v>
      </c>
      <c r="C233" s="678"/>
      <c r="D233" s="679">
        <f>SUM(D232+D226+D220)</f>
      </c>
      <c r="E233" s="688">
        <f>SUM(E232+E226+E220)</f>
      </c>
      <c r="F233" s="679">
        <f>SUM(F232+F226+F220)</f>
      </c>
      <c r="G233" s="679">
        <f t="shared" si="361"/>
      </c>
      <c r="H233" s="680">
        <f t="shared" si="526"/>
      </c>
      <c r="I233" s="681">
        <f t="shared" si="13"/>
      </c>
      <c r="J233" s="682">
        <f t="shared" si="388"/>
      </c>
      <c r="K233" s="683">
        <f t="shared" si="446"/>
      </c>
      <c r="L233" s="683">
        <f t="shared" si="202"/>
      </c>
      <c r="M233" s="684">
        <f t="shared" si="287"/>
      </c>
      <c r="N233" s="685">
        <f t="shared" si="71"/>
      </c>
      <c r="O233" s="685">
        <f t="shared" si="111"/>
      </c>
      <c r="P233" s="685">
        <f t="shared" si="170"/>
      </c>
      <c r="Q233" s="685">
        <f t="shared" si="557"/>
      </c>
      <c r="R233" s="684">
        <f t="shared" si="39"/>
      </c>
      <c r="S233" s="686">
        <f t="shared" si="414"/>
      </c>
      <c r="T233" s="687">
        <f t="shared" si="488"/>
      </c>
      <c r="U233" s="687">
        <f t="shared" si="244"/>
      </c>
      <c r="V233" s="687">
        <f t="shared" si="329"/>
      </c>
      <c r="W233" s="687">
        <f t="shared" si="143"/>
      </c>
      <c r="X233" s="687"/>
      <c r="Y233" s="658"/>
      <c r="Z233" s="679">
        <f>SUM(Z232+Z226+Z220)</f>
      </c>
      <c r="AA233" s="679">
        <f>SUM(AA232+AA226+AA220)</f>
      </c>
      <c r="AB233" s="679">
        <f>SUM(AB232+AB226+AB220)</f>
      </c>
      <c r="AC233" s="679">
        <f>SUM(AC232+AC226+AC220)</f>
      </c>
      <c r="AD233" s="679">
        <f>SUM(AD232+AD226+AD220)</f>
      </c>
      <c r="AE233" s="679">
        <f>SUM(AE232+AE226+AE220)</f>
      </c>
      <c r="AF233" s="679">
        <f>SUM(AF232+AF226+AF220)</f>
      </c>
      <c r="AG233" s="679">
        <f>SUM(AG232+AG226+AG220)</f>
      </c>
      <c r="AH233" s="679">
        <f>SUM(AH232+AH226+AH220)</f>
      </c>
      <c r="AI233" s="679">
        <f>SUM(AI232+AI226+AI220)</f>
      </c>
    </row>
    <row customHeight="true" ht="16.071428571428573" r="234">
      <c r="A234" s="603" t="s">
        <v>291</v>
      </c>
      <c r="B234" s="594" t="s">
        <v>292</v>
      </c>
      <c r="C234" s="659" t="s">
        <v>293</v>
      </c>
      <c r="D234" s="689" t="s">
        <v>294</v>
      </c>
      <c r="E234" s="690" t="s">
        <v>295</v>
      </c>
      <c r="F234" s="662" t="s">
        <v>296</v>
      </c>
      <c r="G234" s="662" t="s">
        <v>349</v>
      </c>
      <c r="H234" s="595" t="s">
        <v>297</v>
      </c>
      <c r="I234" s="595" t="s">
        <v>298</v>
      </c>
      <c r="J234" s="595" t="s">
        <v>299</v>
      </c>
      <c r="K234" s="597" t="s">
        <v>300</v>
      </c>
      <c r="L234" s="597" t="s">
        <v>301</v>
      </c>
      <c r="M234" s="597" t="s">
        <v>302</v>
      </c>
      <c r="N234" s="597" t="s">
        <v>303</v>
      </c>
      <c r="O234" s="597" t="s">
        <v>304</v>
      </c>
      <c r="P234" s="597" t="s">
        <v>305</v>
      </c>
      <c r="Q234" s="597" t="s">
        <v>306</v>
      </c>
      <c r="R234" s="597" t="s">
        <v>307</v>
      </c>
      <c r="S234" s="597" t="s">
        <v>308</v>
      </c>
      <c r="T234" s="606" t="s">
        <v>309</v>
      </c>
      <c r="U234" s="606" t="s">
        <v>310</v>
      </c>
      <c r="V234" s="606" t="s">
        <v>311</v>
      </c>
      <c r="W234" s="606" t="s">
        <v>312</v>
      </c>
      <c r="X234" s="607" t="s">
        <v>313</v>
      </c>
      <c r="Y234" s="607" t="s">
        <v>314</v>
      </c>
      <c r="Z234" s="651" t="s">
        <v>315</v>
      </c>
      <c r="AA234" s="651" t="s">
        <v>316</v>
      </c>
      <c r="AB234" s="651" t="s">
        <v>317</v>
      </c>
      <c r="AC234" s="609" t="s">
        <v>318</v>
      </c>
      <c r="AD234" s="609" t="s">
        <v>319</v>
      </c>
      <c r="AE234" s="652" t="s">
        <v>320</v>
      </c>
      <c r="AF234" s="609" t="s">
        <v>321</v>
      </c>
      <c r="AG234" s="609" t="s">
        <v>322</v>
      </c>
      <c r="AH234" s="611" t="s">
        <v>323</v>
      </c>
      <c r="AI234" s="609" t="s">
        <v>324</v>
      </c>
    </row>
    <row customHeight="true" ht="16.071428571428573" r="235">
      <c r="A235" s="612">
        <v>46193</v>
      </c>
      <c r="B235" s="696" t="s">
        <v>354</v>
      </c>
      <c r="C235" s="611" t="s">
        <v>338</v>
      </c>
      <c r="D235" s="691">
        <v>2107.146</v>
      </c>
      <c r="E235" s="692">
        <v>4</v>
      </c>
      <c r="F235" s="665">
        <v>3273.6</v>
      </c>
      <c r="G235" s="693">
        <f t="shared" ref="G235:G253" si="362">D235/AD235</f>
      </c>
      <c r="H235" s="617">
        <f t="shared" ref="H235:H253" si="527">F235/E235</f>
      </c>
      <c r="I235" s="618">
        <f t="shared" ref="I235:I253" si="14">D235/E235</f>
      </c>
      <c r="J235" s="619">
        <f t="shared" ref="J235:J253" si="389">F235/D235</f>
      </c>
      <c r="K235" s="620">
        <f t="shared" ref="K235:K241" si="447">D235/AB235</f>
      </c>
      <c r="L235" s="617">
        <f t="shared" ref="L235:L241" si="203">D235/AC235</f>
      </c>
      <c r="M235" s="617">
        <f t="shared" ref="M235:M241" si="288">D235/AD235</f>
      </c>
      <c r="N235" s="621">
        <f t="shared" ref="N235:N241" si="72">AC235/AB235</f>
      </c>
      <c r="O235" s="621">
        <f t="shared" ref="O235:O241" si="112">AD235/AC235</f>
      </c>
      <c r="P235" s="621">
        <f t="shared" ref="P235:P253" si="171">AA235/Z235</f>
      </c>
      <c r="Q235" s="621">
        <f t="shared" ref="Q235:Q241" si="558">AD235/AA235</f>
      </c>
      <c r="R235" s="617">
        <f t="shared" ref="R235:R253" si="40">D235/Z235*1000</f>
      </c>
      <c r="S235" s="619">
        <f t="shared" ref="S235:S253" si="415">D235/AA235</f>
      </c>
      <c r="T235" s="621">
        <f t="shared" ref="T235:T241" si="489">AE235/AB235</f>
      </c>
      <c r="U235" s="621">
        <f t="shared" ref="U235:U241" si="245">AF235/AB235</f>
      </c>
      <c r="V235" s="621">
        <f t="shared" ref="V235:V241" si="330">AG235/AB235</f>
      </c>
      <c r="W235" s="621">
        <f t="shared" ref="W235:W253" si="144">AH235/AB235</f>
      </c>
      <c r="X235" s="653" t="s">
        <v>327</v>
      </c>
      <c r="Y235" s="653" t="s">
        <v>348</v>
      </c>
      <c r="Z235" s="655">
        <v>196582</v>
      </c>
      <c r="AA235" s="655">
        <v>9374</v>
      </c>
      <c r="AB235" s="655">
        <v>153327</v>
      </c>
      <c r="AC235" s="655">
        <v>839</v>
      </c>
      <c r="AD235" s="622">
        <v>3</v>
      </c>
      <c r="AE235" s="655">
        <v>21547</v>
      </c>
      <c r="AF235" s="622">
        <v>252</v>
      </c>
      <c r="AG235" s="622">
        <v>298</v>
      </c>
      <c r="AH235" s="622">
        <v>23</v>
      </c>
      <c r="AI235" s="623">
        <v>1</v>
      </c>
    </row>
    <row customHeight="true" ht="16.071428571428573" r="236">
      <c r="A236" s="612"/>
      <c r="B236" s="696" t="s">
        <v>354</v>
      </c>
      <c r="C236" s="611" t="s">
        <v>340</v>
      </c>
      <c r="D236" s="691">
        <v>2526.046</v>
      </c>
      <c r="E236" s="692">
        <v>14</v>
      </c>
      <c r="F236" s="665">
        <v>5290.7</v>
      </c>
      <c r="G236" s="693">
        <f t="shared" si="362"/>
      </c>
      <c r="H236" s="617">
        <f t="shared" si="527"/>
      </c>
      <c r="I236" s="618">
        <f t="shared" si="14"/>
      </c>
      <c r="J236" s="619">
        <f t="shared" si="389"/>
      </c>
      <c r="K236" s="620">
        <f t="shared" si="447"/>
      </c>
      <c r="L236" s="617">
        <f t="shared" si="203"/>
      </c>
      <c r="M236" s="617">
        <f t="shared" si="288"/>
      </c>
      <c r="N236" s="621">
        <f t="shared" si="72"/>
      </c>
      <c r="O236" s="621">
        <f t="shared" si="112"/>
      </c>
      <c r="P236" s="621">
        <f t="shared" si="171"/>
      </c>
      <c r="Q236" s="621">
        <f t="shared" si="558"/>
      </c>
      <c r="R236" s="617">
        <f t="shared" si="40"/>
      </c>
      <c r="S236" s="619">
        <f t="shared" si="415"/>
      </c>
      <c r="T236" s="621">
        <f t="shared" si="489"/>
      </c>
      <c r="U236" s="621">
        <f t="shared" si="245"/>
      </c>
      <c r="V236" s="621">
        <f t="shared" si="330"/>
      </c>
      <c r="W236" s="621">
        <f t="shared" si="144"/>
      </c>
      <c r="X236" s="653" t="s">
        <v>327</v>
      </c>
      <c r="Y236" s="653" t="s">
        <v>348</v>
      </c>
      <c r="Z236" s="622">
        <v>246281</v>
      </c>
      <c r="AA236" s="655">
        <v>14079</v>
      </c>
      <c r="AB236" s="655">
        <v>206288</v>
      </c>
      <c r="AC236" s="655">
        <v>1169</v>
      </c>
      <c r="AD236" s="622">
        <v>9</v>
      </c>
      <c r="AE236" s="655">
        <v>27405</v>
      </c>
      <c r="AF236" s="622">
        <v>398</v>
      </c>
      <c r="AG236" s="622">
        <v>369</v>
      </c>
      <c r="AH236" s="622">
        <v>24</v>
      </c>
      <c r="AI236" s="623">
        <v>6</v>
      </c>
    </row>
    <row customHeight="true" ht="16.071428571428573" r="237">
      <c r="A237" s="612"/>
      <c r="B237" s="696" t="s">
        <v>354</v>
      </c>
      <c r="C237" s="695" t="s">
        <v>341</v>
      </c>
      <c r="D237" s="691">
        <v>2337.149</v>
      </c>
      <c r="E237" s="692">
        <v>5</v>
      </c>
      <c r="F237" s="665">
        <v>1707.6</v>
      </c>
      <c r="G237" s="693">
        <f t="shared" si="362"/>
      </c>
      <c r="H237" s="617">
        <f t="shared" si="527"/>
      </c>
      <c r="I237" s="618">
        <f t="shared" si="14"/>
      </c>
      <c r="J237" s="619">
        <f t="shared" si="389"/>
      </c>
      <c r="K237" s="620">
        <f t="shared" si="447"/>
      </c>
      <c r="L237" s="617">
        <f t="shared" si="203"/>
      </c>
      <c r="M237" s="617">
        <f t="shared" si="288"/>
      </c>
      <c r="N237" s="621">
        <f t="shared" si="72"/>
      </c>
      <c r="O237" s="621">
        <f t="shared" si="112"/>
      </c>
      <c r="P237" s="621">
        <f t="shared" si="171"/>
      </c>
      <c r="Q237" s="621">
        <f t="shared" si="558"/>
      </c>
      <c r="R237" s="617">
        <f t="shared" si="40"/>
      </c>
      <c r="S237" s="619">
        <f t="shared" si="415"/>
      </c>
      <c r="T237" s="621">
        <f t="shared" si="489"/>
      </c>
      <c r="U237" s="621">
        <f t="shared" si="245"/>
      </c>
      <c r="V237" s="621">
        <f t="shared" si="330"/>
      </c>
      <c r="W237" s="621">
        <f t="shared" si="144"/>
      </c>
      <c r="X237" s="693" t="s">
        <v>327</v>
      </c>
      <c r="Y237" s="693" t="s">
        <v>348</v>
      </c>
      <c r="Z237" s="622">
        <v>243028</v>
      </c>
      <c r="AA237" s="622">
        <v>16877</v>
      </c>
      <c r="AB237" s="622">
        <v>198196</v>
      </c>
      <c r="AC237" s="622">
        <v>981</v>
      </c>
      <c r="AD237" s="622">
        <v>5</v>
      </c>
      <c r="AE237" s="622">
        <v>23724</v>
      </c>
      <c r="AF237" s="622">
        <v>447</v>
      </c>
      <c r="AG237" s="622">
        <v>373</v>
      </c>
      <c r="AH237" s="622">
        <v>28</v>
      </c>
      <c r="AI237" s="623">
        <v>2</v>
      </c>
    </row>
    <row customHeight="true" ht="16.071428571428573" r="238">
      <c r="A238" s="612"/>
      <c r="B238" s="696" t="s">
        <v>354</v>
      </c>
      <c r="C238" s="697" t="s">
        <v>342</v>
      </c>
      <c r="D238" s="669">
        <v>1858.178</v>
      </c>
      <c r="E238" s="667">
        <v>6</v>
      </c>
      <c r="F238" s="647">
        <v>1872</v>
      </c>
      <c r="G238" s="693">
        <f t="shared" si="362"/>
      </c>
      <c r="H238" s="617">
        <f t="shared" si="527"/>
      </c>
      <c r="I238" s="618">
        <f t="shared" si="14"/>
      </c>
      <c r="J238" s="619">
        <f t="shared" si="389"/>
      </c>
      <c r="K238" s="620">
        <f t="shared" si="447"/>
      </c>
      <c r="L238" s="617">
        <f t="shared" si="203"/>
      </c>
      <c r="M238" s="617">
        <f t="shared" si="288"/>
      </c>
      <c r="N238" s="621">
        <f t="shared" si="72"/>
      </c>
      <c r="O238" s="621">
        <f t="shared" si="112"/>
      </c>
      <c r="P238" s="621">
        <f t="shared" si="171"/>
      </c>
      <c r="Q238" s="621">
        <f t="shared" si="558"/>
      </c>
      <c r="R238" s="617">
        <f t="shared" si="40"/>
      </c>
      <c r="S238" s="619">
        <f t="shared" si="415"/>
      </c>
      <c r="T238" s="621">
        <f t="shared" si="489"/>
      </c>
      <c r="U238" s="621">
        <f t="shared" si="245"/>
      </c>
      <c r="V238" s="621">
        <f t="shared" si="330"/>
      </c>
      <c r="W238" s="621">
        <f t="shared" si="144"/>
      </c>
      <c r="X238" s="696" t="s">
        <v>327</v>
      </c>
      <c r="Y238" s="696" t="s">
        <v>348</v>
      </c>
      <c r="Z238" s="622">
        <v>206970</v>
      </c>
      <c r="AA238" s="622">
        <v>18131</v>
      </c>
      <c r="AB238" s="622">
        <v>162375</v>
      </c>
      <c r="AC238" s="622">
        <v>841</v>
      </c>
      <c r="AD238" s="622">
        <v>4</v>
      </c>
      <c r="AE238" s="622">
        <v>19317</v>
      </c>
      <c r="AF238" s="622">
        <v>331</v>
      </c>
      <c r="AG238" s="622">
        <v>361</v>
      </c>
      <c r="AH238" s="622">
        <v>35</v>
      </c>
      <c r="AI238" s="623">
        <v>0</v>
      </c>
    </row>
    <row customHeight="true" ht="16.071428571428573" r="239">
      <c r="A239" s="612"/>
      <c r="B239" s="696" t="s">
        <v>354</v>
      </c>
      <c r="C239" s="697" t="s">
        <v>343</v>
      </c>
      <c r="D239" s="669">
        <v>2543.245</v>
      </c>
      <c r="E239" s="667">
        <v>4</v>
      </c>
      <c r="F239" s="647">
        <v>1999.9</v>
      </c>
      <c r="G239" s="693">
        <f t="shared" si="362"/>
      </c>
      <c r="H239" s="617">
        <f t="shared" si="527"/>
      </c>
      <c r="I239" s="618">
        <f t="shared" si="14"/>
      </c>
      <c r="J239" s="619">
        <f t="shared" si="389"/>
      </c>
      <c r="K239" s="620">
        <f t="shared" si="447"/>
      </c>
      <c r="L239" s="617">
        <f t="shared" si="203"/>
      </c>
      <c r="M239" s="617">
        <f t="shared" si="288"/>
      </c>
      <c r="N239" s="621">
        <f t="shared" si="72"/>
      </c>
      <c r="O239" s="621">
        <f t="shared" si="112"/>
      </c>
      <c r="P239" s="621">
        <f t="shared" si="171"/>
      </c>
      <c r="Q239" s="621">
        <f t="shared" si="558"/>
      </c>
      <c r="R239" s="617">
        <f t="shared" si="40"/>
      </c>
      <c r="S239" s="619">
        <f t="shared" si="415"/>
      </c>
      <c r="T239" s="621">
        <f t="shared" si="489"/>
      </c>
      <c r="U239" s="621">
        <f t="shared" si="245"/>
      </c>
      <c r="V239" s="621">
        <f t="shared" si="330"/>
      </c>
      <c r="W239" s="621">
        <f t="shared" si="144"/>
      </c>
      <c r="X239" s="696" t="s">
        <v>327</v>
      </c>
      <c r="Y239" s="696" t="s">
        <v>348</v>
      </c>
      <c r="Z239" s="622">
        <v>281554</v>
      </c>
      <c r="AA239" s="622">
        <v>23586</v>
      </c>
      <c r="AB239" s="622">
        <v>220417</v>
      </c>
      <c r="AC239" s="622">
        <v>1062</v>
      </c>
      <c r="AD239" s="622">
        <v>4</v>
      </c>
      <c r="AE239" s="622">
        <v>22644</v>
      </c>
      <c r="AF239" s="622">
        <v>420</v>
      </c>
      <c r="AG239" s="622">
        <v>432</v>
      </c>
      <c r="AH239" s="622">
        <v>33</v>
      </c>
      <c r="AI239" s="623">
        <v>2</v>
      </c>
    </row>
    <row customHeight="true" ht="16.071428571428573" r="240">
      <c r="A240" s="612"/>
      <c r="B240" s="625" t="s">
        <v>332</v>
      </c>
      <c r="C240" s="625"/>
      <c r="D240" s="626">
        <f>SUM(D235:D239)</f>
      </c>
      <c r="E240" s="627">
        <f>SUM(E235:E239)</f>
      </c>
      <c r="F240" s="626">
        <f>SUM(F235:F239)</f>
      </c>
      <c r="G240" s="626">
        <f t="shared" si="362"/>
      </c>
      <c r="H240" s="628">
        <f t="shared" si="527"/>
      </c>
      <c r="I240" s="629">
        <f t="shared" si="14"/>
      </c>
      <c r="J240" s="630">
        <f t="shared" si="389"/>
      </c>
      <c r="K240" s="631">
        <f t="shared" si="447"/>
      </c>
      <c r="L240" s="628">
        <f t="shared" si="203"/>
      </c>
      <c r="M240" s="628">
        <f t="shared" si="288"/>
      </c>
      <c r="N240" s="632">
        <f t="shared" si="72"/>
      </c>
      <c r="O240" s="632">
        <f t="shared" si="112"/>
      </c>
      <c r="P240" s="632">
        <f t="shared" si="171"/>
      </c>
      <c r="Q240" s="632">
        <f t="shared" si="558"/>
      </c>
      <c r="R240" s="628">
        <f t="shared" si="40"/>
      </c>
      <c r="S240" s="630">
        <f t="shared" si="415"/>
      </c>
      <c r="T240" s="632">
        <f t="shared" si="489"/>
      </c>
      <c r="U240" s="632">
        <f t="shared" si="245"/>
      </c>
      <c r="V240" s="632">
        <f t="shared" si="330"/>
      </c>
      <c r="W240" s="632">
        <f t="shared" si="144"/>
      </c>
      <c r="X240" s="632"/>
      <c r="Y240" s="698"/>
      <c r="Z240" s="626">
        <f>SUM(Z235:Z239)</f>
      </c>
      <c r="AA240" s="626">
        <f>SUM(AA235:AA239)</f>
      </c>
      <c r="AB240" s="626">
        <f>SUM(AB235:AB239)</f>
      </c>
      <c r="AC240" s="626">
        <f>SUM(AC235:AC239)</f>
      </c>
      <c r="AD240" s="626">
        <f>SUM(AD235:AD239)</f>
      </c>
      <c r="AE240" s="626">
        <f>SUM(AE235:AE239)</f>
      </c>
      <c r="AF240" s="626">
        <f>SUM(AF235:AF239)</f>
      </c>
      <c r="AG240" s="626">
        <f>SUM(AG235:AG239)</f>
      </c>
      <c r="AH240" s="626">
        <f>SUM(AH235:AH239)</f>
      </c>
      <c r="AI240" s="626">
        <f>SUM(AI235:AI239)</f>
      </c>
    </row>
    <row customHeight="true" ht="16.071428571428573" r="241">
      <c r="A241" s="612"/>
      <c r="B241" s="696" t="s">
        <v>325</v>
      </c>
      <c r="C241" s="699" t="s">
        <v>344</v>
      </c>
      <c r="D241" s="691">
        <v>2720.311</v>
      </c>
      <c r="E241" s="692">
        <v>4</v>
      </c>
      <c r="F241" s="665">
        <v>1480</v>
      </c>
      <c r="G241" s="693">
        <f t="shared" si="362"/>
      </c>
      <c r="H241" s="617">
        <f t="shared" si="527"/>
      </c>
      <c r="I241" s="618">
        <f t="shared" si="14"/>
      </c>
      <c r="J241" s="619">
        <f t="shared" si="389"/>
      </c>
      <c r="K241" s="620">
        <f t="shared" si="447"/>
      </c>
      <c r="L241" s="617">
        <f t="shared" si="203"/>
      </c>
      <c r="M241" s="617">
        <f t="shared" si="288"/>
      </c>
      <c r="N241" s="621">
        <f t="shared" si="72"/>
      </c>
      <c r="O241" s="621">
        <f t="shared" si="112"/>
      </c>
      <c r="P241" s="621">
        <f t="shared" si="171"/>
      </c>
      <c r="Q241" s="621">
        <f t="shared" si="558"/>
      </c>
      <c r="R241" s="617">
        <f t="shared" si="40"/>
      </c>
      <c r="S241" s="619">
        <f t="shared" si="415"/>
      </c>
      <c r="T241" s="621">
        <f t="shared" si="489"/>
      </c>
      <c r="U241" s="621">
        <f t="shared" si="245"/>
      </c>
      <c r="V241" s="621">
        <f t="shared" si="330"/>
      </c>
      <c r="W241" s="621">
        <f t="shared" si="144"/>
      </c>
      <c r="X241" s="696" t="s">
        <v>327</v>
      </c>
      <c r="Y241" s="696" t="s">
        <v>348</v>
      </c>
      <c r="Z241" s="655">
        <v>352810</v>
      </c>
      <c r="AA241" s="655">
        <v>21920</v>
      </c>
      <c r="AB241" s="655">
        <v>269123</v>
      </c>
      <c r="AC241" s="622">
        <v>1134</v>
      </c>
      <c r="AD241" s="622">
        <v>4</v>
      </c>
      <c r="AE241" s="655">
        <v>19772</v>
      </c>
      <c r="AF241" s="622">
        <v>339</v>
      </c>
      <c r="AG241" s="622">
        <v>410</v>
      </c>
      <c r="AH241" s="622">
        <v>31</v>
      </c>
      <c r="AI241" s="623">
        <v>0</v>
      </c>
    </row>
    <row customHeight="true" ht="16.071428571428573" r="242">
      <c r="A242" s="612"/>
      <c r="B242" s="696" t="s">
        <v>325</v>
      </c>
      <c r="C242" s="699" t="s">
        <v>345</v>
      </c>
      <c r="D242" s="691">
        <v>1640.381</v>
      </c>
      <c r="E242" s="692">
        <v>4</v>
      </c>
      <c r="F242" s="665">
        <v>2080</v>
      </c>
      <c r="G242" s="693">
        <f t="shared" si="362"/>
      </c>
      <c r="H242" s="617">
        <f t="shared" si="527"/>
      </c>
      <c r="I242" s="618">
        <f t="shared" si="14"/>
      </c>
      <c r="J242" s="619">
        <f t="shared" si="389"/>
      </c>
      <c r="K242" s="620">
        <f>D242/AC242</f>
      </c>
      <c r="L242" s="617">
        <f>D242/AD242</f>
      </c>
      <c r="M242" s="617">
        <f>D242/AE242</f>
      </c>
      <c r="N242" s="621">
        <f>AD242/AC242</f>
      </c>
      <c r="O242" s="621">
        <f>AE242/AD242</f>
      </c>
      <c r="P242" s="621">
        <f t="shared" si="171"/>
      </c>
      <c r="Q242" s="621">
        <f>AE242/AA242</f>
      </c>
      <c r="R242" s="617">
        <f t="shared" si="40"/>
      </c>
      <c r="S242" s="619">
        <f t="shared" si="415"/>
      </c>
      <c r="T242" s="621">
        <f>AF242/AC242</f>
      </c>
      <c r="U242" s="621">
        <f>AG242/AC242</f>
      </c>
      <c r="V242" s="621">
        <f>AH242/AC242</f>
      </c>
      <c r="W242" s="621">
        <f t="shared" si="144"/>
      </c>
      <c r="X242" s="696" t="s">
        <v>327</v>
      </c>
      <c r="Y242" s="696" t="s">
        <v>348</v>
      </c>
      <c r="Z242" s="622">
        <v>204317</v>
      </c>
      <c r="AA242" s="622">
        <v>15222</v>
      </c>
      <c r="AB242" s="700">
        <v>177394</v>
      </c>
      <c r="AC242" s="701">
        <v>641</v>
      </c>
      <c r="AD242" s="701">
        <v>4</v>
      </c>
      <c r="AE242" s="701">
        <v>12711</v>
      </c>
      <c r="AF242" s="701">
        <v>215</v>
      </c>
      <c r="AG242" s="701">
        <v>272</v>
      </c>
      <c r="AH242" s="701">
        <v>20</v>
      </c>
      <c r="AI242" s="623">
        <v>0</v>
      </c>
    </row>
    <row customHeight="true" ht="16.071428571428573" r="243">
      <c r="A243" s="612"/>
      <c r="B243" s="696" t="s">
        <v>325</v>
      </c>
      <c r="C243" s="699" t="s">
        <v>346</v>
      </c>
      <c r="D243" s="702">
        <v>1602.299</v>
      </c>
      <c r="E243" s="692">
        <v>3</v>
      </c>
      <c r="F243" s="665">
        <v>673.2000000000007</v>
      </c>
      <c r="G243" s="693">
        <f t="shared" si="362"/>
      </c>
      <c r="H243" s="617">
        <f t="shared" si="527"/>
      </c>
      <c r="I243" s="618">
        <f t="shared" si="14"/>
      </c>
      <c r="J243" s="619">
        <f t="shared" si="389"/>
      </c>
      <c r="K243" s="620">
        <f t="shared" ref="K243:K253" si="448">D243/AB243</f>
      </c>
      <c r="L243" s="617">
        <f t="shared" ref="L243:L253" si="204">D243/AC243</f>
      </c>
      <c r="M243" s="617">
        <f t="shared" ref="M243:M253" si="289">D243/AD243</f>
      </c>
      <c r="N243" s="621">
        <f t="shared" ref="N243:N253" si="73">AC243/AB243</f>
      </c>
      <c r="O243" s="621">
        <f t="shared" ref="O243:O253" si="113">AD243/AC243</f>
      </c>
      <c r="P243" s="621">
        <f t="shared" si="171"/>
      </c>
      <c r="Q243" s="621">
        <f t="shared" ref="Q243:Q253" si="559">AD243/AA243</f>
      </c>
      <c r="R243" s="617">
        <f t="shared" si="40"/>
      </c>
      <c r="S243" s="619">
        <f t="shared" si="415"/>
      </c>
      <c r="T243" s="621">
        <f t="shared" ref="T243:T253" si="490">AE243/AB243</f>
      </c>
      <c r="U243" s="621">
        <f t="shared" ref="U243:U253" si="246">AF243/AB243</f>
      </c>
      <c r="V243" s="621">
        <f t="shared" ref="V243:V253" si="331">AG243/AB243</f>
      </c>
      <c r="W243" s="621">
        <f t="shared" si="144"/>
      </c>
      <c r="X243" s="696" t="s">
        <v>327</v>
      </c>
      <c r="Y243" s="696" t="s">
        <v>348</v>
      </c>
      <c r="Z243" s="622">
        <v>197865</v>
      </c>
      <c r="AA243" s="622">
        <v>16919</v>
      </c>
      <c r="AB243" s="622">
        <v>168324</v>
      </c>
      <c r="AC243" s="676">
        <v>607</v>
      </c>
      <c r="AD243" s="676">
        <v>4</v>
      </c>
      <c r="AE243" s="676">
        <v>12617</v>
      </c>
      <c r="AF243" s="676">
        <v>184</v>
      </c>
      <c r="AG243" s="676">
        <v>236</v>
      </c>
      <c r="AH243" s="676">
        <v>15</v>
      </c>
      <c r="AI243" s="623">
        <v>1</v>
      </c>
    </row>
    <row customHeight="true" ht="16.071428571428573" r="244">
      <c r="A244" s="612"/>
      <c r="B244" s="696" t="s">
        <v>325</v>
      </c>
      <c r="C244" s="697" t="s">
        <v>326</v>
      </c>
      <c r="D244" s="666">
        <v>1826.301</v>
      </c>
      <c r="E244" s="667">
        <v>3</v>
      </c>
      <c r="F244" s="647">
        <v>620</v>
      </c>
      <c r="G244" s="693">
        <f t="shared" si="362"/>
      </c>
      <c r="H244" s="617">
        <f t="shared" si="527"/>
      </c>
      <c r="I244" s="618">
        <f t="shared" si="14"/>
      </c>
      <c r="J244" s="619">
        <f t="shared" si="389"/>
      </c>
      <c r="K244" s="620">
        <f t="shared" si="448"/>
      </c>
      <c r="L244" s="617">
        <f t="shared" si="204"/>
      </c>
      <c r="M244" s="617">
        <f t="shared" si="289"/>
      </c>
      <c r="N244" s="621">
        <f t="shared" si="73"/>
      </c>
      <c r="O244" s="621">
        <f t="shared" si="113"/>
      </c>
      <c r="P244" s="621">
        <f t="shared" si="171"/>
      </c>
      <c r="Q244" s="621">
        <f t="shared" si="559"/>
      </c>
      <c r="R244" s="617">
        <f t="shared" si="40"/>
      </c>
      <c r="S244" s="619">
        <f t="shared" si="415"/>
      </c>
      <c r="T244" s="621">
        <f t="shared" si="490"/>
      </c>
      <c r="U244" s="621">
        <f t="shared" si="246"/>
      </c>
      <c r="V244" s="621">
        <f t="shared" si="331"/>
      </c>
      <c r="W244" s="621">
        <f t="shared" si="144"/>
      </c>
      <c r="X244" s="696" t="s">
        <v>327</v>
      </c>
      <c r="Y244" s="706" t="s">
        <v>356</v>
      </c>
      <c r="Z244" s="622">
        <v>241552</v>
      </c>
      <c r="AA244" s="622">
        <v>18819</v>
      </c>
      <c r="AB244" s="622">
        <v>191922</v>
      </c>
      <c r="AC244" s="622">
        <v>614</v>
      </c>
      <c r="AD244" s="622">
        <v>2</v>
      </c>
      <c r="AE244" s="622">
        <v>14538</v>
      </c>
      <c r="AF244" s="622">
        <v>205</v>
      </c>
      <c r="AG244" s="622">
        <v>314</v>
      </c>
      <c r="AH244" s="622">
        <v>15</v>
      </c>
      <c r="AI244" s="623">
        <v>0</v>
      </c>
    </row>
    <row customHeight="true" ht="16.071428571428573" r="245">
      <c r="A245" s="612"/>
      <c r="B245" s="625" t="s">
        <v>332</v>
      </c>
      <c r="C245" s="625"/>
      <c r="D245" s="626">
        <f>SUM(D241:D244)</f>
      </c>
      <c r="E245" s="627">
        <f>SUM(E241:E244)</f>
      </c>
      <c r="F245" s="626">
        <f>SUM(F241:F244)</f>
      </c>
      <c r="G245" s="626">
        <f t="shared" si="362"/>
      </c>
      <c r="H245" s="628">
        <f t="shared" si="527"/>
      </c>
      <c r="I245" s="629">
        <f t="shared" si="14"/>
      </c>
      <c r="J245" s="630">
        <f t="shared" si="389"/>
      </c>
      <c r="K245" s="631">
        <f t="shared" si="448"/>
      </c>
      <c r="L245" s="628">
        <f t="shared" si="204"/>
      </c>
      <c r="M245" s="628">
        <f t="shared" si="289"/>
      </c>
      <c r="N245" s="632">
        <f t="shared" si="73"/>
      </c>
      <c r="O245" s="632">
        <f t="shared" si="113"/>
      </c>
      <c r="P245" s="632">
        <f t="shared" si="171"/>
      </c>
      <c r="Q245" s="632">
        <f t="shared" si="559"/>
      </c>
      <c r="R245" s="628">
        <f t="shared" si="40"/>
      </c>
      <c r="S245" s="630">
        <f t="shared" si="415"/>
      </c>
      <c r="T245" s="632">
        <f t="shared" si="490"/>
      </c>
      <c r="U245" s="632">
        <f t="shared" si="246"/>
      </c>
      <c r="V245" s="632">
        <f t="shared" si="331"/>
      </c>
      <c r="W245" s="632">
        <f t="shared" si="144"/>
      </c>
      <c r="X245" s="632"/>
      <c r="Y245" s="698"/>
      <c r="Z245" s="626">
        <f>SUM(Z241:Z244)</f>
      </c>
      <c r="AA245" s="626">
        <f>SUM(AA241:AA244)</f>
      </c>
      <c r="AB245" s="626">
        <f>SUM(AB241:AB244)</f>
      </c>
      <c r="AC245" s="626">
        <f>SUM(AC241:AC244)</f>
      </c>
      <c r="AD245" s="626">
        <f>SUM(AD241:AD244)</f>
      </c>
      <c r="AE245" s="626">
        <f>SUM(AE241:AE244)</f>
      </c>
      <c r="AF245" s="626">
        <f>SUM(AF241:AF244)</f>
      </c>
      <c r="AG245" s="626">
        <f>SUM(AG241:AG244)</f>
      </c>
      <c r="AH245" s="626">
        <f>SUM(AH241:AH244)</f>
      </c>
      <c r="AI245" s="626">
        <f>SUM(AI241:AI244)</f>
      </c>
    </row>
    <row customHeight="true" ht="16.071428571428573" r="246">
      <c r="A246" s="612"/>
      <c r="B246" s="706" t="s">
        <v>333</v>
      </c>
      <c r="C246" s="697" t="s">
        <v>329</v>
      </c>
      <c r="D246" s="669">
        <v>2366.148</v>
      </c>
      <c r="E246" s="667">
        <v>2</v>
      </c>
      <c r="F246" s="647">
        <v>1024</v>
      </c>
      <c r="G246" s="693">
        <f t="shared" si="362"/>
      </c>
      <c r="H246" s="617">
        <f t="shared" si="527"/>
      </c>
      <c r="I246" s="618">
        <f t="shared" si="14"/>
      </c>
      <c r="J246" s="619">
        <f t="shared" si="389"/>
      </c>
      <c r="K246" s="620">
        <f t="shared" si="448"/>
      </c>
      <c r="L246" s="617">
        <f t="shared" si="204"/>
      </c>
      <c r="M246" s="617">
        <f t="shared" si="289"/>
      </c>
      <c r="N246" s="621">
        <f t="shared" si="73"/>
      </c>
      <c r="O246" s="621">
        <f t="shared" si="113"/>
      </c>
      <c r="P246" s="621">
        <f t="shared" si="171"/>
      </c>
      <c r="Q246" s="621">
        <f t="shared" si="559"/>
      </c>
      <c r="R246" s="617">
        <f t="shared" si="40"/>
      </c>
      <c r="S246" s="619">
        <f t="shared" si="415"/>
      </c>
      <c r="T246" s="621">
        <f t="shared" si="490"/>
      </c>
      <c r="U246" s="621">
        <f t="shared" si="246"/>
      </c>
      <c r="V246" s="621">
        <f t="shared" si="331"/>
      </c>
      <c r="W246" s="621">
        <f t="shared" si="144"/>
      </c>
      <c r="X246" s="696" t="s">
        <v>327</v>
      </c>
      <c r="Y246" s="706" t="s">
        <v>356</v>
      </c>
      <c r="Z246" s="622">
        <v>310382</v>
      </c>
      <c r="AA246" s="622">
        <v>22960</v>
      </c>
      <c r="AB246" s="622">
        <v>258103</v>
      </c>
      <c r="AC246" s="622">
        <v>831</v>
      </c>
      <c r="AD246" s="622">
        <v>2</v>
      </c>
      <c r="AE246" s="622">
        <v>21008</v>
      </c>
      <c r="AF246" s="622">
        <v>280</v>
      </c>
      <c r="AG246" s="622">
        <v>368</v>
      </c>
      <c r="AH246" s="622">
        <v>25</v>
      </c>
      <c r="AI246" s="623">
        <v>0</v>
      </c>
    </row>
    <row customHeight="true" ht="16.071428571428573" r="247">
      <c r="A247" s="612"/>
      <c r="B247" s="706" t="s">
        <v>333</v>
      </c>
      <c r="C247" s="697" t="s">
        <v>330</v>
      </c>
      <c r="D247" s="654">
        <v>2230.605</v>
      </c>
      <c r="E247" s="615">
        <v>7</v>
      </c>
      <c r="F247" s="657">
        <v>3324.800000000003</v>
      </c>
      <c r="G247" s="693">
        <f t="shared" si="362"/>
      </c>
      <c r="H247" s="617">
        <f t="shared" si="527"/>
      </c>
      <c r="I247" s="618">
        <f t="shared" si="14"/>
      </c>
      <c r="J247" s="619">
        <f t="shared" si="389"/>
      </c>
      <c r="K247" s="620">
        <f t="shared" si="448"/>
      </c>
      <c r="L247" s="617">
        <f t="shared" si="204"/>
      </c>
      <c r="M247" s="622">
        <f t="shared" si="289"/>
      </c>
      <c r="N247" s="621">
        <f t="shared" si="73"/>
      </c>
      <c r="O247" s="621">
        <f t="shared" si="113"/>
      </c>
      <c r="P247" s="621">
        <f t="shared" si="171"/>
      </c>
      <c r="Q247" s="621">
        <f t="shared" si="559"/>
      </c>
      <c r="R247" s="617">
        <f t="shared" si="40"/>
      </c>
      <c r="S247" s="619">
        <f t="shared" si="415"/>
      </c>
      <c r="T247" s="621">
        <f t="shared" si="490"/>
      </c>
      <c r="U247" s="621">
        <f t="shared" si="246"/>
      </c>
      <c r="V247" s="621">
        <f t="shared" si="331"/>
      </c>
      <c r="W247" s="621">
        <f t="shared" si="144"/>
      </c>
      <c r="X247" s="696" t="s">
        <v>327</v>
      </c>
      <c r="Y247" s="706" t="s">
        <v>356</v>
      </c>
      <c r="Z247" s="622">
        <v>286527</v>
      </c>
      <c r="AA247" s="622">
        <v>20852</v>
      </c>
      <c r="AB247" s="622">
        <v>220101</v>
      </c>
      <c r="AC247" s="622">
        <v>894</v>
      </c>
      <c r="AD247" s="622">
        <v>5</v>
      </c>
      <c r="AE247" s="622">
        <v>21008</v>
      </c>
      <c r="AF247" s="622">
        <v>306</v>
      </c>
      <c r="AG247" s="622">
        <v>387</v>
      </c>
      <c r="AH247" s="623">
        <v>25</v>
      </c>
      <c r="AI247" s="623">
        <v>1</v>
      </c>
    </row>
    <row customHeight="true" ht="16.071428571428573" r="248">
      <c r="A248" s="612"/>
      <c r="B248" s="706" t="s">
        <v>333</v>
      </c>
      <c r="C248" s="697" t="s">
        <v>331</v>
      </c>
      <c r="D248" s="654">
        <v>2227.0190000000002</v>
      </c>
      <c r="E248" s="615">
        <v>7</v>
      </c>
      <c r="F248" s="657">
        <v>3201.2000000000007</v>
      </c>
      <c r="G248" s="693">
        <f t="shared" si="362"/>
      </c>
      <c r="H248" s="617">
        <f t="shared" si="527"/>
      </c>
      <c r="I248" s="618">
        <f t="shared" si="14"/>
      </c>
      <c r="J248" s="619">
        <f t="shared" si="389"/>
      </c>
      <c r="K248" s="620">
        <f t="shared" si="448"/>
      </c>
      <c r="L248" s="617">
        <f t="shared" si="204"/>
      </c>
      <c r="M248" s="617">
        <f t="shared" si="289"/>
      </c>
      <c r="N248" s="621">
        <f t="shared" si="73"/>
      </c>
      <c r="O248" s="621">
        <f t="shared" si="113"/>
      </c>
      <c r="P248" s="621">
        <f t="shared" si="171"/>
      </c>
      <c r="Q248" s="621">
        <f t="shared" si="559"/>
      </c>
      <c r="R248" s="617">
        <f t="shared" si="40"/>
      </c>
      <c r="S248" s="619">
        <f t="shared" si="415"/>
      </c>
      <c r="T248" s="621">
        <f t="shared" si="490"/>
      </c>
      <c r="U248" s="621">
        <f t="shared" si="246"/>
      </c>
      <c r="V248" s="621">
        <f t="shared" si="331"/>
      </c>
      <c r="W248" s="621">
        <f t="shared" si="144"/>
      </c>
      <c r="X248" s="696" t="s">
        <v>327</v>
      </c>
      <c r="Y248" s="706" t="s">
        <v>356</v>
      </c>
      <c r="Z248" s="622">
        <v>309555</v>
      </c>
      <c r="AA248" s="622">
        <v>16600</v>
      </c>
      <c r="AB248" s="622">
        <v>214056</v>
      </c>
      <c r="AC248" s="622">
        <v>834</v>
      </c>
      <c r="AD248" s="622">
        <v>5</v>
      </c>
      <c r="AE248" s="622">
        <v>15642</v>
      </c>
      <c r="AF248" s="622">
        <v>303</v>
      </c>
      <c r="AG248" s="622">
        <v>320</v>
      </c>
      <c r="AH248" s="622">
        <v>29</v>
      </c>
      <c r="AI248" s="623">
        <v>0</v>
      </c>
    </row>
    <row customHeight="true" ht="16.071428571428573" r="249">
      <c r="A249" s="612"/>
      <c r="B249" s="706" t="s">
        <v>333</v>
      </c>
      <c r="C249" s="697" t="s">
        <v>334</v>
      </c>
      <c r="D249" s="654">
        <v>2324.47</v>
      </c>
      <c r="E249" s="615">
        <v>5</v>
      </c>
      <c r="F249" s="647">
        <v>1442.4000000000015</v>
      </c>
      <c r="G249" s="693">
        <f t="shared" si="362"/>
      </c>
      <c r="H249" s="617">
        <f t="shared" si="527"/>
      </c>
      <c r="I249" s="618">
        <f t="shared" si="14"/>
      </c>
      <c r="J249" s="619">
        <f t="shared" si="389"/>
      </c>
      <c r="K249" s="620">
        <f t="shared" si="448"/>
      </c>
      <c r="L249" s="617">
        <f t="shared" si="204"/>
      </c>
      <c r="M249" s="617">
        <f t="shared" si="289"/>
      </c>
      <c r="N249" s="621">
        <f t="shared" si="73"/>
      </c>
      <c r="O249" s="621">
        <f t="shared" si="113"/>
      </c>
      <c r="P249" s="621">
        <f t="shared" si="171"/>
      </c>
      <c r="Q249" s="621">
        <f t="shared" si="559"/>
      </c>
      <c r="R249" s="617">
        <f t="shared" si="40"/>
      </c>
      <c r="S249" s="619">
        <f t="shared" si="415"/>
      </c>
      <c r="T249" s="621">
        <f t="shared" si="490"/>
      </c>
      <c r="U249" s="621">
        <f t="shared" si="246"/>
      </c>
      <c r="V249" s="621">
        <f t="shared" si="331"/>
      </c>
      <c r="W249" s="621">
        <f t="shared" si="144"/>
      </c>
      <c r="X249" s="696" t="s">
        <v>327</v>
      </c>
      <c r="Y249" s="706" t="s">
        <v>356</v>
      </c>
      <c r="Z249" s="622">
        <v>379078</v>
      </c>
      <c r="AA249" s="622">
        <v>18075</v>
      </c>
      <c r="AB249" s="622">
        <v>268821</v>
      </c>
      <c r="AC249" s="622">
        <v>1010</v>
      </c>
      <c r="AD249" s="622">
        <v>2</v>
      </c>
      <c r="AE249" s="622">
        <v>15994</v>
      </c>
      <c r="AF249" s="622">
        <v>224</v>
      </c>
      <c r="AG249" s="622">
        <v>398</v>
      </c>
      <c r="AH249" s="622">
        <v>19</v>
      </c>
      <c r="AI249" s="623">
        <v>1</v>
      </c>
    </row>
    <row customHeight="true" ht="16.071428571428573" r="250">
      <c r="A250" s="612"/>
      <c r="B250" s="706" t="s">
        <v>333</v>
      </c>
      <c r="C250" s="697" t="s">
        <v>335</v>
      </c>
      <c r="D250" s="654">
        <v>1955.6209999999999</v>
      </c>
      <c r="E250" s="615">
        <v>10</v>
      </c>
      <c r="F250" s="657">
        <v>4502.799999999996</v>
      </c>
      <c r="G250" s="693">
        <f t="shared" si="362"/>
      </c>
      <c r="H250" s="617">
        <f t="shared" si="527"/>
      </c>
      <c r="I250" s="618">
        <f t="shared" si="14"/>
      </c>
      <c r="J250" s="619">
        <f t="shared" si="389"/>
      </c>
      <c r="K250" s="620">
        <f t="shared" si="448"/>
      </c>
      <c r="L250" s="617">
        <f t="shared" si="204"/>
      </c>
      <c r="M250" s="617">
        <f t="shared" si="289"/>
      </c>
      <c r="N250" s="621">
        <f t="shared" si="73"/>
      </c>
      <c r="O250" s="621">
        <f t="shared" si="113"/>
      </c>
      <c r="P250" s="621">
        <f t="shared" si="171"/>
      </c>
      <c r="Q250" s="621">
        <f t="shared" si="559"/>
      </c>
      <c r="R250" s="617">
        <f t="shared" si="40"/>
      </c>
      <c r="S250" s="619">
        <f t="shared" si="415"/>
      </c>
      <c r="T250" s="621">
        <f t="shared" si="490"/>
      </c>
      <c r="U250" s="621">
        <f t="shared" si="246"/>
      </c>
      <c r="V250" s="621">
        <f t="shared" si="331"/>
      </c>
      <c r="W250" s="621">
        <f t="shared" si="144"/>
      </c>
      <c r="X250" s="696" t="s">
        <v>327</v>
      </c>
      <c r="Y250" s="706" t="s">
        <v>356</v>
      </c>
      <c r="Z250" s="622">
        <v>331011</v>
      </c>
      <c r="AA250" s="622">
        <v>16787</v>
      </c>
      <c r="AB250" s="622">
        <v>226337</v>
      </c>
      <c r="AC250" s="622">
        <v>993</v>
      </c>
      <c r="AD250" s="622">
        <v>8</v>
      </c>
      <c r="AE250" s="622">
        <v>15148</v>
      </c>
      <c r="AF250" s="622">
        <v>258</v>
      </c>
      <c r="AG250" s="622">
        <v>362</v>
      </c>
      <c r="AH250" s="623">
        <v>22</v>
      </c>
      <c r="AI250" s="623">
        <v>1</v>
      </c>
    </row>
    <row customHeight="true" ht="16.071428571428573" r="251">
      <c r="A251" s="612"/>
      <c r="B251" s="706" t="s">
        <v>333</v>
      </c>
      <c r="C251" s="697" t="s">
        <v>336</v>
      </c>
      <c r="D251" s="654">
        <v>1331.027</v>
      </c>
      <c r="E251" s="615">
        <v>3</v>
      </c>
      <c r="F251" s="657">
        <v>1668.6000000000022</v>
      </c>
      <c r="G251" s="693">
        <f t="shared" si="362"/>
      </c>
      <c r="H251" s="617">
        <f t="shared" si="527"/>
      </c>
      <c r="I251" s="618">
        <f t="shared" si="14"/>
      </c>
      <c r="J251" s="619">
        <f t="shared" si="389"/>
      </c>
      <c r="K251" s="620">
        <f t="shared" si="448"/>
      </c>
      <c r="L251" s="617">
        <f t="shared" si="204"/>
      </c>
      <c r="M251" s="617">
        <f t="shared" si="289"/>
      </c>
      <c r="N251" s="621">
        <f t="shared" si="73"/>
      </c>
      <c r="O251" s="621">
        <f t="shared" si="113"/>
      </c>
      <c r="P251" s="621">
        <f t="shared" si="171"/>
      </c>
      <c r="Q251" s="621">
        <f t="shared" si="559"/>
      </c>
      <c r="R251" s="617">
        <f t="shared" si="40"/>
      </c>
      <c r="S251" s="619">
        <f t="shared" si="415"/>
      </c>
      <c r="T251" s="621">
        <f t="shared" si="490"/>
      </c>
      <c r="U251" s="621">
        <f t="shared" si="246"/>
      </c>
      <c r="V251" s="621">
        <f t="shared" si="331"/>
      </c>
      <c r="W251" s="621">
        <f t="shared" si="144"/>
      </c>
      <c r="X251" s="696" t="s">
        <v>327</v>
      </c>
      <c r="Y251" s="706" t="s">
        <v>356</v>
      </c>
      <c r="Z251" s="622">
        <v>217827</v>
      </c>
      <c r="AA251" s="622">
        <v>10139</v>
      </c>
      <c r="AB251" s="622">
        <v>152762</v>
      </c>
      <c r="AC251" s="622">
        <v>659</v>
      </c>
      <c r="AD251" s="622">
        <v>1</v>
      </c>
      <c r="AE251" s="622">
        <v>9392</v>
      </c>
      <c r="AF251" s="622">
        <v>158</v>
      </c>
      <c r="AG251" s="622">
        <v>189</v>
      </c>
      <c r="AH251" s="622">
        <v>22</v>
      </c>
      <c r="AI251" s="623">
        <v>1</v>
      </c>
    </row>
    <row customHeight="true" ht="16.071428571428573" r="252">
      <c r="A252" s="612"/>
      <c r="B252" s="625" t="s">
        <v>332</v>
      </c>
      <c r="C252" s="625"/>
      <c r="D252" s="626">
        <f>SUM(D246:D251)</f>
      </c>
      <c r="E252" s="627">
        <f>SUM(E246:E251)</f>
      </c>
      <c r="F252" s="626">
        <f>SUM(F246:F251)</f>
      </c>
      <c r="G252" s="626">
        <f t="shared" si="362"/>
      </c>
      <c r="H252" s="628">
        <f t="shared" si="527"/>
      </c>
      <c r="I252" s="629">
        <f t="shared" si="14"/>
      </c>
      <c r="J252" s="630">
        <f t="shared" si="389"/>
      </c>
      <c r="K252" s="631">
        <f t="shared" si="448"/>
      </c>
      <c r="L252" s="628">
        <f t="shared" si="204"/>
      </c>
      <c r="M252" s="628">
        <f t="shared" si="289"/>
      </c>
      <c r="N252" s="632">
        <f t="shared" si="73"/>
      </c>
      <c r="O252" s="632">
        <f t="shared" si="113"/>
      </c>
      <c r="P252" s="632">
        <f t="shared" si="171"/>
      </c>
      <c r="Q252" s="632">
        <f t="shared" si="559"/>
      </c>
      <c r="R252" s="628">
        <f t="shared" si="40"/>
      </c>
      <c r="S252" s="630">
        <f t="shared" si="415"/>
      </c>
      <c r="T252" s="632">
        <f t="shared" si="490"/>
      </c>
      <c r="U252" s="632">
        <f t="shared" si="246"/>
      </c>
      <c r="V252" s="632">
        <f t="shared" si="331"/>
      </c>
      <c r="W252" s="632">
        <f t="shared" si="144"/>
      </c>
      <c r="X252" s="632"/>
      <c r="Y252" s="698"/>
      <c r="Z252" s="626">
        <f>SUM(Z246:Z251)</f>
      </c>
      <c r="AA252" s="626">
        <f>SUM(AA246:AA251)</f>
      </c>
      <c r="AB252" s="626">
        <f>SUM(AB246:AB251)</f>
      </c>
      <c r="AC252" s="626">
        <f>SUM(AC246:AC251)</f>
      </c>
      <c r="AD252" s="626">
        <f>SUM(AD246:AD251)</f>
      </c>
      <c r="AE252" s="626">
        <f>SUM(AE246:AE251)</f>
      </c>
      <c r="AF252" s="626">
        <f>SUM(AF246:AF251)</f>
      </c>
      <c r="AG252" s="626">
        <f>SUM(AG246:AG251)</f>
      </c>
      <c r="AH252" s="626">
        <f>SUM(AH246:AH251)</f>
      </c>
      <c r="AI252" s="626">
        <f>SUM(AI246:AI251)</f>
      </c>
    </row>
    <row customHeight="true" ht="16.071428571428573" r="253">
      <c r="A253" s="612"/>
      <c r="B253" s="678" t="s">
        <v>337</v>
      </c>
      <c r="C253" s="678"/>
      <c r="D253" s="679">
        <f>SUM(D252+D245+D240)</f>
      </c>
      <c r="E253" s="688">
        <f>SUM(E252+E245+E240)</f>
      </c>
      <c r="F253" s="679">
        <f>SUM(F252+F245+F240)</f>
      </c>
      <c r="G253" s="679">
        <f t="shared" si="362"/>
      </c>
      <c r="H253" s="680">
        <f t="shared" si="527"/>
      </c>
      <c r="I253" s="681">
        <f t="shared" si="14"/>
      </c>
      <c r="J253" s="682">
        <f t="shared" si="389"/>
      </c>
      <c r="K253" s="683">
        <f t="shared" si="448"/>
      </c>
      <c r="L253" s="683">
        <f t="shared" si="204"/>
      </c>
      <c r="M253" s="684">
        <f t="shared" si="289"/>
      </c>
      <c r="N253" s="685">
        <f t="shared" si="73"/>
      </c>
      <c r="O253" s="685">
        <f t="shared" si="113"/>
      </c>
      <c r="P253" s="685">
        <f t="shared" si="171"/>
      </c>
      <c r="Q253" s="685">
        <f t="shared" si="559"/>
      </c>
      <c r="R253" s="684">
        <f t="shared" si="40"/>
      </c>
      <c r="S253" s="686">
        <f t="shared" si="415"/>
      </c>
      <c r="T253" s="687">
        <f t="shared" si="490"/>
      </c>
      <c r="U253" s="687">
        <f t="shared" si="246"/>
      </c>
      <c r="V253" s="687">
        <f t="shared" si="331"/>
      </c>
      <c r="W253" s="687">
        <f t="shared" si="144"/>
      </c>
      <c r="X253" s="687"/>
      <c r="Y253" s="658"/>
      <c r="Z253" s="679">
        <f>SUM(Z252+Z245+Z240)</f>
      </c>
      <c r="AA253" s="679">
        <f>SUM(AA252+AA245+AA240)</f>
      </c>
      <c r="AB253" s="679">
        <f>SUM(AB252+AB245+AB240)</f>
      </c>
      <c r="AC253" s="679">
        <f>SUM(AC252+AC245+AC240)</f>
      </c>
      <c r="AD253" s="679">
        <f>SUM(AD252+AD245+AD240)</f>
      </c>
      <c r="AE253" s="679">
        <f>SUM(AE252+AE245+AE240)</f>
      </c>
      <c r="AF253" s="679">
        <f>SUM(AF252+AF245+AF240)</f>
      </c>
      <c r="AG253" s="679">
        <f>SUM(AG252+AG245+AG240)</f>
      </c>
      <c r="AH253" s="679">
        <f>SUM(AH252+AH245+AH240)</f>
      </c>
      <c r="AI253" s="679">
        <f>SUM(AI252+AI245+AI240)</f>
      </c>
    </row>
    <row customHeight="true" ht="16.071428571428573" r="254">
      <c r="A254" s="603" t="s">
        <v>291</v>
      </c>
      <c r="B254" s="594" t="s">
        <v>292</v>
      </c>
      <c r="C254" s="659" t="s">
        <v>293</v>
      </c>
      <c r="D254" s="689" t="s">
        <v>294</v>
      </c>
      <c r="E254" s="690" t="s">
        <v>295</v>
      </c>
      <c r="F254" s="662" t="s">
        <v>296</v>
      </c>
      <c r="G254" s="662" t="s">
        <v>349</v>
      </c>
      <c r="H254" s="595" t="s">
        <v>297</v>
      </c>
      <c r="I254" s="595" t="s">
        <v>298</v>
      </c>
      <c r="J254" s="595" t="s">
        <v>299</v>
      </c>
      <c r="K254" s="597" t="s">
        <v>300</v>
      </c>
      <c r="L254" s="597" t="s">
        <v>301</v>
      </c>
      <c r="M254" s="597" t="s">
        <v>302</v>
      </c>
      <c r="N254" s="597" t="s">
        <v>303</v>
      </c>
      <c r="O254" s="597" t="s">
        <v>304</v>
      </c>
      <c r="P254" s="597" t="s">
        <v>305</v>
      </c>
      <c r="Q254" s="597" t="s">
        <v>306</v>
      </c>
      <c r="R254" s="597" t="s">
        <v>307</v>
      </c>
      <c r="S254" s="597" t="s">
        <v>308</v>
      </c>
      <c r="T254" s="606" t="s">
        <v>309</v>
      </c>
      <c r="U254" s="606" t="s">
        <v>310</v>
      </c>
      <c r="V254" s="606" t="s">
        <v>311</v>
      </c>
      <c r="W254" s="606" t="s">
        <v>312</v>
      </c>
      <c r="X254" s="607" t="s">
        <v>313</v>
      </c>
      <c r="Y254" s="607" t="s">
        <v>314</v>
      </c>
      <c r="Z254" s="651" t="s">
        <v>315</v>
      </c>
      <c r="AA254" s="651" t="s">
        <v>316</v>
      </c>
      <c r="AB254" s="651" t="s">
        <v>317</v>
      </c>
      <c r="AC254" s="609" t="s">
        <v>318</v>
      </c>
      <c r="AD254" s="609" t="s">
        <v>319</v>
      </c>
      <c r="AE254" s="652" t="s">
        <v>320</v>
      </c>
      <c r="AF254" s="609" t="s">
        <v>321</v>
      </c>
      <c r="AG254" s="609" t="s">
        <v>322</v>
      </c>
      <c r="AH254" s="611" t="s">
        <v>323</v>
      </c>
      <c r="AI254" s="609" t="s">
        <v>324</v>
      </c>
    </row>
    <row customHeight="true" ht="16.071428571428573" r="255">
      <c r="A255" s="612">
        <v>46194</v>
      </c>
      <c r="B255" s="706" t="s">
        <v>333</v>
      </c>
      <c r="C255" s="611" t="s">
        <v>338</v>
      </c>
      <c r="D255" s="691">
        <v>2075.631</v>
      </c>
      <c r="E255" s="692">
        <v>7</v>
      </c>
      <c r="F255" s="665">
        <v>2133.9</v>
      </c>
      <c r="G255" s="693">
        <f t="shared" ref="G255:G273" si="363">D255/AD255</f>
      </c>
      <c r="H255" s="617">
        <f t="shared" ref="H255:H273" si="528">F255/E255</f>
      </c>
      <c r="I255" s="618">
        <f t="shared" ref="I255:I273" si="15">D255/E255</f>
      </c>
      <c r="J255" s="619">
        <f t="shared" ref="J255:J273" si="390">F255/D255</f>
      </c>
      <c r="K255" s="620">
        <f t="shared" ref="K255:K261" si="449">D255/AB255</f>
      </c>
      <c r="L255" s="617">
        <f t="shared" ref="L255:L261" si="205">D255/AC255</f>
      </c>
      <c r="M255" s="617">
        <f t="shared" ref="M255:M261" si="290">D255/AD255</f>
      </c>
      <c r="N255" s="621">
        <f t="shared" ref="N255:N261" si="74">AC255/AB255</f>
      </c>
      <c r="O255" s="621">
        <f t="shared" ref="O255:O261" si="114">AD255/AC255</f>
      </c>
      <c r="P255" s="621">
        <f t="shared" ref="P255:P273" si="172">AA255/Z255</f>
      </c>
      <c r="Q255" s="621">
        <f t="shared" ref="Q255:Q261" si="560">AD255/AA255</f>
      </c>
      <c r="R255" s="617">
        <f t="shared" ref="R255:R273" si="41">D255/Z255*1000</f>
      </c>
      <c r="S255" s="619">
        <f t="shared" ref="S255:S273" si="416">D255/AA255</f>
      </c>
      <c r="T255" s="621">
        <f t="shared" ref="T255:T261" si="491">AE255/AB255</f>
      </c>
      <c r="U255" s="621">
        <f t="shared" ref="U255:U261" si="247">AF255/AB255</f>
      </c>
      <c r="V255" s="621">
        <f t="shared" ref="V255:V261" si="332">AG255/AB255</f>
      </c>
      <c r="W255" s="621">
        <f t="shared" ref="W255:W273" si="145">AH255/AB255</f>
      </c>
      <c r="X255" s="653" t="s">
        <v>327</v>
      </c>
      <c r="Y255" s="613" t="s">
        <v>357</v>
      </c>
      <c r="Z255" s="655">
        <v>219828</v>
      </c>
      <c r="AA255" s="655">
        <v>9658</v>
      </c>
      <c r="AB255" s="655">
        <v>168872</v>
      </c>
      <c r="AC255" s="655">
        <v>948</v>
      </c>
      <c r="AD255" s="622">
        <v>5</v>
      </c>
      <c r="AE255" s="655">
        <v>23888</v>
      </c>
      <c r="AF255" s="622">
        <v>370</v>
      </c>
      <c r="AG255" s="622">
        <v>349</v>
      </c>
      <c r="AH255" s="622">
        <v>27</v>
      </c>
      <c r="AI255" s="623">
        <v>2</v>
      </c>
    </row>
    <row customHeight="true" ht="16.071428571428573" r="256">
      <c r="A256" s="612"/>
      <c r="B256" s="706" t="s">
        <v>333</v>
      </c>
      <c r="C256" s="611" t="s">
        <v>340</v>
      </c>
      <c r="D256" s="691">
        <v>2893.007</v>
      </c>
      <c r="E256" s="692">
        <v>1</v>
      </c>
      <c r="F256" s="665">
        <v>228</v>
      </c>
      <c r="G256" s="693">
        <f t="shared" si="363"/>
      </c>
      <c r="H256" s="617">
        <f t="shared" si="528"/>
      </c>
      <c r="I256" s="618">
        <f t="shared" si="15"/>
      </c>
      <c r="J256" s="619">
        <f t="shared" si="390"/>
      </c>
      <c r="K256" s="620">
        <f t="shared" si="449"/>
      </c>
      <c r="L256" s="617">
        <f t="shared" si="205"/>
      </c>
      <c r="M256" s="617">
        <f t="shared" si="290"/>
      </c>
      <c r="N256" s="621">
        <f t="shared" si="74"/>
      </c>
      <c r="O256" s="621">
        <f t="shared" si="114"/>
      </c>
      <c r="P256" s="621">
        <f t="shared" si="172"/>
      </c>
      <c r="Q256" s="621">
        <f t="shared" si="560"/>
      </c>
      <c r="R256" s="617">
        <f t="shared" si="41"/>
      </c>
      <c r="S256" s="619">
        <f t="shared" si="416"/>
      </c>
      <c r="T256" s="621">
        <f t="shared" si="491"/>
      </c>
      <c r="U256" s="621">
        <f t="shared" si="247"/>
      </c>
      <c r="V256" s="621">
        <f t="shared" si="332"/>
      </c>
      <c r="W256" s="621">
        <f t="shared" si="145"/>
      </c>
      <c r="X256" s="653" t="s">
        <v>327</v>
      </c>
      <c r="Y256" s="613" t="s">
        <v>357</v>
      </c>
      <c r="Z256" s="622">
        <v>274557</v>
      </c>
      <c r="AA256" s="655">
        <v>17010</v>
      </c>
      <c r="AB256" s="655">
        <v>243168</v>
      </c>
      <c r="AC256" s="655">
        <v>1469</v>
      </c>
      <c r="AD256" s="622">
        <v>1</v>
      </c>
      <c r="AE256" s="655">
        <v>35372</v>
      </c>
      <c r="AF256" s="622">
        <v>641</v>
      </c>
      <c r="AG256" s="622">
        <v>487</v>
      </c>
      <c r="AH256" s="622">
        <v>40</v>
      </c>
      <c r="AI256" s="623">
        <v>0</v>
      </c>
    </row>
    <row customHeight="true" ht="16.071428571428573" r="257">
      <c r="A257" s="612"/>
      <c r="B257" s="706" t="s">
        <v>333</v>
      </c>
      <c r="C257" s="695" t="s">
        <v>341</v>
      </c>
      <c r="D257" s="691">
        <v>1979.63</v>
      </c>
      <c r="E257" s="692">
        <v>11</v>
      </c>
      <c r="F257" s="665">
        <v>3643.9999999999995</v>
      </c>
      <c r="G257" s="693">
        <f t="shared" si="363"/>
      </c>
      <c r="H257" s="617">
        <f t="shared" si="528"/>
      </c>
      <c r="I257" s="618">
        <f t="shared" si="15"/>
      </c>
      <c r="J257" s="619">
        <f t="shared" si="390"/>
      </c>
      <c r="K257" s="620">
        <f t="shared" si="449"/>
      </c>
      <c r="L257" s="617">
        <f t="shared" si="205"/>
      </c>
      <c r="M257" s="617">
        <f t="shared" si="290"/>
      </c>
      <c r="N257" s="621">
        <f t="shared" si="74"/>
      </c>
      <c r="O257" s="621">
        <f t="shared" si="114"/>
      </c>
      <c r="P257" s="621">
        <f t="shared" si="172"/>
      </c>
      <c r="Q257" s="621">
        <f t="shared" si="560"/>
      </c>
      <c r="R257" s="617">
        <f t="shared" si="41"/>
      </c>
      <c r="S257" s="619">
        <f t="shared" si="416"/>
      </c>
      <c r="T257" s="621">
        <f t="shared" si="491"/>
      </c>
      <c r="U257" s="621">
        <f t="shared" si="247"/>
      </c>
      <c r="V257" s="621">
        <f t="shared" si="332"/>
      </c>
      <c r="W257" s="621">
        <f t="shared" si="145"/>
      </c>
      <c r="X257" s="693" t="s">
        <v>327</v>
      </c>
      <c r="Y257" s="613" t="s">
        <v>357</v>
      </c>
      <c r="Z257" s="622">
        <v>221083</v>
      </c>
      <c r="AA257" s="622">
        <v>13801</v>
      </c>
      <c r="AB257" s="622">
        <v>213594</v>
      </c>
      <c r="AC257" s="622">
        <v>869</v>
      </c>
      <c r="AD257" s="622">
        <v>11</v>
      </c>
      <c r="AE257" s="622">
        <v>21450</v>
      </c>
      <c r="AF257" s="622">
        <v>366</v>
      </c>
      <c r="AG257" s="622">
        <v>302</v>
      </c>
      <c r="AH257" s="622">
        <v>41</v>
      </c>
      <c r="AI257" s="623">
        <v>0</v>
      </c>
    </row>
    <row customHeight="true" ht="16.071428571428573" r="258">
      <c r="A258" s="612"/>
      <c r="B258" s="706" t="s">
        <v>333</v>
      </c>
      <c r="C258" s="697" t="s">
        <v>342</v>
      </c>
      <c r="D258" s="669">
        <v>1624.4060000000002</v>
      </c>
      <c r="E258" s="667">
        <v>3</v>
      </c>
      <c r="F258" s="647">
        <v>1220</v>
      </c>
      <c r="G258" s="693">
        <f t="shared" si="363"/>
      </c>
      <c r="H258" s="617">
        <f t="shared" si="528"/>
      </c>
      <c r="I258" s="618">
        <f t="shared" si="15"/>
      </c>
      <c r="J258" s="619">
        <f t="shared" si="390"/>
      </c>
      <c r="K258" s="620">
        <f t="shared" si="449"/>
      </c>
      <c r="L258" s="617">
        <f t="shared" si="205"/>
      </c>
      <c r="M258" s="617">
        <f t="shared" si="290"/>
      </c>
      <c r="N258" s="621">
        <f t="shared" si="74"/>
      </c>
      <c r="O258" s="621">
        <f t="shared" si="114"/>
      </c>
      <c r="P258" s="621">
        <f t="shared" si="172"/>
      </c>
      <c r="Q258" s="621">
        <f t="shared" si="560"/>
      </c>
      <c r="R258" s="617">
        <f t="shared" si="41"/>
      </c>
      <c r="S258" s="619">
        <f t="shared" si="416"/>
      </c>
      <c r="T258" s="621">
        <f t="shared" si="491"/>
      </c>
      <c r="U258" s="621">
        <f t="shared" si="247"/>
      </c>
      <c r="V258" s="621">
        <f t="shared" si="332"/>
      </c>
      <c r="W258" s="621">
        <f t="shared" si="145"/>
      </c>
      <c r="X258" s="696" t="s">
        <v>327</v>
      </c>
      <c r="Y258" s="613" t="s">
        <v>357</v>
      </c>
      <c r="Z258" s="622">
        <v>221581</v>
      </c>
      <c r="AA258" s="622">
        <v>13523</v>
      </c>
      <c r="AB258" s="622">
        <v>215642</v>
      </c>
      <c r="AC258" s="622">
        <v>622</v>
      </c>
      <c r="AD258" s="622">
        <v>3</v>
      </c>
      <c r="AE258" s="622">
        <v>16051</v>
      </c>
      <c r="AF258" s="622">
        <v>241</v>
      </c>
      <c r="AG258" s="622">
        <v>242</v>
      </c>
      <c r="AH258" s="622">
        <v>20</v>
      </c>
      <c r="AI258" s="623">
        <v>0</v>
      </c>
    </row>
    <row customHeight="true" ht="16.071428571428573" r="259">
      <c r="A259" s="612"/>
      <c r="B259" s="706" t="s">
        <v>333</v>
      </c>
      <c r="C259" s="697" t="s">
        <v>343</v>
      </c>
      <c r="D259" s="669">
        <v>1352.023</v>
      </c>
      <c r="E259" s="667">
        <v>2</v>
      </c>
      <c r="F259" s="647">
        <v>424</v>
      </c>
      <c r="G259" s="693">
        <f t="shared" si="363"/>
      </c>
      <c r="H259" s="617">
        <f t="shared" si="528"/>
      </c>
      <c r="I259" s="618">
        <f t="shared" si="15"/>
      </c>
      <c r="J259" s="619">
        <f t="shared" si="390"/>
      </c>
      <c r="K259" s="620">
        <f t="shared" si="449"/>
      </c>
      <c r="L259" s="617">
        <f t="shared" si="205"/>
      </c>
      <c r="M259" s="617">
        <f t="shared" si="290"/>
      </c>
      <c r="N259" s="621">
        <f t="shared" si="74"/>
      </c>
      <c r="O259" s="621">
        <f t="shared" si="114"/>
      </c>
      <c r="P259" s="621">
        <f t="shared" si="172"/>
      </c>
      <c r="Q259" s="621">
        <f t="shared" si="560"/>
      </c>
      <c r="R259" s="617">
        <f t="shared" si="41"/>
      </c>
      <c r="S259" s="619">
        <f t="shared" si="416"/>
      </c>
      <c r="T259" s="621">
        <f t="shared" si="491"/>
      </c>
      <c r="U259" s="621">
        <f t="shared" si="247"/>
      </c>
      <c r="V259" s="621">
        <f t="shared" si="332"/>
      </c>
      <c r="W259" s="621">
        <f t="shared" si="145"/>
      </c>
      <c r="X259" s="696" t="s">
        <v>327</v>
      </c>
      <c r="Y259" s="613" t="s">
        <v>357</v>
      </c>
      <c r="Z259" s="622">
        <v>187186</v>
      </c>
      <c r="AA259" s="622">
        <v>7656</v>
      </c>
      <c r="AB259" s="622">
        <v>176165</v>
      </c>
      <c r="AC259" s="622">
        <v>401</v>
      </c>
      <c r="AD259" s="622">
        <v>1</v>
      </c>
      <c r="AE259" s="622">
        <v>8814</v>
      </c>
      <c r="AF259" s="622">
        <v>145</v>
      </c>
      <c r="AG259" s="622">
        <v>129</v>
      </c>
      <c r="AH259" s="622">
        <v>17</v>
      </c>
      <c r="AI259" s="623">
        <v>0</v>
      </c>
    </row>
    <row customHeight="true" ht="16.071428571428573" r="260">
      <c r="A260" s="612"/>
      <c r="B260" s="625" t="s">
        <v>332</v>
      </c>
      <c r="C260" s="625"/>
      <c r="D260" s="626">
        <f>SUM(D255:D259)</f>
      </c>
      <c r="E260" s="627">
        <f>SUM(E255:E259)</f>
      </c>
      <c r="F260" s="626">
        <f>SUM(F255:F259)</f>
      </c>
      <c r="G260" s="626">
        <f t="shared" si="363"/>
      </c>
      <c r="H260" s="628">
        <f t="shared" si="528"/>
      </c>
      <c r="I260" s="629">
        <f t="shared" si="15"/>
      </c>
      <c r="J260" s="630">
        <f t="shared" si="390"/>
      </c>
      <c r="K260" s="631">
        <f t="shared" si="449"/>
      </c>
      <c r="L260" s="628">
        <f t="shared" si="205"/>
      </c>
      <c r="M260" s="628">
        <f t="shared" si="290"/>
      </c>
      <c r="N260" s="632">
        <f t="shared" si="74"/>
      </c>
      <c r="O260" s="632">
        <f t="shared" si="114"/>
      </c>
      <c r="P260" s="632">
        <f t="shared" si="172"/>
      </c>
      <c r="Q260" s="632">
        <f t="shared" si="560"/>
      </c>
      <c r="R260" s="628">
        <f t="shared" si="41"/>
      </c>
      <c r="S260" s="630">
        <f t="shared" si="416"/>
      </c>
      <c r="T260" s="632">
        <f t="shared" si="491"/>
      </c>
      <c r="U260" s="632">
        <f t="shared" si="247"/>
      </c>
      <c r="V260" s="632">
        <f t="shared" si="332"/>
      </c>
      <c r="W260" s="632">
        <f t="shared" si="145"/>
      </c>
      <c r="X260" s="632"/>
      <c r="Y260" s="698"/>
      <c r="Z260" s="626">
        <f>SUM(Z255:Z259)</f>
      </c>
      <c r="AA260" s="626">
        <f>SUM(AA255:AA259)</f>
      </c>
      <c r="AB260" s="626">
        <f>SUM(AB255:AB259)</f>
      </c>
      <c r="AC260" s="626">
        <f>SUM(AC255:AC259)</f>
      </c>
      <c r="AD260" s="626">
        <f>SUM(AD255:AD259)</f>
      </c>
      <c r="AE260" s="626">
        <f>SUM(AE255:AE259)</f>
      </c>
      <c r="AF260" s="626">
        <f>SUM(AF255:AF259)</f>
      </c>
      <c r="AG260" s="626">
        <f>SUM(AG255:AG259)</f>
      </c>
      <c r="AH260" s="626">
        <f>SUM(AH255:AH259)</f>
      </c>
      <c r="AI260" s="626">
        <f>SUM(AI255:AI259)</f>
      </c>
    </row>
    <row customHeight="true" ht="16.071428571428573" r="261">
      <c r="A261" s="612"/>
      <c r="B261" s="696" t="s">
        <v>354</v>
      </c>
      <c r="C261" s="699" t="s">
        <v>344</v>
      </c>
      <c r="D261" s="691">
        <v>1424.225</v>
      </c>
      <c r="E261" s="692">
        <v>0</v>
      </c>
      <c r="F261" s="665">
        <v>0</v>
      </c>
      <c r="G261" s="693">
        <f t="shared" si="363"/>
      </c>
      <c r="H261" s="617">
        <f t="shared" si="528"/>
      </c>
      <c r="I261" s="618">
        <f t="shared" si="15"/>
      </c>
      <c r="J261" s="619">
        <f t="shared" si="390"/>
      </c>
      <c r="K261" s="620">
        <f t="shared" si="449"/>
      </c>
      <c r="L261" s="617">
        <f t="shared" si="205"/>
      </c>
      <c r="M261" s="617">
        <f t="shared" si="290"/>
      </c>
      <c r="N261" s="621">
        <f t="shared" si="74"/>
      </c>
      <c r="O261" s="621">
        <f t="shared" si="114"/>
      </c>
      <c r="P261" s="621">
        <f t="shared" si="172"/>
      </c>
      <c r="Q261" s="621">
        <f t="shared" si="560"/>
      </c>
      <c r="R261" s="617">
        <f t="shared" si="41"/>
      </c>
      <c r="S261" s="619">
        <f t="shared" si="416"/>
      </c>
      <c r="T261" s="621">
        <f t="shared" si="491"/>
      </c>
      <c r="U261" s="621">
        <f t="shared" si="247"/>
      </c>
      <c r="V261" s="621">
        <f t="shared" si="332"/>
      </c>
      <c r="W261" s="621">
        <f t="shared" si="145"/>
      </c>
      <c r="X261" s="696" t="s">
        <v>327</v>
      </c>
      <c r="Y261" s="613" t="s">
        <v>357</v>
      </c>
      <c r="Z261" s="655">
        <v>206425</v>
      </c>
      <c r="AA261" s="655">
        <v>7582</v>
      </c>
      <c r="AB261" s="655">
        <v>186730</v>
      </c>
      <c r="AC261" s="622">
        <v>379</v>
      </c>
      <c r="AD261" s="622">
        <v>1</v>
      </c>
      <c r="AE261" s="655">
        <v>8648</v>
      </c>
      <c r="AF261" s="622">
        <v>158</v>
      </c>
      <c r="AG261" s="622">
        <v>125</v>
      </c>
      <c r="AH261" s="622">
        <v>19</v>
      </c>
      <c r="AI261" s="623">
        <v>0</v>
      </c>
    </row>
    <row customHeight="true" ht="16.071428571428573" r="262">
      <c r="A262" s="612"/>
      <c r="B262" s="696" t="s">
        <v>354</v>
      </c>
      <c r="C262" s="699" t="s">
        <v>345</v>
      </c>
      <c r="D262" s="691">
        <v>961.3399999999999</v>
      </c>
      <c r="E262" s="692">
        <v>2</v>
      </c>
      <c r="F262" s="665">
        <v>456</v>
      </c>
      <c r="G262" s="693">
        <f t="shared" si="363"/>
      </c>
      <c r="H262" s="617">
        <f t="shared" si="528"/>
      </c>
      <c r="I262" s="618">
        <f t="shared" si="15"/>
      </c>
      <c r="J262" s="619">
        <f t="shared" si="390"/>
      </c>
      <c r="K262" s="620">
        <f>D262/AC262</f>
      </c>
      <c r="L262" s="617">
        <f>D262/AD262</f>
      </c>
      <c r="M262" s="617">
        <f>D262/AE262</f>
      </c>
      <c r="N262" s="621">
        <f>AD262/AC262</f>
      </c>
      <c r="O262" s="621">
        <f>AE262/AD262</f>
      </c>
      <c r="P262" s="621">
        <f t="shared" si="172"/>
      </c>
      <c r="Q262" s="621">
        <f>AE262/AA262</f>
      </c>
      <c r="R262" s="617">
        <f t="shared" si="41"/>
      </c>
      <c r="S262" s="619">
        <f t="shared" si="416"/>
      </c>
      <c r="T262" s="621">
        <f>AF262/AC262</f>
      </c>
      <c r="U262" s="621">
        <f>AG262/AC262</f>
      </c>
      <c r="V262" s="621">
        <f>AH262/AC262</f>
      </c>
      <c r="W262" s="621">
        <f t="shared" si="145"/>
      </c>
      <c r="X262" s="696" t="s">
        <v>327</v>
      </c>
      <c r="Y262" s="613" t="s">
        <v>357</v>
      </c>
      <c r="Z262" s="622">
        <v>129378</v>
      </c>
      <c r="AA262" s="622">
        <v>6044</v>
      </c>
      <c r="AB262" s="700">
        <v>118101</v>
      </c>
      <c r="AC262" s="701">
        <v>272</v>
      </c>
      <c r="AD262" s="701">
        <v>2</v>
      </c>
      <c r="AE262" s="701">
        <v>5911</v>
      </c>
      <c r="AF262" s="701">
        <v>126</v>
      </c>
      <c r="AG262" s="701">
        <v>115</v>
      </c>
      <c r="AH262" s="701">
        <v>16</v>
      </c>
      <c r="AI262" s="623">
        <v>0</v>
      </c>
    </row>
    <row customHeight="true" ht="16.071428571428573" r="263">
      <c r="A263" s="612"/>
      <c r="B263" s="696" t="s">
        <v>354</v>
      </c>
      <c r="C263" s="699" t="s">
        <v>346</v>
      </c>
      <c r="D263" s="702">
        <v>649.212</v>
      </c>
      <c r="E263" s="692">
        <v>1</v>
      </c>
      <c r="F263" s="665">
        <v>196</v>
      </c>
      <c r="G263" s="693">
        <f t="shared" si="363"/>
      </c>
      <c r="H263" s="617">
        <f t="shared" si="528"/>
      </c>
      <c r="I263" s="618">
        <f t="shared" si="15"/>
      </c>
      <c r="J263" s="619">
        <f t="shared" si="390"/>
      </c>
      <c r="K263" s="620">
        <f t="shared" ref="K263:K273" si="450">D263/AB263</f>
      </c>
      <c r="L263" s="617">
        <f t="shared" ref="L263:L273" si="206">D263/AC263</f>
      </c>
      <c r="M263" s="617">
        <f t="shared" ref="M263:M273" si="291">D263/AD263</f>
      </c>
      <c r="N263" s="621">
        <f t="shared" ref="N263:N273" si="75">AC263/AB263</f>
      </c>
      <c r="O263" s="621">
        <f t="shared" ref="O263:O273" si="115">AD263/AC263</f>
      </c>
      <c r="P263" s="621">
        <f t="shared" si="172"/>
      </c>
      <c r="Q263" s="621">
        <f t="shared" ref="Q263:Q273" si="561">AD263/AA263</f>
      </c>
      <c r="R263" s="617">
        <f t="shared" si="41"/>
      </c>
      <c r="S263" s="619">
        <f t="shared" si="416"/>
      </c>
      <c r="T263" s="621">
        <f t="shared" ref="T263:T273" si="492">AE263/AB263</f>
      </c>
      <c r="U263" s="621">
        <f t="shared" ref="U263:U273" si="248">AF263/AB263</f>
      </c>
      <c r="V263" s="621">
        <f t="shared" ref="V263:V273" si="333">AG263/AB263</f>
      </c>
      <c r="W263" s="621">
        <f t="shared" si="145"/>
      </c>
      <c r="X263" s="696" t="s">
        <v>327</v>
      </c>
      <c r="Y263" s="613" t="s">
        <v>357</v>
      </c>
      <c r="Z263" s="622">
        <v>84937</v>
      </c>
      <c r="AA263" s="622">
        <v>3816</v>
      </c>
      <c r="AB263" s="622">
        <v>76144</v>
      </c>
      <c r="AC263" s="676">
        <v>136</v>
      </c>
      <c r="AD263" s="676">
        <v>0</v>
      </c>
      <c r="AE263" s="676">
        <v>2805</v>
      </c>
      <c r="AF263" s="676">
        <v>45</v>
      </c>
      <c r="AG263" s="676">
        <v>42</v>
      </c>
      <c r="AH263" s="676">
        <v>5</v>
      </c>
      <c r="AI263" s="623">
        <v>0</v>
      </c>
    </row>
    <row customHeight="true" ht="16.071428571428573" r="264">
      <c r="A264" s="612"/>
      <c r="B264" s="696" t="s">
        <v>354</v>
      </c>
      <c r="C264" s="697" t="s">
        <v>326</v>
      </c>
      <c r="D264" s="666">
        <v>639.349</v>
      </c>
      <c r="E264" s="667">
        <v>0</v>
      </c>
      <c r="F264" s="647">
        <v>0</v>
      </c>
      <c r="G264" s="693">
        <f t="shared" si="363"/>
      </c>
      <c r="H264" s="617">
        <f t="shared" si="528"/>
      </c>
      <c r="I264" s="618">
        <f t="shared" si="15"/>
      </c>
      <c r="J264" s="619">
        <f t="shared" si="390"/>
      </c>
      <c r="K264" s="620">
        <f t="shared" si="450"/>
      </c>
      <c r="L264" s="617">
        <f t="shared" si="206"/>
      </c>
      <c r="M264" s="617">
        <f t="shared" si="291"/>
      </c>
      <c r="N264" s="621">
        <f t="shared" si="75"/>
      </c>
      <c r="O264" s="621">
        <f t="shared" si="115"/>
      </c>
      <c r="P264" s="621">
        <f t="shared" si="172"/>
      </c>
      <c r="Q264" s="621">
        <f t="shared" si="561"/>
      </c>
      <c r="R264" s="617">
        <f t="shared" si="41"/>
      </c>
      <c r="S264" s="619">
        <f t="shared" si="416"/>
      </c>
      <c r="T264" s="621">
        <f t="shared" si="492"/>
      </c>
      <c r="U264" s="621">
        <f t="shared" si="248"/>
      </c>
      <c r="V264" s="621">
        <f t="shared" si="333"/>
      </c>
      <c r="W264" s="621">
        <f t="shared" si="145"/>
      </c>
      <c r="X264" s="696" t="s">
        <v>327</v>
      </c>
      <c r="Y264" s="706" t="s">
        <v>356</v>
      </c>
      <c r="Z264" s="622">
        <v>85403</v>
      </c>
      <c r="AA264" s="622">
        <v>3589</v>
      </c>
      <c r="AB264" s="622">
        <v>78205</v>
      </c>
      <c r="AC264" s="622">
        <v>140</v>
      </c>
      <c r="AD264" s="622">
        <v>1</v>
      </c>
      <c r="AE264" s="622">
        <v>2603</v>
      </c>
      <c r="AF264" s="622">
        <v>60</v>
      </c>
      <c r="AG264" s="622">
        <v>53</v>
      </c>
      <c r="AH264" s="622">
        <v>3</v>
      </c>
      <c r="AI264" s="623">
        <v>0</v>
      </c>
    </row>
    <row customHeight="true" ht="16.071428571428573" r="265">
      <c r="A265" s="612"/>
      <c r="B265" s="696" t="s">
        <v>354</v>
      </c>
      <c r="C265" s="697" t="s">
        <v>329</v>
      </c>
      <c r="D265" s="669">
        <v>595.43</v>
      </c>
      <c r="E265" s="667">
        <v>0</v>
      </c>
      <c r="F265" s="647">
        <v>0</v>
      </c>
      <c r="G265" s="693">
        <f t="shared" si="363"/>
      </c>
      <c r="H265" s="617">
        <f t="shared" si="528"/>
      </c>
      <c r="I265" s="618">
        <f t="shared" si="15"/>
      </c>
      <c r="J265" s="619">
        <f t="shared" si="390"/>
      </c>
      <c r="K265" s="620">
        <f t="shared" si="450"/>
      </c>
      <c r="L265" s="617">
        <f t="shared" si="206"/>
      </c>
      <c r="M265" s="617">
        <f t="shared" si="291"/>
      </c>
      <c r="N265" s="621">
        <f t="shared" si="75"/>
      </c>
      <c r="O265" s="621">
        <f t="shared" si="115"/>
      </c>
      <c r="P265" s="621">
        <f t="shared" si="172"/>
      </c>
      <c r="Q265" s="621">
        <f t="shared" si="561"/>
      </c>
      <c r="R265" s="617">
        <f t="shared" si="41"/>
      </c>
      <c r="S265" s="619">
        <f t="shared" si="416"/>
      </c>
      <c r="T265" s="621">
        <f t="shared" si="492"/>
      </c>
      <c r="U265" s="621">
        <f t="shared" si="248"/>
      </c>
      <c r="V265" s="621">
        <f t="shared" si="333"/>
      </c>
      <c r="W265" s="621">
        <f t="shared" si="145"/>
      </c>
      <c r="X265" s="696" t="s">
        <v>327</v>
      </c>
      <c r="Y265" s="706" t="s">
        <v>356</v>
      </c>
      <c r="Z265" s="622">
        <v>83899</v>
      </c>
      <c r="AA265" s="622">
        <v>4055</v>
      </c>
      <c r="AB265" s="622">
        <v>78808</v>
      </c>
      <c r="AC265" s="622">
        <v>142</v>
      </c>
      <c r="AD265" s="622">
        <v>0</v>
      </c>
      <c r="AE265" s="622">
        <v>2846</v>
      </c>
      <c r="AF265" s="622">
        <v>41</v>
      </c>
      <c r="AG265" s="622">
        <v>33</v>
      </c>
      <c r="AH265" s="622">
        <v>2</v>
      </c>
      <c r="AI265" s="623">
        <v>0</v>
      </c>
    </row>
    <row customHeight="true" ht="16.071428571428573" r="266">
      <c r="A266" s="612"/>
      <c r="B266" s="625" t="s">
        <v>332</v>
      </c>
      <c r="C266" s="625"/>
      <c r="D266" s="626">
        <f>SUM(D261:D265)</f>
      </c>
      <c r="E266" s="627">
        <f>SUM(E261:E265)</f>
      </c>
      <c r="F266" s="626">
        <f>SUM(F261:F265)</f>
      </c>
      <c r="G266" s="626">
        <f t="shared" si="363"/>
      </c>
      <c r="H266" s="628">
        <f t="shared" si="528"/>
      </c>
      <c r="I266" s="629">
        <f t="shared" si="15"/>
      </c>
      <c r="J266" s="630">
        <f t="shared" si="390"/>
      </c>
      <c r="K266" s="631">
        <f t="shared" si="450"/>
      </c>
      <c r="L266" s="628">
        <f t="shared" si="206"/>
      </c>
      <c r="M266" s="628">
        <f t="shared" si="291"/>
      </c>
      <c r="N266" s="632">
        <f t="shared" si="75"/>
      </c>
      <c r="O266" s="632">
        <f t="shared" si="115"/>
      </c>
      <c r="P266" s="632">
        <f t="shared" si="172"/>
      </c>
      <c r="Q266" s="632">
        <f t="shared" si="561"/>
      </c>
      <c r="R266" s="628">
        <f t="shared" si="41"/>
      </c>
      <c r="S266" s="630">
        <f t="shared" si="416"/>
      </c>
      <c r="T266" s="632">
        <f t="shared" si="492"/>
      </c>
      <c r="U266" s="632">
        <f t="shared" si="248"/>
      </c>
      <c r="V266" s="632">
        <f t="shared" si="333"/>
      </c>
      <c r="W266" s="632">
        <f t="shared" si="145"/>
      </c>
      <c r="X266" s="632"/>
      <c r="Y266" s="698"/>
      <c r="Z266" s="626">
        <f>SUM(Z261:Z265)</f>
      </c>
      <c r="AA266" s="626">
        <f>SUM(AA261:AA265)</f>
      </c>
      <c r="AB266" s="626">
        <f>SUM(AB261:AB265)</f>
      </c>
      <c r="AC266" s="626">
        <f>SUM(AC261:AC265)</f>
      </c>
      <c r="AD266" s="626">
        <f>SUM(AD261:AD265)</f>
      </c>
      <c r="AE266" s="626">
        <f>SUM(AE261:AE265)</f>
      </c>
      <c r="AF266" s="626">
        <f>SUM(AF261:AF265)</f>
      </c>
      <c r="AG266" s="626">
        <f>SUM(AG261:AG265)</f>
      </c>
      <c r="AH266" s="626">
        <f>SUM(AH261:AH265)</f>
      </c>
      <c r="AI266" s="626">
        <f>SUM(AI261:AI265)</f>
      </c>
    </row>
    <row customHeight="true" ht="16.071428571428573" r="267">
      <c r="A267" s="612"/>
      <c r="B267" s="696" t="s">
        <v>325</v>
      </c>
      <c r="C267" s="697" t="s">
        <v>330</v>
      </c>
      <c r="D267" s="654">
        <v>658.322</v>
      </c>
      <c r="E267" s="615">
        <v>2</v>
      </c>
      <c r="F267" s="657">
        <v>1024</v>
      </c>
      <c r="G267" s="693">
        <f t="shared" si="363"/>
      </c>
      <c r="H267" s="617">
        <f t="shared" si="528"/>
      </c>
      <c r="I267" s="618">
        <f t="shared" si="15"/>
      </c>
      <c r="J267" s="619">
        <f t="shared" si="390"/>
      </c>
      <c r="K267" s="620">
        <f t="shared" si="450"/>
      </c>
      <c r="L267" s="617">
        <f t="shared" si="206"/>
      </c>
      <c r="M267" s="622">
        <f t="shared" si="291"/>
      </c>
      <c r="N267" s="621">
        <f t="shared" si="75"/>
      </c>
      <c r="O267" s="621">
        <f t="shared" si="115"/>
      </c>
      <c r="P267" s="621">
        <f t="shared" si="172"/>
      </c>
      <c r="Q267" s="621">
        <f t="shared" si="561"/>
      </c>
      <c r="R267" s="617">
        <f t="shared" si="41"/>
      </c>
      <c r="S267" s="619">
        <f t="shared" si="416"/>
      </c>
      <c r="T267" s="621">
        <f t="shared" si="492"/>
      </c>
      <c r="U267" s="621">
        <f t="shared" si="248"/>
      </c>
      <c r="V267" s="621">
        <f t="shared" si="333"/>
      </c>
      <c r="W267" s="621">
        <f t="shared" si="145"/>
      </c>
      <c r="X267" s="696" t="s">
        <v>327</v>
      </c>
      <c r="Y267" s="706" t="s">
        <v>356</v>
      </c>
      <c r="Z267" s="622">
        <v>93951</v>
      </c>
      <c r="AA267" s="622">
        <v>6001</v>
      </c>
      <c r="AB267" s="622">
        <v>89083</v>
      </c>
      <c r="AC267" s="622">
        <v>196</v>
      </c>
      <c r="AD267" s="622">
        <v>2</v>
      </c>
      <c r="AE267" s="622">
        <v>4235</v>
      </c>
      <c r="AF267" s="622">
        <v>72</v>
      </c>
      <c r="AG267" s="622">
        <v>69</v>
      </c>
      <c r="AH267" s="623">
        <v>4</v>
      </c>
      <c r="AI267" s="623">
        <v>0</v>
      </c>
    </row>
    <row customHeight="true" ht="16.071428571428573" r="268">
      <c r="A268" s="612"/>
      <c r="B268" s="696" t="s">
        <v>325</v>
      </c>
      <c r="C268" s="697" t="s">
        <v>331</v>
      </c>
      <c r="D268" s="654">
        <v>809.163</v>
      </c>
      <c r="E268" s="615">
        <v>1</v>
      </c>
      <c r="F268" s="657">
        <v>228</v>
      </c>
      <c r="G268" s="693">
        <f t="shared" si="363"/>
      </c>
      <c r="H268" s="617">
        <f t="shared" si="528"/>
      </c>
      <c r="I268" s="618">
        <f t="shared" si="15"/>
      </c>
      <c r="J268" s="619">
        <f t="shared" si="390"/>
      </c>
      <c r="K268" s="620">
        <f t="shared" si="450"/>
      </c>
      <c r="L268" s="617">
        <f t="shared" si="206"/>
      </c>
      <c r="M268" s="617">
        <f t="shared" si="291"/>
      </c>
      <c r="N268" s="621">
        <f t="shared" si="75"/>
      </c>
      <c r="O268" s="621">
        <f t="shared" si="115"/>
      </c>
      <c r="P268" s="621">
        <f t="shared" si="172"/>
      </c>
      <c r="Q268" s="621">
        <f t="shared" si="561"/>
      </c>
      <c r="R268" s="617">
        <f t="shared" si="41"/>
      </c>
      <c r="S268" s="619">
        <f t="shared" si="416"/>
      </c>
      <c r="T268" s="621">
        <f t="shared" si="492"/>
      </c>
      <c r="U268" s="621">
        <f t="shared" si="248"/>
      </c>
      <c r="V268" s="621">
        <f t="shared" si="333"/>
      </c>
      <c r="W268" s="621">
        <f t="shared" si="145"/>
      </c>
      <c r="X268" s="696" t="s">
        <v>327</v>
      </c>
      <c r="Y268" s="706" t="s">
        <v>356</v>
      </c>
      <c r="Z268" s="622">
        <v>125318</v>
      </c>
      <c r="AA268" s="622">
        <v>8350</v>
      </c>
      <c r="AB268" s="622">
        <v>122416</v>
      </c>
      <c r="AC268" s="622">
        <v>235</v>
      </c>
      <c r="AD268" s="622">
        <v>1</v>
      </c>
      <c r="AE268" s="622">
        <v>6115</v>
      </c>
      <c r="AF268" s="622">
        <v>98</v>
      </c>
      <c r="AG268" s="622">
        <v>119</v>
      </c>
      <c r="AH268" s="622">
        <v>4</v>
      </c>
      <c r="AI268" s="623">
        <v>0</v>
      </c>
    </row>
    <row customHeight="true" ht="16.071428571428573" r="269">
      <c r="A269" s="612"/>
      <c r="B269" s="696" t="s">
        <v>325</v>
      </c>
      <c r="C269" s="697" t="s">
        <v>334</v>
      </c>
      <c r="D269" s="654">
        <v>958.5790000000001</v>
      </c>
      <c r="E269" s="615">
        <v>5</v>
      </c>
      <c r="F269" s="647">
        <v>1614.699999999999</v>
      </c>
      <c r="G269" s="693">
        <f t="shared" si="363"/>
      </c>
      <c r="H269" s="617">
        <f t="shared" si="528"/>
      </c>
      <c r="I269" s="618">
        <f t="shared" si="15"/>
      </c>
      <c r="J269" s="619">
        <f t="shared" si="390"/>
      </c>
      <c r="K269" s="620">
        <f t="shared" si="450"/>
      </c>
      <c r="L269" s="617">
        <f t="shared" si="206"/>
      </c>
      <c r="M269" s="617">
        <f t="shared" si="291"/>
      </c>
      <c r="N269" s="621">
        <f t="shared" si="75"/>
      </c>
      <c r="O269" s="621">
        <f t="shared" si="115"/>
      </c>
      <c r="P269" s="621">
        <f t="shared" si="172"/>
      </c>
      <c r="Q269" s="621">
        <f t="shared" si="561"/>
      </c>
      <c r="R269" s="617">
        <f t="shared" si="41"/>
      </c>
      <c r="S269" s="619">
        <f t="shared" si="416"/>
      </c>
      <c r="T269" s="621">
        <f t="shared" si="492"/>
      </c>
      <c r="U269" s="621">
        <f t="shared" si="248"/>
      </c>
      <c r="V269" s="621">
        <f t="shared" si="333"/>
      </c>
      <c r="W269" s="621">
        <f t="shared" si="145"/>
      </c>
      <c r="X269" s="696" t="s">
        <v>327</v>
      </c>
      <c r="Y269" s="706" t="s">
        <v>356</v>
      </c>
      <c r="Z269" s="622">
        <v>152738</v>
      </c>
      <c r="AA269" s="622">
        <v>9842</v>
      </c>
      <c r="AB269" s="622">
        <v>151837</v>
      </c>
      <c r="AC269" s="622">
        <v>332</v>
      </c>
      <c r="AD269" s="622">
        <v>4</v>
      </c>
      <c r="AE269" s="622">
        <v>7491</v>
      </c>
      <c r="AF269" s="622">
        <v>112</v>
      </c>
      <c r="AG269" s="622">
        <v>157</v>
      </c>
      <c r="AH269" s="622">
        <v>4</v>
      </c>
      <c r="AI269" s="623">
        <v>1</v>
      </c>
    </row>
    <row customHeight="true" ht="16.071428571428573" r="270">
      <c r="A270" s="612"/>
      <c r="B270" s="696" t="s">
        <v>325</v>
      </c>
      <c r="C270" s="697" t="s">
        <v>335</v>
      </c>
      <c r="D270" s="654">
        <v>952.701</v>
      </c>
      <c r="E270" s="615">
        <v>3</v>
      </c>
      <c r="F270" s="657">
        <v>684</v>
      </c>
      <c r="G270" s="693">
        <f t="shared" si="363"/>
      </c>
      <c r="H270" s="617">
        <f t="shared" si="528"/>
      </c>
      <c r="I270" s="618">
        <f t="shared" si="15"/>
      </c>
      <c r="J270" s="619">
        <f t="shared" si="390"/>
      </c>
      <c r="K270" s="620">
        <f t="shared" si="450"/>
      </c>
      <c r="L270" s="617">
        <f t="shared" si="206"/>
      </c>
      <c r="M270" s="617">
        <f t="shared" si="291"/>
      </c>
      <c r="N270" s="621">
        <f t="shared" si="75"/>
      </c>
      <c r="O270" s="621">
        <f t="shared" si="115"/>
      </c>
      <c r="P270" s="621">
        <f t="shared" si="172"/>
      </c>
      <c r="Q270" s="621">
        <f t="shared" si="561"/>
      </c>
      <c r="R270" s="617">
        <f t="shared" si="41"/>
      </c>
      <c r="S270" s="619">
        <f t="shared" si="416"/>
      </c>
      <c r="T270" s="621">
        <f t="shared" si="492"/>
      </c>
      <c r="U270" s="621">
        <f t="shared" si="248"/>
      </c>
      <c r="V270" s="621">
        <f t="shared" si="333"/>
      </c>
      <c r="W270" s="621">
        <f t="shared" si="145"/>
      </c>
      <c r="X270" s="696" t="s">
        <v>327</v>
      </c>
      <c r="Y270" s="706" t="s">
        <v>356</v>
      </c>
      <c r="Z270" s="622">
        <v>150973</v>
      </c>
      <c r="AA270" s="622">
        <v>10974</v>
      </c>
      <c r="AB270" s="622">
        <v>147800</v>
      </c>
      <c r="AC270" s="622">
        <v>394</v>
      </c>
      <c r="AD270" s="622">
        <v>3</v>
      </c>
      <c r="AE270" s="622">
        <v>8984</v>
      </c>
      <c r="AF270" s="622">
        <v>167</v>
      </c>
      <c r="AG270" s="622">
        <v>176</v>
      </c>
      <c r="AH270" s="623">
        <v>14</v>
      </c>
      <c r="AI270" s="623">
        <v>0</v>
      </c>
    </row>
    <row customHeight="true" ht="16.071428571428573" r="271">
      <c r="A271" s="612"/>
      <c r="B271" s="696" t="s">
        <v>325</v>
      </c>
      <c r="C271" s="697" t="s">
        <v>336</v>
      </c>
      <c r="D271" s="654">
        <v>646.2429999999999</v>
      </c>
      <c r="E271" s="615">
        <v>0</v>
      </c>
      <c r="F271" s="647">
        <v>0</v>
      </c>
      <c r="G271" s="693">
        <f t="shared" si="363"/>
      </c>
      <c r="H271" s="617">
        <f t="shared" si="528"/>
      </c>
      <c r="I271" s="618">
        <f t="shared" si="15"/>
      </c>
      <c r="J271" s="619">
        <f t="shared" si="390"/>
      </c>
      <c r="K271" s="620">
        <f t="shared" si="450"/>
      </c>
      <c r="L271" s="617">
        <f t="shared" si="206"/>
      </c>
      <c r="M271" s="617">
        <f t="shared" si="291"/>
      </c>
      <c r="N271" s="621">
        <f t="shared" si="75"/>
      </c>
      <c r="O271" s="621">
        <f t="shared" si="115"/>
      </c>
      <c r="P271" s="621">
        <f t="shared" si="172"/>
      </c>
      <c r="Q271" s="621">
        <f t="shared" si="561"/>
      </c>
      <c r="R271" s="617">
        <f t="shared" si="41"/>
      </c>
      <c r="S271" s="619">
        <f t="shared" si="416"/>
      </c>
      <c r="T271" s="621">
        <f t="shared" si="492"/>
      </c>
      <c r="U271" s="621">
        <f t="shared" si="248"/>
      </c>
      <c r="V271" s="621">
        <f t="shared" si="333"/>
      </c>
      <c r="W271" s="621">
        <f t="shared" si="145"/>
      </c>
      <c r="X271" s="696" t="s">
        <v>327</v>
      </c>
      <c r="Y271" s="706" t="s">
        <v>356</v>
      </c>
      <c r="Z271" s="622">
        <v>94467</v>
      </c>
      <c r="AA271" s="622">
        <v>9005</v>
      </c>
      <c r="AB271" s="622">
        <v>85167</v>
      </c>
      <c r="AC271" s="622">
        <v>320</v>
      </c>
      <c r="AD271" s="622">
        <v>0</v>
      </c>
      <c r="AE271" s="622">
        <v>6866</v>
      </c>
      <c r="AF271" s="622">
        <v>110</v>
      </c>
      <c r="AG271" s="622">
        <v>150</v>
      </c>
      <c r="AH271" s="622">
        <v>12</v>
      </c>
      <c r="AI271" s="623">
        <v>0</v>
      </c>
    </row>
    <row customHeight="true" ht="16.071428571428573" r="272">
      <c r="A272" s="612"/>
      <c r="B272" s="625" t="s">
        <v>332</v>
      </c>
      <c r="C272" s="625"/>
      <c r="D272" s="626">
        <f>SUM(D267:D271)</f>
      </c>
      <c r="E272" s="627">
        <f>SUM(E267:E271)</f>
      </c>
      <c r="F272" s="626">
        <f>SUM(F267:F271)</f>
      </c>
      <c r="G272" s="626">
        <f t="shared" si="363"/>
      </c>
      <c r="H272" s="628">
        <f t="shared" si="528"/>
      </c>
      <c r="I272" s="629">
        <f t="shared" si="15"/>
      </c>
      <c r="J272" s="630">
        <f t="shared" si="390"/>
      </c>
      <c r="K272" s="631">
        <f t="shared" si="450"/>
      </c>
      <c r="L272" s="628">
        <f t="shared" si="206"/>
      </c>
      <c r="M272" s="628">
        <f t="shared" si="291"/>
      </c>
      <c r="N272" s="632">
        <f t="shared" si="75"/>
      </c>
      <c r="O272" s="632">
        <f t="shared" si="115"/>
      </c>
      <c r="P272" s="632">
        <f t="shared" si="172"/>
      </c>
      <c r="Q272" s="632">
        <f t="shared" si="561"/>
      </c>
      <c r="R272" s="628">
        <f t="shared" si="41"/>
      </c>
      <c r="S272" s="630">
        <f t="shared" si="416"/>
      </c>
      <c r="T272" s="632">
        <f t="shared" si="492"/>
      </c>
      <c r="U272" s="632">
        <f t="shared" si="248"/>
      </c>
      <c r="V272" s="632">
        <f t="shared" si="333"/>
      </c>
      <c r="W272" s="632">
        <f t="shared" si="145"/>
      </c>
      <c r="X272" s="632"/>
      <c r="Y272" s="698"/>
      <c r="Z272" s="626">
        <f>SUM(Z267:Z271)</f>
      </c>
      <c r="AA272" s="626">
        <f>SUM(AA267:AA271)</f>
      </c>
      <c r="AB272" s="626">
        <f>SUM(AB267:AB271)</f>
      </c>
      <c r="AC272" s="626">
        <f>SUM(AC267:AC271)</f>
      </c>
      <c r="AD272" s="626">
        <f>SUM(AD267:AD271)</f>
      </c>
      <c r="AE272" s="626">
        <f>SUM(AE267:AE271)</f>
      </c>
      <c r="AF272" s="626">
        <f>SUM(AF267:AF271)</f>
      </c>
      <c r="AG272" s="626">
        <f>SUM(AG267:AG271)</f>
      </c>
      <c r="AH272" s="626">
        <f>SUM(AH267:AH271)</f>
      </c>
      <c r="AI272" s="626">
        <f>SUM(AI267:AI271)</f>
      </c>
    </row>
    <row r="273">
      <c r="A273" s="612"/>
      <c r="B273" s="678" t="s">
        <v>337</v>
      </c>
      <c r="C273" s="678"/>
      <c r="D273" s="679">
        <f>SUM(D272+D266+D260)</f>
      </c>
      <c r="E273" s="688">
        <f>SUM(E272+E266+E260)</f>
      </c>
      <c r="F273" s="679">
        <f>SUM(F272+F266+F260)</f>
      </c>
      <c r="G273" s="679">
        <f t="shared" si="363"/>
      </c>
      <c r="H273" s="680">
        <f t="shared" si="528"/>
      </c>
      <c r="I273" s="681">
        <f t="shared" si="15"/>
      </c>
      <c r="J273" s="682">
        <f t="shared" si="390"/>
      </c>
      <c r="K273" s="683">
        <f t="shared" si="450"/>
      </c>
      <c r="L273" s="683">
        <f t="shared" si="206"/>
      </c>
      <c r="M273" s="684">
        <f t="shared" si="291"/>
      </c>
      <c r="N273" s="685">
        <f t="shared" si="75"/>
      </c>
      <c r="O273" s="685">
        <f t="shared" si="115"/>
      </c>
      <c r="P273" s="685">
        <f t="shared" si="172"/>
      </c>
      <c r="Q273" s="685">
        <f t="shared" si="561"/>
      </c>
      <c r="R273" s="684">
        <f t="shared" si="41"/>
      </c>
      <c r="S273" s="686">
        <f t="shared" si="416"/>
      </c>
      <c r="T273" s="687">
        <f t="shared" si="492"/>
      </c>
      <c r="U273" s="687">
        <f t="shared" si="248"/>
      </c>
      <c r="V273" s="687">
        <f t="shared" si="333"/>
      </c>
      <c r="W273" s="687">
        <f t="shared" si="145"/>
      </c>
      <c r="X273" s="687"/>
      <c r="Y273" s="658"/>
      <c r="Z273" s="679">
        <f>SUM(Z272+Z266+Z260)</f>
      </c>
      <c r="AA273" s="679">
        <f>SUM(AA272+AA266+AA260)</f>
      </c>
      <c r="AB273" s="679">
        <f>SUM(AB272+AB266+AB260)</f>
      </c>
      <c r="AC273" s="679">
        <f>SUM(AC272+AC266+AC260)</f>
      </c>
      <c r="AD273" s="679">
        <f>SUM(AD272+AD266+AD260)</f>
      </c>
      <c r="AE273" s="679">
        <f>SUM(AE272+AE266+AE260)</f>
      </c>
      <c r="AF273" s="679">
        <f>SUM(AF272+AF266+AF260)</f>
      </c>
      <c r="AG273" s="679">
        <f>SUM(AG272+AG266+AG260)</f>
      </c>
      <c r="AH273" s="679">
        <f>SUM(AH272+AH266+AH260)</f>
      </c>
      <c r="AI273" s="679">
        <f>SUM(AI272+AI266+AI260)</f>
      </c>
    </row>
    <row r="274">
      <c r="A274" s="603" t="s">
        <v>291</v>
      </c>
      <c r="B274" s="603" t="s">
        <v>292</v>
      </c>
      <c r="C274" s="707" t="s">
        <v>293</v>
      </c>
      <c r="D274" s="689" t="s">
        <v>294</v>
      </c>
      <c r="E274" s="690" t="s">
        <v>295</v>
      </c>
      <c r="F274" s="662" t="s">
        <v>296</v>
      </c>
      <c r="G274" s="662" t="s">
        <v>349</v>
      </c>
      <c r="H274" s="595" t="s">
        <v>297</v>
      </c>
      <c r="I274" s="595" t="s">
        <v>298</v>
      </c>
      <c r="J274" s="595" t="s">
        <v>299</v>
      </c>
      <c r="K274" s="597" t="s">
        <v>300</v>
      </c>
      <c r="L274" s="597" t="s">
        <v>301</v>
      </c>
      <c r="M274" s="597" t="s">
        <v>302</v>
      </c>
      <c r="N274" s="597" t="s">
        <v>303</v>
      </c>
      <c r="O274" s="597" t="s">
        <v>304</v>
      </c>
      <c r="P274" s="597" t="s">
        <v>305</v>
      </c>
      <c r="Q274" s="597" t="s">
        <v>306</v>
      </c>
      <c r="R274" s="597" t="s">
        <v>307</v>
      </c>
      <c r="S274" s="597" t="s">
        <v>308</v>
      </c>
      <c r="T274" s="606" t="s">
        <v>309</v>
      </c>
      <c r="U274" s="606" t="s">
        <v>310</v>
      </c>
      <c r="V274" s="606" t="s">
        <v>311</v>
      </c>
      <c r="W274" s="606" t="s">
        <v>312</v>
      </c>
      <c r="X274" s="607" t="s">
        <v>313</v>
      </c>
      <c r="Y274" s="607" t="s">
        <v>314</v>
      </c>
      <c r="Z274" s="651" t="s">
        <v>315</v>
      </c>
      <c r="AA274" s="651" t="s">
        <v>316</v>
      </c>
      <c r="AB274" s="651" t="s">
        <v>317</v>
      </c>
      <c r="AC274" s="609" t="s">
        <v>318</v>
      </c>
      <c r="AD274" s="609" t="s">
        <v>319</v>
      </c>
      <c r="AE274" s="652" t="s">
        <v>320</v>
      </c>
      <c r="AF274" s="609" t="s">
        <v>321</v>
      </c>
      <c r="AG274" s="609" t="s">
        <v>322</v>
      </c>
      <c r="AH274" s="611" t="s">
        <v>323</v>
      </c>
      <c r="AI274" s="609" t="s">
        <v>324</v>
      </c>
    </row>
    <row r="275">
      <c r="A275" s="708">
        <v>46195</v>
      </c>
      <c r="B275" s="709" t="s">
        <v>333</v>
      </c>
      <c r="C275" s="710" t="s">
        <v>338</v>
      </c>
      <c r="D275" s="711">
        <v>839.4300000000001</v>
      </c>
      <c r="E275" s="692">
        <v>3</v>
      </c>
      <c r="F275" s="665">
        <v>684</v>
      </c>
      <c r="G275" s="693">
        <f t="shared" ref="G275:G293" si="364">D275/AD275</f>
      </c>
      <c r="H275" s="617">
        <f t="shared" ref="H275:H293" si="529">F275/E275</f>
      </c>
      <c r="I275" s="618">
        <f t="shared" ref="I275:I293" si="16">D275/E275</f>
      </c>
      <c r="J275" s="619">
        <f t="shared" ref="J275:J293" si="391">F275/D275</f>
      </c>
      <c r="K275" s="620">
        <f t="shared" ref="K275:K281" si="451">D275/AB275</f>
      </c>
      <c r="L275" s="617">
        <f t="shared" ref="L275:L281" si="207">D275/AC275</f>
      </c>
      <c r="M275" s="617">
        <f t="shared" ref="M275:M281" si="292">D275/AD275</f>
      </c>
      <c r="N275" s="621">
        <f t="shared" ref="N275:N281" si="76">AC275/AB275</f>
      </c>
      <c r="O275" s="621">
        <f t="shared" ref="O275:O281" si="116">AD275/AC275</f>
      </c>
      <c r="P275" s="621">
        <f t="shared" ref="P275:P293" si="173">AA275/Z275</f>
      </c>
      <c r="Q275" s="621">
        <f t="shared" ref="Q275:Q281" si="562">AD275/AA275</f>
      </c>
      <c r="R275" s="617">
        <f t="shared" ref="R275:R293" si="42">D275/Z275*1000</f>
      </c>
      <c r="S275" s="619">
        <f t="shared" ref="S275:S293" si="417">D275/AA275</f>
      </c>
      <c r="T275" s="621">
        <f t="shared" ref="T275:T281" si="493">AE275/AB275</f>
      </c>
      <c r="U275" s="621">
        <f t="shared" ref="U275:U281" si="249">AF275/AB275</f>
      </c>
      <c r="V275" s="621">
        <f t="shared" ref="V275:V281" si="334">AG275/AB275</f>
      </c>
      <c r="W275" s="621">
        <f t="shared" ref="W275:W293" si="146">AH275/AB275</f>
      </c>
      <c r="X275" s="653" t="s">
        <v>327</v>
      </c>
      <c r="Y275" s="613" t="s">
        <v>347</v>
      </c>
      <c r="Z275" s="655">
        <v>90845</v>
      </c>
      <c r="AA275" s="655">
        <v>5480</v>
      </c>
      <c r="AB275" s="655">
        <v>76378</v>
      </c>
      <c r="AC275" s="655">
        <v>450</v>
      </c>
      <c r="AD275" s="622">
        <v>3</v>
      </c>
      <c r="AE275" s="655">
        <v>13859</v>
      </c>
      <c r="AF275" s="622">
        <v>213</v>
      </c>
      <c r="AG275" s="622">
        <v>139</v>
      </c>
      <c r="AH275" s="622">
        <v>10</v>
      </c>
      <c r="AI275" s="623">
        <v>0</v>
      </c>
    </row>
    <row r="276">
      <c r="A276" s="708"/>
      <c r="B276" s="709" t="s">
        <v>333</v>
      </c>
      <c r="C276" s="710" t="s">
        <v>340</v>
      </c>
      <c r="D276" s="711">
        <v>1252.0230000000001</v>
      </c>
      <c r="E276" s="692">
        <v>4</v>
      </c>
      <c r="F276" s="665">
        <v>3237.6000000000004</v>
      </c>
      <c r="G276" s="693">
        <f t="shared" si="364"/>
      </c>
      <c r="H276" s="617">
        <f t="shared" si="529"/>
      </c>
      <c r="I276" s="618">
        <f t="shared" si="16"/>
      </c>
      <c r="J276" s="619">
        <f t="shared" si="391"/>
      </c>
      <c r="K276" s="620">
        <f t="shared" si="451"/>
      </c>
      <c r="L276" s="617">
        <f t="shared" si="207"/>
      </c>
      <c r="M276" s="617">
        <f t="shared" si="292"/>
      </c>
      <c r="N276" s="621">
        <f t="shared" si="76"/>
      </c>
      <c r="O276" s="621">
        <f t="shared" si="116"/>
      </c>
      <c r="P276" s="621">
        <f t="shared" si="173"/>
      </c>
      <c r="Q276" s="621">
        <f t="shared" si="562"/>
      </c>
      <c r="R276" s="617">
        <f t="shared" si="42"/>
      </c>
      <c r="S276" s="619">
        <f t="shared" si="417"/>
      </c>
      <c r="T276" s="621">
        <f t="shared" si="493"/>
      </c>
      <c r="U276" s="621">
        <f t="shared" si="249"/>
      </c>
      <c r="V276" s="621">
        <f t="shared" si="334"/>
      </c>
      <c r="W276" s="621">
        <f t="shared" si="146"/>
      </c>
      <c r="X276" s="653" t="s">
        <v>327</v>
      </c>
      <c r="Y276" s="613" t="s">
        <v>347</v>
      </c>
      <c r="Z276" s="622">
        <v>108129</v>
      </c>
      <c r="AA276" s="655">
        <v>6545</v>
      </c>
      <c r="AB276" s="655">
        <v>93361</v>
      </c>
      <c r="AC276" s="655">
        <v>543</v>
      </c>
      <c r="AD276" s="622">
        <v>3</v>
      </c>
      <c r="AE276" s="655">
        <v>15379</v>
      </c>
      <c r="AF276" s="622">
        <v>224</v>
      </c>
      <c r="AG276" s="622">
        <v>189</v>
      </c>
      <c r="AH276" s="622">
        <v>19</v>
      </c>
      <c r="AI276" s="623">
        <v>1</v>
      </c>
    </row>
    <row r="277">
      <c r="A277" s="708"/>
      <c r="B277" s="709" t="s">
        <v>333</v>
      </c>
      <c r="C277" s="712" t="s">
        <v>341</v>
      </c>
      <c r="D277" s="711">
        <v>1359.507</v>
      </c>
      <c r="E277" s="692">
        <v>6</v>
      </c>
      <c r="F277" s="665">
        <v>1862.3000000000002</v>
      </c>
      <c r="G277" s="693">
        <f t="shared" si="364"/>
      </c>
      <c r="H277" s="617">
        <f t="shared" si="529"/>
      </c>
      <c r="I277" s="618">
        <f t="shared" si="16"/>
      </c>
      <c r="J277" s="619">
        <f t="shared" si="391"/>
      </c>
      <c r="K277" s="620">
        <f t="shared" si="451"/>
      </c>
      <c r="L277" s="617">
        <f t="shared" si="207"/>
      </c>
      <c r="M277" s="617">
        <f t="shared" si="292"/>
      </c>
      <c r="N277" s="621">
        <f t="shared" si="76"/>
      </c>
      <c r="O277" s="621">
        <f t="shared" si="116"/>
      </c>
      <c r="P277" s="621">
        <f t="shared" si="173"/>
      </c>
      <c r="Q277" s="621">
        <f t="shared" si="562"/>
      </c>
      <c r="R277" s="617">
        <f t="shared" si="42"/>
      </c>
      <c r="S277" s="619">
        <f t="shared" si="417"/>
      </c>
      <c r="T277" s="621">
        <f t="shared" si="493"/>
      </c>
      <c r="U277" s="621">
        <f t="shared" si="249"/>
      </c>
      <c r="V277" s="621">
        <f t="shared" si="334"/>
      </c>
      <c r="W277" s="621">
        <f t="shared" si="146"/>
      </c>
      <c r="X277" s="693" t="s">
        <v>327</v>
      </c>
      <c r="Y277" s="613" t="s">
        <v>347</v>
      </c>
      <c r="Z277" s="622">
        <v>122353</v>
      </c>
      <c r="AA277" s="622">
        <v>9265</v>
      </c>
      <c r="AB277" s="622">
        <v>110574</v>
      </c>
      <c r="AC277" s="622">
        <v>652</v>
      </c>
      <c r="AD277" s="622">
        <v>5</v>
      </c>
      <c r="AE277" s="622">
        <v>17050</v>
      </c>
      <c r="AF277" s="622">
        <v>281</v>
      </c>
      <c r="AG277" s="622">
        <v>191</v>
      </c>
      <c r="AH277" s="622">
        <v>27</v>
      </c>
      <c r="AI277" s="623">
        <v>1</v>
      </c>
    </row>
    <row r="278">
      <c r="A278" s="708"/>
      <c r="B278" s="709" t="s">
        <v>333</v>
      </c>
      <c r="C278" s="713" t="s">
        <v>342</v>
      </c>
      <c r="D278" s="714">
        <v>1539.119</v>
      </c>
      <c r="E278" s="667">
        <v>6</v>
      </c>
      <c r="F278" s="647">
        <v>2747.999999999999</v>
      </c>
      <c r="G278" s="693">
        <f t="shared" si="364"/>
      </c>
      <c r="H278" s="617">
        <f t="shared" si="529"/>
      </c>
      <c r="I278" s="618">
        <f t="shared" si="16"/>
      </c>
      <c r="J278" s="619">
        <f t="shared" si="391"/>
      </c>
      <c r="K278" s="620">
        <f t="shared" si="451"/>
      </c>
      <c r="L278" s="617">
        <f t="shared" si="207"/>
      </c>
      <c r="M278" s="617">
        <f t="shared" si="292"/>
      </c>
      <c r="N278" s="621">
        <f t="shared" si="76"/>
      </c>
      <c r="O278" s="621">
        <f t="shared" si="116"/>
      </c>
      <c r="P278" s="621">
        <f t="shared" si="173"/>
      </c>
      <c r="Q278" s="621">
        <f t="shared" si="562"/>
      </c>
      <c r="R278" s="617">
        <f t="shared" si="42"/>
      </c>
      <c r="S278" s="619">
        <f t="shared" si="417"/>
      </c>
      <c r="T278" s="621">
        <f t="shared" si="493"/>
      </c>
      <c r="U278" s="621">
        <f t="shared" si="249"/>
      </c>
      <c r="V278" s="621">
        <f t="shared" si="334"/>
      </c>
      <c r="W278" s="621">
        <f t="shared" si="146"/>
      </c>
      <c r="X278" s="696" t="s">
        <v>327</v>
      </c>
      <c r="Y278" s="613" t="s">
        <v>347</v>
      </c>
      <c r="Z278" s="622">
        <v>159431</v>
      </c>
      <c r="AA278" s="622">
        <v>11417</v>
      </c>
      <c r="AB278" s="622">
        <v>141231</v>
      </c>
      <c r="AC278" s="622">
        <v>708</v>
      </c>
      <c r="AD278" s="622">
        <v>6</v>
      </c>
      <c r="AE278" s="622">
        <v>17800</v>
      </c>
      <c r="AF278" s="622">
        <v>243</v>
      </c>
      <c r="AG278" s="622">
        <v>273</v>
      </c>
      <c r="AH278" s="622">
        <v>23</v>
      </c>
      <c r="AI278" s="623">
        <v>0</v>
      </c>
    </row>
    <row r="279">
      <c r="A279" s="708"/>
      <c r="B279" s="709" t="s">
        <v>333</v>
      </c>
      <c r="C279" s="713" t="s">
        <v>343</v>
      </c>
      <c r="D279" s="714">
        <v>1863.8449999999998</v>
      </c>
      <c r="E279" s="667">
        <v>9</v>
      </c>
      <c r="F279" s="647">
        <v>2503.5</v>
      </c>
      <c r="G279" s="693">
        <f t="shared" si="364"/>
      </c>
      <c r="H279" s="617">
        <f t="shared" si="529"/>
      </c>
      <c r="I279" s="618">
        <f t="shared" si="16"/>
      </c>
      <c r="J279" s="619">
        <f t="shared" si="391"/>
      </c>
      <c r="K279" s="620">
        <f t="shared" si="451"/>
      </c>
      <c r="L279" s="617">
        <f t="shared" si="207"/>
      </c>
      <c r="M279" s="617">
        <f t="shared" si="292"/>
      </c>
      <c r="N279" s="621">
        <f t="shared" si="76"/>
      </c>
      <c r="O279" s="621">
        <f t="shared" si="116"/>
      </c>
      <c r="P279" s="621">
        <f t="shared" si="173"/>
      </c>
      <c r="Q279" s="621">
        <f t="shared" si="562"/>
      </c>
      <c r="R279" s="617">
        <f t="shared" si="42"/>
      </c>
      <c r="S279" s="619">
        <f t="shared" si="417"/>
      </c>
      <c r="T279" s="621">
        <f t="shared" si="493"/>
      </c>
      <c r="U279" s="621">
        <f t="shared" si="249"/>
      </c>
      <c r="V279" s="621">
        <f t="shared" si="334"/>
      </c>
      <c r="W279" s="621">
        <f t="shared" si="146"/>
      </c>
      <c r="X279" s="696" t="s">
        <v>327</v>
      </c>
      <c r="Y279" s="613" t="s">
        <v>347</v>
      </c>
      <c r="Z279" s="622">
        <v>236329</v>
      </c>
      <c r="AA279" s="622">
        <v>13234</v>
      </c>
      <c r="AB279" s="622">
        <v>181916</v>
      </c>
      <c r="AC279" s="622">
        <v>779</v>
      </c>
      <c r="AD279" s="622">
        <v>6</v>
      </c>
      <c r="AE279" s="622">
        <v>16756</v>
      </c>
      <c r="AF279" s="622">
        <v>225</v>
      </c>
      <c r="AG279" s="622">
        <v>227</v>
      </c>
      <c r="AH279" s="622">
        <v>33</v>
      </c>
      <c r="AI279" s="623">
        <v>2</v>
      </c>
    </row>
    <row r="280">
      <c r="A280" s="708"/>
      <c r="B280" s="715" t="s">
        <v>332</v>
      </c>
      <c r="C280" s="715"/>
      <c r="D280" s="716">
        <f>SUM(D275:D279)</f>
      </c>
      <c r="E280" s="627">
        <f>SUM(E275:E279)</f>
      </c>
      <c r="F280" s="626">
        <f>SUM(F275:F279)</f>
      </c>
      <c r="G280" s="626">
        <f t="shared" si="364"/>
      </c>
      <c r="H280" s="628">
        <f t="shared" si="529"/>
      </c>
      <c r="I280" s="629">
        <f t="shared" si="16"/>
      </c>
      <c r="J280" s="630">
        <f t="shared" si="391"/>
      </c>
      <c r="K280" s="631">
        <f t="shared" si="451"/>
      </c>
      <c r="L280" s="628">
        <f t="shared" si="207"/>
      </c>
      <c r="M280" s="628">
        <f t="shared" si="292"/>
      </c>
      <c r="N280" s="632">
        <f t="shared" si="76"/>
      </c>
      <c r="O280" s="632">
        <f t="shared" si="116"/>
      </c>
      <c r="P280" s="632">
        <f t="shared" si="173"/>
      </c>
      <c r="Q280" s="632">
        <f t="shared" si="562"/>
      </c>
      <c r="R280" s="628">
        <f t="shared" si="42"/>
      </c>
      <c r="S280" s="630">
        <f t="shared" si="417"/>
      </c>
      <c r="T280" s="632">
        <f t="shared" si="493"/>
      </c>
      <c r="U280" s="632">
        <f t="shared" si="249"/>
      </c>
      <c r="V280" s="632">
        <f t="shared" si="334"/>
      </c>
      <c r="W280" s="632">
        <f t="shared" si="146"/>
      </c>
      <c r="X280" s="632"/>
      <c r="Y280" s="698"/>
      <c r="Z280" s="626">
        <f>SUM(Z275:Z279)</f>
      </c>
      <c r="AA280" s="626">
        <f>SUM(AA275:AA279)</f>
      </c>
      <c r="AB280" s="626">
        <f>SUM(AB275:AB279)</f>
      </c>
      <c r="AC280" s="626">
        <f>SUM(AC275:AC279)</f>
      </c>
      <c r="AD280" s="626">
        <f>SUM(AD275:AD279)</f>
      </c>
      <c r="AE280" s="626">
        <f>SUM(AE275:AE279)</f>
      </c>
      <c r="AF280" s="626">
        <f>SUM(AF275:AF279)</f>
      </c>
      <c r="AG280" s="626">
        <f>SUM(AG275:AG279)</f>
      </c>
      <c r="AH280" s="626">
        <f>SUM(AH275:AH279)</f>
      </c>
      <c r="AI280" s="626">
        <f>SUM(AI275:AI279)</f>
      </c>
    </row>
    <row r="281">
      <c r="A281" s="612"/>
      <c r="B281" s="717" t="s">
        <v>354</v>
      </c>
      <c r="C281" s="718" t="s">
        <v>344</v>
      </c>
      <c r="D281" s="691">
        <v>1280.411</v>
      </c>
      <c r="E281" s="692">
        <v>3</v>
      </c>
      <c r="F281" s="665">
        <v>652</v>
      </c>
      <c r="G281" s="693">
        <f t="shared" si="364"/>
      </c>
      <c r="H281" s="617">
        <f t="shared" si="529"/>
      </c>
      <c r="I281" s="618">
        <f t="shared" si="16"/>
      </c>
      <c r="J281" s="619">
        <f t="shared" si="391"/>
      </c>
      <c r="K281" s="620">
        <f t="shared" si="451"/>
      </c>
      <c r="L281" s="617">
        <f t="shared" si="207"/>
      </c>
      <c r="M281" s="617">
        <f t="shared" si="292"/>
      </c>
      <c r="N281" s="621">
        <f t="shared" si="76"/>
      </c>
      <c r="O281" s="621">
        <f t="shared" si="116"/>
      </c>
      <c r="P281" s="621">
        <f t="shared" si="173"/>
      </c>
      <c r="Q281" s="621">
        <f t="shared" si="562"/>
      </c>
      <c r="R281" s="617">
        <f t="shared" si="42"/>
      </c>
      <c r="S281" s="619">
        <f t="shared" si="417"/>
      </c>
      <c r="T281" s="621">
        <f t="shared" si="493"/>
      </c>
      <c r="U281" s="621">
        <f t="shared" si="249"/>
      </c>
      <c r="V281" s="621">
        <f t="shared" si="334"/>
      </c>
      <c r="W281" s="621">
        <f t="shared" si="146"/>
      </c>
      <c r="X281" s="696" t="s">
        <v>327</v>
      </c>
      <c r="Y281" s="613" t="s">
        <v>347</v>
      </c>
      <c r="Z281" s="655">
        <v>164005</v>
      </c>
      <c r="AA281" s="655">
        <v>9344</v>
      </c>
      <c r="AB281" s="655">
        <v>112753</v>
      </c>
      <c r="AC281" s="622">
        <v>641</v>
      </c>
      <c r="AD281" s="622">
        <v>3</v>
      </c>
      <c r="AE281" s="655">
        <v>11587</v>
      </c>
      <c r="AF281" s="622">
        <v>178</v>
      </c>
      <c r="AG281" s="622">
        <v>170</v>
      </c>
      <c r="AH281" s="622">
        <v>17</v>
      </c>
      <c r="AI281" s="623">
        <v>0</v>
      </c>
    </row>
    <row r="282">
      <c r="A282" s="612"/>
      <c r="B282" s="696" t="s">
        <v>354</v>
      </c>
      <c r="C282" s="699" t="s">
        <v>345</v>
      </c>
      <c r="D282" s="691">
        <v>1348.444</v>
      </c>
      <c r="E282" s="692">
        <v>0</v>
      </c>
      <c r="F282" s="665">
        <v>0</v>
      </c>
      <c r="G282" s="693">
        <f t="shared" si="364"/>
      </c>
      <c r="H282" s="617">
        <f t="shared" si="529"/>
      </c>
      <c r="I282" s="618">
        <f t="shared" si="16"/>
      </c>
      <c r="J282" s="619">
        <f t="shared" si="391"/>
      </c>
      <c r="K282" s="620">
        <f>D282/AC282</f>
      </c>
      <c r="L282" s="617">
        <f>D282/AD282</f>
      </c>
      <c r="M282" s="617">
        <f>D282/AE282</f>
      </c>
      <c r="N282" s="621">
        <f>AD282/AC282</f>
      </c>
      <c r="O282" s="621">
        <f>AE282/AD282</f>
      </c>
      <c r="P282" s="621">
        <f t="shared" si="173"/>
      </c>
      <c r="Q282" s="621">
        <f>AE282/AA282</f>
      </c>
      <c r="R282" s="617">
        <f t="shared" si="42"/>
      </c>
      <c r="S282" s="619">
        <f t="shared" si="417"/>
      </c>
      <c r="T282" s="621">
        <f>AF282/AC282</f>
      </c>
      <c r="U282" s="621">
        <f>AG282/AC282</f>
      </c>
      <c r="V282" s="621">
        <f>AH282/AC282</f>
      </c>
      <c r="W282" s="621">
        <f t="shared" si="146"/>
      </c>
      <c r="X282" s="696" t="s">
        <v>327</v>
      </c>
      <c r="Y282" s="613" t="s">
        <v>347</v>
      </c>
      <c r="Z282" s="622">
        <v>170725</v>
      </c>
      <c r="AA282" s="622">
        <v>9197</v>
      </c>
      <c r="AB282" s="700">
        <v>115135</v>
      </c>
      <c r="AC282" s="701">
        <v>511</v>
      </c>
      <c r="AD282" s="701">
        <v>0</v>
      </c>
      <c r="AE282" s="701">
        <v>9978</v>
      </c>
      <c r="AF282" s="701">
        <v>137</v>
      </c>
      <c r="AG282" s="701">
        <v>136</v>
      </c>
      <c r="AH282" s="701">
        <v>12</v>
      </c>
      <c r="AI282" s="623">
        <v>0</v>
      </c>
    </row>
    <row r="283">
      <c r="A283" s="612"/>
      <c r="B283" s="696" t="s">
        <v>354</v>
      </c>
      <c r="C283" s="699" t="s">
        <v>346</v>
      </c>
      <c r="D283" s="702">
        <v>1322.353</v>
      </c>
      <c r="E283" s="692">
        <v>4</v>
      </c>
      <c r="F283" s="665">
        <v>1356.6000000000004</v>
      </c>
      <c r="G283" s="693">
        <f t="shared" si="364"/>
      </c>
      <c r="H283" s="617">
        <f t="shared" si="529"/>
      </c>
      <c r="I283" s="618">
        <f t="shared" si="16"/>
      </c>
      <c r="J283" s="619">
        <f t="shared" si="391"/>
      </c>
      <c r="K283" s="620">
        <f t="shared" ref="K283:K293" si="452">D283/AB283</f>
      </c>
      <c r="L283" s="617">
        <f t="shared" ref="L283:L293" si="208">D283/AC283</f>
      </c>
      <c r="M283" s="617">
        <f t="shared" ref="M283:M293" si="293">D283/AD283</f>
      </c>
      <c r="N283" s="621">
        <f t="shared" ref="N283:N293" si="77">AC283/AB283</f>
      </c>
      <c r="O283" s="621">
        <f t="shared" ref="O283:O293" si="117">AD283/AC283</f>
      </c>
      <c r="P283" s="621">
        <f t="shared" si="173"/>
      </c>
      <c r="Q283" s="621">
        <f t="shared" ref="Q283:Q293" si="563">AD283/AA283</f>
      </c>
      <c r="R283" s="617">
        <f t="shared" si="42"/>
      </c>
      <c r="S283" s="619">
        <f t="shared" si="417"/>
      </c>
      <c r="T283" s="621">
        <f t="shared" ref="T283:T293" si="494">AE283/AB283</f>
      </c>
      <c r="U283" s="621">
        <f t="shared" ref="U283:U293" si="250">AF283/AB283</f>
      </c>
      <c r="V283" s="621">
        <f t="shared" ref="V283:V293" si="335">AG283/AB283</f>
      </c>
      <c r="W283" s="621">
        <f t="shared" si="146"/>
      </c>
      <c r="X283" s="696" t="s">
        <v>327</v>
      </c>
      <c r="Y283" s="613" t="s">
        <v>347</v>
      </c>
      <c r="Z283" s="622">
        <v>153888</v>
      </c>
      <c r="AA283" s="622">
        <v>9729</v>
      </c>
      <c r="AB283" s="622">
        <v>105540</v>
      </c>
      <c r="AC283" s="676">
        <v>489</v>
      </c>
      <c r="AD283" s="676">
        <v>3</v>
      </c>
      <c r="AE283" s="676">
        <v>9609</v>
      </c>
      <c r="AF283" s="676">
        <v>128</v>
      </c>
      <c r="AG283" s="676">
        <v>141</v>
      </c>
      <c r="AH283" s="676">
        <v>14</v>
      </c>
      <c r="AI283" s="623">
        <v>1</v>
      </c>
    </row>
    <row r="284">
      <c r="A284" s="612"/>
      <c r="B284" s="696" t="s">
        <v>354</v>
      </c>
      <c r="C284" s="697" t="s">
        <v>326</v>
      </c>
      <c r="D284" s="666">
        <v>1670.999</v>
      </c>
      <c r="E284" s="667">
        <v>2</v>
      </c>
      <c r="F284" s="647">
        <v>392</v>
      </c>
      <c r="G284" s="693">
        <f t="shared" si="364"/>
      </c>
      <c r="H284" s="617">
        <f t="shared" si="529"/>
      </c>
      <c r="I284" s="618">
        <f t="shared" si="16"/>
      </c>
      <c r="J284" s="619">
        <f t="shared" si="391"/>
      </c>
      <c r="K284" s="620">
        <f t="shared" si="452"/>
      </c>
      <c r="L284" s="617">
        <f t="shared" si="208"/>
      </c>
      <c r="M284" s="617">
        <f t="shared" si="293"/>
      </c>
      <c r="N284" s="621">
        <f t="shared" si="77"/>
      </c>
      <c r="O284" s="621">
        <f t="shared" si="117"/>
      </c>
      <c r="P284" s="621">
        <f t="shared" si="173"/>
      </c>
      <c r="Q284" s="621">
        <f t="shared" si="563"/>
      </c>
      <c r="R284" s="617">
        <f t="shared" si="42"/>
      </c>
      <c r="S284" s="619">
        <f t="shared" si="417"/>
      </c>
      <c r="T284" s="621">
        <f t="shared" si="494"/>
      </c>
      <c r="U284" s="621">
        <f t="shared" si="250"/>
      </c>
      <c r="V284" s="621">
        <f t="shared" si="335"/>
      </c>
      <c r="W284" s="621">
        <f t="shared" si="146"/>
      </c>
      <c r="X284" s="696" t="s">
        <v>327</v>
      </c>
      <c r="Y284" s="706" t="s">
        <v>356</v>
      </c>
      <c r="Z284" s="622">
        <v>179311</v>
      </c>
      <c r="AA284" s="622">
        <v>12511</v>
      </c>
      <c r="AB284" s="622">
        <v>127754</v>
      </c>
      <c r="AC284" s="622">
        <v>533</v>
      </c>
      <c r="AD284" s="622">
        <v>3</v>
      </c>
      <c r="AE284" s="622">
        <v>11934</v>
      </c>
      <c r="AF284" s="622">
        <v>159</v>
      </c>
      <c r="AG284" s="622">
        <v>175</v>
      </c>
      <c r="AH284" s="622">
        <v>14</v>
      </c>
      <c r="AI284" s="623">
        <v>0</v>
      </c>
    </row>
    <row r="285">
      <c r="A285" s="612"/>
      <c r="B285" s="696" t="s">
        <v>354</v>
      </c>
      <c r="C285" s="697" t="s">
        <v>329</v>
      </c>
      <c r="D285" s="669">
        <v>2040.8990000000001</v>
      </c>
      <c r="E285" s="667">
        <v>7</v>
      </c>
      <c r="F285" s="647">
        <v>2997.5999999999985</v>
      </c>
      <c r="G285" s="693">
        <f t="shared" si="364"/>
      </c>
      <c r="H285" s="617">
        <f t="shared" si="529"/>
      </c>
      <c r="I285" s="618">
        <f t="shared" si="16"/>
      </c>
      <c r="J285" s="619">
        <f t="shared" si="391"/>
      </c>
      <c r="K285" s="620">
        <f t="shared" si="452"/>
      </c>
      <c r="L285" s="617">
        <f t="shared" si="208"/>
      </c>
      <c r="M285" s="617">
        <f t="shared" si="293"/>
      </c>
      <c r="N285" s="621">
        <f t="shared" si="77"/>
      </c>
      <c r="O285" s="621">
        <f t="shared" si="117"/>
      </c>
      <c r="P285" s="621">
        <f t="shared" si="173"/>
      </c>
      <c r="Q285" s="621">
        <f t="shared" si="563"/>
      </c>
      <c r="R285" s="617">
        <f t="shared" si="42"/>
      </c>
      <c r="S285" s="619">
        <f t="shared" si="417"/>
      </c>
      <c r="T285" s="621">
        <f t="shared" si="494"/>
      </c>
      <c r="U285" s="621">
        <f t="shared" si="250"/>
      </c>
      <c r="V285" s="621">
        <f t="shared" si="335"/>
      </c>
      <c r="W285" s="621">
        <f t="shared" si="146"/>
      </c>
      <c r="X285" s="696" t="s">
        <v>327</v>
      </c>
      <c r="Y285" s="706" t="s">
        <v>356</v>
      </c>
      <c r="Z285" s="622">
        <v>228138</v>
      </c>
      <c r="AA285" s="622">
        <v>14621</v>
      </c>
      <c r="AB285" s="622">
        <v>184668</v>
      </c>
      <c r="AC285" s="622">
        <v>651</v>
      </c>
      <c r="AD285" s="622">
        <v>2</v>
      </c>
      <c r="AE285" s="622">
        <v>15510</v>
      </c>
      <c r="AF285" s="622">
        <v>179</v>
      </c>
      <c r="AG285" s="622">
        <v>270</v>
      </c>
      <c r="AH285" s="622">
        <v>8</v>
      </c>
      <c r="AI285" s="623">
        <v>1</v>
      </c>
    </row>
    <row r="286">
      <c r="A286" s="612"/>
      <c r="B286" s="625" t="s">
        <v>332</v>
      </c>
      <c r="C286" s="625"/>
      <c r="D286" s="626">
        <f>SUM(D281:D285)</f>
      </c>
      <c r="E286" s="627">
        <f>SUM(E281:E285)</f>
      </c>
      <c r="F286" s="626">
        <f>SUM(F281:F285)</f>
      </c>
      <c r="G286" s="626">
        <f t="shared" si="364"/>
      </c>
      <c r="H286" s="628">
        <f t="shared" si="529"/>
      </c>
      <c r="I286" s="629">
        <f t="shared" si="16"/>
      </c>
      <c r="J286" s="630">
        <f t="shared" si="391"/>
      </c>
      <c r="K286" s="631">
        <f t="shared" si="452"/>
      </c>
      <c r="L286" s="628">
        <f t="shared" si="208"/>
      </c>
      <c r="M286" s="628">
        <f t="shared" si="293"/>
      </c>
      <c r="N286" s="632">
        <f t="shared" si="77"/>
      </c>
      <c r="O286" s="632">
        <f t="shared" si="117"/>
      </c>
      <c r="P286" s="632">
        <f t="shared" si="173"/>
      </c>
      <c r="Q286" s="632">
        <f t="shared" si="563"/>
      </c>
      <c r="R286" s="628">
        <f t="shared" si="42"/>
      </c>
      <c r="S286" s="630">
        <f t="shared" si="417"/>
      </c>
      <c r="T286" s="632">
        <f t="shared" si="494"/>
      </c>
      <c r="U286" s="632">
        <f t="shared" si="250"/>
      </c>
      <c r="V286" s="632">
        <f t="shared" si="335"/>
      </c>
      <c r="W286" s="632">
        <f t="shared" si="146"/>
      </c>
      <c r="X286" s="632"/>
      <c r="Y286" s="698"/>
      <c r="Z286" s="626">
        <f>SUM(Z281:Z285)</f>
      </c>
      <c r="AA286" s="626">
        <f>SUM(AA281:AA285)</f>
      </c>
      <c r="AB286" s="626">
        <f>SUM(AB281:AB285)</f>
      </c>
      <c r="AC286" s="626">
        <f>SUM(AC281:AC285)</f>
      </c>
      <c r="AD286" s="626">
        <f>SUM(AD281:AD285)</f>
      </c>
      <c r="AE286" s="626">
        <f>SUM(AE281:AE285)</f>
      </c>
      <c r="AF286" s="626">
        <f>SUM(AF281:AF285)</f>
      </c>
      <c r="AG286" s="626">
        <f>SUM(AG281:AG285)</f>
      </c>
      <c r="AH286" s="626">
        <f>SUM(AH281:AH285)</f>
      </c>
      <c r="AI286" s="626">
        <f>SUM(AI281:AI285)</f>
      </c>
    </row>
    <row r="287">
      <c r="A287" s="612"/>
      <c r="B287" s="696" t="s">
        <v>325</v>
      </c>
      <c r="C287" s="697" t="s">
        <v>330</v>
      </c>
      <c r="D287" s="654">
        <v>2341.5460000000003</v>
      </c>
      <c r="E287" s="615">
        <v>2</v>
      </c>
      <c r="F287" s="657">
        <v>456</v>
      </c>
      <c r="G287" s="693">
        <f t="shared" si="364"/>
      </c>
      <c r="H287" s="617">
        <f t="shared" si="529"/>
      </c>
      <c r="I287" s="618">
        <f t="shared" si="16"/>
      </c>
      <c r="J287" s="619">
        <f t="shared" si="391"/>
      </c>
      <c r="K287" s="620">
        <f t="shared" si="452"/>
      </c>
      <c r="L287" s="617">
        <f t="shared" si="208"/>
      </c>
      <c r="M287" s="622">
        <f t="shared" si="293"/>
      </c>
      <c r="N287" s="621">
        <f t="shared" si="77"/>
      </c>
      <c r="O287" s="621">
        <f t="shared" si="117"/>
      </c>
      <c r="P287" s="621">
        <f t="shared" si="173"/>
      </c>
      <c r="Q287" s="621">
        <f t="shared" si="563"/>
      </c>
      <c r="R287" s="617">
        <f t="shared" si="42"/>
      </c>
      <c r="S287" s="619">
        <f t="shared" si="417"/>
      </c>
      <c r="T287" s="621">
        <f t="shared" si="494"/>
      </c>
      <c r="U287" s="621">
        <f t="shared" si="250"/>
      </c>
      <c r="V287" s="621">
        <f t="shared" si="335"/>
      </c>
      <c r="W287" s="621">
        <f t="shared" si="146"/>
      </c>
      <c r="X287" s="696" t="s">
        <v>327</v>
      </c>
      <c r="Y287" s="706" t="s">
        <v>356</v>
      </c>
      <c r="Z287" s="622">
        <v>256592</v>
      </c>
      <c r="AA287" s="622">
        <v>16756</v>
      </c>
      <c r="AB287" s="622">
        <v>213241</v>
      </c>
      <c r="AC287" s="622">
        <v>769</v>
      </c>
      <c r="AD287" s="622">
        <v>2</v>
      </c>
      <c r="AE287" s="622">
        <v>18493</v>
      </c>
      <c r="AF287" s="622">
        <v>245</v>
      </c>
      <c r="AG287" s="622">
        <v>293</v>
      </c>
      <c r="AH287" s="623">
        <v>26</v>
      </c>
      <c r="AI287" s="623">
        <v>0</v>
      </c>
    </row>
    <row r="288">
      <c r="A288" s="612"/>
      <c r="B288" s="696" t="s">
        <v>325</v>
      </c>
      <c r="C288" s="697" t="s">
        <v>331</v>
      </c>
      <c r="D288" s="654">
        <v>2335.862</v>
      </c>
      <c r="E288" s="615">
        <v>8</v>
      </c>
      <c r="F288" s="657">
        <v>1594.5</v>
      </c>
      <c r="G288" s="693">
        <f t="shared" si="364"/>
      </c>
      <c r="H288" s="617">
        <f t="shared" si="529"/>
      </c>
      <c r="I288" s="618">
        <f t="shared" si="16"/>
      </c>
      <c r="J288" s="619">
        <f t="shared" si="391"/>
      </c>
      <c r="K288" s="620">
        <f t="shared" si="452"/>
      </c>
      <c r="L288" s="617">
        <f t="shared" si="208"/>
      </c>
      <c r="M288" s="617">
        <f t="shared" si="293"/>
      </c>
      <c r="N288" s="621">
        <f t="shared" si="77"/>
      </c>
      <c r="O288" s="621">
        <f t="shared" si="117"/>
      </c>
      <c r="P288" s="621">
        <f t="shared" si="173"/>
      </c>
      <c r="Q288" s="621">
        <f t="shared" si="563"/>
      </c>
      <c r="R288" s="617">
        <f t="shared" si="42"/>
      </c>
      <c r="S288" s="619">
        <f t="shared" si="417"/>
      </c>
      <c r="T288" s="621">
        <f t="shared" si="494"/>
      </c>
      <c r="U288" s="621">
        <f t="shared" si="250"/>
      </c>
      <c r="V288" s="621">
        <f t="shared" si="335"/>
      </c>
      <c r="W288" s="621">
        <f t="shared" si="146"/>
      </c>
      <c r="X288" s="696" t="s">
        <v>327</v>
      </c>
      <c r="Y288" s="706" t="s">
        <v>356</v>
      </c>
      <c r="Z288" s="622">
        <v>299317</v>
      </c>
      <c r="AA288" s="622">
        <v>19397</v>
      </c>
      <c r="AB288" s="622">
        <v>248682</v>
      </c>
      <c r="AC288" s="622">
        <v>698</v>
      </c>
      <c r="AD288" s="622">
        <v>4</v>
      </c>
      <c r="AE288" s="622">
        <v>17247</v>
      </c>
      <c r="AF288" s="622">
        <v>231</v>
      </c>
      <c r="AG288" s="622">
        <v>350</v>
      </c>
      <c r="AH288" s="622">
        <v>24</v>
      </c>
      <c r="AI288" s="623">
        <v>1</v>
      </c>
    </row>
    <row r="289">
      <c r="A289" s="612"/>
      <c r="B289" s="696" t="s">
        <v>325</v>
      </c>
      <c r="C289" s="697" t="s">
        <v>334</v>
      </c>
      <c r="D289" s="654">
        <v>2130.859</v>
      </c>
      <c r="E289" s="615">
        <v>4</v>
      </c>
      <c r="F289" s="647">
        <v>2112</v>
      </c>
      <c r="G289" s="693">
        <f t="shared" si="364"/>
      </c>
      <c r="H289" s="617">
        <f t="shared" si="529"/>
      </c>
      <c r="I289" s="618">
        <f t="shared" si="16"/>
      </c>
      <c r="J289" s="619">
        <f t="shared" si="391"/>
      </c>
      <c r="K289" s="620">
        <f t="shared" si="452"/>
      </c>
      <c r="L289" s="617">
        <f t="shared" si="208"/>
      </c>
      <c r="M289" s="617">
        <f t="shared" si="293"/>
      </c>
      <c r="N289" s="621">
        <f t="shared" si="77"/>
      </c>
      <c r="O289" s="621">
        <f t="shared" si="117"/>
      </c>
      <c r="P289" s="621">
        <f t="shared" si="173"/>
      </c>
      <c r="Q289" s="621">
        <f t="shared" si="563"/>
      </c>
      <c r="R289" s="617">
        <f t="shared" si="42"/>
      </c>
      <c r="S289" s="619">
        <f t="shared" si="417"/>
      </c>
      <c r="T289" s="621">
        <f t="shared" si="494"/>
      </c>
      <c r="U289" s="621">
        <f t="shared" si="250"/>
      </c>
      <c r="V289" s="621">
        <f t="shared" si="335"/>
      </c>
      <c r="W289" s="621">
        <f t="shared" si="146"/>
      </c>
      <c r="X289" s="696" t="s">
        <v>327</v>
      </c>
      <c r="Y289" s="706" t="s">
        <v>356</v>
      </c>
      <c r="Z289" s="622">
        <v>296491</v>
      </c>
      <c r="AA289" s="622">
        <v>16774</v>
      </c>
      <c r="AB289" s="622">
        <v>228461</v>
      </c>
      <c r="AC289" s="622">
        <v>754</v>
      </c>
      <c r="AD289" s="622">
        <v>4</v>
      </c>
      <c r="AE289" s="622">
        <v>15081</v>
      </c>
      <c r="AF289" s="622">
        <v>232</v>
      </c>
      <c r="AG289" s="622">
        <v>278</v>
      </c>
      <c r="AH289" s="622">
        <v>13</v>
      </c>
      <c r="AI289" s="623">
        <v>0</v>
      </c>
    </row>
    <row r="290">
      <c r="A290" s="612"/>
      <c r="B290" s="696" t="s">
        <v>325</v>
      </c>
      <c r="C290" s="697" t="s">
        <v>335</v>
      </c>
      <c r="D290" s="654">
        <v>2651.018</v>
      </c>
      <c r="E290" s="615">
        <v>2</v>
      </c>
      <c r="F290" s="657">
        <v>424</v>
      </c>
      <c r="G290" s="693">
        <f t="shared" si="364"/>
      </c>
      <c r="H290" s="617">
        <f t="shared" si="529"/>
      </c>
      <c r="I290" s="618">
        <f t="shared" si="16"/>
      </c>
      <c r="J290" s="619">
        <f t="shared" si="391"/>
      </c>
      <c r="K290" s="620">
        <f t="shared" si="452"/>
      </c>
      <c r="L290" s="617">
        <f t="shared" si="208"/>
      </c>
      <c r="M290" s="617">
        <f t="shared" si="293"/>
      </c>
      <c r="N290" s="621">
        <f t="shared" si="77"/>
      </c>
      <c r="O290" s="621">
        <f t="shared" si="117"/>
      </c>
      <c r="P290" s="621">
        <f t="shared" si="173"/>
      </c>
      <c r="Q290" s="621">
        <f t="shared" si="563"/>
      </c>
      <c r="R290" s="617">
        <f t="shared" si="42"/>
      </c>
      <c r="S290" s="619">
        <f t="shared" si="417"/>
      </c>
      <c r="T290" s="621">
        <f t="shared" si="494"/>
      </c>
      <c r="U290" s="621">
        <f t="shared" si="250"/>
      </c>
      <c r="V290" s="621">
        <f t="shared" si="335"/>
      </c>
      <c r="W290" s="621">
        <f t="shared" si="146"/>
      </c>
      <c r="X290" s="696" t="s">
        <v>327</v>
      </c>
      <c r="Y290" s="706" t="s">
        <v>356</v>
      </c>
      <c r="Z290" s="622">
        <v>391785</v>
      </c>
      <c r="AA290" s="622">
        <v>16334</v>
      </c>
      <c r="AB290" s="622">
        <v>276898</v>
      </c>
      <c r="AC290" s="622">
        <v>919</v>
      </c>
      <c r="AD290" s="622">
        <v>2</v>
      </c>
      <c r="AE290" s="622">
        <v>14501</v>
      </c>
      <c r="AF290" s="622">
        <v>195</v>
      </c>
      <c r="AG290" s="622">
        <v>306</v>
      </c>
      <c r="AH290" s="623">
        <v>17</v>
      </c>
      <c r="AI290" s="623">
        <v>0</v>
      </c>
    </row>
    <row r="291">
      <c r="A291" s="612"/>
      <c r="B291" s="696" t="s">
        <v>325</v>
      </c>
      <c r="C291" s="697" t="s">
        <v>336</v>
      </c>
      <c r="D291" s="654">
        <v>1708.312</v>
      </c>
      <c r="E291" s="615">
        <v>5</v>
      </c>
      <c r="F291" s="647">
        <v>1129.2000000000007</v>
      </c>
      <c r="G291" s="693">
        <f t="shared" si="364"/>
      </c>
      <c r="H291" s="617">
        <f t="shared" si="529"/>
      </c>
      <c r="I291" s="618">
        <f t="shared" si="16"/>
      </c>
      <c r="J291" s="619">
        <f t="shared" si="391"/>
      </c>
      <c r="K291" s="620">
        <f t="shared" si="452"/>
      </c>
      <c r="L291" s="617">
        <f t="shared" si="208"/>
      </c>
      <c r="M291" s="617">
        <f t="shared" si="293"/>
      </c>
      <c r="N291" s="621">
        <f t="shared" si="77"/>
      </c>
      <c r="O291" s="621">
        <f t="shared" si="117"/>
      </c>
      <c r="P291" s="621">
        <f t="shared" si="173"/>
      </c>
      <c r="Q291" s="621">
        <f t="shared" si="563"/>
      </c>
      <c r="R291" s="617">
        <f t="shared" si="42"/>
      </c>
      <c r="S291" s="619">
        <f t="shared" si="417"/>
      </c>
      <c r="T291" s="621">
        <f t="shared" si="494"/>
      </c>
      <c r="U291" s="621">
        <f t="shared" si="250"/>
      </c>
      <c r="V291" s="621">
        <f t="shared" si="335"/>
      </c>
      <c r="W291" s="621">
        <f t="shared" si="146"/>
      </c>
      <c r="X291" s="696" t="s">
        <v>327</v>
      </c>
      <c r="Y291" s="706" t="s">
        <v>356</v>
      </c>
      <c r="Z291" s="622">
        <v>205872</v>
      </c>
      <c r="AA291" s="622">
        <v>10425</v>
      </c>
      <c r="AB291" s="622">
        <v>161308</v>
      </c>
      <c r="AC291" s="622">
        <v>508</v>
      </c>
      <c r="AD291" s="622">
        <v>3</v>
      </c>
      <c r="AE291" s="622">
        <v>9783</v>
      </c>
      <c r="AF291" s="622">
        <v>128</v>
      </c>
      <c r="AG291" s="622">
        <v>165</v>
      </c>
      <c r="AH291" s="622">
        <v>15</v>
      </c>
      <c r="AI291" s="623">
        <v>1</v>
      </c>
    </row>
    <row r="292">
      <c r="A292" s="612"/>
      <c r="B292" s="625" t="s">
        <v>332</v>
      </c>
      <c r="C292" s="625"/>
      <c r="D292" s="626">
        <f>SUM(D287:D291)</f>
      </c>
      <c r="E292" s="627">
        <f>SUM(E287:E291)</f>
      </c>
      <c r="F292" s="626">
        <f>SUM(F287:F291)</f>
      </c>
      <c r="G292" s="626">
        <f t="shared" si="364"/>
      </c>
      <c r="H292" s="628">
        <f t="shared" si="529"/>
      </c>
      <c r="I292" s="629">
        <f t="shared" si="16"/>
      </c>
      <c r="J292" s="630">
        <f t="shared" si="391"/>
      </c>
      <c r="K292" s="631">
        <f t="shared" si="452"/>
      </c>
      <c r="L292" s="628">
        <f t="shared" si="208"/>
      </c>
      <c r="M292" s="628">
        <f t="shared" si="293"/>
      </c>
      <c r="N292" s="632">
        <f t="shared" si="77"/>
      </c>
      <c r="O292" s="632">
        <f t="shared" si="117"/>
      </c>
      <c r="P292" s="632">
        <f t="shared" si="173"/>
      </c>
      <c r="Q292" s="632">
        <f t="shared" si="563"/>
      </c>
      <c r="R292" s="628">
        <f t="shared" si="42"/>
      </c>
      <c r="S292" s="630">
        <f t="shared" si="417"/>
      </c>
      <c r="T292" s="632">
        <f t="shared" si="494"/>
      </c>
      <c r="U292" s="632">
        <f t="shared" si="250"/>
      </c>
      <c r="V292" s="632">
        <f t="shared" si="335"/>
      </c>
      <c r="W292" s="632">
        <f t="shared" si="146"/>
      </c>
      <c r="X292" s="632"/>
      <c r="Y292" s="698"/>
      <c r="Z292" s="626">
        <f>SUM(Z287:Z291)</f>
      </c>
      <c r="AA292" s="626">
        <f>SUM(AA287:AA291)</f>
      </c>
      <c r="AB292" s="626">
        <f>SUM(AB287:AB291)</f>
      </c>
      <c r="AC292" s="626">
        <f>SUM(AC287:AC291)</f>
      </c>
      <c r="AD292" s="626">
        <f>SUM(AD287:AD291)</f>
      </c>
      <c r="AE292" s="626">
        <f>SUM(AE287:AE291)</f>
      </c>
      <c r="AF292" s="626">
        <f>SUM(AF287:AF291)</f>
      </c>
      <c r="AG292" s="626">
        <f>SUM(AG287:AG291)</f>
      </c>
      <c r="AH292" s="626">
        <f>SUM(AH287:AH291)</f>
      </c>
      <c r="AI292" s="626">
        <f>SUM(AI287:AI291)</f>
      </c>
    </row>
    <row r="293">
      <c r="A293" s="612"/>
      <c r="B293" s="678" t="s">
        <v>337</v>
      </c>
      <c r="C293" s="678"/>
      <c r="D293" s="679">
        <f>SUM(D292+D286+D280)</f>
      </c>
      <c r="E293" s="688">
        <f>SUM(E292+E286+E280)</f>
      </c>
      <c r="F293" s="679">
        <f>SUM(F292+F286+F280)</f>
      </c>
      <c r="G293" s="679">
        <f t="shared" si="364"/>
      </c>
      <c r="H293" s="680">
        <f t="shared" si="529"/>
      </c>
      <c r="I293" s="681">
        <f t="shared" si="16"/>
      </c>
      <c r="J293" s="682">
        <f t="shared" si="391"/>
      </c>
      <c r="K293" s="683">
        <f t="shared" si="452"/>
      </c>
      <c r="L293" s="683">
        <f t="shared" si="208"/>
      </c>
      <c r="M293" s="684">
        <f t="shared" si="293"/>
      </c>
      <c r="N293" s="685">
        <f t="shared" si="77"/>
      </c>
      <c r="O293" s="685">
        <f t="shared" si="117"/>
      </c>
      <c r="P293" s="685">
        <f t="shared" si="173"/>
      </c>
      <c r="Q293" s="685">
        <f t="shared" si="563"/>
      </c>
      <c r="R293" s="684">
        <f t="shared" si="42"/>
      </c>
      <c r="S293" s="686">
        <f t="shared" si="417"/>
      </c>
      <c r="T293" s="687">
        <f t="shared" si="494"/>
      </c>
      <c r="U293" s="687">
        <f t="shared" si="250"/>
      </c>
      <c r="V293" s="687">
        <f t="shared" si="335"/>
      </c>
      <c r="W293" s="687">
        <f t="shared" si="146"/>
      </c>
      <c r="X293" s="687"/>
      <c r="Y293" s="658"/>
      <c r="Z293" s="679">
        <f>SUM(Z292+Z286+Z280)</f>
      </c>
      <c r="AA293" s="679">
        <f>SUM(AA292+AA286+AA280)</f>
      </c>
      <c r="AB293" s="679">
        <f>SUM(AB292+AB286+AB280)</f>
      </c>
      <c r="AC293" s="679">
        <f>SUM(AC292+AC286+AC280)</f>
      </c>
      <c r="AD293" s="679">
        <f>SUM(AD292+AD286+AD280)</f>
      </c>
      <c r="AE293" s="679">
        <f>SUM(AE292+AE286+AE280)</f>
      </c>
      <c r="AF293" s="679">
        <f>SUM(AF292+AF286+AF280)</f>
      </c>
      <c r="AG293" s="679">
        <f>SUM(AG292+AG286+AG280)</f>
      </c>
      <c r="AH293" s="679">
        <f>SUM(AH292+AH286+AH280)</f>
      </c>
      <c r="AI293" s="679">
        <f>SUM(AI292+AI286+AI280)</f>
      </c>
    </row>
    <row r="294">
      <c r="A294" s="603" t="s">
        <v>291</v>
      </c>
      <c r="B294" s="603" t="s">
        <v>292</v>
      </c>
      <c r="C294" s="707" t="s">
        <v>293</v>
      </c>
      <c r="D294" s="689" t="s">
        <v>294</v>
      </c>
      <c r="E294" s="690" t="s">
        <v>295</v>
      </c>
      <c r="F294" s="662" t="s">
        <v>296</v>
      </c>
      <c r="G294" s="662" t="s">
        <v>349</v>
      </c>
      <c r="H294" s="595" t="s">
        <v>297</v>
      </c>
      <c r="I294" s="595" t="s">
        <v>298</v>
      </c>
      <c r="J294" s="595" t="s">
        <v>299</v>
      </c>
      <c r="K294" s="597" t="s">
        <v>300</v>
      </c>
      <c r="L294" s="597" t="s">
        <v>301</v>
      </c>
      <c r="M294" s="597" t="s">
        <v>302</v>
      </c>
      <c r="N294" s="597" t="s">
        <v>303</v>
      </c>
      <c r="O294" s="597" t="s">
        <v>304</v>
      </c>
      <c r="P294" s="597" t="s">
        <v>305</v>
      </c>
      <c r="Q294" s="597" t="s">
        <v>306</v>
      </c>
      <c r="R294" s="597" t="s">
        <v>307</v>
      </c>
      <c r="S294" s="597" t="s">
        <v>308</v>
      </c>
      <c r="T294" s="606" t="s">
        <v>309</v>
      </c>
      <c r="U294" s="606" t="s">
        <v>310</v>
      </c>
      <c r="V294" s="606" t="s">
        <v>311</v>
      </c>
      <c r="W294" s="606" t="s">
        <v>312</v>
      </c>
      <c r="X294" s="607" t="s">
        <v>313</v>
      </c>
      <c r="Y294" s="607" t="s">
        <v>314</v>
      </c>
      <c r="Z294" s="651" t="s">
        <v>315</v>
      </c>
      <c r="AA294" s="651" t="s">
        <v>316</v>
      </c>
      <c r="AB294" s="651" t="s">
        <v>317</v>
      </c>
      <c r="AC294" s="609" t="s">
        <v>318</v>
      </c>
      <c r="AD294" s="609" t="s">
        <v>319</v>
      </c>
      <c r="AE294" s="652" t="s">
        <v>320</v>
      </c>
      <c r="AF294" s="609" t="s">
        <v>321</v>
      </c>
      <c r="AG294" s="609" t="s">
        <v>322</v>
      </c>
      <c r="AH294" s="611" t="s">
        <v>323</v>
      </c>
      <c r="AI294" s="609" t="s">
        <v>324</v>
      </c>
    </row>
    <row r="295">
      <c r="A295" s="719">
        <v>46196</v>
      </c>
      <c r="B295" s="720" t="s">
        <v>333</v>
      </c>
      <c r="C295" s="710" t="s">
        <v>338</v>
      </c>
      <c r="D295" s="711">
        <v>888.624</v>
      </c>
      <c r="E295" s="692">
        <v>0</v>
      </c>
      <c r="F295" s="665">
        <v>0</v>
      </c>
      <c r="G295" s="693">
        <f t="shared" ref="G295:G313" si="365">D295/AD295</f>
      </c>
      <c r="H295" s="617">
        <f t="shared" ref="H295:H313" si="530">F295/E295</f>
      </c>
      <c r="I295" s="618">
        <f t="shared" ref="I295:I313" si="17">D295/E295</f>
      </c>
      <c r="J295" s="619">
        <f t="shared" ref="J295:J313" si="392">F295/D295</f>
      </c>
      <c r="K295" s="620">
        <f t="shared" ref="K295:K301" si="453">D295/AB295</f>
      </c>
      <c r="L295" s="617">
        <f t="shared" ref="L295:L301" si="209">D295/AC295</f>
      </c>
      <c r="M295" s="617">
        <f t="shared" ref="M295:M301" si="294">D295/AD295</f>
      </c>
      <c r="N295" s="621">
        <f t="shared" ref="N295:N301" si="78">AC295/AB295</f>
      </c>
      <c r="O295" s="621">
        <f t="shared" ref="O295:O301" si="118">AD295/AC295</f>
      </c>
      <c r="P295" s="621">
        <f t="shared" ref="P295:P313" si="174">AA295/Z295</f>
      </c>
      <c r="Q295" s="621">
        <f t="shared" ref="Q295:Q301" si="564">AD295/AA295</f>
      </c>
      <c r="R295" s="617">
        <f t="shared" ref="R295:R313" si="43">D295/Z295*1000</f>
      </c>
      <c r="S295" s="619">
        <f t="shared" ref="S295:S313" si="418">D295/AA295</f>
      </c>
      <c r="T295" s="621">
        <f t="shared" ref="T295:T301" si="495">AE295/AB295</f>
      </c>
      <c r="U295" s="621">
        <f t="shared" ref="U295:U301" si="251">AF295/AB295</f>
      </c>
      <c r="V295" s="621">
        <f t="shared" ref="V295:V301" si="336">AG295/AB295</f>
      </c>
      <c r="W295" s="621">
        <f t="shared" ref="W295:W313" si="147">AH295/AB295</f>
      </c>
      <c r="X295" s="653" t="s">
        <v>327</v>
      </c>
      <c r="Y295" s="613" t="s">
        <v>347</v>
      </c>
      <c r="Z295" s="655">
        <v>94428</v>
      </c>
      <c r="AA295" s="655">
        <v>5004</v>
      </c>
      <c r="AB295" s="655">
        <v>73670</v>
      </c>
      <c r="AC295" s="655">
        <v>418</v>
      </c>
      <c r="AD295" s="622">
        <v>0</v>
      </c>
      <c r="AE295" s="655">
        <v>10683</v>
      </c>
      <c r="AF295" s="622">
        <v>152</v>
      </c>
      <c r="AG295" s="622">
        <v>134</v>
      </c>
      <c r="AH295" s="622">
        <v>9</v>
      </c>
      <c r="AI295" s="623">
        <v>0</v>
      </c>
    </row>
    <row r="296">
      <c r="A296" s="719"/>
      <c r="B296" s="720" t="s">
        <v>333</v>
      </c>
      <c r="C296" s="710" t="s">
        <v>340</v>
      </c>
      <c r="D296" s="711">
        <v>607.396</v>
      </c>
      <c r="E296" s="692">
        <v>3</v>
      </c>
      <c r="F296" s="665">
        <v>1220</v>
      </c>
      <c r="G296" s="693">
        <f t="shared" si="365"/>
      </c>
      <c r="H296" s="617">
        <f t="shared" si="530"/>
      </c>
      <c r="I296" s="618">
        <f t="shared" si="17"/>
      </c>
      <c r="J296" s="619">
        <f t="shared" si="392"/>
      </c>
      <c r="K296" s="620">
        <f t="shared" si="453"/>
      </c>
      <c r="L296" s="617">
        <f t="shared" si="209"/>
      </c>
      <c r="M296" s="617">
        <f t="shared" si="294"/>
      </c>
      <c r="N296" s="621">
        <f t="shared" si="78"/>
      </c>
      <c r="O296" s="621">
        <f t="shared" si="118"/>
      </c>
      <c r="P296" s="621">
        <f t="shared" si="174"/>
      </c>
      <c r="Q296" s="621">
        <f t="shared" si="564"/>
      </c>
      <c r="R296" s="617">
        <f t="shared" si="43"/>
      </c>
      <c r="S296" s="619">
        <f t="shared" si="418"/>
      </c>
      <c r="T296" s="621">
        <f t="shared" si="495"/>
      </c>
      <c r="U296" s="621">
        <f t="shared" si="251"/>
      </c>
      <c r="V296" s="621">
        <f t="shared" si="336"/>
      </c>
      <c r="W296" s="621">
        <f t="shared" si="147"/>
      </c>
      <c r="X296" s="653" t="s">
        <v>327</v>
      </c>
      <c r="Y296" s="613" t="s">
        <v>347</v>
      </c>
      <c r="Z296" s="622">
        <v>61153</v>
      </c>
      <c r="AA296" s="655">
        <v>3411</v>
      </c>
      <c r="AB296" s="655">
        <v>43192</v>
      </c>
      <c r="AC296" s="655">
        <v>243</v>
      </c>
      <c r="AD296" s="622">
        <v>3</v>
      </c>
      <c r="AE296" s="655">
        <v>4737</v>
      </c>
      <c r="AF296" s="622">
        <v>93</v>
      </c>
      <c r="AG296" s="622">
        <v>54</v>
      </c>
      <c r="AH296" s="622">
        <v>13</v>
      </c>
      <c r="AI296" s="623">
        <v>0</v>
      </c>
    </row>
    <row r="297">
      <c r="A297" s="719"/>
      <c r="B297" s="720" t="s">
        <v>333</v>
      </c>
      <c r="C297" s="712" t="s">
        <v>341</v>
      </c>
      <c r="D297" s="711">
        <v>795.7449999999999</v>
      </c>
      <c r="E297" s="692">
        <v>5</v>
      </c>
      <c r="F297" s="665">
        <v>1644</v>
      </c>
      <c r="G297" s="693">
        <f t="shared" si="365"/>
      </c>
      <c r="H297" s="617">
        <f t="shared" si="530"/>
      </c>
      <c r="I297" s="618">
        <f t="shared" si="17"/>
      </c>
      <c r="J297" s="619">
        <f t="shared" si="392"/>
      </c>
      <c r="K297" s="620">
        <f t="shared" si="453"/>
      </c>
      <c r="L297" s="617">
        <f t="shared" si="209"/>
      </c>
      <c r="M297" s="617">
        <f t="shared" si="294"/>
      </c>
      <c r="N297" s="621">
        <f t="shared" si="78"/>
      </c>
      <c r="O297" s="621">
        <f t="shared" si="118"/>
      </c>
      <c r="P297" s="621">
        <f t="shared" si="174"/>
      </c>
      <c r="Q297" s="621">
        <f t="shared" si="564"/>
      </c>
      <c r="R297" s="617">
        <f t="shared" si="43"/>
      </c>
      <c r="S297" s="619">
        <f t="shared" si="418"/>
      </c>
      <c r="T297" s="621">
        <f t="shared" si="495"/>
      </c>
      <c r="U297" s="621">
        <f t="shared" si="251"/>
      </c>
      <c r="V297" s="621">
        <f t="shared" si="336"/>
      </c>
      <c r="W297" s="621">
        <f t="shared" si="147"/>
      </c>
      <c r="X297" s="693" t="s">
        <v>327</v>
      </c>
      <c r="Y297" s="613" t="s">
        <v>347</v>
      </c>
      <c r="Z297" s="622">
        <v>78472</v>
      </c>
      <c r="AA297" s="622">
        <v>4145</v>
      </c>
      <c r="AB297" s="622">
        <v>58365</v>
      </c>
      <c r="AC297" s="622">
        <v>311</v>
      </c>
      <c r="AD297" s="622">
        <v>5</v>
      </c>
      <c r="AE297" s="622">
        <v>5489</v>
      </c>
      <c r="AF297" s="622">
        <v>133</v>
      </c>
      <c r="AG297" s="622">
        <v>69</v>
      </c>
      <c r="AH297" s="622">
        <v>14</v>
      </c>
      <c r="AI297" s="623">
        <v>0</v>
      </c>
    </row>
    <row r="298">
      <c r="A298" s="719"/>
      <c r="B298" s="720" t="s">
        <v>333</v>
      </c>
      <c r="C298" s="713" t="s">
        <v>342</v>
      </c>
      <c r="D298" s="714">
        <v>830.7700000000001</v>
      </c>
      <c r="E298" s="667">
        <v>8</v>
      </c>
      <c r="F298" s="647">
        <v>2317.2000000000007</v>
      </c>
      <c r="G298" s="693">
        <f t="shared" si="365"/>
      </c>
      <c r="H298" s="617">
        <f t="shared" si="530"/>
      </c>
      <c r="I298" s="618">
        <f t="shared" si="17"/>
      </c>
      <c r="J298" s="619">
        <f t="shared" si="392"/>
      </c>
      <c r="K298" s="620">
        <f t="shared" si="453"/>
      </c>
      <c r="L298" s="617">
        <f t="shared" si="209"/>
      </c>
      <c r="M298" s="617">
        <f t="shared" si="294"/>
      </c>
      <c r="N298" s="621">
        <f t="shared" si="78"/>
      </c>
      <c r="O298" s="621">
        <f t="shared" si="118"/>
      </c>
      <c r="P298" s="621">
        <f t="shared" si="174"/>
      </c>
      <c r="Q298" s="621">
        <f t="shared" si="564"/>
      </c>
      <c r="R298" s="617">
        <f t="shared" si="43"/>
      </c>
      <c r="S298" s="619">
        <f t="shared" si="418"/>
      </c>
      <c r="T298" s="621">
        <f t="shared" si="495"/>
      </c>
      <c r="U298" s="621">
        <f t="shared" si="251"/>
      </c>
      <c r="V298" s="621">
        <f t="shared" si="336"/>
      </c>
      <c r="W298" s="621">
        <f t="shared" si="147"/>
      </c>
      <c r="X298" s="696" t="s">
        <v>327</v>
      </c>
      <c r="Y298" s="613" t="s">
        <v>347</v>
      </c>
      <c r="Z298" s="622">
        <v>96105</v>
      </c>
      <c r="AA298" s="622">
        <v>2620</v>
      </c>
      <c r="AB298" s="622">
        <v>81403</v>
      </c>
      <c r="AC298" s="622">
        <v>191</v>
      </c>
      <c r="AD298" s="622">
        <v>7</v>
      </c>
      <c r="AE298" s="622">
        <v>3315</v>
      </c>
      <c r="AF298" s="622">
        <v>68</v>
      </c>
      <c r="AG298" s="622">
        <v>43</v>
      </c>
      <c r="AH298" s="622">
        <v>13</v>
      </c>
      <c r="AI298" s="623">
        <v>1</v>
      </c>
    </row>
    <row r="299">
      <c r="A299" s="719"/>
      <c r="B299" s="720" t="s">
        <v>333</v>
      </c>
      <c r="C299" s="713" t="s">
        <v>343</v>
      </c>
      <c r="D299" s="714">
        <v>1131.475</v>
      </c>
      <c r="E299" s="667">
        <v>2</v>
      </c>
      <c r="F299" s="647">
        <v>456</v>
      </c>
      <c r="G299" s="693">
        <f t="shared" si="365"/>
      </c>
      <c r="H299" s="617">
        <f t="shared" si="530"/>
      </c>
      <c r="I299" s="618">
        <f t="shared" si="17"/>
      </c>
      <c r="J299" s="619">
        <f t="shared" si="392"/>
      </c>
      <c r="K299" s="620">
        <f t="shared" si="453"/>
      </c>
      <c r="L299" s="617">
        <f t="shared" si="209"/>
      </c>
      <c r="M299" s="617">
        <f t="shared" si="294"/>
      </c>
      <c r="N299" s="621">
        <f t="shared" si="78"/>
      </c>
      <c r="O299" s="621">
        <f t="shared" si="118"/>
      </c>
      <c r="P299" s="621">
        <f t="shared" si="174"/>
      </c>
      <c r="Q299" s="621">
        <f t="shared" si="564"/>
      </c>
      <c r="R299" s="617">
        <f t="shared" si="43"/>
      </c>
      <c r="S299" s="619">
        <f t="shared" si="418"/>
      </c>
      <c r="T299" s="621">
        <f t="shared" si="495"/>
      </c>
      <c r="U299" s="621">
        <f t="shared" si="251"/>
      </c>
      <c r="V299" s="621">
        <f t="shared" si="336"/>
      </c>
      <c r="W299" s="621">
        <f t="shared" si="147"/>
      </c>
      <c r="X299" s="696" t="s">
        <v>327</v>
      </c>
      <c r="Y299" s="613" t="s">
        <v>347</v>
      </c>
      <c r="Z299" s="622">
        <v>163196</v>
      </c>
      <c r="AA299" s="622">
        <v>2266</v>
      </c>
      <c r="AB299" s="622">
        <v>148425</v>
      </c>
      <c r="AC299" s="622">
        <v>196</v>
      </c>
      <c r="AD299" s="622">
        <v>1</v>
      </c>
      <c r="AE299" s="622">
        <v>3381</v>
      </c>
      <c r="AF299" s="622">
        <v>52</v>
      </c>
      <c r="AG299" s="622">
        <v>47</v>
      </c>
      <c r="AH299" s="622">
        <v>10</v>
      </c>
      <c r="AI299" s="623">
        <v>0</v>
      </c>
    </row>
    <row r="300">
      <c r="A300" s="719"/>
      <c r="B300" s="721" t="s">
        <v>332</v>
      </c>
      <c r="C300" s="715"/>
      <c r="D300" s="716">
        <f>SUM(D295:D299)</f>
      </c>
      <c r="E300" s="627">
        <f>SUM(E295:E299)</f>
      </c>
      <c r="F300" s="626">
        <f>SUM(F295:F299)</f>
      </c>
      <c r="G300" s="626">
        <f t="shared" si="365"/>
      </c>
      <c r="H300" s="628">
        <f t="shared" si="530"/>
      </c>
      <c r="I300" s="629">
        <f t="shared" si="17"/>
      </c>
      <c r="J300" s="630">
        <f t="shared" si="392"/>
      </c>
      <c r="K300" s="631">
        <f t="shared" si="453"/>
      </c>
      <c r="L300" s="628">
        <f t="shared" si="209"/>
      </c>
      <c r="M300" s="628">
        <f t="shared" si="294"/>
      </c>
      <c r="N300" s="632">
        <f t="shared" si="78"/>
      </c>
      <c r="O300" s="632">
        <f t="shared" si="118"/>
      </c>
      <c r="P300" s="632">
        <f t="shared" si="174"/>
      </c>
      <c r="Q300" s="632">
        <f t="shared" si="564"/>
      </c>
      <c r="R300" s="628">
        <f t="shared" si="43"/>
      </c>
      <c r="S300" s="630">
        <f t="shared" si="418"/>
      </c>
      <c r="T300" s="632">
        <f t="shared" si="495"/>
      </c>
      <c r="U300" s="632">
        <f t="shared" si="251"/>
      </c>
      <c r="V300" s="632">
        <f t="shared" si="336"/>
      </c>
      <c r="W300" s="632">
        <f t="shared" si="147"/>
      </c>
      <c r="X300" s="632"/>
      <c r="Y300" s="698"/>
      <c r="Z300" s="626">
        <f>SUM(Z295:Z299)</f>
      </c>
      <c r="AA300" s="626">
        <f>SUM(AA295:AA299)</f>
      </c>
      <c r="AB300" s="626">
        <f>SUM(AB295:AB299)</f>
      </c>
      <c r="AC300" s="626">
        <f>SUM(AC295:AC299)</f>
      </c>
      <c r="AD300" s="626">
        <f>SUM(AD295:AD299)</f>
      </c>
      <c r="AE300" s="626">
        <f>SUM(AE295:AE299)</f>
      </c>
      <c r="AF300" s="626">
        <f>SUM(AF295:AF299)</f>
      </c>
      <c r="AG300" s="626">
        <f>SUM(AG295:AG299)</f>
      </c>
      <c r="AH300" s="626">
        <f>SUM(AH295:AH299)</f>
      </c>
      <c r="AI300" s="626">
        <f>SUM(AI295:AI299)</f>
      </c>
    </row>
    <row r="301">
      <c r="A301" s="719"/>
      <c r="B301" s="717" t="s">
        <v>354</v>
      </c>
      <c r="C301" s="718" t="s">
        <v>344</v>
      </c>
      <c r="D301" s="691">
        <v>968.4689999999999</v>
      </c>
      <c r="E301" s="692">
        <v>5</v>
      </c>
      <c r="F301" s="665">
        <v>1072.8000000000002</v>
      </c>
      <c r="G301" s="693">
        <f t="shared" si="365"/>
      </c>
      <c r="H301" s="617">
        <f t="shared" si="530"/>
      </c>
      <c r="I301" s="618">
        <f t="shared" si="17"/>
      </c>
      <c r="J301" s="619">
        <f t="shared" si="392"/>
      </c>
      <c r="K301" s="620">
        <f t="shared" si="453"/>
      </c>
      <c r="L301" s="617">
        <f t="shared" si="209"/>
      </c>
      <c r="M301" s="617">
        <f t="shared" si="294"/>
      </c>
      <c r="N301" s="621">
        <f t="shared" si="78"/>
      </c>
      <c r="O301" s="621">
        <f t="shared" si="118"/>
      </c>
      <c r="P301" s="621">
        <f t="shared" si="174"/>
      </c>
      <c r="Q301" s="621">
        <f t="shared" si="564"/>
      </c>
      <c r="R301" s="617">
        <f t="shared" si="43"/>
      </c>
      <c r="S301" s="619">
        <f t="shared" si="418"/>
      </c>
      <c r="T301" s="621">
        <f t="shared" si="495"/>
      </c>
      <c r="U301" s="621">
        <f t="shared" si="251"/>
      </c>
      <c r="V301" s="621">
        <f t="shared" si="336"/>
      </c>
      <c r="W301" s="621">
        <f t="shared" si="147"/>
      </c>
      <c r="X301" s="696" t="s">
        <v>327</v>
      </c>
      <c r="Y301" s="613" t="s">
        <v>347</v>
      </c>
      <c r="Z301" s="655">
        <v>135912</v>
      </c>
      <c r="AA301" s="655">
        <v>2072</v>
      </c>
      <c r="AB301" s="655">
        <v>121836</v>
      </c>
      <c r="AC301" s="622">
        <v>172</v>
      </c>
      <c r="AD301" s="622">
        <v>3</v>
      </c>
      <c r="AE301" s="655">
        <v>2796</v>
      </c>
      <c r="AF301" s="622">
        <v>41</v>
      </c>
      <c r="AG301" s="622">
        <v>32</v>
      </c>
      <c r="AH301" s="622">
        <v>7</v>
      </c>
      <c r="AI301" s="623">
        <v>2</v>
      </c>
    </row>
    <row r="302">
      <c r="A302" s="719"/>
      <c r="B302" s="696" t="s">
        <v>354</v>
      </c>
      <c r="C302" s="699" t="s">
        <v>345</v>
      </c>
      <c r="D302" s="691">
        <v>816.552</v>
      </c>
      <c r="E302" s="692">
        <v>1</v>
      </c>
      <c r="F302" s="665">
        <v>186.30000000000018</v>
      </c>
      <c r="G302" s="693">
        <f t="shared" si="365"/>
      </c>
      <c r="H302" s="617">
        <f t="shared" si="530"/>
      </c>
      <c r="I302" s="618">
        <f t="shared" si="17"/>
      </c>
      <c r="J302" s="619">
        <f t="shared" si="392"/>
      </c>
      <c r="K302" s="620">
        <f>D302/AC302</f>
      </c>
      <c r="L302" s="617">
        <f>D302/AD302</f>
      </c>
      <c r="M302" s="617">
        <f>D302/AE302</f>
      </c>
      <c r="N302" s="621">
        <f>AD302/AC302</f>
      </c>
      <c r="O302" s="621">
        <f>AE302/AD302</f>
      </c>
      <c r="P302" s="621">
        <f t="shared" si="174"/>
      </c>
      <c r="Q302" s="621">
        <f>AE302/AA302</f>
      </c>
      <c r="R302" s="617">
        <f t="shared" si="43"/>
      </c>
      <c r="S302" s="619">
        <f t="shared" si="418"/>
      </c>
      <c r="T302" s="621">
        <f>AF302/AC302</f>
      </c>
      <c r="U302" s="621">
        <f>AG302/AC302</f>
      </c>
      <c r="V302" s="621">
        <f>AH302/AC302</f>
      </c>
      <c r="W302" s="621">
        <f t="shared" si="147"/>
      </c>
      <c r="X302" s="696" t="s">
        <v>327</v>
      </c>
      <c r="Y302" s="613" t="s">
        <v>347</v>
      </c>
      <c r="Z302" s="622">
        <v>105849</v>
      </c>
      <c r="AA302" s="622">
        <v>1726</v>
      </c>
      <c r="AB302" s="700">
        <v>94578</v>
      </c>
      <c r="AC302" s="701">
        <v>121</v>
      </c>
      <c r="AD302" s="701">
        <v>1</v>
      </c>
      <c r="AE302" s="701">
        <v>2250</v>
      </c>
      <c r="AF302" s="701">
        <v>40</v>
      </c>
      <c r="AG302" s="701">
        <v>31</v>
      </c>
      <c r="AH302" s="701">
        <v>15</v>
      </c>
      <c r="AI302" s="623">
        <v>1</v>
      </c>
    </row>
    <row r="303">
      <c r="A303" s="719"/>
      <c r="B303" s="696" t="s">
        <v>354</v>
      </c>
      <c r="C303" s="699" t="s">
        <v>346</v>
      </c>
      <c r="D303" s="702">
        <v>1268.918</v>
      </c>
      <c r="E303" s="692">
        <v>2</v>
      </c>
      <c r="F303" s="665">
        <v>1056</v>
      </c>
      <c r="G303" s="693">
        <f t="shared" si="365"/>
      </c>
      <c r="H303" s="617">
        <f t="shared" si="530"/>
      </c>
      <c r="I303" s="618">
        <f t="shared" si="17"/>
      </c>
      <c r="J303" s="619">
        <f t="shared" si="392"/>
      </c>
      <c r="K303" s="620">
        <f t="shared" ref="K303:K313" si="454">D303/AB303</f>
      </c>
      <c r="L303" s="617">
        <f t="shared" ref="L303:L313" si="210">D303/AC303</f>
      </c>
      <c r="M303" s="617">
        <f t="shared" ref="M303:M313" si="295">D303/AD303</f>
      </c>
      <c r="N303" s="621">
        <f t="shared" ref="N303:N313" si="79">AC303/AB303</f>
      </c>
      <c r="O303" s="621">
        <f t="shared" ref="O303:O313" si="119">AD303/AC303</f>
      </c>
      <c r="P303" s="621">
        <f t="shared" si="174"/>
      </c>
      <c r="Q303" s="621">
        <f t="shared" ref="Q303:Q313" si="565">AD303/AA303</f>
      </c>
      <c r="R303" s="617">
        <f t="shared" si="43"/>
      </c>
      <c r="S303" s="619">
        <f t="shared" si="418"/>
      </c>
      <c r="T303" s="621">
        <f t="shared" ref="T303:T313" si="496">AE303/AB303</f>
      </c>
      <c r="U303" s="621">
        <f t="shared" ref="U303:U313" si="252">AF303/AB303</f>
      </c>
      <c r="V303" s="621">
        <f t="shared" ref="V303:V313" si="337">AG303/AB303</f>
      </c>
      <c r="W303" s="621">
        <f t="shared" si="147"/>
      </c>
      <c r="X303" s="696" t="s">
        <v>327</v>
      </c>
      <c r="Y303" s="613" t="s">
        <v>347</v>
      </c>
      <c r="Z303" s="622">
        <v>167661</v>
      </c>
      <c r="AA303" s="622">
        <v>1988</v>
      </c>
      <c r="AB303" s="622">
        <v>156571</v>
      </c>
      <c r="AC303" s="676">
        <v>99</v>
      </c>
      <c r="AD303" s="676">
        <v>2</v>
      </c>
      <c r="AE303" s="676">
        <v>3032</v>
      </c>
      <c r="AF303" s="676">
        <v>40</v>
      </c>
      <c r="AG303" s="676">
        <v>38</v>
      </c>
      <c r="AH303" s="676">
        <v>5</v>
      </c>
      <c r="AI303" s="623">
        <v>0</v>
      </c>
    </row>
    <row r="304">
      <c r="A304" s="719"/>
      <c r="B304" s="696" t="s">
        <v>354</v>
      </c>
      <c r="C304" s="697" t="s">
        <v>326</v>
      </c>
      <c r="D304" s="666">
        <v>746.997</v>
      </c>
      <c r="E304" s="667">
        <v>0</v>
      </c>
      <c r="F304" s="647">
        <v>0</v>
      </c>
      <c r="G304" s="693">
        <f t="shared" si="365"/>
      </c>
      <c r="H304" s="617">
        <f t="shared" si="530"/>
      </c>
      <c r="I304" s="618">
        <f t="shared" si="17"/>
      </c>
      <c r="J304" s="619">
        <f t="shared" si="392"/>
      </c>
      <c r="K304" s="620">
        <f t="shared" si="454"/>
      </c>
      <c r="L304" s="617">
        <f t="shared" si="210"/>
      </c>
      <c r="M304" s="617">
        <f t="shared" si="295"/>
      </c>
      <c r="N304" s="621">
        <f t="shared" si="79"/>
      </c>
      <c r="O304" s="621">
        <f t="shared" si="119"/>
      </c>
      <c r="P304" s="621">
        <f t="shared" si="174"/>
      </c>
      <c r="Q304" s="621">
        <f t="shared" si="565"/>
      </c>
      <c r="R304" s="617">
        <f t="shared" si="43"/>
      </c>
      <c r="S304" s="619">
        <f t="shared" si="418"/>
      </c>
      <c r="T304" s="621">
        <f t="shared" si="496"/>
      </c>
      <c r="U304" s="621">
        <f t="shared" si="252"/>
      </c>
      <c r="V304" s="621">
        <f t="shared" si="337"/>
      </c>
      <c r="W304" s="621">
        <f t="shared" si="147"/>
      </c>
      <c r="X304" s="696" t="s">
        <v>327</v>
      </c>
      <c r="Y304" s="706" t="s">
        <v>356</v>
      </c>
      <c r="Z304" s="622">
        <v>100238</v>
      </c>
      <c r="AA304" s="622">
        <v>1385</v>
      </c>
      <c r="AB304" s="622">
        <v>93650</v>
      </c>
      <c r="AC304" s="622">
        <v>84</v>
      </c>
      <c r="AD304" s="622">
        <v>0</v>
      </c>
      <c r="AE304" s="622">
        <v>1979</v>
      </c>
      <c r="AF304" s="622">
        <v>26</v>
      </c>
      <c r="AG304" s="622">
        <v>24</v>
      </c>
      <c r="AH304" s="622">
        <v>5</v>
      </c>
      <c r="AI304" s="623">
        <v>0</v>
      </c>
    </row>
    <row r="305">
      <c r="A305" s="719"/>
      <c r="B305" s="696" t="s">
        <v>354</v>
      </c>
      <c r="C305" s="697" t="s">
        <v>329</v>
      </c>
      <c r="D305" s="669">
        <v>2502.455</v>
      </c>
      <c r="E305" s="667">
        <v>0</v>
      </c>
      <c r="F305" s="647">
        <v>0</v>
      </c>
      <c r="G305" s="693">
        <f t="shared" si="365"/>
      </c>
      <c r="H305" s="617">
        <f t="shared" si="530"/>
      </c>
      <c r="I305" s="618">
        <f t="shared" si="17"/>
      </c>
      <c r="J305" s="619">
        <f t="shared" si="392"/>
      </c>
      <c r="K305" s="620">
        <f t="shared" si="454"/>
      </c>
      <c r="L305" s="617">
        <f t="shared" si="210"/>
      </c>
      <c r="M305" s="617">
        <f t="shared" si="295"/>
      </c>
      <c r="N305" s="621">
        <f t="shared" si="79"/>
      </c>
      <c r="O305" s="621">
        <f t="shared" si="119"/>
      </c>
      <c r="P305" s="621">
        <f t="shared" si="174"/>
      </c>
      <c r="Q305" s="621">
        <f t="shared" si="565"/>
      </c>
      <c r="R305" s="617">
        <f t="shared" si="43"/>
      </c>
      <c r="S305" s="619">
        <f t="shared" si="418"/>
      </c>
      <c r="T305" s="621">
        <f t="shared" si="496"/>
      </c>
      <c r="U305" s="621">
        <f t="shared" si="252"/>
      </c>
      <c r="V305" s="621">
        <f t="shared" si="337"/>
      </c>
      <c r="W305" s="621">
        <f t="shared" si="147"/>
      </c>
      <c r="X305" s="696" t="s">
        <v>327</v>
      </c>
      <c r="Y305" s="706" t="s">
        <v>356</v>
      </c>
      <c r="Z305" s="622">
        <v>377019</v>
      </c>
      <c r="AA305" s="622">
        <v>4442</v>
      </c>
      <c r="AB305" s="622">
        <v>367623</v>
      </c>
      <c r="AC305" s="622">
        <v>196</v>
      </c>
      <c r="AD305" s="622">
        <v>0</v>
      </c>
      <c r="AE305" s="622">
        <v>7165</v>
      </c>
      <c r="AF305" s="622">
        <v>63</v>
      </c>
      <c r="AG305" s="622">
        <v>69</v>
      </c>
      <c r="AH305" s="622">
        <v>4</v>
      </c>
      <c r="AI305" s="623">
        <v>0</v>
      </c>
    </row>
    <row r="306">
      <c r="A306" s="719"/>
      <c r="B306" s="722" t="s">
        <v>332</v>
      </c>
      <c r="C306" s="625"/>
      <c r="D306" s="626">
        <f>SUM(D301:D305)</f>
      </c>
      <c r="E306" s="627">
        <f>SUM(E301:E305)</f>
      </c>
      <c r="F306" s="626">
        <f>SUM(F301:F305)</f>
      </c>
      <c r="G306" s="626">
        <f t="shared" si="365"/>
      </c>
      <c r="H306" s="628">
        <f t="shared" si="530"/>
      </c>
      <c r="I306" s="629">
        <f t="shared" si="17"/>
      </c>
      <c r="J306" s="630">
        <f t="shared" si="392"/>
      </c>
      <c r="K306" s="631">
        <f t="shared" si="454"/>
      </c>
      <c r="L306" s="628">
        <f t="shared" si="210"/>
      </c>
      <c r="M306" s="628">
        <f t="shared" si="295"/>
      </c>
      <c r="N306" s="632">
        <f t="shared" si="79"/>
      </c>
      <c r="O306" s="632">
        <f t="shared" si="119"/>
      </c>
      <c r="P306" s="632">
        <f t="shared" si="174"/>
      </c>
      <c r="Q306" s="632">
        <f t="shared" si="565"/>
      </c>
      <c r="R306" s="628">
        <f t="shared" si="43"/>
      </c>
      <c r="S306" s="630">
        <f t="shared" si="418"/>
      </c>
      <c r="T306" s="632">
        <f t="shared" si="496"/>
      </c>
      <c r="U306" s="632">
        <f t="shared" si="252"/>
      </c>
      <c r="V306" s="632">
        <f t="shared" si="337"/>
      </c>
      <c r="W306" s="632">
        <f t="shared" si="147"/>
      </c>
      <c r="X306" s="632"/>
      <c r="Y306" s="698"/>
      <c r="Z306" s="626">
        <f>SUM(Z301:Z305)</f>
      </c>
      <c r="AA306" s="626">
        <f>SUM(AA301:AA305)</f>
      </c>
      <c r="AB306" s="626">
        <f>SUM(AB301:AB305)</f>
      </c>
      <c r="AC306" s="626">
        <f>SUM(AC301:AC305)</f>
      </c>
      <c r="AD306" s="626">
        <f>SUM(AD301:AD305)</f>
      </c>
      <c r="AE306" s="626">
        <f>SUM(AE301:AE305)</f>
      </c>
      <c r="AF306" s="626">
        <f>SUM(AF301:AF305)</f>
      </c>
      <c r="AG306" s="626">
        <f>SUM(AG301:AG305)</f>
      </c>
      <c r="AH306" s="626">
        <f>SUM(AH301:AH305)</f>
      </c>
      <c r="AI306" s="626">
        <f>SUM(AI301:AI305)</f>
      </c>
    </row>
    <row r="307">
      <c r="A307" s="719"/>
      <c r="B307" s="696" t="s">
        <v>325</v>
      </c>
      <c r="C307" s="697" t="s">
        <v>330</v>
      </c>
      <c r="D307" s="654">
        <v>3417.2509999999997</v>
      </c>
      <c r="E307" s="615">
        <v>5</v>
      </c>
      <c r="F307" s="657">
        <v>4352</v>
      </c>
      <c r="G307" s="693">
        <f t="shared" si="365"/>
      </c>
      <c r="H307" s="617">
        <f t="shared" si="530"/>
      </c>
      <c r="I307" s="618">
        <f t="shared" si="17"/>
      </c>
      <c r="J307" s="619">
        <f t="shared" si="392"/>
      </c>
      <c r="K307" s="620">
        <f t="shared" si="454"/>
      </c>
      <c r="L307" s="617">
        <f t="shared" si="210"/>
      </c>
      <c r="M307" s="622">
        <f t="shared" si="295"/>
      </c>
      <c r="N307" s="621">
        <f t="shared" si="79"/>
      </c>
      <c r="O307" s="621">
        <f t="shared" si="119"/>
      </c>
      <c r="P307" s="621">
        <f t="shared" si="174"/>
      </c>
      <c r="Q307" s="621">
        <f t="shared" si="565"/>
      </c>
      <c r="R307" s="617">
        <f t="shared" si="43"/>
      </c>
      <c r="S307" s="619">
        <f t="shared" si="418"/>
      </c>
      <c r="T307" s="621">
        <f t="shared" si="496"/>
      </c>
      <c r="U307" s="621">
        <f t="shared" si="252"/>
      </c>
      <c r="V307" s="621">
        <f t="shared" si="337"/>
      </c>
      <c r="W307" s="621">
        <f t="shared" si="147"/>
      </c>
      <c r="X307" s="696" t="s">
        <v>327</v>
      </c>
      <c r="Y307" s="706" t="s">
        <v>356</v>
      </c>
      <c r="Z307" s="622">
        <v>549678</v>
      </c>
      <c r="AA307" s="622">
        <v>8226</v>
      </c>
      <c r="AB307" s="622">
        <v>549262</v>
      </c>
      <c r="AC307" s="622">
        <v>375</v>
      </c>
      <c r="AD307" s="622">
        <v>4</v>
      </c>
      <c r="AE307" s="622">
        <v>12658</v>
      </c>
      <c r="AF307" s="622">
        <v>156</v>
      </c>
      <c r="AG307" s="622">
        <v>125</v>
      </c>
      <c r="AH307" s="623">
        <v>15</v>
      </c>
      <c r="AI307" s="623">
        <v>1</v>
      </c>
    </row>
    <row r="308">
      <c r="A308" s="719"/>
      <c r="B308" s="696" t="s">
        <v>325</v>
      </c>
      <c r="C308" s="697" t="s">
        <v>331</v>
      </c>
      <c r="D308" s="654">
        <v>1946.931</v>
      </c>
      <c r="E308" s="615">
        <v>4</v>
      </c>
      <c r="F308" s="657">
        <v>1416</v>
      </c>
      <c r="G308" s="693">
        <f t="shared" si="365"/>
      </c>
      <c r="H308" s="617">
        <f t="shared" si="530"/>
      </c>
      <c r="I308" s="618">
        <f t="shared" si="17"/>
      </c>
      <c r="J308" s="619">
        <f t="shared" si="392"/>
      </c>
      <c r="K308" s="620">
        <f t="shared" si="454"/>
      </c>
      <c r="L308" s="617">
        <f t="shared" si="210"/>
      </c>
      <c r="M308" s="617">
        <f t="shared" si="295"/>
      </c>
      <c r="N308" s="621">
        <f t="shared" si="79"/>
      </c>
      <c r="O308" s="621">
        <f t="shared" si="119"/>
      </c>
      <c r="P308" s="621">
        <f t="shared" si="174"/>
      </c>
      <c r="Q308" s="621">
        <f t="shared" si="565"/>
      </c>
      <c r="R308" s="617">
        <f t="shared" si="43"/>
      </c>
      <c r="S308" s="619">
        <f t="shared" si="418"/>
      </c>
      <c r="T308" s="621">
        <f t="shared" si="496"/>
      </c>
      <c r="U308" s="621">
        <f t="shared" si="252"/>
      </c>
      <c r="V308" s="621">
        <f t="shared" si="337"/>
      </c>
      <c r="W308" s="621">
        <f t="shared" si="147"/>
      </c>
      <c r="X308" s="696" t="s">
        <v>327</v>
      </c>
      <c r="Y308" s="706" t="s">
        <v>356</v>
      </c>
      <c r="Z308" s="622">
        <v>360491</v>
      </c>
      <c r="AA308" s="622">
        <v>7878</v>
      </c>
      <c r="AB308" s="622">
        <v>362204</v>
      </c>
      <c r="AC308" s="622">
        <v>290</v>
      </c>
      <c r="AD308" s="622">
        <v>3</v>
      </c>
      <c r="AE308" s="622">
        <v>9184</v>
      </c>
      <c r="AF308" s="622">
        <v>139</v>
      </c>
      <c r="AG308" s="622">
        <v>151</v>
      </c>
      <c r="AH308" s="622">
        <v>7</v>
      </c>
      <c r="AI308" s="623">
        <v>0</v>
      </c>
    </row>
    <row r="309">
      <c r="A309" s="719"/>
      <c r="B309" s="696" t="s">
        <v>325</v>
      </c>
      <c r="C309" s="697" t="s">
        <v>334</v>
      </c>
      <c r="D309" s="654">
        <v>375.055</v>
      </c>
      <c r="E309" s="615">
        <v>1</v>
      </c>
      <c r="F309" s="647">
        <v>228</v>
      </c>
      <c r="G309" s="693">
        <f t="shared" si="365"/>
      </c>
      <c r="H309" s="617">
        <f t="shared" si="530"/>
      </c>
      <c r="I309" s="618">
        <f t="shared" si="17"/>
      </c>
      <c r="J309" s="619">
        <f t="shared" si="392"/>
      </c>
      <c r="K309" s="620">
        <f t="shared" si="454"/>
      </c>
      <c r="L309" s="617">
        <f t="shared" si="210"/>
      </c>
      <c r="M309" s="617">
        <f t="shared" si="295"/>
      </c>
      <c r="N309" s="621">
        <f t="shared" si="79"/>
      </c>
      <c r="O309" s="621">
        <f t="shared" si="119"/>
      </c>
      <c r="P309" s="621">
        <f t="shared" si="174"/>
      </c>
      <c r="Q309" s="621">
        <f t="shared" si="565"/>
      </c>
      <c r="R309" s="617">
        <f t="shared" si="43"/>
      </c>
      <c r="S309" s="619">
        <f t="shared" si="418"/>
      </c>
      <c r="T309" s="621">
        <f t="shared" si="496"/>
      </c>
      <c r="U309" s="621">
        <f t="shared" si="252"/>
      </c>
      <c r="V309" s="621">
        <f t="shared" si="337"/>
      </c>
      <c r="W309" s="621">
        <f t="shared" si="147"/>
      </c>
      <c r="X309" s="696" t="s">
        <v>327</v>
      </c>
      <c r="Y309" s="706" t="s">
        <v>356</v>
      </c>
      <c r="Z309" s="622">
        <v>57472</v>
      </c>
      <c r="AA309" s="622">
        <v>2468</v>
      </c>
      <c r="AB309" s="622">
        <v>55448</v>
      </c>
      <c r="AC309" s="622">
        <v>107</v>
      </c>
      <c r="AD309" s="622">
        <v>1</v>
      </c>
      <c r="AE309" s="622">
        <v>1812</v>
      </c>
      <c r="AF309" s="622">
        <v>53</v>
      </c>
      <c r="AG309" s="622">
        <v>39</v>
      </c>
      <c r="AH309" s="622">
        <v>4</v>
      </c>
      <c r="AI309" s="623">
        <v>0</v>
      </c>
    </row>
    <row r="310">
      <c r="A310" s="719"/>
      <c r="B310" s="696" t="s">
        <v>325</v>
      </c>
      <c r="C310" s="697" t="s">
        <v>335</v>
      </c>
      <c r="D310" s="654">
        <v>512.499</v>
      </c>
      <c r="E310" s="615">
        <v>1</v>
      </c>
      <c r="F310" s="657">
        <v>445.2000000000007</v>
      </c>
      <c r="G310" s="693">
        <f t="shared" si="365"/>
      </c>
      <c r="H310" s="617">
        <f t="shared" si="530"/>
      </c>
      <c r="I310" s="618">
        <f t="shared" si="17"/>
      </c>
      <c r="J310" s="619">
        <f t="shared" si="392"/>
      </c>
      <c r="K310" s="620">
        <f t="shared" si="454"/>
      </c>
      <c r="L310" s="617">
        <f t="shared" si="210"/>
      </c>
      <c r="M310" s="617">
        <f t="shared" si="295"/>
      </c>
      <c r="N310" s="621">
        <f t="shared" si="79"/>
      </c>
      <c r="O310" s="621">
        <f t="shared" si="119"/>
      </c>
      <c r="P310" s="621">
        <f t="shared" si="174"/>
      </c>
      <c r="Q310" s="621">
        <f t="shared" si="565"/>
      </c>
      <c r="R310" s="617">
        <f t="shared" si="43"/>
      </c>
      <c r="S310" s="619">
        <f t="shared" si="418"/>
      </c>
      <c r="T310" s="621">
        <f t="shared" si="496"/>
      </c>
      <c r="U310" s="621">
        <f t="shared" si="252"/>
      </c>
      <c r="V310" s="621">
        <f t="shared" si="337"/>
      </c>
      <c r="W310" s="621">
        <f t="shared" si="147"/>
      </c>
      <c r="X310" s="696" t="s">
        <v>327</v>
      </c>
      <c r="Y310" s="706" t="s">
        <v>356</v>
      </c>
      <c r="Z310" s="622">
        <v>78816</v>
      </c>
      <c r="AA310" s="622">
        <v>3148</v>
      </c>
      <c r="AB310" s="622">
        <v>76189</v>
      </c>
      <c r="AC310" s="622">
        <v>130</v>
      </c>
      <c r="AD310" s="622">
        <v>1</v>
      </c>
      <c r="AE310" s="622">
        <v>2295</v>
      </c>
      <c r="AF310" s="622">
        <v>35</v>
      </c>
      <c r="AG310" s="622">
        <v>47</v>
      </c>
      <c r="AH310" s="623">
        <v>6</v>
      </c>
      <c r="AI310" s="623">
        <v>0</v>
      </c>
    </row>
    <row r="311">
      <c r="A311" s="719"/>
      <c r="B311" s="696" t="s">
        <v>325</v>
      </c>
      <c r="C311" s="697" t="s">
        <v>336</v>
      </c>
      <c r="D311" s="654">
        <v>393.72900000000004</v>
      </c>
      <c r="E311" s="615">
        <v>5</v>
      </c>
      <c r="F311" s="647">
        <v>764.6000000000004</v>
      </c>
      <c r="G311" s="693">
        <f t="shared" si="365"/>
      </c>
      <c r="H311" s="617">
        <f t="shared" si="530"/>
      </c>
      <c r="I311" s="618">
        <f t="shared" si="17"/>
      </c>
      <c r="J311" s="619">
        <f t="shared" si="392"/>
      </c>
      <c r="K311" s="620">
        <f t="shared" si="454"/>
      </c>
      <c r="L311" s="617">
        <f t="shared" si="210"/>
      </c>
      <c r="M311" s="617">
        <f t="shared" si="295"/>
      </c>
      <c r="N311" s="621">
        <f t="shared" si="79"/>
      </c>
      <c r="O311" s="621">
        <f t="shared" si="119"/>
      </c>
      <c r="P311" s="621">
        <f t="shared" si="174"/>
      </c>
      <c r="Q311" s="621">
        <f t="shared" si="565"/>
      </c>
      <c r="R311" s="617">
        <f t="shared" si="43"/>
      </c>
      <c r="S311" s="619">
        <f t="shared" si="418"/>
      </c>
      <c r="T311" s="621">
        <f t="shared" si="496"/>
      </c>
      <c r="U311" s="621">
        <f t="shared" si="252"/>
      </c>
      <c r="V311" s="621">
        <f t="shared" si="337"/>
      </c>
      <c r="W311" s="621">
        <f t="shared" si="147"/>
      </c>
      <c r="X311" s="696" t="s">
        <v>327</v>
      </c>
      <c r="Y311" s="706" t="s">
        <v>356</v>
      </c>
      <c r="Z311" s="622">
        <v>56438</v>
      </c>
      <c r="AA311" s="622">
        <v>2341</v>
      </c>
      <c r="AB311" s="622">
        <v>53892</v>
      </c>
      <c r="AC311" s="622">
        <v>73</v>
      </c>
      <c r="AD311" s="622">
        <v>0</v>
      </c>
      <c r="AE311" s="622">
        <v>1664</v>
      </c>
      <c r="AF311" s="622">
        <v>27</v>
      </c>
      <c r="AG311" s="622">
        <v>35</v>
      </c>
      <c r="AH311" s="622">
        <v>4</v>
      </c>
      <c r="AI311" s="623">
        <v>2</v>
      </c>
    </row>
    <row r="312">
      <c r="A312" s="719"/>
      <c r="B312" s="722" t="s">
        <v>332</v>
      </c>
      <c r="C312" s="625"/>
      <c r="D312" s="626">
        <f>SUM(D307:D311)</f>
      </c>
      <c r="E312" s="627">
        <f>SUM(E307:E311)</f>
      </c>
      <c r="F312" s="626">
        <f>SUM(F307:F311)</f>
      </c>
      <c r="G312" s="626">
        <f t="shared" si="365"/>
      </c>
      <c r="H312" s="628">
        <f t="shared" si="530"/>
      </c>
      <c r="I312" s="629">
        <f t="shared" si="17"/>
      </c>
      <c r="J312" s="630">
        <f t="shared" si="392"/>
      </c>
      <c r="K312" s="631">
        <f t="shared" si="454"/>
      </c>
      <c r="L312" s="628">
        <f t="shared" si="210"/>
      </c>
      <c r="M312" s="628">
        <f t="shared" si="295"/>
      </c>
      <c r="N312" s="632">
        <f t="shared" si="79"/>
      </c>
      <c r="O312" s="632">
        <f t="shared" si="119"/>
      </c>
      <c r="P312" s="632">
        <f t="shared" si="174"/>
      </c>
      <c r="Q312" s="632">
        <f t="shared" si="565"/>
      </c>
      <c r="R312" s="628">
        <f t="shared" si="43"/>
      </c>
      <c r="S312" s="630">
        <f t="shared" si="418"/>
      </c>
      <c r="T312" s="632">
        <f t="shared" si="496"/>
      </c>
      <c r="U312" s="632">
        <f t="shared" si="252"/>
      </c>
      <c r="V312" s="632">
        <f t="shared" si="337"/>
      </c>
      <c r="W312" s="632">
        <f t="shared" si="147"/>
      </c>
      <c r="X312" s="632"/>
      <c r="Y312" s="698"/>
      <c r="Z312" s="626">
        <f>SUM(Z307:Z311)</f>
      </c>
      <c r="AA312" s="626">
        <f>SUM(AA307:AA311)</f>
      </c>
      <c r="AB312" s="626">
        <f>SUM(AB307:AB311)</f>
      </c>
      <c r="AC312" s="626">
        <f>SUM(AC307:AC311)</f>
      </c>
      <c r="AD312" s="626">
        <f>SUM(AD307:AD311)</f>
      </c>
      <c r="AE312" s="626">
        <f>SUM(AE307:AE311)</f>
      </c>
      <c r="AF312" s="626">
        <f>SUM(AF307:AF311)</f>
      </c>
      <c r="AG312" s="626">
        <f>SUM(AG307:AG311)</f>
      </c>
      <c r="AH312" s="626">
        <f>SUM(AH307:AH311)</f>
      </c>
      <c r="AI312" s="626">
        <f>SUM(AI307:AI311)</f>
      </c>
    </row>
    <row r="313">
      <c r="A313" s="719"/>
      <c r="B313" s="678" t="s">
        <v>337</v>
      </c>
      <c r="C313" s="678"/>
      <c r="D313" s="679">
        <f>SUM(D312+D306+D300)</f>
      </c>
      <c r="E313" s="688">
        <f>SUM(E312+E306+E300)</f>
      </c>
      <c r="F313" s="679">
        <f>SUM(F312+F306+F300)</f>
      </c>
      <c r="G313" s="679">
        <f t="shared" si="365"/>
      </c>
      <c r="H313" s="680">
        <f t="shared" si="530"/>
      </c>
      <c r="I313" s="681">
        <f t="shared" si="17"/>
      </c>
      <c r="J313" s="682">
        <f t="shared" si="392"/>
      </c>
      <c r="K313" s="683">
        <f t="shared" si="454"/>
      </c>
      <c r="L313" s="683">
        <f t="shared" si="210"/>
      </c>
      <c r="M313" s="684">
        <f t="shared" si="295"/>
      </c>
      <c r="N313" s="685">
        <f t="shared" si="79"/>
      </c>
      <c r="O313" s="685">
        <f t="shared" si="119"/>
      </c>
      <c r="P313" s="685">
        <f t="shared" si="174"/>
      </c>
      <c r="Q313" s="685">
        <f t="shared" si="565"/>
      </c>
      <c r="R313" s="684">
        <f t="shared" si="43"/>
      </c>
      <c r="S313" s="686">
        <f t="shared" si="418"/>
      </c>
      <c r="T313" s="687">
        <f t="shared" si="496"/>
      </c>
      <c r="U313" s="687">
        <f t="shared" si="252"/>
      </c>
      <c r="V313" s="687">
        <f t="shared" si="337"/>
      </c>
      <c r="W313" s="687">
        <f t="shared" si="147"/>
      </c>
      <c r="X313" s="687"/>
      <c r="Y313" s="658"/>
      <c r="Z313" s="679">
        <f>SUM(Z312+Z306+Z300)</f>
      </c>
      <c r="AA313" s="679">
        <f>SUM(AA312+AA306+AA300)</f>
      </c>
      <c r="AB313" s="679">
        <f>SUM(AB312+AB306+AB300)</f>
      </c>
      <c r="AC313" s="679">
        <f>SUM(AC312+AC306+AC300)</f>
      </c>
      <c r="AD313" s="679">
        <f>SUM(AD312+AD306+AD300)</f>
      </c>
      <c r="AE313" s="679">
        <f>SUM(AE312+AE306+AE300)</f>
      </c>
      <c r="AF313" s="679">
        <f>SUM(AF312+AF306+AF300)</f>
      </c>
      <c r="AG313" s="679">
        <f>SUM(AG312+AG306+AG300)</f>
      </c>
      <c r="AH313" s="679">
        <f>SUM(AH312+AH306+AH300)</f>
      </c>
      <c r="AI313" s="679">
        <f>SUM(AI312+AI306+AI300)</f>
      </c>
    </row>
    <row r="314">
      <c r="A314" s="603" t="s">
        <v>291</v>
      </c>
      <c r="B314" s="603" t="s">
        <v>292</v>
      </c>
      <c r="C314" s="707" t="s">
        <v>293</v>
      </c>
      <c r="D314" s="689" t="s">
        <v>294</v>
      </c>
      <c r="E314" s="690" t="s">
        <v>295</v>
      </c>
      <c r="F314" s="662" t="s">
        <v>296</v>
      </c>
      <c r="G314" s="662" t="s">
        <v>349</v>
      </c>
      <c r="H314" s="595" t="s">
        <v>297</v>
      </c>
      <c r="I314" s="595" t="s">
        <v>298</v>
      </c>
      <c r="J314" s="595" t="s">
        <v>299</v>
      </c>
      <c r="K314" s="597" t="s">
        <v>300</v>
      </c>
      <c r="L314" s="597" t="s">
        <v>301</v>
      </c>
      <c r="M314" s="597" t="s">
        <v>302</v>
      </c>
      <c r="N314" s="597" t="s">
        <v>303</v>
      </c>
      <c r="O314" s="597" t="s">
        <v>304</v>
      </c>
      <c r="P314" s="597" t="s">
        <v>305</v>
      </c>
      <c r="Q314" s="597" t="s">
        <v>306</v>
      </c>
      <c r="R314" s="597" t="s">
        <v>307</v>
      </c>
      <c r="S314" s="597" t="s">
        <v>308</v>
      </c>
      <c r="T314" s="606" t="s">
        <v>309</v>
      </c>
      <c r="U314" s="606" t="s">
        <v>310</v>
      </c>
      <c r="V314" s="606" t="s">
        <v>311</v>
      </c>
      <c r="W314" s="606" t="s">
        <v>312</v>
      </c>
      <c r="X314" s="607" t="s">
        <v>313</v>
      </c>
      <c r="Y314" s="607" t="s">
        <v>314</v>
      </c>
      <c r="Z314" s="651" t="s">
        <v>315</v>
      </c>
      <c r="AA314" s="651" t="s">
        <v>316</v>
      </c>
      <c r="AB314" s="651" t="s">
        <v>317</v>
      </c>
      <c r="AC314" s="609" t="s">
        <v>318</v>
      </c>
      <c r="AD314" s="609" t="s">
        <v>319</v>
      </c>
      <c r="AE314" s="652" t="s">
        <v>320</v>
      </c>
      <c r="AF314" s="609" t="s">
        <v>321</v>
      </c>
      <c r="AG314" s="609" t="s">
        <v>322</v>
      </c>
      <c r="AH314" s="611" t="s">
        <v>323</v>
      </c>
      <c r="AI314" s="609" t="s">
        <v>324</v>
      </c>
    </row>
    <row r="315">
      <c r="A315" s="719">
        <v>46197</v>
      </c>
      <c r="B315" s="720" t="s">
        <v>333</v>
      </c>
      <c r="C315" s="710" t="s">
        <v>338</v>
      </c>
      <c r="D315" s="711">
        <v>458.821</v>
      </c>
      <c r="E315" s="692">
        <v>2</v>
      </c>
      <c r="F315" s="665">
        <v>424</v>
      </c>
      <c r="G315" s="693">
        <f t="shared" ref="G315:G333" si="366">D315/AD315</f>
      </c>
      <c r="H315" s="617">
        <f t="shared" ref="H315:H333" si="531">F315/E315</f>
      </c>
      <c r="I315" s="618">
        <f t="shared" ref="I315:I333" si="18">D315/E315</f>
      </c>
      <c r="J315" s="619">
        <f t="shared" ref="J315:J333" si="393">F315/D315</f>
      </c>
      <c r="K315" s="620">
        <f t="shared" ref="K315:K321" si="455">D315/AB315</f>
      </c>
      <c r="L315" s="617">
        <f t="shared" ref="L315:L321" si="211">D315/AC315</f>
      </c>
      <c r="M315" s="617">
        <f t="shared" ref="M315:M321" si="296">D315/AD315</f>
      </c>
      <c r="N315" s="621">
        <f t="shared" ref="N315:N321" si="80">AC315/AB315</f>
      </c>
      <c r="O315" s="621">
        <f t="shared" ref="O315:O321" si="120">AD315/AC315</f>
      </c>
      <c r="P315" s="621">
        <f t="shared" ref="P315:P333" si="175">AA315/Z315</f>
      </c>
      <c r="Q315" s="621">
        <f t="shared" ref="Q315:Q321" si="566">AD315/AA315</f>
      </c>
      <c r="R315" s="617">
        <f t="shared" ref="R315:R333" si="44">D315/Z315*1000</f>
      </c>
      <c r="S315" s="619">
        <f t="shared" ref="S315:S333" si="419">D315/AA315</f>
      </c>
      <c r="T315" s="621">
        <f t="shared" ref="T315:T321" si="497">AE315/AB315</f>
      </c>
      <c r="U315" s="621">
        <f t="shared" ref="U315:U321" si="253">AF315/AB315</f>
      </c>
      <c r="V315" s="621">
        <f t="shared" ref="V315:V321" si="338">AG315/AB315</f>
      </c>
      <c r="W315" s="621">
        <f t="shared" ref="W315:W333" si="148">AH315/AB315</f>
      </c>
      <c r="X315" s="653" t="s">
        <v>327</v>
      </c>
      <c r="Y315" s="613" t="s">
        <v>358</v>
      </c>
      <c r="Z315" s="655">
        <v>27031</v>
      </c>
      <c r="AA315" s="655">
        <v>1343</v>
      </c>
      <c r="AB315" s="655">
        <v>25601</v>
      </c>
      <c r="AC315" s="655">
        <v>158</v>
      </c>
      <c r="AD315" s="622">
        <v>0</v>
      </c>
      <c r="AE315" s="655">
        <v>2721</v>
      </c>
      <c r="AF315" s="622">
        <v>36</v>
      </c>
      <c r="AG315" s="622">
        <v>36</v>
      </c>
      <c r="AH315" s="622">
        <v>4</v>
      </c>
      <c r="AI315" s="623">
        <v>0</v>
      </c>
    </row>
    <row r="316">
      <c r="A316" s="719"/>
      <c r="B316" s="720" t="s">
        <v>333</v>
      </c>
      <c r="C316" s="710" t="s">
        <v>340</v>
      </c>
      <c r="D316" s="711">
        <v>459.654</v>
      </c>
      <c r="E316" s="692">
        <v>0</v>
      </c>
      <c r="F316" s="665">
        <v>0</v>
      </c>
      <c r="G316" s="693">
        <f t="shared" si="366"/>
      </c>
      <c r="H316" s="617">
        <f t="shared" si="531"/>
      </c>
      <c r="I316" s="618">
        <f t="shared" si="18"/>
      </c>
      <c r="J316" s="619">
        <f t="shared" si="393"/>
      </c>
      <c r="K316" s="620">
        <f t="shared" si="455"/>
      </c>
      <c r="L316" s="617">
        <f t="shared" si="211"/>
      </c>
      <c r="M316" s="617">
        <f t="shared" si="296"/>
      </c>
      <c r="N316" s="621">
        <f t="shared" si="80"/>
      </c>
      <c r="O316" s="621">
        <f t="shared" si="120"/>
      </c>
      <c r="P316" s="621">
        <f t="shared" si="175"/>
      </c>
      <c r="Q316" s="621">
        <f t="shared" si="566"/>
      </c>
      <c r="R316" s="617">
        <f t="shared" si="44"/>
      </c>
      <c r="S316" s="619">
        <f t="shared" si="419"/>
      </c>
      <c r="T316" s="621">
        <f t="shared" si="497"/>
      </c>
      <c r="U316" s="621">
        <f t="shared" si="253"/>
      </c>
      <c r="V316" s="621">
        <f t="shared" si="338"/>
      </c>
      <c r="W316" s="621">
        <f t="shared" si="148"/>
      </c>
      <c r="X316" s="653" t="s">
        <v>327</v>
      </c>
      <c r="Y316" s="613" t="s">
        <v>358</v>
      </c>
      <c r="Z316" s="622">
        <v>25539</v>
      </c>
      <c r="AA316" s="655">
        <v>1172</v>
      </c>
      <c r="AB316" s="655">
        <v>24116</v>
      </c>
      <c r="AC316" s="655">
        <v>76</v>
      </c>
      <c r="AD316" s="622">
        <v>0</v>
      </c>
      <c r="AE316" s="655">
        <v>2010</v>
      </c>
      <c r="AF316" s="622">
        <v>26</v>
      </c>
      <c r="AG316" s="622">
        <v>20</v>
      </c>
      <c r="AH316" s="622">
        <v>7</v>
      </c>
      <c r="AI316" s="623">
        <v>0</v>
      </c>
    </row>
    <row r="317">
      <c r="A317" s="719"/>
      <c r="B317" s="720" t="s">
        <v>333</v>
      </c>
      <c r="C317" s="712" t="s">
        <v>341</v>
      </c>
      <c r="D317" s="711">
        <v>345.755</v>
      </c>
      <c r="E317" s="692">
        <v>0</v>
      </c>
      <c r="F317" s="665">
        <v>0</v>
      </c>
      <c r="G317" s="693">
        <f t="shared" si="366"/>
      </c>
      <c r="H317" s="617">
        <f t="shared" si="531"/>
      </c>
      <c r="I317" s="618">
        <f t="shared" si="18"/>
      </c>
      <c r="J317" s="619">
        <f t="shared" si="393"/>
      </c>
      <c r="K317" s="620">
        <f t="shared" si="455"/>
      </c>
      <c r="L317" s="617">
        <f t="shared" si="211"/>
      </c>
      <c r="M317" s="617">
        <f t="shared" si="296"/>
      </c>
      <c r="N317" s="621">
        <f t="shared" si="80"/>
      </c>
      <c r="O317" s="621">
        <f t="shared" si="120"/>
      </c>
      <c r="P317" s="621">
        <f t="shared" si="175"/>
      </c>
      <c r="Q317" s="621">
        <f t="shared" si="566"/>
      </c>
      <c r="R317" s="617">
        <f t="shared" si="44"/>
      </c>
      <c r="S317" s="619">
        <f t="shared" si="419"/>
      </c>
      <c r="T317" s="621">
        <f t="shared" si="497"/>
      </c>
      <c r="U317" s="621">
        <f t="shared" si="253"/>
      </c>
      <c r="V317" s="621">
        <f t="shared" si="338"/>
      </c>
      <c r="W317" s="621">
        <f t="shared" si="148"/>
      </c>
      <c r="X317" s="693" t="s">
        <v>327</v>
      </c>
      <c r="Y317" s="613" t="s">
        <v>358</v>
      </c>
      <c r="Z317" s="622">
        <v>22438</v>
      </c>
      <c r="AA317" s="622">
        <v>1296</v>
      </c>
      <c r="AB317" s="622">
        <v>20680</v>
      </c>
      <c r="AC317" s="622">
        <v>70</v>
      </c>
      <c r="AD317" s="622">
        <v>0</v>
      </c>
      <c r="AE317" s="622">
        <v>1470</v>
      </c>
      <c r="AF317" s="622">
        <v>27</v>
      </c>
      <c r="AG317" s="622">
        <v>25</v>
      </c>
      <c r="AH317" s="622">
        <v>1</v>
      </c>
      <c r="AI317" s="623">
        <v>0</v>
      </c>
    </row>
    <row r="318">
      <c r="A318" s="719"/>
      <c r="B318" s="720" t="s">
        <v>333</v>
      </c>
      <c r="C318" s="713" t="s">
        <v>342</v>
      </c>
      <c r="D318" s="714">
        <v>303.86400000000003</v>
      </c>
      <c r="E318" s="692">
        <v>2</v>
      </c>
      <c r="F318" s="665">
        <v>424</v>
      </c>
      <c r="G318" s="693">
        <f t="shared" si="366"/>
      </c>
      <c r="H318" s="617">
        <f t="shared" si="531"/>
      </c>
      <c r="I318" s="618">
        <f t="shared" si="18"/>
      </c>
      <c r="J318" s="619">
        <f t="shared" si="393"/>
      </c>
      <c r="K318" s="620">
        <f t="shared" si="455"/>
      </c>
      <c r="L318" s="617">
        <f t="shared" si="211"/>
      </c>
      <c r="M318" s="617">
        <f t="shared" si="296"/>
      </c>
      <c r="N318" s="621">
        <f t="shared" si="80"/>
      </c>
      <c r="O318" s="621">
        <f t="shared" si="120"/>
      </c>
      <c r="P318" s="621">
        <f t="shared" si="175"/>
      </c>
      <c r="Q318" s="621">
        <f t="shared" si="566"/>
      </c>
      <c r="R318" s="617">
        <f t="shared" si="44"/>
      </c>
      <c r="S318" s="619">
        <f t="shared" si="419"/>
      </c>
      <c r="T318" s="621">
        <f t="shared" si="497"/>
      </c>
      <c r="U318" s="621">
        <f t="shared" si="253"/>
      </c>
      <c r="V318" s="621">
        <f t="shared" si="338"/>
      </c>
      <c r="W318" s="621">
        <f t="shared" si="148"/>
      </c>
      <c r="X318" s="696" t="s">
        <v>327</v>
      </c>
      <c r="Y318" s="613" t="s">
        <v>358</v>
      </c>
      <c r="Z318" s="622">
        <v>20603</v>
      </c>
      <c r="AA318" s="622">
        <v>1327</v>
      </c>
      <c r="AB318" s="622">
        <v>18855</v>
      </c>
      <c r="AC318" s="622">
        <v>72</v>
      </c>
      <c r="AD318" s="622">
        <v>2</v>
      </c>
      <c r="AE318" s="622">
        <v>1233</v>
      </c>
      <c r="AF318" s="622">
        <v>27</v>
      </c>
      <c r="AG318" s="622">
        <v>17</v>
      </c>
      <c r="AH318" s="622">
        <v>4</v>
      </c>
      <c r="AI318" s="623">
        <v>0</v>
      </c>
    </row>
    <row r="319">
      <c r="A319" s="719"/>
      <c r="B319" s="720" t="s">
        <v>333</v>
      </c>
      <c r="C319" s="713" t="s">
        <v>343</v>
      </c>
      <c r="D319" s="714">
        <v>337.594</v>
      </c>
      <c r="E319" s="667">
        <v>2</v>
      </c>
      <c r="F319" s="647">
        <v>1045.1999999999998</v>
      </c>
      <c r="G319" s="693">
        <f t="shared" si="366"/>
      </c>
      <c r="H319" s="617">
        <f t="shared" si="531"/>
      </c>
      <c r="I319" s="618">
        <f t="shared" si="18"/>
      </c>
      <c r="J319" s="619">
        <f t="shared" si="393"/>
      </c>
      <c r="K319" s="620">
        <f t="shared" si="455"/>
      </c>
      <c r="L319" s="617">
        <f t="shared" si="211"/>
      </c>
      <c r="M319" s="617">
        <f t="shared" si="296"/>
      </c>
      <c r="N319" s="621">
        <f t="shared" si="80"/>
      </c>
      <c r="O319" s="621">
        <f t="shared" si="120"/>
      </c>
      <c r="P319" s="621">
        <f t="shared" si="175"/>
      </c>
      <c r="Q319" s="621">
        <f t="shared" si="566"/>
      </c>
      <c r="R319" s="617">
        <f t="shared" si="44"/>
      </c>
      <c r="S319" s="619">
        <f t="shared" si="419"/>
      </c>
      <c r="T319" s="621">
        <f t="shared" si="497"/>
      </c>
      <c r="U319" s="621">
        <f t="shared" si="253"/>
      </c>
      <c r="V319" s="621">
        <f t="shared" si="338"/>
      </c>
      <c r="W319" s="621">
        <f t="shared" si="148"/>
      </c>
      <c r="X319" s="696" t="s">
        <v>327</v>
      </c>
      <c r="Y319" s="613" t="s">
        <v>358</v>
      </c>
      <c r="Z319" s="622">
        <v>25764</v>
      </c>
      <c r="AA319" s="622">
        <v>1577</v>
      </c>
      <c r="AB319" s="622">
        <v>24033</v>
      </c>
      <c r="AC319" s="622">
        <v>66</v>
      </c>
      <c r="AD319" s="622">
        <v>1</v>
      </c>
      <c r="AE319" s="622">
        <v>1304</v>
      </c>
      <c r="AF319" s="622">
        <v>30</v>
      </c>
      <c r="AG319" s="622">
        <v>21</v>
      </c>
      <c r="AH319" s="622">
        <v>3</v>
      </c>
      <c r="AI319" s="623">
        <v>1</v>
      </c>
    </row>
    <row r="320">
      <c r="A320" s="719"/>
      <c r="B320" s="721" t="s">
        <v>332</v>
      </c>
      <c r="C320" s="721"/>
      <c r="D320" s="716">
        <f>SUM(D315:D319)</f>
      </c>
      <c r="E320" s="627">
        <f>SUM(E315:E319)</f>
      </c>
      <c r="F320" s="626">
        <f>SUM(F315:F319)</f>
      </c>
      <c r="G320" s="626">
        <f t="shared" si="366"/>
      </c>
      <c r="H320" s="628">
        <f t="shared" si="531"/>
      </c>
      <c r="I320" s="629">
        <f t="shared" si="18"/>
      </c>
      <c r="J320" s="630">
        <f t="shared" si="393"/>
      </c>
      <c r="K320" s="631">
        <f t="shared" si="455"/>
      </c>
      <c r="L320" s="628">
        <f t="shared" si="211"/>
      </c>
      <c r="M320" s="628">
        <f t="shared" si="296"/>
      </c>
      <c r="N320" s="632">
        <f t="shared" si="80"/>
      </c>
      <c r="O320" s="632">
        <f t="shared" si="120"/>
      </c>
      <c r="P320" s="632">
        <f t="shared" si="175"/>
      </c>
      <c r="Q320" s="632">
        <f t="shared" si="566"/>
      </c>
      <c r="R320" s="628">
        <f t="shared" si="44"/>
      </c>
      <c r="S320" s="630">
        <f t="shared" si="419"/>
      </c>
      <c r="T320" s="632">
        <f t="shared" si="497"/>
      </c>
      <c r="U320" s="632">
        <f t="shared" si="253"/>
      </c>
      <c r="V320" s="632">
        <f t="shared" si="338"/>
      </c>
      <c r="W320" s="632">
        <f t="shared" si="148"/>
      </c>
      <c r="X320" s="632"/>
      <c r="Y320" s="698"/>
      <c r="Z320" s="626">
        <f>SUM(Z315:Z319)</f>
      </c>
      <c r="AA320" s="626">
        <f>SUM(AA315:AA319)</f>
      </c>
      <c r="AB320" s="626">
        <f>SUM(AB315:AB319)</f>
      </c>
      <c r="AC320" s="626">
        <f>SUM(AC315:AC319)</f>
      </c>
      <c r="AD320" s="626">
        <f>SUM(AD315:AD319)</f>
      </c>
      <c r="AE320" s="626">
        <f>SUM(AE315:AE319)</f>
      </c>
      <c r="AF320" s="626">
        <f>SUM(AF315:AF319)</f>
      </c>
      <c r="AG320" s="626">
        <f>SUM(AG315:AG319)</f>
      </c>
      <c r="AH320" s="626">
        <f>SUM(AH315:AH319)</f>
      </c>
      <c r="AI320" s="626">
        <f>SUM(AI315:AI319)</f>
      </c>
    </row>
    <row r="321">
      <c r="A321" s="719"/>
      <c r="B321" s="717" t="s">
        <v>354</v>
      </c>
      <c r="C321" s="718" t="s">
        <v>344</v>
      </c>
      <c r="D321" s="691">
        <v>300.447</v>
      </c>
      <c r="E321" s="692">
        <v>2</v>
      </c>
      <c r="F321" s="665">
        <v>445.20000000000005</v>
      </c>
      <c r="G321" s="693">
        <f t="shared" si="366"/>
      </c>
      <c r="H321" s="617">
        <f t="shared" si="531"/>
      </c>
      <c r="I321" s="618">
        <f t="shared" si="18"/>
      </c>
      <c r="J321" s="619">
        <f t="shared" si="393"/>
      </c>
      <c r="K321" s="620">
        <f t="shared" si="455"/>
      </c>
      <c r="L321" s="617">
        <f t="shared" si="211"/>
      </c>
      <c r="M321" s="617">
        <f t="shared" si="296"/>
      </c>
      <c r="N321" s="621">
        <f t="shared" si="80"/>
      </c>
      <c r="O321" s="621">
        <f t="shared" si="120"/>
      </c>
      <c r="P321" s="621">
        <f t="shared" si="175"/>
      </c>
      <c r="Q321" s="621">
        <f t="shared" si="566"/>
      </c>
      <c r="R321" s="617">
        <f t="shared" si="44"/>
      </c>
      <c r="S321" s="619">
        <f t="shared" si="419"/>
      </c>
      <c r="T321" s="621">
        <f t="shared" si="497"/>
      </c>
      <c r="U321" s="621">
        <f t="shared" si="253"/>
      </c>
      <c r="V321" s="621">
        <f t="shared" si="338"/>
      </c>
      <c r="W321" s="621">
        <f t="shared" si="148"/>
      </c>
      <c r="X321" s="696" t="s">
        <v>327</v>
      </c>
      <c r="Y321" s="613" t="s">
        <v>358</v>
      </c>
      <c r="Z321" s="655">
        <v>24531</v>
      </c>
      <c r="AA321" s="655">
        <v>1368</v>
      </c>
      <c r="AB321" s="655">
        <v>22898</v>
      </c>
      <c r="AC321" s="622">
        <v>52</v>
      </c>
      <c r="AD321" s="622">
        <v>1</v>
      </c>
      <c r="AE321" s="655">
        <v>1057</v>
      </c>
      <c r="AF321" s="622">
        <v>22</v>
      </c>
      <c r="AG321" s="622">
        <v>21</v>
      </c>
      <c r="AH321" s="622">
        <v>1</v>
      </c>
      <c r="AI321" s="623">
        <v>1</v>
      </c>
    </row>
    <row r="322">
      <c r="A322" s="719"/>
      <c r="B322" s="696" t="s">
        <v>354</v>
      </c>
      <c r="C322" s="699" t="s">
        <v>345</v>
      </c>
      <c r="D322" s="691">
        <v>241.544</v>
      </c>
      <c r="E322" s="692">
        <v>3</v>
      </c>
      <c r="F322" s="665">
        <v>1845.6000000000004</v>
      </c>
      <c r="G322" s="693">
        <f t="shared" si="366"/>
      </c>
      <c r="H322" s="617">
        <f t="shared" si="531"/>
      </c>
      <c r="I322" s="618">
        <f t="shared" si="18"/>
      </c>
      <c r="J322" s="619">
        <f t="shared" si="393"/>
      </c>
      <c r="K322" s="620">
        <f>D322/AC322</f>
      </c>
      <c r="L322" s="617">
        <f>D322/AD322</f>
      </c>
      <c r="M322" s="617">
        <f>D322/AE322</f>
      </c>
      <c r="N322" s="621">
        <f>AD322/AC322</f>
      </c>
      <c r="O322" s="621">
        <f>AE322/AD322</f>
      </c>
      <c r="P322" s="621">
        <f t="shared" si="175"/>
      </c>
      <c r="Q322" s="621">
        <f>AE322/AA322</f>
      </c>
      <c r="R322" s="617">
        <f t="shared" si="44"/>
      </c>
      <c r="S322" s="619">
        <f t="shared" si="419"/>
      </c>
      <c r="T322" s="621">
        <f>AF322/AC322</f>
      </c>
      <c r="U322" s="621">
        <f>AG322/AC322</f>
      </c>
      <c r="V322" s="621">
        <f>AH322/AC322</f>
      </c>
      <c r="W322" s="621">
        <f t="shared" si="148"/>
      </c>
      <c r="X322" s="696" t="s">
        <v>327</v>
      </c>
      <c r="Y322" s="613" t="s">
        <v>358</v>
      </c>
      <c r="Z322" s="622">
        <v>20505</v>
      </c>
      <c r="AA322" s="622">
        <v>1123</v>
      </c>
      <c r="AB322" s="700">
        <v>18772</v>
      </c>
      <c r="AC322" s="701">
        <v>34</v>
      </c>
      <c r="AD322" s="701">
        <v>1</v>
      </c>
      <c r="AE322" s="701">
        <v>878</v>
      </c>
      <c r="AF322" s="701">
        <v>15</v>
      </c>
      <c r="AG322" s="701">
        <v>15</v>
      </c>
      <c r="AH322" s="701">
        <v>4</v>
      </c>
      <c r="AI322" s="623">
        <v>1</v>
      </c>
    </row>
    <row r="323">
      <c r="A323" s="719"/>
      <c r="B323" s="696" t="s">
        <v>354</v>
      </c>
      <c r="C323" s="699" t="s">
        <v>346</v>
      </c>
      <c r="D323" s="691">
        <v>263.155</v>
      </c>
      <c r="E323" s="692">
        <v>0</v>
      </c>
      <c r="F323" s="665">
        <v>0</v>
      </c>
      <c r="G323" s="693">
        <f t="shared" si="366"/>
      </c>
      <c r="H323" s="617">
        <f t="shared" si="531"/>
      </c>
      <c r="I323" s="618">
        <f t="shared" si="18"/>
      </c>
      <c r="J323" s="619">
        <f t="shared" si="393"/>
      </c>
      <c r="K323" s="620">
        <f t="shared" ref="K323:K333" si="456">D323/AB323</f>
      </c>
      <c r="L323" s="617">
        <f t="shared" ref="L323:L333" si="212">D323/AC323</f>
      </c>
      <c r="M323" s="617">
        <f t="shared" ref="M323:M333" si="297">D323/AD323</f>
      </c>
      <c r="N323" s="621">
        <f t="shared" ref="N323:N333" si="81">AC323/AB323</f>
      </c>
      <c r="O323" s="621">
        <f t="shared" ref="O323:O333" si="121">AD323/AC323</f>
      </c>
      <c r="P323" s="621">
        <f t="shared" si="175"/>
      </c>
      <c r="Q323" s="621">
        <f t="shared" ref="Q323:Q333" si="567">AD323/AA323</f>
      </c>
      <c r="R323" s="617">
        <f t="shared" si="44"/>
      </c>
      <c r="S323" s="619">
        <f t="shared" si="419"/>
      </c>
      <c r="T323" s="621">
        <f t="shared" ref="T323:T333" si="498">AE323/AB323</f>
      </c>
      <c r="U323" s="621">
        <f t="shared" ref="U323:U333" si="254">AF323/AB323</f>
      </c>
      <c r="V323" s="621">
        <f t="shared" ref="V323:V333" si="339">AG323/AB323</f>
      </c>
      <c r="W323" s="621">
        <f t="shared" si="148"/>
      </c>
      <c r="X323" s="696" t="s">
        <v>327</v>
      </c>
      <c r="Y323" s="613" t="s">
        <v>358</v>
      </c>
      <c r="Z323" s="622">
        <v>21795</v>
      </c>
      <c r="AA323" s="622">
        <v>1324</v>
      </c>
      <c r="AB323" s="622">
        <v>19610</v>
      </c>
      <c r="AC323" s="676">
        <v>43</v>
      </c>
      <c r="AD323" s="676">
        <v>0</v>
      </c>
      <c r="AE323" s="676">
        <v>984</v>
      </c>
      <c r="AF323" s="676">
        <v>15</v>
      </c>
      <c r="AG323" s="676">
        <v>16</v>
      </c>
      <c r="AH323" s="676">
        <v>4</v>
      </c>
      <c r="AI323" s="623">
        <v>0</v>
      </c>
    </row>
    <row r="324">
      <c r="A324" s="719"/>
      <c r="B324" s="696" t="s">
        <v>354</v>
      </c>
      <c r="C324" s="697" t="s">
        <v>326</v>
      </c>
      <c r="D324" s="669">
        <v>241.345</v>
      </c>
      <c r="E324" s="667">
        <v>0</v>
      </c>
      <c r="F324" s="647">
        <v>0</v>
      </c>
      <c r="G324" s="693">
        <f t="shared" si="366"/>
      </c>
      <c r="H324" s="617">
        <f t="shared" si="531"/>
      </c>
      <c r="I324" s="618">
        <f t="shared" si="18"/>
      </c>
      <c r="J324" s="619">
        <f t="shared" si="393"/>
      </c>
      <c r="K324" s="620">
        <f t="shared" si="456"/>
      </c>
      <c r="L324" s="617">
        <f t="shared" si="212"/>
      </c>
      <c r="M324" s="617">
        <f t="shared" si="297"/>
      </c>
      <c r="N324" s="621">
        <f t="shared" si="81"/>
      </c>
      <c r="O324" s="621">
        <f t="shared" si="121"/>
      </c>
      <c r="P324" s="621">
        <f t="shared" si="175"/>
      </c>
      <c r="Q324" s="621">
        <f t="shared" si="567"/>
      </c>
      <c r="R324" s="617">
        <f t="shared" si="44"/>
      </c>
      <c r="S324" s="619">
        <f t="shared" si="419"/>
      </c>
      <c r="T324" s="621">
        <f t="shared" si="498"/>
      </c>
      <c r="U324" s="621">
        <f t="shared" si="254"/>
      </c>
      <c r="V324" s="621">
        <f t="shared" si="339"/>
      </c>
      <c r="W324" s="621">
        <f t="shared" si="148"/>
      </c>
      <c r="X324" s="696" t="s">
        <v>327</v>
      </c>
      <c r="Y324" s="653" t="s">
        <v>348</v>
      </c>
      <c r="Z324" s="622">
        <v>18876</v>
      </c>
      <c r="AA324" s="622">
        <v>1527</v>
      </c>
      <c r="AB324" s="622">
        <v>16925</v>
      </c>
      <c r="AC324" s="622">
        <v>64</v>
      </c>
      <c r="AD324" s="622">
        <v>0</v>
      </c>
      <c r="AE324" s="622">
        <v>986</v>
      </c>
      <c r="AF324" s="622">
        <v>30</v>
      </c>
      <c r="AG324" s="622">
        <v>24</v>
      </c>
      <c r="AH324" s="622">
        <v>2</v>
      </c>
      <c r="AI324" s="623">
        <v>0</v>
      </c>
    </row>
    <row r="325">
      <c r="A325" s="719"/>
      <c r="B325" s="696" t="s">
        <v>354</v>
      </c>
      <c r="C325" s="697" t="s">
        <v>329</v>
      </c>
      <c r="D325" s="669">
        <v>271.559</v>
      </c>
      <c r="E325" s="667">
        <v>0</v>
      </c>
      <c r="F325" s="647">
        <v>0</v>
      </c>
      <c r="G325" s="693">
        <f t="shared" si="366"/>
      </c>
      <c r="H325" s="617">
        <f t="shared" si="531"/>
      </c>
      <c r="I325" s="618">
        <f t="shared" si="18"/>
      </c>
      <c r="J325" s="619">
        <f t="shared" si="393"/>
      </c>
      <c r="K325" s="620">
        <f t="shared" si="456"/>
      </c>
      <c r="L325" s="617">
        <f t="shared" si="212"/>
      </c>
      <c r="M325" s="617">
        <f t="shared" si="297"/>
      </c>
      <c r="N325" s="621">
        <f t="shared" si="81"/>
      </c>
      <c r="O325" s="621">
        <f t="shared" si="121"/>
      </c>
      <c r="P325" s="621">
        <f t="shared" si="175"/>
      </c>
      <c r="Q325" s="621">
        <f t="shared" si="567"/>
      </c>
      <c r="R325" s="617">
        <f t="shared" si="44"/>
      </c>
      <c r="S325" s="619">
        <f t="shared" si="419"/>
      </c>
      <c r="T325" s="621">
        <f t="shared" si="498"/>
      </c>
      <c r="U325" s="621">
        <f t="shared" si="254"/>
      </c>
      <c r="V325" s="621">
        <f t="shared" si="339"/>
      </c>
      <c r="W325" s="621">
        <f t="shared" si="148"/>
      </c>
      <c r="X325" s="696" t="s">
        <v>327</v>
      </c>
      <c r="Y325" s="653" t="s">
        <v>348</v>
      </c>
      <c r="Z325" s="622">
        <v>20448</v>
      </c>
      <c r="AA325" s="622">
        <v>1718</v>
      </c>
      <c r="AB325" s="622">
        <v>19025</v>
      </c>
      <c r="AC325" s="622">
        <v>47</v>
      </c>
      <c r="AD325" s="622">
        <v>0</v>
      </c>
      <c r="AE325" s="622">
        <v>1031</v>
      </c>
      <c r="AF325" s="622">
        <v>18</v>
      </c>
      <c r="AG325" s="622">
        <v>22</v>
      </c>
      <c r="AH325" s="622">
        <v>1</v>
      </c>
      <c r="AI325" s="623">
        <v>0</v>
      </c>
    </row>
    <row r="326">
      <c r="A326" s="719"/>
      <c r="B326" s="722" t="s">
        <v>332</v>
      </c>
      <c r="C326" s="722"/>
      <c r="D326" s="626">
        <f>SUM(D321:D325)</f>
      </c>
      <c r="E326" s="627">
        <f>SUM(E321:E325)</f>
      </c>
      <c r="F326" s="626">
        <f>SUM(F321:F325)</f>
      </c>
      <c r="G326" s="626">
        <f t="shared" si="366"/>
      </c>
      <c r="H326" s="628">
        <f t="shared" si="531"/>
      </c>
      <c r="I326" s="629">
        <f t="shared" si="18"/>
      </c>
      <c r="J326" s="630">
        <f t="shared" si="393"/>
      </c>
      <c r="K326" s="631">
        <f t="shared" si="456"/>
      </c>
      <c r="L326" s="628">
        <f t="shared" si="212"/>
      </c>
      <c r="M326" s="628">
        <f t="shared" si="297"/>
      </c>
      <c r="N326" s="632">
        <f t="shared" si="81"/>
      </c>
      <c r="O326" s="632">
        <f t="shared" si="121"/>
      </c>
      <c r="P326" s="632">
        <f t="shared" si="175"/>
      </c>
      <c r="Q326" s="632">
        <f t="shared" si="567"/>
      </c>
      <c r="R326" s="628">
        <f t="shared" si="44"/>
      </c>
      <c r="S326" s="630">
        <f t="shared" si="419"/>
      </c>
      <c r="T326" s="632">
        <f t="shared" si="498"/>
      </c>
      <c r="U326" s="632">
        <f t="shared" si="254"/>
      </c>
      <c r="V326" s="632">
        <f t="shared" si="339"/>
      </c>
      <c r="W326" s="632">
        <f t="shared" si="148"/>
      </c>
      <c r="X326" s="632"/>
      <c r="Y326" s="698"/>
      <c r="Z326" s="626">
        <f>SUM(Z321:Z325)</f>
      </c>
      <c r="AA326" s="626">
        <f>SUM(AA321:AA325)</f>
      </c>
      <c r="AB326" s="626">
        <f>SUM(AB321:AB325)</f>
      </c>
      <c r="AC326" s="626">
        <f>SUM(AC321:AC325)</f>
      </c>
      <c r="AD326" s="626">
        <f>SUM(AD321:AD325)</f>
      </c>
      <c r="AE326" s="626">
        <f>SUM(AE321:AE325)</f>
      </c>
      <c r="AF326" s="626">
        <f>SUM(AF321:AF325)</f>
      </c>
      <c r="AG326" s="626">
        <f>SUM(AG321:AG325)</f>
      </c>
      <c r="AH326" s="626">
        <f>SUM(AH321:AH325)</f>
      </c>
      <c r="AI326" s="626">
        <f>SUM(AI321:AI325)</f>
      </c>
    </row>
    <row r="327">
      <c r="A327" s="719"/>
      <c r="B327" s="696" t="s">
        <v>325</v>
      </c>
      <c r="C327" s="697" t="s">
        <v>330</v>
      </c>
      <c r="D327" s="614">
        <v>278.496</v>
      </c>
      <c r="E327" s="615">
        <v>1</v>
      </c>
      <c r="F327" s="647">
        <v>828</v>
      </c>
      <c r="G327" s="693">
        <f t="shared" si="366"/>
      </c>
      <c r="H327" s="617">
        <f t="shared" si="531"/>
      </c>
      <c r="I327" s="618">
        <f t="shared" si="18"/>
      </c>
      <c r="J327" s="619">
        <f t="shared" si="393"/>
      </c>
      <c r="K327" s="620">
        <f t="shared" si="456"/>
      </c>
      <c r="L327" s="617">
        <f t="shared" si="212"/>
      </c>
      <c r="M327" s="622">
        <f t="shared" si="297"/>
      </c>
      <c r="N327" s="621">
        <f t="shared" si="81"/>
      </c>
      <c r="O327" s="621">
        <f t="shared" si="121"/>
      </c>
      <c r="P327" s="621">
        <f t="shared" si="175"/>
      </c>
      <c r="Q327" s="621">
        <f t="shared" si="567"/>
      </c>
      <c r="R327" s="617">
        <f t="shared" si="44"/>
      </c>
      <c r="S327" s="619">
        <f t="shared" si="419"/>
      </c>
      <c r="T327" s="621">
        <f t="shared" si="498"/>
      </c>
      <c r="U327" s="621">
        <f t="shared" si="254"/>
      </c>
      <c r="V327" s="621">
        <f t="shared" si="339"/>
      </c>
      <c r="W327" s="621">
        <f t="shared" si="148"/>
      </c>
      <c r="X327" s="696" t="s">
        <v>327</v>
      </c>
      <c r="Y327" s="653" t="s">
        <v>348</v>
      </c>
      <c r="Z327" s="622">
        <v>22910</v>
      </c>
      <c r="AA327" s="622">
        <v>1699</v>
      </c>
      <c r="AB327" s="622">
        <v>21333</v>
      </c>
      <c r="AC327" s="622">
        <v>66</v>
      </c>
      <c r="AD327" s="622">
        <v>1</v>
      </c>
      <c r="AE327" s="622">
        <v>1161</v>
      </c>
      <c r="AF327" s="622">
        <v>15</v>
      </c>
      <c r="AG327" s="622">
        <v>24</v>
      </c>
      <c r="AH327" s="623">
        <v>0</v>
      </c>
      <c r="AI327" s="623">
        <v>0</v>
      </c>
    </row>
    <row r="328">
      <c r="A328" s="719"/>
      <c r="B328" s="696" t="s">
        <v>325</v>
      </c>
      <c r="C328" s="697" t="s">
        <v>331</v>
      </c>
      <c r="D328" s="614">
        <v>426.645</v>
      </c>
      <c r="E328" s="615">
        <v>1</v>
      </c>
      <c r="F328" s="647">
        <v>796</v>
      </c>
      <c r="G328" s="693">
        <f t="shared" si="366"/>
      </c>
      <c r="H328" s="617">
        <f t="shared" si="531"/>
      </c>
      <c r="I328" s="618">
        <f t="shared" si="18"/>
      </c>
      <c r="J328" s="619">
        <f t="shared" si="393"/>
      </c>
      <c r="K328" s="620">
        <f t="shared" si="456"/>
      </c>
      <c r="L328" s="617">
        <f t="shared" si="212"/>
      </c>
      <c r="M328" s="617">
        <f t="shared" si="297"/>
      </c>
      <c r="N328" s="621">
        <f t="shared" si="81"/>
      </c>
      <c r="O328" s="621">
        <f t="shared" si="121"/>
      </c>
      <c r="P328" s="621">
        <f t="shared" si="175"/>
      </c>
      <c r="Q328" s="621">
        <f t="shared" si="567"/>
      </c>
      <c r="R328" s="617">
        <f t="shared" si="44"/>
      </c>
      <c r="S328" s="619">
        <f t="shared" si="419"/>
      </c>
      <c r="T328" s="621">
        <f t="shared" si="498"/>
      </c>
      <c r="U328" s="621">
        <f t="shared" si="254"/>
      </c>
      <c r="V328" s="621">
        <f t="shared" si="339"/>
      </c>
      <c r="W328" s="621">
        <f t="shared" si="148"/>
      </c>
      <c r="X328" s="696" t="s">
        <v>327</v>
      </c>
      <c r="Y328" s="653" t="s">
        <v>348</v>
      </c>
      <c r="Z328" s="622">
        <v>33249</v>
      </c>
      <c r="AA328" s="622">
        <v>1486</v>
      </c>
      <c r="AB328" s="622">
        <v>31772</v>
      </c>
      <c r="AC328" s="622">
        <v>66</v>
      </c>
      <c r="AD328" s="622">
        <v>1</v>
      </c>
      <c r="AE328" s="622">
        <v>1227</v>
      </c>
      <c r="AF328" s="622">
        <v>31</v>
      </c>
      <c r="AG328" s="622">
        <v>25</v>
      </c>
      <c r="AH328" s="622">
        <v>1</v>
      </c>
      <c r="AI328" s="623">
        <v>0</v>
      </c>
    </row>
    <row r="329">
      <c r="A329" s="719"/>
      <c r="B329" s="696" t="s">
        <v>325</v>
      </c>
      <c r="C329" s="697" t="s">
        <v>334</v>
      </c>
      <c r="D329" s="614">
        <v>501.174</v>
      </c>
      <c r="E329" s="615">
        <v>0</v>
      </c>
      <c r="F329" s="647">
        <v>0</v>
      </c>
      <c r="G329" s="693">
        <f t="shared" si="366"/>
      </c>
      <c r="H329" s="617">
        <f t="shared" si="531"/>
      </c>
      <c r="I329" s="618">
        <f t="shared" si="18"/>
      </c>
      <c r="J329" s="619">
        <f t="shared" si="393"/>
      </c>
      <c r="K329" s="620">
        <f t="shared" si="456"/>
      </c>
      <c r="L329" s="617">
        <f t="shared" si="212"/>
      </c>
      <c r="M329" s="617">
        <f t="shared" si="297"/>
      </c>
      <c r="N329" s="621">
        <f t="shared" si="81"/>
      </c>
      <c r="O329" s="621">
        <f t="shared" si="121"/>
      </c>
      <c r="P329" s="621">
        <f t="shared" si="175"/>
      </c>
      <c r="Q329" s="621">
        <f t="shared" si="567"/>
      </c>
      <c r="R329" s="617">
        <f t="shared" si="44"/>
      </c>
      <c r="S329" s="619">
        <f t="shared" si="419"/>
      </c>
      <c r="T329" s="621">
        <f t="shared" si="498"/>
      </c>
      <c r="U329" s="621">
        <f t="shared" si="254"/>
      </c>
      <c r="V329" s="621">
        <f t="shared" si="339"/>
      </c>
      <c r="W329" s="621">
        <f t="shared" si="148"/>
      </c>
      <c r="X329" s="696" t="s">
        <v>327</v>
      </c>
      <c r="Y329" s="653" t="s">
        <v>348</v>
      </c>
      <c r="Z329" s="622">
        <v>42193</v>
      </c>
      <c r="AA329" s="622">
        <v>1030</v>
      </c>
      <c r="AB329" s="622">
        <v>40296</v>
      </c>
      <c r="AC329" s="622">
        <v>78</v>
      </c>
      <c r="AD329" s="622">
        <v>0</v>
      </c>
      <c r="AE329" s="622">
        <v>1233</v>
      </c>
      <c r="AF329" s="622">
        <v>12</v>
      </c>
      <c r="AG329" s="622">
        <v>23</v>
      </c>
      <c r="AH329" s="622">
        <v>3</v>
      </c>
      <c r="AI329" s="623">
        <v>0</v>
      </c>
    </row>
    <row r="330">
      <c r="A330" s="719"/>
      <c r="B330" s="696" t="s">
        <v>325</v>
      </c>
      <c r="C330" s="697" t="s">
        <v>335</v>
      </c>
      <c r="D330" s="614">
        <v>1006.363</v>
      </c>
      <c r="E330" s="615">
        <v>12</v>
      </c>
      <c r="F330" s="647">
        <v>4134.4</v>
      </c>
      <c r="G330" s="693">
        <f t="shared" si="366"/>
      </c>
      <c r="H330" s="617">
        <f t="shared" si="531"/>
      </c>
      <c r="I330" s="618">
        <f t="shared" si="18"/>
      </c>
      <c r="J330" s="619">
        <f t="shared" si="393"/>
      </c>
      <c r="K330" s="620">
        <f t="shared" si="456"/>
      </c>
      <c r="L330" s="617">
        <f t="shared" si="212"/>
      </c>
      <c r="M330" s="617">
        <f t="shared" si="297"/>
      </c>
      <c r="N330" s="621">
        <f t="shared" si="81"/>
      </c>
      <c r="O330" s="621">
        <f t="shared" si="121"/>
      </c>
      <c r="P330" s="621">
        <f t="shared" si="175"/>
      </c>
      <c r="Q330" s="621">
        <f t="shared" si="567"/>
      </c>
      <c r="R330" s="617">
        <f t="shared" si="44"/>
      </c>
      <c r="S330" s="619">
        <f t="shared" si="419"/>
      </c>
      <c r="T330" s="621">
        <f t="shared" si="498"/>
      </c>
      <c r="U330" s="621">
        <f t="shared" si="254"/>
      </c>
      <c r="V330" s="621">
        <f t="shared" si="339"/>
      </c>
      <c r="W330" s="621">
        <f t="shared" si="148"/>
      </c>
      <c r="X330" s="696" t="s">
        <v>327</v>
      </c>
      <c r="Y330" s="693" t="s">
        <v>348</v>
      </c>
      <c r="Z330" s="622">
        <v>107171</v>
      </c>
      <c r="AA330" s="622">
        <v>1563</v>
      </c>
      <c r="AB330" s="622">
        <v>104726</v>
      </c>
      <c r="AC330" s="622">
        <v>133</v>
      </c>
      <c r="AD330" s="622">
        <v>4</v>
      </c>
      <c r="AE330" s="622">
        <v>2611</v>
      </c>
      <c r="AF330" s="622">
        <v>33</v>
      </c>
      <c r="AG330" s="622">
        <v>38</v>
      </c>
      <c r="AH330" s="623">
        <v>4</v>
      </c>
      <c r="AI330" s="623">
        <v>8</v>
      </c>
    </row>
    <row r="331">
      <c r="A331" s="719"/>
      <c r="B331" s="696" t="s">
        <v>325</v>
      </c>
      <c r="C331" s="697" t="s">
        <v>336</v>
      </c>
      <c r="D331" s="614">
        <v>603.453</v>
      </c>
      <c r="E331" s="615">
        <v>1</v>
      </c>
      <c r="F331" s="647">
        <v>228</v>
      </c>
      <c r="G331" s="693">
        <f t="shared" si="366"/>
      </c>
      <c r="H331" s="617">
        <f t="shared" si="531"/>
      </c>
      <c r="I331" s="618">
        <f t="shared" si="18"/>
      </c>
      <c r="J331" s="619">
        <f t="shared" si="393"/>
      </c>
      <c r="K331" s="620">
        <f t="shared" si="456"/>
      </c>
      <c r="L331" s="617">
        <f t="shared" si="212"/>
      </c>
      <c r="M331" s="617">
        <f t="shared" si="297"/>
      </c>
      <c r="N331" s="621">
        <f t="shared" si="81"/>
      </c>
      <c r="O331" s="621">
        <f t="shared" si="121"/>
      </c>
      <c r="P331" s="621">
        <f t="shared" si="175"/>
      </c>
      <c r="Q331" s="621">
        <f t="shared" si="567"/>
      </c>
      <c r="R331" s="617">
        <f t="shared" si="44"/>
      </c>
      <c r="S331" s="619">
        <f t="shared" si="419"/>
      </c>
      <c r="T331" s="621">
        <f t="shared" si="498"/>
      </c>
      <c r="U331" s="621">
        <f t="shared" si="254"/>
      </c>
      <c r="V331" s="621">
        <f t="shared" si="339"/>
      </c>
      <c r="W331" s="621">
        <f t="shared" si="148"/>
      </c>
      <c r="X331" s="696" t="s">
        <v>327</v>
      </c>
      <c r="Y331" s="696" t="s">
        <v>348</v>
      </c>
      <c r="Z331" s="622">
        <v>70297</v>
      </c>
      <c r="AA331" s="622">
        <v>1508</v>
      </c>
      <c r="AB331" s="622">
        <v>67360</v>
      </c>
      <c r="AC331" s="622">
        <v>112</v>
      </c>
      <c r="AD331" s="622">
        <v>1</v>
      </c>
      <c r="AE331" s="622">
        <v>1916</v>
      </c>
      <c r="AF331" s="622">
        <v>28</v>
      </c>
      <c r="AG331" s="622">
        <v>36</v>
      </c>
      <c r="AH331" s="622">
        <v>7</v>
      </c>
      <c r="AI331" s="623">
        <v>0</v>
      </c>
    </row>
    <row r="332">
      <c r="A332" s="719"/>
      <c r="B332" s="722" t="s">
        <v>332</v>
      </c>
      <c r="C332" s="722"/>
      <c r="D332" s="626">
        <f>SUM(D327:D331)</f>
      </c>
      <c r="E332" s="627">
        <f>SUM(E327:E331)</f>
      </c>
      <c r="F332" s="626">
        <f>SUM(F327:F331)</f>
      </c>
      <c r="G332" s="626">
        <f t="shared" si="366"/>
      </c>
      <c r="H332" s="628">
        <f t="shared" si="531"/>
      </c>
      <c r="I332" s="629">
        <f t="shared" si="18"/>
      </c>
      <c r="J332" s="630">
        <f t="shared" si="393"/>
      </c>
      <c r="K332" s="631">
        <f t="shared" si="456"/>
      </c>
      <c r="L332" s="628">
        <f t="shared" si="212"/>
      </c>
      <c r="M332" s="628">
        <f t="shared" si="297"/>
      </c>
      <c r="N332" s="632">
        <f t="shared" si="81"/>
      </c>
      <c r="O332" s="632">
        <f t="shared" si="121"/>
      </c>
      <c r="P332" s="632">
        <f t="shared" si="175"/>
      </c>
      <c r="Q332" s="632">
        <f t="shared" si="567"/>
      </c>
      <c r="R332" s="628">
        <f t="shared" si="44"/>
      </c>
      <c r="S332" s="630">
        <f t="shared" si="419"/>
      </c>
      <c r="T332" s="632">
        <f t="shared" si="498"/>
      </c>
      <c r="U332" s="632">
        <f t="shared" si="254"/>
      </c>
      <c r="V332" s="632">
        <f t="shared" si="339"/>
      </c>
      <c r="W332" s="632">
        <f t="shared" si="148"/>
      </c>
      <c r="X332" s="632"/>
      <c r="Y332" s="698"/>
      <c r="Z332" s="626">
        <f>SUM(Z327:Z331)</f>
      </c>
      <c r="AA332" s="626">
        <f>SUM(AA327:AA331)</f>
      </c>
      <c r="AB332" s="626">
        <f>SUM(AB327:AB331)</f>
      </c>
      <c r="AC332" s="626">
        <f>SUM(AC327:AC331)</f>
      </c>
      <c r="AD332" s="626">
        <f>SUM(AD327:AD331)</f>
      </c>
      <c r="AE332" s="626">
        <f>SUM(AE327:AE331)</f>
      </c>
      <c r="AF332" s="626">
        <f>SUM(AF327:AF331)</f>
      </c>
      <c r="AG332" s="626">
        <f>SUM(AG327:AG331)</f>
      </c>
      <c r="AH332" s="626">
        <f>SUM(AH327:AH331)</f>
      </c>
      <c r="AI332" s="626">
        <f>SUM(AI327:AI331)</f>
      </c>
    </row>
    <row r="333">
      <c r="A333" s="719"/>
      <c r="B333" s="678" t="s">
        <v>337</v>
      </c>
      <c r="C333" s="678"/>
      <c r="D333" s="679">
        <f>SUM(D332+D326+D320)</f>
      </c>
      <c r="E333" s="688">
        <f>SUM(E332+E326+E320)</f>
      </c>
      <c r="F333" s="679">
        <f>SUM(F332+F326+F320)</f>
      </c>
      <c r="G333" s="679">
        <f t="shared" si="366"/>
      </c>
      <c r="H333" s="680">
        <f t="shared" si="531"/>
      </c>
      <c r="I333" s="681">
        <f t="shared" si="18"/>
      </c>
      <c r="J333" s="682">
        <f t="shared" si="393"/>
      </c>
      <c r="K333" s="683">
        <f t="shared" si="456"/>
      </c>
      <c r="L333" s="683">
        <f t="shared" si="212"/>
      </c>
      <c r="M333" s="684">
        <f t="shared" si="297"/>
      </c>
      <c r="N333" s="685">
        <f t="shared" si="81"/>
      </c>
      <c r="O333" s="685">
        <f t="shared" si="121"/>
      </c>
      <c r="P333" s="685">
        <f t="shared" si="175"/>
      </c>
      <c r="Q333" s="685">
        <f t="shared" si="567"/>
      </c>
      <c r="R333" s="684">
        <f t="shared" si="44"/>
      </c>
      <c r="S333" s="686">
        <f t="shared" si="419"/>
      </c>
      <c r="T333" s="687">
        <f t="shared" si="498"/>
      </c>
      <c r="U333" s="687">
        <f t="shared" si="254"/>
      </c>
      <c r="V333" s="687">
        <f t="shared" si="339"/>
      </c>
      <c r="W333" s="687">
        <f t="shared" si="148"/>
      </c>
      <c r="X333" s="687"/>
      <c r="Y333" s="658"/>
      <c r="Z333" s="679">
        <f>SUM(Z332+Z326+Z320)</f>
      </c>
      <c r="AA333" s="679">
        <f>SUM(AA332+AA326+AA320)</f>
      </c>
      <c r="AB333" s="679">
        <f>SUM(AB332+AB326+AB320)</f>
      </c>
      <c r="AC333" s="679">
        <f>SUM(AC332+AC326+AC320)</f>
      </c>
      <c r="AD333" s="679">
        <f>SUM(AD332+AD326+AD320)</f>
      </c>
      <c r="AE333" s="679">
        <f>SUM(AE332+AE326+AE320)</f>
      </c>
      <c r="AF333" s="679">
        <f>SUM(AF332+AF326+AF320)</f>
      </c>
      <c r="AG333" s="679">
        <f>SUM(AG332+AG326+AG320)</f>
      </c>
      <c r="AH333" s="679">
        <f>SUM(AH332+AH326+AH320)</f>
      </c>
      <c r="AI333" s="679">
        <f>SUM(AI332+AI326+AI320)</f>
      </c>
    </row>
    <row r="334">
      <c r="A334" s="603" t="s">
        <v>291</v>
      </c>
      <c r="B334" s="603" t="s">
        <v>292</v>
      </c>
      <c r="C334" s="707" t="s">
        <v>293</v>
      </c>
      <c r="D334" s="689" t="s">
        <v>294</v>
      </c>
      <c r="E334" s="690" t="s">
        <v>295</v>
      </c>
      <c r="F334" s="662" t="s">
        <v>296</v>
      </c>
      <c r="G334" s="662" t="s">
        <v>349</v>
      </c>
      <c r="H334" s="595" t="s">
        <v>297</v>
      </c>
      <c r="I334" s="595" t="s">
        <v>298</v>
      </c>
      <c r="J334" s="595" t="s">
        <v>299</v>
      </c>
      <c r="K334" s="597" t="s">
        <v>300</v>
      </c>
      <c r="L334" s="597" t="s">
        <v>301</v>
      </c>
      <c r="M334" s="597" t="s">
        <v>302</v>
      </c>
      <c r="N334" s="597" t="s">
        <v>303</v>
      </c>
      <c r="O334" s="597" t="s">
        <v>304</v>
      </c>
      <c r="P334" s="597" t="s">
        <v>305</v>
      </c>
      <c r="Q334" s="597" t="s">
        <v>306</v>
      </c>
      <c r="R334" s="597" t="s">
        <v>307</v>
      </c>
      <c r="S334" s="597" t="s">
        <v>308</v>
      </c>
      <c r="T334" s="606" t="s">
        <v>309</v>
      </c>
      <c r="U334" s="606" t="s">
        <v>310</v>
      </c>
      <c r="V334" s="606" t="s">
        <v>311</v>
      </c>
      <c r="W334" s="606" t="s">
        <v>312</v>
      </c>
      <c r="X334" s="607" t="s">
        <v>313</v>
      </c>
      <c r="Y334" s="607" t="s">
        <v>314</v>
      </c>
      <c r="Z334" s="651" t="s">
        <v>315</v>
      </c>
      <c r="AA334" s="651" t="s">
        <v>316</v>
      </c>
      <c r="AB334" s="651" t="s">
        <v>317</v>
      </c>
      <c r="AC334" s="609" t="s">
        <v>318</v>
      </c>
      <c r="AD334" s="609" t="s">
        <v>319</v>
      </c>
      <c r="AE334" s="652" t="s">
        <v>320</v>
      </c>
      <c r="AF334" s="609" t="s">
        <v>321</v>
      </c>
      <c r="AG334" s="609" t="s">
        <v>322</v>
      </c>
      <c r="AH334" s="611" t="s">
        <v>323</v>
      </c>
      <c r="AI334" s="609" t="s">
        <v>324</v>
      </c>
    </row>
    <row r="335">
      <c r="A335" s="719">
        <v>46197</v>
      </c>
      <c r="B335" s="720" t="s">
        <v>333</v>
      </c>
      <c r="C335" s="710" t="s">
        <v>338</v>
      </c>
      <c r="D335" s="711">
        <v>461.461</v>
      </c>
      <c r="E335" s="692">
        <v>2</v>
      </c>
      <c r="F335" s="665">
        <v>400.79999999999995</v>
      </c>
      <c r="G335" s="693">
        <f t="shared" ref="G335:G338" si="367">D335/AD335</f>
      </c>
      <c r="H335" s="617">
        <f t="shared" ref="H335:H338" si="532">F335/E335</f>
      </c>
      <c r="I335" s="618">
        <f t="shared" ref="I335:I338" si="19">D335/E335</f>
      </c>
      <c r="J335" s="619">
        <f t="shared" ref="J335:J338" si="394">F335/D335</f>
      </c>
      <c r="K335" s="620">
        <f t="shared" ref="K335:K338" si="457">D335/AB335</f>
      </c>
      <c r="L335" s="617">
        <f t="shared" ref="L335:L338" si="213">D335/AC335</f>
      </c>
      <c r="M335" s="617">
        <f t="shared" ref="M335:M338" si="298">D335/AD335</f>
      </c>
      <c r="N335" s="621">
        <f t="shared" ref="N335:N338" si="82">AC335/AB335</f>
      </c>
      <c r="O335" s="621">
        <f t="shared" ref="O335:O338" si="122">AD335/AC335</f>
      </c>
      <c r="P335" s="621">
        <f t="shared" ref="P335:P338" si="176">AA335/Z335</f>
      </c>
      <c r="Q335" s="621">
        <f t="shared" ref="Q335:Q338" si="568">AD335/AA335</f>
      </c>
      <c r="R335" s="617">
        <f t="shared" ref="R335:R338" si="45">D335/Z335*1000</f>
      </c>
      <c r="S335" s="619">
        <f t="shared" ref="S335:S338" si="420">D335/AA335</f>
      </c>
      <c r="T335" s="621">
        <f t="shared" ref="T335:T338" si="499">AE335/AB335</f>
      </c>
      <c r="U335" s="621">
        <f t="shared" ref="U335:U338" si="255">AF335/AB335</f>
      </c>
      <c r="V335" s="621">
        <f t="shared" ref="V335:V338" si="340">AG335/AB335</f>
      </c>
      <c r="W335" s="621">
        <f t="shared" ref="W335:W338" si="149">AH335/AB335</f>
      </c>
      <c r="X335" s="653" t="s">
        <v>327</v>
      </c>
      <c r="Y335" s="613" t="s">
        <v>358</v>
      </c>
      <c r="Z335" s="655">
        <v>42056</v>
      </c>
      <c r="AA335" s="655">
        <v>1378</v>
      </c>
      <c r="AB335" s="655">
        <v>39365</v>
      </c>
      <c r="AC335" s="655">
        <v>104</v>
      </c>
      <c r="AD335" s="622">
        <v>1</v>
      </c>
      <c r="AE335" s="655">
        <v>3310</v>
      </c>
      <c r="AF335" s="622">
        <v>66</v>
      </c>
      <c r="AG335" s="622">
        <v>40</v>
      </c>
      <c r="AH335" s="622">
        <v>2</v>
      </c>
      <c r="AI335" s="623">
        <v>1</v>
      </c>
    </row>
    <row r="336">
      <c r="A336" s="719"/>
      <c r="B336" s="720" t="s">
        <v>333</v>
      </c>
      <c r="C336" s="710" t="s">
        <v>340</v>
      </c>
      <c r="D336" s="711">
        <v>560.7139999999999</v>
      </c>
      <c r="E336" s="692">
        <v>3</v>
      </c>
      <c r="F336" s="665">
        <v>652.0000000000002</v>
      </c>
      <c r="G336" s="693">
        <f t="shared" si="367"/>
      </c>
      <c r="H336" s="617">
        <f t="shared" si="532"/>
      </c>
      <c r="I336" s="618">
        <f t="shared" si="19"/>
      </c>
      <c r="J336" s="619">
        <f t="shared" si="394"/>
      </c>
      <c r="K336" s="620">
        <f t="shared" si="457"/>
      </c>
      <c r="L336" s="617">
        <f t="shared" si="213"/>
      </c>
      <c r="M336" s="617">
        <f t="shared" si="298"/>
      </c>
      <c r="N336" s="621">
        <f t="shared" si="82"/>
      </c>
      <c r="O336" s="621">
        <f t="shared" si="122"/>
      </c>
      <c r="P336" s="621">
        <f t="shared" si="176"/>
      </c>
      <c r="Q336" s="621">
        <f t="shared" si="568"/>
      </c>
      <c r="R336" s="617">
        <f t="shared" si="45"/>
      </c>
      <c r="S336" s="619">
        <f t="shared" si="420"/>
      </c>
      <c r="T336" s="621">
        <f t="shared" si="499"/>
      </c>
      <c r="U336" s="621">
        <f t="shared" si="255"/>
      </c>
      <c r="V336" s="621">
        <f t="shared" si="340"/>
      </c>
      <c r="W336" s="621">
        <f t="shared" si="149"/>
      </c>
      <c r="X336" s="653" t="s">
        <v>327</v>
      </c>
      <c r="Y336" s="613" t="s">
        <v>358</v>
      </c>
      <c r="Z336" s="622">
        <v>41493</v>
      </c>
      <c r="AA336" s="655">
        <v>1348</v>
      </c>
      <c r="AB336" s="655">
        <v>38802</v>
      </c>
      <c r="AC336" s="655">
        <v>110</v>
      </c>
      <c r="AD336" s="622">
        <v>3</v>
      </c>
      <c r="AE336" s="655">
        <v>2560</v>
      </c>
      <c r="AF336" s="622">
        <v>58</v>
      </c>
      <c r="AG336" s="622">
        <v>41</v>
      </c>
      <c r="AH336" s="622">
        <v>4</v>
      </c>
      <c r="AI336" s="623">
        <v>0</v>
      </c>
    </row>
    <row r="337">
      <c r="A337" s="719"/>
      <c r="B337" s="720" t="s">
        <v>333</v>
      </c>
      <c r="C337" s="712" t="s">
        <v>341</v>
      </c>
      <c r="D337" s="711">
        <v>434.085</v>
      </c>
      <c r="E337" s="692">
        <v>4</v>
      </c>
      <c r="F337" s="665">
        <v>1438.3000000000002</v>
      </c>
      <c r="G337" s="693">
        <f t="shared" si="367"/>
      </c>
      <c r="H337" s="617">
        <f t="shared" si="532"/>
      </c>
      <c r="I337" s="618">
        <f t="shared" si="19"/>
      </c>
      <c r="J337" s="619">
        <f t="shared" si="394"/>
      </c>
      <c r="K337" s="620">
        <f t="shared" si="457"/>
      </c>
      <c r="L337" s="617">
        <f t="shared" si="213"/>
      </c>
      <c r="M337" s="617">
        <f t="shared" si="298"/>
      </c>
      <c r="N337" s="621">
        <f t="shared" si="82"/>
      </c>
      <c r="O337" s="621">
        <f t="shared" si="122"/>
      </c>
      <c r="P337" s="621">
        <f t="shared" si="176"/>
      </c>
      <c r="Q337" s="621">
        <f t="shared" si="568"/>
      </c>
      <c r="R337" s="617">
        <f t="shared" si="45"/>
      </c>
      <c r="S337" s="619">
        <f t="shared" si="420"/>
      </c>
      <c r="T337" s="621">
        <f t="shared" si="499"/>
      </c>
      <c r="U337" s="621">
        <f t="shared" si="255"/>
      </c>
      <c r="V337" s="621">
        <f t="shared" si="340"/>
      </c>
      <c r="W337" s="621">
        <f t="shared" si="149"/>
      </c>
      <c r="X337" s="693" t="s">
        <v>327</v>
      </c>
      <c r="Y337" s="613" t="s">
        <v>358</v>
      </c>
      <c r="Z337" s="622">
        <v>30808</v>
      </c>
      <c r="AA337" s="622">
        <v>922</v>
      </c>
      <c r="AB337" s="622">
        <v>28821</v>
      </c>
      <c r="AC337" s="622">
        <v>62</v>
      </c>
      <c r="AD337" s="622">
        <v>2</v>
      </c>
      <c r="AE337" s="622">
        <v>1114</v>
      </c>
      <c r="AF337" s="622">
        <v>24</v>
      </c>
      <c r="AG337" s="622">
        <v>16</v>
      </c>
      <c r="AH337" s="622">
        <v>1</v>
      </c>
      <c r="AI337" s="623">
        <v>1</v>
      </c>
    </row>
    <row r="338">
      <c r="A338" s="719"/>
      <c r="B338" s="720" t="s">
        <v>333</v>
      </c>
      <c r="C338" s="713" t="s">
        <v>342</v>
      </c>
      <c r="D338" s="714">
        <v>907.1509999999998</v>
      </c>
      <c r="E338" s="692">
        <v>0</v>
      </c>
      <c r="F338" s="665">
        <v>0</v>
      </c>
      <c r="G338" s="693">
        <f t="shared" si="367"/>
      </c>
      <c r="H338" s="617">
        <f t="shared" si="532"/>
      </c>
      <c r="I338" s="618">
        <f t="shared" si="19"/>
      </c>
      <c r="J338" s="619">
        <f t="shared" si="394"/>
      </c>
      <c r="K338" s="620">
        <f t="shared" si="457"/>
      </c>
      <c r="L338" s="617">
        <f t="shared" si="213"/>
      </c>
      <c r="M338" s="617">
        <f t="shared" si="298"/>
      </c>
      <c r="N338" s="621">
        <f t="shared" si="82"/>
      </c>
      <c r="O338" s="621">
        <f t="shared" si="122"/>
      </c>
      <c r="P338" s="621">
        <f t="shared" si="176"/>
      </c>
      <c r="Q338" s="621">
        <f t="shared" si="568"/>
      </c>
      <c r="R338" s="617">
        <f t="shared" si="45"/>
      </c>
      <c r="S338" s="619">
        <f t="shared" si="420"/>
      </c>
      <c r="T338" s="621">
        <f t="shared" si="499"/>
      </c>
      <c r="U338" s="621">
        <f t="shared" si="255"/>
      </c>
      <c r="V338" s="621">
        <f t="shared" si="340"/>
      </c>
      <c r="W338" s="621">
        <f t="shared" si="149"/>
      </c>
      <c r="X338" s="696" t="s">
        <v>327</v>
      </c>
      <c r="Y338" s="613" t="s">
        <v>358</v>
      </c>
      <c r="Z338" s="622">
        <v>79889</v>
      </c>
      <c r="AA338" s="622">
        <v>1839</v>
      </c>
      <c r="AB338" s="622">
        <v>77098</v>
      </c>
      <c r="AC338" s="622">
        <v>138</v>
      </c>
      <c r="AD338" s="622">
        <v>1</v>
      </c>
      <c r="AE338" s="622">
        <v>3060</v>
      </c>
      <c r="AF338" s="622">
        <v>30</v>
      </c>
      <c r="AG338" s="622">
        <v>39</v>
      </c>
      <c r="AH338" s="622">
        <v>2</v>
      </c>
      <c r="AI338" s="623">
        <v>0</v>
      </c>
    </row>
    <row r="339">
      <c r="A339" s="719"/>
      <c r="B339" s="720" t="s">
        <v>333</v>
      </c>
      <c r="C339" s="713" t="s">
        <v>343</v>
      </c>
      <c r="D339" s="714">
        <v>667.7139999999999</v>
      </c>
      <c r="E339" s="667">
        <v>0</v>
      </c>
      <c r="F339" s="647">
        <v>0</v>
      </c>
      <c r="G339" s="693" t="str">
        <v>#DIV/0!</v>
      </c>
      <c r="H339" s="617" t="str">
        <v>#DIV/0!</v>
      </c>
      <c r="I339" s="618" t="str">
        <v>#DIV/0!</v>
      </c>
      <c r="J339" s="619">
        <v>0</v>
      </c>
      <c r="K339" s="620">
        <v>0.011256895272776317</v>
      </c>
      <c r="L339" s="617">
        <v>6.070127272727272</v>
      </c>
      <c r="M339" s="617" t="str">
        <v>#DIV/0!</v>
      </c>
      <c r="N339" s="621">
        <v>0.001854474340818666</v>
      </c>
      <c r="O339" s="621">
        <v>0</v>
      </c>
      <c r="P339" s="621">
        <v>0.028024219660665716</v>
      </c>
      <c r="Q339" s="621">
        <v>0</v>
      </c>
      <c r="R339" s="617">
        <v>10.810031084056467</v>
      </c>
      <c r="S339" s="619">
        <v>0.385738879260543</v>
      </c>
      <c r="T339" s="621">
        <v>0.041371636657900064</v>
      </c>
      <c r="U339" s="621">
        <v>0.0007586485939712725</v>
      </c>
      <c r="V339" s="621">
        <v>0.0005732011598894059</v>
      </c>
      <c r="W339" s="621">
        <v>0.00008429428821903028</v>
      </c>
      <c r="X339" s="696" t="s">
        <v>327</v>
      </c>
      <c r="Y339" s="613" t="s">
        <v>358</v>
      </c>
      <c r="Z339" s="622">
        <v>61768</v>
      </c>
      <c r="AA339" s="622">
        <v>1731</v>
      </c>
      <c r="AB339" s="622">
        <v>59316</v>
      </c>
      <c r="AC339" s="622">
        <v>110</v>
      </c>
      <c r="AD339" s="622">
        <v>0</v>
      </c>
      <c r="AE339" s="622">
        <v>2454</v>
      </c>
      <c r="AF339" s="622">
        <v>45</v>
      </c>
      <c r="AG339" s="622">
        <v>34</v>
      </c>
      <c r="AH339" s="622">
        <v>5</v>
      </c>
      <c r="AI339" s="623">
        <v>0</v>
      </c>
    </row>
    <row r="340">
      <c r="A340" s="719"/>
      <c r="B340" s="721" t="s">
        <v>332</v>
      </c>
      <c r="C340" s="721"/>
      <c r="D340" s="716">
        <f>D335+D336+D337+D338+D339</f>
      </c>
      <c r="E340" s="716">
        <f>E335+E336+E337+E338+E339</f>
      </c>
      <c r="F340" s="716">
        <f>F335+F336+F337+F338+F339</f>
      </c>
      <c r="G340" s="626">
        <f t="shared" ref="G340:G345" si="368">D340/AD340</f>
      </c>
      <c r="H340" s="628">
        <f t="shared" ref="H340:H345" si="533">F340/E340</f>
      </c>
      <c r="I340" s="629">
        <f t="shared" ref="I340:I345" si="20">D340/E340</f>
      </c>
      <c r="J340" s="630">
        <f t="shared" ref="J340:J345" si="395">F340/D340</f>
      </c>
      <c r="K340" s="631">
        <f t="shared" ref="K340:K341" si="458">D340/AB340</f>
      </c>
      <c r="L340" s="628">
        <f t="shared" ref="L340:L341" si="214">D340/AC340</f>
      </c>
      <c r="M340" s="628">
        <f t="shared" ref="M340:M341" si="299">D340/AD340</f>
      </c>
      <c r="N340" s="632">
        <f t="shared" ref="N340:N341" si="83">AC340/AB340</f>
      </c>
      <c r="O340" s="632">
        <f t="shared" ref="O340:O341" si="123">AD340/AC340</f>
      </c>
      <c r="P340" s="632">
        <f t="shared" ref="P340:P345" si="177">AA340/Z340</f>
      </c>
      <c r="Q340" s="632">
        <f t="shared" ref="Q340:Q341" si="569">AD340/AA340</f>
      </c>
      <c r="R340" s="628">
        <f t="shared" ref="R340:R345" si="46">D340/Z340*1000</f>
      </c>
      <c r="S340" s="630">
        <f t="shared" ref="S340:S345" si="421">D340/AA340</f>
      </c>
      <c r="T340" s="632">
        <f t="shared" ref="T340:T341" si="500">AE340/AB340</f>
      </c>
      <c r="U340" s="632">
        <f t="shared" ref="U340:U341" si="256">AF340/AB340</f>
      </c>
      <c r="V340" s="632">
        <f t="shared" ref="V340:V341" si="341">AG340/AB340</f>
      </c>
      <c r="W340" s="632">
        <f t="shared" ref="W340:W345" si="150">AH340/AB340</f>
      </c>
      <c r="X340" s="632"/>
      <c r="Y340" s="698"/>
      <c r="Z340" s="626">
        <f>SUM(Z335:Z339)</f>
      </c>
      <c r="AA340" s="626">
        <f>SUM(AA335:AA339)</f>
      </c>
      <c r="AB340" s="626">
        <f>SUM(AB335:AB339)</f>
      </c>
      <c r="AC340" s="626">
        <f>SUM(AC335:AC339)</f>
      </c>
      <c r="AD340" s="626">
        <f>SUM(AD335:AD339)</f>
      </c>
      <c r="AE340" s="626">
        <f>SUM(AE335:AE339)</f>
      </c>
      <c r="AF340" s="626">
        <f>SUM(AF335:AF339)</f>
      </c>
      <c r="AG340" s="626">
        <f>SUM(AG335:AG339)</f>
      </c>
      <c r="AH340" s="626">
        <f>SUM(AH335:AH339)</f>
      </c>
      <c r="AI340" s="626">
        <f>SUM(AI335:AI339)</f>
      </c>
    </row>
    <row r="341">
      <c r="A341" s="719"/>
      <c r="B341" s="717" t="s">
        <v>354</v>
      </c>
      <c r="C341" s="718" t="s">
        <v>344</v>
      </c>
      <c r="D341" s="691">
        <v>393.798</v>
      </c>
      <c r="E341" s="692">
        <v>0</v>
      </c>
      <c r="F341" s="665">
        <v>0</v>
      </c>
      <c r="G341" s="693">
        <f t="shared" si="368"/>
      </c>
      <c r="H341" s="617">
        <f t="shared" si="533"/>
      </c>
      <c r="I341" s="618">
        <f t="shared" si="20"/>
      </c>
      <c r="J341" s="619">
        <f t="shared" si="395"/>
      </c>
      <c r="K341" s="620">
        <f t="shared" si="458"/>
      </c>
      <c r="L341" s="617">
        <f t="shared" si="214"/>
      </c>
      <c r="M341" s="617">
        <f t="shared" si="299"/>
      </c>
      <c r="N341" s="621">
        <f t="shared" si="83"/>
      </c>
      <c r="O341" s="621">
        <f t="shared" si="123"/>
      </c>
      <c r="P341" s="621">
        <f t="shared" si="177"/>
      </c>
      <c r="Q341" s="621">
        <f t="shared" si="569"/>
      </c>
      <c r="R341" s="617">
        <f t="shared" si="46"/>
      </c>
      <c r="S341" s="619">
        <f t="shared" si="421"/>
      </c>
      <c r="T341" s="621">
        <f t="shared" si="500"/>
      </c>
      <c r="U341" s="621">
        <f t="shared" si="256"/>
      </c>
      <c r="V341" s="621">
        <f t="shared" si="341"/>
      </c>
      <c r="W341" s="621">
        <f t="shared" si="150"/>
      </c>
      <c r="X341" s="696" t="s">
        <v>327</v>
      </c>
      <c r="Y341" s="613" t="s">
        <v>358</v>
      </c>
      <c r="Z341" s="655">
        <v>32502</v>
      </c>
      <c r="AA341" s="655">
        <v>1149</v>
      </c>
      <c r="AB341" s="655">
        <v>30542</v>
      </c>
      <c r="AC341" s="622">
        <v>59</v>
      </c>
      <c r="AD341" s="622">
        <v>0</v>
      </c>
      <c r="AE341" s="655">
        <v>1346</v>
      </c>
      <c r="AF341" s="622">
        <v>30</v>
      </c>
      <c r="AG341" s="622">
        <v>28</v>
      </c>
      <c r="AH341" s="622">
        <v>4</v>
      </c>
      <c r="AI341" s="623">
        <v>0</v>
      </c>
    </row>
    <row r="342">
      <c r="A342" s="719"/>
      <c r="B342" s="696" t="s">
        <v>354</v>
      </c>
      <c r="C342" s="699" t="s">
        <v>345</v>
      </c>
      <c r="D342" s="691">
        <v>421.21099999999996</v>
      </c>
      <c r="E342" s="692">
        <v>0</v>
      </c>
      <c r="F342" s="665">
        <v>0</v>
      </c>
      <c r="G342" s="693">
        <f t="shared" si="368"/>
      </c>
      <c r="H342" s="617">
        <f t="shared" si="533"/>
      </c>
      <c r="I342" s="618">
        <f t="shared" si="20"/>
      </c>
      <c r="J342" s="619">
        <f t="shared" si="395"/>
      </c>
      <c r="K342" s="620">
        <f>D342/AC342</f>
      </c>
      <c r="L342" s="617">
        <f>D342/AD342</f>
      </c>
      <c r="M342" s="617">
        <f>D342/AE342</f>
      </c>
      <c r="N342" s="621">
        <f>AD342/AC342</f>
      </c>
      <c r="O342" s="621">
        <f>AE342/AD342</f>
      </c>
      <c r="P342" s="621">
        <f t="shared" si="177"/>
      </c>
      <c r="Q342" s="621">
        <f>AE342/AA342</f>
      </c>
      <c r="R342" s="617">
        <f t="shared" si="46"/>
      </c>
      <c r="S342" s="619">
        <f t="shared" si="421"/>
      </c>
      <c r="T342" s="621">
        <f>AF342/AC342</f>
      </c>
      <c r="U342" s="621">
        <f>AG342/AC342</f>
      </c>
      <c r="V342" s="621">
        <f>AH342/AC342</f>
      </c>
      <c r="W342" s="621">
        <f t="shared" si="150"/>
      </c>
      <c r="X342" s="696" t="s">
        <v>327</v>
      </c>
      <c r="Y342" s="613" t="s">
        <v>358</v>
      </c>
      <c r="Z342" s="622">
        <v>38037</v>
      </c>
      <c r="AA342" s="622">
        <v>1217</v>
      </c>
      <c r="AB342" s="700">
        <v>35474</v>
      </c>
      <c r="AC342" s="701">
        <v>61</v>
      </c>
      <c r="AD342" s="701">
        <v>0</v>
      </c>
      <c r="AE342" s="701">
        <v>1230</v>
      </c>
      <c r="AF342" s="701">
        <v>27</v>
      </c>
      <c r="AG342" s="701">
        <v>16</v>
      </c>
      <c r="AH342" s="701">
        <v>8</v>
      </c>
      <c r="AI342" s="623">
        <v>0</v>
      </c>
    </row>
    <row r="343">
      <c r="A343" s="719"/>
      <c r="B343" s="696" t="s">
        <v>354</v>
      </c>
      <c r="C343" s="699" t="s">
        <v>346</v>
      </c>
      <c r="D343" s="691">
        <v>327.526</v>
      </c>
      <c r="E343" s="692">
        <v>0</v>
      </c>
      <c r="F343" s="665">
        <v>0</v>
      </c>
      <c r="G343" s="693">
        <f t="shared" si="368"/>
      </c>
      <c r="H343" s="617">
        <f t="shared" si="533"/>
      </c>
      <c r="I343" s="618">
        <f t="shared" si="20"/>
      </c>
      <c r="J343" s="619">
        <f t="shared" si="395"/>
      </c>
      <c r="K343" s="620">
        <f t="shared" ref="K343:K345" si="459">D343/AB343</f>
      </c>
      <c r="L343" s="617">
        <f t="shared" ref="L343:L345" si="215">D343/AC343</f>
      </c>
      <c r="M343" s="617">
        <f t="shared" ref="M343:M345" si="300">D343/AD343</f>
      </c>
      <c r="N343" s="621">
        <f t="shared" ref="N343:N345" si="84">AC343/AB343</f>
      </c>
      <c r="O343" s="621">
        <f t="shared" ref="O343:O345" si="124">AD343/AC343</f>
      </c>
      <c r="P343" s="621">
        <f t="shared" si="177"/>
      </c>
      <c r="Q343" s="621">
        <f t="shared" ref="Q343:Q345" si="570">AD343/AA343</f>
      </c>
      <c r="R343" s="617">
        <f t="shared" si="46"/>
      </c>
      <c r="S343" s="619">
        <f t="shared" si="421"/>
      </c>
      <c r="T343" s="621">
        <f t="shared" ref="T343:T345" si="501">AE343/AB343</f>
      </c>
      <c r="U343" s="621">
        <f t="shared" ref="U343:U345" si="257">AF343/AB343</f>
      </c>
      <c r="V343" s="621">
        <f t="shared" ref="V343:V345" si="342">AG343/AB343</f>
      </c>
      <c r="W343" s="621">
        <f t="shared" si="150"/>
      </c>
      <c r="X343" s="696" t="s">
        <v>327</v>
      </c>
      <c r="Y343" s="613" t="s">
        <v>358</v>
      </c>
      <c r="Z343" s="622">
        <v>36299</v>
      </c>
      <c r="AA343" s="622">
        <v>1332</v>
      </c>
      <c r="AB343" s="622">
        <v>33489</v>
      </c>
      <c r="AC343" s="676">
        <v>60</v>
      </c>
      <c r="AD343" s="676">
        <v>0</v>
      </c>
      <c r="AE343" s="676">
        <v>1270</v>
      </c>
      <c r="AF343" s="676">
        <v>51</v>
      </c>
      <c r="AG343" s="676">
        <v>17</v>
      </c>
      <c r="AH343" s="676">
        <v>1</v>
      </c>
      <c r="AI343" s="623">
        <v>0</v>
      </c>
    </row>
    <row r="344">
      <c r="A344" s="719"/>
      <c r="B344" s="722" t="s">
        <v>332</v>
      </c>
      <c r="C344" s="722"/>
      <c r="D344" s="626">
        <f>D341+D342+D343</f>
      </c>
      <c r="E344" s="627">
        <f>SUM(E341:E343)</f>
      </c>
      <c r="F344" s="626">
        <f>SUM(F341:F343)</f>
      </c>
      <c r="G344" s="626">
        <f t="shared" si="368"/>
      </c>
      <c r="H344" s="628">
        <f t="shared" si="533"/>
      </c>
      <c r="I344" s="629">
        <f t="shared" si="20"/>
      </c>
      <c r="J344" s="630">
        <f t="shared" si="395"/>
      </c>
      <c r="K344" s="631">
        <f t="shared" si="459"/>
      </c>
      <c r="L344" s="628">
        <f t="shared" si="215"/>
      </c>
      <c r="M344" s="628">
        <f t="shared" si="300"/>
      </c>
      <c r="N344" s="632">
        <f t="shared" si="84"/>
      </c>
      <c r="O344" s="632">
        <f t="shared" si="124"/>
      </c>
      <c r="P344" s="632">
        <f t="shared" si="177"/>
      </c>
      <c r="Q344" s="632">
        <f t="shared" si="570"/>
      </c>
      <c r="R344" s="628">
        <f t="shared" si="46"/>
      </c>
      <c r="S344" s="630">
        <f t="shared" si="421"/>
      </c>
      <c r="T344" s="632">
        <f t="shared" si="501"/>
      </c>
      <c r="U344" s="632">
        <f t="shared" si="257"/>
      </c>
      <c r="V344" s="632">
        <f t="shared" si="342"/>
      </c>
      <c r="W344" s="632">
        <f t="shared" si="150"/>
      </c>
      <c r="X344" s="632"/>
      <c r="Y344" s="698"/>
      <c r="Z344" s="626">
        <f>Z341+Z342+Z343</f>
      </c>
      <c r="AA344" s="626">
        <f>SUM(AA341:AA343)</f>
      </c>
      <c r="AB344" s="626">
        <f>SUM(AB341:AB343)</f>
      </c>
      <c r="AC344" s="626">
        <f>SUM(AC341:AC343)</f>
      </c>
      <c r="AD344" s="626">
        <f>SUM(AD341:AD343)</f>
      </c>
      <c r="AE344" s="626">
        <f>SUM(AE341:AE343)</f>
      </c>
      <c r="AF344" s="626">
        <f>SUM(AF341:AF343)</f>
      </c>
      <c r="AG344" s="626">
        <f>SUM(AG341:AG343)</f>
      </c>
      <c r="AH344" s="626">
        <f>SUM(AH341:AH343)</f>
      </c>
      <c r="AI344" s="626">
        <f>SUM(AI341:AI343)</f>
      </c>
    </row>
    <row r="345">
      <c r="A345" s="719"/>
      <c r="B345" s="678" t="s">
        <v>337</v>
      </c>
      <c r="C345" s="678"/>
      <c r="D345" s="679">
        <f>D340+D344</f>
      </c>
      <c r="E345" s="679">
        <f>E340+E344</f>
      </c>
      <c r="F345" s="679">
        <f>F340+F344</f>
      </c>
      <c r="G345" s="679">
        <f t="shared" si="368"/>
      </c>
      <c r="H345" s="680">
        <f t="shared" si="533"/>
      </c>
      <c r="I345" s="681">
        <f t="shared" si="20"/>
      </c>
      <c r="J345" s="682">
        <f t="shared" si="395"/>
      </c>
      <c r="K345" s="683">
        <f t="shared" si="459"/>
      </c>
      <c r="L345" s="683">
        <f t="shared" si="215"/>
      </c>
      <c r="M345" s="684">
        <f t="shared" si="300"/>
      </c>
      <c r="N345" s="685">
        <f t="shared" si="84"/>
      </c>
      <c r="O345" s="685">
        <f t="shared" si="124"/>
      </c>
      <c r="P345" s="685">
        <f t="shared" si="177"/>
      </c>
      <c r="Q345" s="685">
        <f t="shared" si="570"/>
      </c>
      <c r="R345" s="684">
        <f t="shared" si="46"/>
      </c>
      <c r="S345" s="686">
        <f t="shared" si="421"/>
      </c>
      <c r="T345" s="687">
        <f t="shared" si="501"/>
      </c>
      <c r="U345" s="687">
        <f t="shared" si="257"/>
      </c>
      <c r="V345" s="687">
        <f t="shared" si="342"/>
      </c>
      <c r="W345" s="687">
        <f t="shared" si="150"/>
      </c>
      <c r="X345" s="687"/>
      <c r="Y345" s="658"/>
      <c r="Z345" s="679">
        <f>Z340+Z344</f>
      </c>
      <c r="AA345" s="679">
        <f>AA340+AA344</f>
      </c>
      <c r="AB345" s="679">
        <f>AB340+AB344</f>
      </c>
      <c r="AC345" s="679">
        <f>AC340+AC344</f>
      </c>
      <c r="AD345" s="679">
        <f>AD340+AD344</f>
      </c>
      <c r="AE345" s="679">
        <f>AE340+AE344</f>
      </c>
      <c r="AF345" s="679">
        <f>AF340+AF344</f>
      </c>
      <c r="AG345" s="679">
        <f>AG340+AG344</f>
      </c>
      <c r="AH345" s="679">
        <f>AH340+AH344</f>
      </c>
      <c r="AI345" s="679">
        <f>AI340+AI344</f>
      </c>
    </row>
    <row r="346">
      <c r="A346" s="603" t="s">
        <v>291</v>
      </c>
      <c r="B346" s="603" t="s">
        <v>292</v>
      </c>
      <c r="C346" s="707" t="s">
        <v>293</v>
      </c>
      <c r="D346" s="689" t="s">
        <v>294</v>
      </c>
      <c r="E346" s="690" t="s">
        <v>295</v>
      </c>
      <c r="F346" s="662" t="s">
        <v>296</v>
      </c>
      <c r="G346" s="662" t="s">
        <v>349</v>
      </c>
      <c r="H346" s="595" t="s">
        <v>297</v>
      </c>
      <c r="I346" s="595" t="s">
        <v>298</v>
      </c>
      <c r="J346" s="595" t="s">
        <v>299</v>
      </c>
      <c r="K346" s="597" t="s">
        <v>300</v>
      </c>
      <c r="L346" s="597" t="s">
        <v>301</v>
      </c>
      <c r="M346" s="597" t="s">
        <v>302</v>
      </c>
      <c r="N346" s="597" t="s">
        <v>303</v>
      </c>
      <c r="O346" s="597" t="s">
        <v>304</v>
      </c>
      <c r="P346" s="597" t="s">
        <v>305</v>
      </c>
      <c r="Q346" s="597" t="s">
        <v>306</v>
      </c>
      <c r="R346" s="597" t="s">
        <v>307</v>
      </c>
      <c r="S346" s="597" t="s">
        <v>308</v>
      </c>
      <c r="T346" s="606" t="s">
        <v>309</v>
      </c>
      <c r="U346" s="606" t="s">
        <v>310</v>
      </c>
      <c r="V346" s="606" t="s">
        <v>311</v>
      </c>
      <c r="W346" s="606" t="s">
        <v>312</v>
      </c>
      <c r="X346" s="607" t="s">
        <v>313</v>
      </c>
      <c r="Y346" s="607" t="s">
        <v>314</v>
      </c>
      <c r="Z346" s="651" t="s">
        <v>315</v>
      </c>
      <c r="AA346" s="651" t="s">
        <v>316</v>
      </c>
      <c r="AB346" s="651" t="s">
        <v>317</v>
      </c>
      <c r="AC346" s="609" t="s">
        <v>318</v>
      </c>
      <c r="AD346" s="609" t="s">
        <v>319</v>
      </c>
      <c r="AE346" s="652" t="s">
        <v>320</v>
      </c>
      <c r="AF346" s="609" t="s">
        <v>321</v>
      </c>
      <c r="AG346" s="609" t="s">
        <v>322</v>
      </c>
      <c r="AH346" s="611" t="s">
        <v>323</v>
      </c>
      <c r="AI346" s="609" t="s">
        <v>324</v>
      </c>
    </row>
    <row r="347">
      <c r="A347" s="719">
        <v>46199</v>
      </c>
      <c r="B347" s="720" t="s">
        <v>352</v>
      </c>
      <c r="C347" s="710" t="s">
        <v>338</v>
      </c>
      <c r="D347" s="711">
        <v>378.43399999999997</v>
      </c>
      <c r="E347" s="692">
        <v>1</v>
      </c>
      <c r="F347" s="665">
        <v>228</v>
      </c>
      <c r="G347" s="693">
        <f t="shared" ref="G347:G366" si="369">D347/AD347</f>
      </c>
      <c r="H347" s="617">
        <f t="shared" ref="H347:H366" si="534">F347/E347</f>
      </c>
      <c r="I347" s="618">
        <f t="shared" ref="I347:I366" si="21">D347/E347</f>
      </c>
      <c r="J347" s="619">
        <f t="shared" ref="J347:J366" si="396">F347/D347</f>
      </c>
      <c r="K347" s="620">
        <f t="shared" ref="K347:K355" si="460">D347/AB347</f>
      </c>
      <c r="L347" s="617">
        <f t="shared" ref="L347:L355" si="216">D347/AC347</f>
      </c>
      <c r="M347" s="617">
        <f t="shared" ref="M347:M355" si="301">D347/AD347</f>
      </c>
      <c r="N347" s="621">
        <f t="shared" ref="N347:N355" si="85">AC347/AB347</f>
      </c>
      <c r="O347" s="621">
        <f t="shared" ref="O347:O366" si="125">AD347/AC347</f>
      </c>
      <c r="P347" s="621">
        <f t="shared" ref="P347:P366" si="178">AA347/Z347</f>
      </c>
      <c r="Q347" s="621">
        <f t="shared" ref="Q347:Q355" si="571">AD347/AA347</f>
      </c>
      <c r="R347" s="617">
        <f t="shared" ref="R347:R366" si="47">D347/Z347*1000</f>
      </c>
      <c r="S347" s="619">
        <f t="shared" ref="S347:S366" si="422">D347/AA347</f>
      </c>
      <c r="T347" s="621">
        <f t="shared" ref="T347:T355" si="502">AE347/AB347</f>
      </c>
      <c r="U347" s="621">
        <f t="shared" ref="U347:U355" si="258">AF347/AB347</f>
      </c>
      <c r="V347" s="621">
        <f t="shared" ref="V347:V355" si="343">AG347/AB347</f>
      </c>
      <c r="W347" s="621">
        <f t="shared" ref="W347:W366" si="151">AH347/AB347</f>
      </c>
      <c r="X347" s="653" t="s">
        <v>327</v>
      </c>
      <c r="Y347" s="613" t="s">
        <v>359</v>
      </c>
      <c r="Z347" s="655">
        <v>41831</v>
      </c>
      <c r="AA347" s="655">
        <v>1575</v>
      </c>
      <c r="AB347" s="655">
        <v>39561</v>
      </c>
      <c r="AC347" s="655">
        <v>153</v>
      </c>
      <c r="AD347" s="622">
        <v>1</v>
      </c>
      <c r="AE347" s="655">
        <v>4302</v>
      </c>
      <c r="AF347" s="622">
        <v>52</v>
      </c>
      <c r="AG347" s="622">
        <v>38</v>
      </c>
      <c r="AH347" s="622">
        <v>6</v>
      </c>
      <c r="AI347" s="623">
        <v>0</v>
      </c>
    </row>
    <row r="348">
      <c r="A348" s="719"/>
      <c r="B348" s="720" t="s">
        <v>352</v>
      </c>
      <c r="C348" s="710" t="s">
        <v>340</v>
      </c>
      <c r="D348" s="711">
        <v>505.02200000000005</v>
      </c>
      <c r="E348" s="692">
        <v>0</v>
      </c>
      <c r="F348" s="665">
        <v>0</v>
      </c>
      <c r="G348" s="693">
        <f t="shared" si="369"/>
      </c>
      <c r="H348" s="617">
        <f t="shared" si="534"/>
      </c>
      <c r="I348" s="618">
        <f t="shared" si="21"/>
      </c>
      <c r="J348" s="619">
        <f t="shared" si="396"/>
      </c>
      <c r="K348" s="620">
        <f t="shared" si="460"/>
      </c>
      <c r="L348" s="617">
        <f t="shared" si="216"/>
      </c>
      <c r="M348" s="617">
        <f t="shared" si="301"/>
      </c>
      <c r="N348" s="621">
        <f t="shared" si="85"/>
      </c>
      <c r="O348" s="621">
        <f t="shared" si="125"/>
      </c>
      <c r="P348" s="621">
        <f t="shared" si="178"/>
      </c>
      <c r="Q348" s="621">
        <f t="shared" si="571"/>
      </c>
      <c r="R348" s="617">
        <f t="shared" si="47"/>
      </c>
      <c r="S348" s="619">
        <f t="shared" si="422"/>
      </c>
      <c r="T348" s="621">
        <f t="shared" si="502"/>
      </c>
      <c r="U348" s="621">
        <f t="shared" si="258"/>
      </c>
      <c r="V348" s="621">
        <f t="shared" si="343"/>
      </c>
      <c r="W348" s="621">
        <f t="shared" si="151"/>
      </c>
      <c r="X348" s="653" t="s">
        <v>327</v>
      </c>
      <c r="Y348" s="613" t="s">
        <v>359</v>
      </c>
      <c r="Z348" s="622">
        <v>52033</v>
      </c>
      <c r="AA348" s="655">
        <v>1407</v>
      </c>
      <c r="AB348" s="655">
        <v>49976</v>
      </c>
      <c r="AC348" s="655">
        <v>144</v>
      </c>
      <c r="AD348" s="622">
        <v>0</v>
      </c>
      <c r="AE348" s="655">
        <v>3349</v>
      </c>
      <c r="AF348" s="622">
        <v>69</v>
      </c>
      <c r="AG348" s="622">
        <v>38</v>
      </c>
      <c r="AH348" s="622">
        <v>5</v>
      </c>
      <c r="AI348" s="623">
        <v>0</v>
      </c>
    </row>
    <row r="349">
      <c r="A349" s="719"/>
      <c r="B349" s="720" t="s">
        <v>352</v>
      </c>
      <c r="C349" s="712" t="s">
        <v>341</v>
      </c>
      <c r="D349" s="711">
        <v>435.808</v>
      </c>
      <c r="E349" s="692">
        <v>1</v>
      </c>
      <c r="F349" s="665">
        <v>228</v>
      </c>
      <c r="G349" s="693">
        <f t="shared" si="369"/>
      </c>
      <c r="H349" s="617">
        <f t="shared" si="534"/>
      </c>
      <c r="I349" s="618">
        <f t="shared" si="21"/>
      </c>
      <c r="J349" s="619">
        <f t="shared" si="396"/>
      </c>
      <c r="K349" s="620">
        <f t="shared" si="460"/>
      </c>
      <c r="L349" s="617">
        <f t="shared" si="216"/>
      </c>
      <c r="M349" s="617">
        <f t="shared" si="301"/>
      </c>
      <c r="N349" s="621">
        <f t="shared" si="85"/>
      </c>
      <c r="O349" s="621">
        <f t="shared" si="125"/>
      </c>
      <c r="P349" s="621">
        <f t="shared" si="178"/>
      </c>
      <c r="Q349" s="621">
        <f t="shared" si="571"/>
      </c>
      <c r="R349" s="617">
        <f t="shared" si="47"/>
      </c>
      <c r="S349" s="619">
        <f t="shared" si="422"/>
      </c>
      <c r="T349" s="621">
        <f t="shared" si="502"/>
      </c>
      <c r="U349" s="621">
        <f t="shared" si="258"/>
      </c>
      <c r="V349" s="621">
        <f t="shared" si="343"/>
      </c>
      <c r="W349" s="621">
        <f t="shared" si="151"/>
      </c>
      <c r="X349" s="693" t="s">
        <v>327</v>
      </c>
      <c r="Y349" s="613" t="s">
        <v>359</v>
      </c>
      <c r="Z349" s="622">
        <v>48102</v>
      </c>
      <c r="AA349" s="622">
        <v>1414</v>
      </c>
      <c r="AB349" s="622">
        <v>45586</v>
      </c>
      <c r="AC349" s="622">
        <v>116</v>
      </c>
      <c r="AD349" s="622">
        <v>1</v>
      </c>
      <c r="AE349" s="622">
        <v>2250</v>
      </c>
      <c r="AF349" s="622">
        <v>53</v>
      </c>
      <c r="AG349" s="622">
        <v>27</v>
      </c>
      <c r="AH349" s="622">
        <v>10</v>
      </c>
      <c r="AI349" s="623">
        <v>0</v>
      </c>
    </row>
    <row r="350">
      <c r="A350" s="719"/>
      <c r="B350" s="720" t="s">
        <v>352</v>
      </c>
      <c r="C350" s="713" t="s">
        <v>342</v>
      </c>
      <c r="D350" s="714">
        <v>344.235</v>
      </c>
      <c r="E350" s="667">
        <v>3</v>
      </c>
      <c r="F350" s="647">
        <v>1806.4</v>
      </c>
      <c r="G350" s="693">
        <f t="shared" si="369"/>
      </c>
      <c r="H350" s="617">
        <f t="shared" si="534"/>
      </c>
      <c r="I350" s="618">
        <f t="shared" si="21"/>
      </c>
      <c r="J350" s="619">
        <f t="shared" si="396"/>
      </c>
      <c r="K350" s="620">
        <f t="shared" si="460"/>
      </c>
      <c r="L350" s="617">
        <f t="shared" si="216"/>
      </c>
      <c r="M350" s="617">
        <f t="shared" si="301"/>
      </c>
      <c r="N350" s="621">
        <f t="shared" si="85"/>
      </c>
      <c r="O350" s="621">
        <f t="shared" si="125"/>
      </c>
      <c r="P350" s="621">
        <f t="shared" si="178"/>
      </c>
      <c r="Q350" s="621">
        <f t="shared" si="571"/>
      </c>
      <c r="R350" s="617">
        <f t="shared" si="47"/>
      </c>
      <c r="S350" s="619">
        <f t="shared" si="422"/>
      </c>
      <c r="T350" s="621">
        <f t="shared" si="502"/>
      </c>
      <c r="U350" s="621">
        <f t="shared" si="258"/>
      </c>
      <c r="V350" s="621">
        <f t="shared" si="343"/>
      </c>
      <c r="W350" s="621">
        <f t="shared" si="151"/>
      </c>
      <c r="X350" s="696" t="s">
        <v>327</v>
      </c>
      <c r="Y350" s="613" t="s">
        <v>359</v>
      </c>
      <c r="Z350" s="622">
        <v>44368</v>
      </c>
      <c r="AA350" s="622">
        <v>1406</v>
      </c>
      <c r="AB350" s="622">
        <v>42072</v>
      </c>
      <c r="AC350" s="622">
        <v>100</v>
      </c>
      <c r="AD350" s="622">
        <v>3</v>
      </c>
      <c r="AE350" s="622">
        <v>2120</v>
      </c>
      <c r="AF350" s="622">
        <v>37</v>
      </c>
      <c r="AG350" s="622">
        <v>26</v>
      </c>
      <c r="AH350" s="623">
        <v>5</v>
      </c>
      <c r="AI350" s="623">
        <v>0</v>
      </c>
    </row>
    <row r="351">
      <c r="A351" s="719"/>
      <c r="B351" s="721" t="s">
        <v>332</v>
      </c>
      <c r="C351" s="721"/>
      <c r="D351" s="626">
        <f>SUM(D347:D350)</f>
      </c>
      <c r="E351" s="627">
        <f>SUM(E347:E350)</f>
      </c>
      <c r="F351" s="626">
        <f>SUM(F347:F350)</f>
      </c>
      <c r="G351" s="626">
        <f t="shared" si="369"/>
      </c>
      <c r="H351" s="628">
        <f t="shared" si="534"/>
      </c>
      <c r="I351" s="629">
        <f t="shared" si="21"/>
      </c>
      <c r="J351" s="630">
        <f t="shared" si="396"/>
      </c>
      <c r="K351" s="631">
        <f t="shared" si="460"/>
      </c>
      <c r="L351" s="628">
        <f t="shared" si="216"/>
      </c>
      <c r="M351" s="628">
        <f t="shared" si="301"/>
      </c>
      <c r="N351" s="632">
        <f t="shared" si="85"/>
      </c>
      <c r="O351" s="632">
        <f t="shared" si="125"/>
      </c>
      <c r="P351" s="632">
        <f t="shared" si="178"/>
      </c>
      <c r="Q351" s="632">
        <f t="shared" si="571"/>
      </c>
      <c r="R351" s="628">
        <f t="shared" si="47"/>
      </c>
      <c r="S351" s="630">
        <f t="shared" si="422"/>
      </c>
      <c r="T351" s="632">
        <f t="shared" si="502"/>
      </c>
      <c r="U351" s="632">
        <f t="shared" si="258"/>
      </c>
      <c r="V351" s="632">
        <f t="shared" si="343"/>
      </c>
      <c r="W351" s="632">
        <f t="shared" si="151"/>
      </c>
      <c r="X351" s="632"/>
      <c r="Y351" s="698"/>
      <c r="Z351" s="626">
        <f>SUM(Z347:Z350)</f>
      </c>
      <c r="AA351" s="626">
        <f>SUM(AA347:AA350)</f>
      </c>
      <c r="AB351" s="626">
        <f>SUM(AB347:AB350)</f>
      </c>
      <c r="AC351" s="626">
        <f>SUM(AC347:AC350)</f>
      </c>
      <c r="AD351" s="626">
        <f>SUM(AD347:AD350)</f>
      </c>
      <c r="AE351" s="626">
        <f>SUM(AE347:AE350)</f>
      </c>
      <c r="AF351" s="626">
        <f>SUM(AF347:AF350)</f>
      </c>
      <c r="AG351" s="626">
        <f>SUM(AG347:AG350)</f>
      </c>
      <c r="AH351" s="626">
        <f>SUM(AH347:AH350)</f>
      </c>
      <c r="AI351" s="626">
        <f>SUM(AI347:AI350)</f>
      </c>
    </row>
    <row r="352">
      <c r="A352" s="719"/>
      <c r="B352" s="723" t="s">
        <v>360</v>
      </c>
      <c r="C352" s="713" t="s">
        <v>343</v>
      </c>
      <c r="D352" s="691">
        <v>428.058</v>
      </c>
      <c r="E352" s="692">
        <v>0</v>
      </c>
      <c r="F352" s="665">
        <v>0</v>
      </c>
      <c r="G352" s="693">
        <f t="shared" si="369"/>
      </c>
      <c r="H352" s="617">
        <f t="shared" si="534"/>
      </c>
      <c r="I352" s="618">
        <f t="shared" si="21"/>
      </c>
      <c r="J352" s="619">
        <f t="shared" si="396"/>
      </c>
      <c r="K352" s="620">
        <f t="shared" si="460"/>
      </c>
      <c r="L352" s="617">
        <f t="shared" si="216"/>
      </c>
      <c r="M352" s="617">
        <f t="shared" si="301"/>
      </c>
      <c r="N352" s="621">
        <f t="shared" si="85"/>
      </c>
      <c r="O352" s="621">
        <f t="shared" si="125"/>
      </c>
      <c r="P352" s="621">
        <f t="shared" si="178"/>
      </c>
      <c r="Q352" s="621">
        <f t="shared" si="571"/>
      </c>
      <c r="R352" s="617">
        <f t="shared" si="47"/>
      </c>
      <c r="S352" s="619">
        <f t="shared" si="422"/>
      </c>
      <c r="T352" s="621">
        <f t="shared" si="502"/>
      </c>
      <c r="U352" s="621">
        <f t="shared" si="258"/>
      </c>
      <c r="V352" s="621">
        <f t="shared" si="343"/>
      </c>
      <c r="W352" s="621">
        <f t="shared" si="151"/>
      </c>
      <c r="X352" s="696" t="s">
        <v>327</v>
      </c>
      <c r="Y352" s="613" t="s">
        <v>359</v>
      </c>
      <c r="Z352" s="655">
        <v>59059</v>
      </c>
      <c r="AA352" s="655">
        <v>1595</v>
      </c>
      <c r="AB352" s="655">
        <v>56830</v>
      </c>
      <c r="AC352" s="622">
        <v>126</v>
      </c>
      <c r="AD352" s="622">
        <v>0</v>
      </c>
      <c r="AE352" s="655">
        <v>2357</v>
      </c>
      <c r="AF352" s="622">
        <v>44</v>
      </c>
      <c r="AG352" s="622">
        <v>32</v>
      </c>
      <c r="AH352" s="622">
        <v>6</v>
      </c>
      <c r="AI352" s="623">
        <v>0</v>
      </c>
    </row>
    <row r="353">
      <c r="A353" s="719"/>
      <c r="B353" s="723" t="s">
        <v>360</v>
      </c>
      <c r="C353" s="718" t="s">
        <v>344</v>
      </c>
      <c r="D353" s="669">
        <v>426.001</v>
      </c>
      <c r="E353" s="667">
        <v>0</v>
      </c>
      <c r="F353" s="647">
        <v>0</v>
      </c>
      <c r="G353" s="693">
        <f t="shared" si="369"/>
      </c>
      <c r="H353" s="617">
        <f t="shared" si="534"/>
      </c>
      <c r="I353" s="618">
        <f t="shared" si="21"/>
      </c>
      <c r="J353" s="619">
        <f t="shared" si="396"/>
      </c>
      <c r="K353" s="620">
        <f t="shared" si="460"/>
      </c>
      <c r="L353" s="617">
        <f t="shared" si="216"/>
      </c>
      <c r="M353" s="617">
        <f t="shared" si="301"/>
      </c>
      <c r="N353" s="621">
        <f t="shared" si="85"/>
      </c>
      <c r="O353" s="621">
        <f t="shared" si="125"/>
      </c>
      <c r="P353" s="621">
        <f t="shared" si="178"/>
      </c>
      <c r="Q353" s="621">
        <f t="shared" si="571"/>
      </c>
      <c r="R353" s="617">
        <f t="shared" si="47"/>
      </c>
      <c r="S353" s="619">
        <f t="shared" si="422"/>
      </c>
      <c r="T353" s="621">
        <f t="shared" si="502"/>
      </c>
      <c r="U353" s="621">
        <f t="shared" si="258"/>
      </c>
      <c r="V353" s="621">
        <f t="shared" si="343"/>
      </c>
      <c r="W353" s="621">
        <f t="shared" si="151"/>
      </c>
      <c r="X353" s="696" t="s">
        <v>327</v>
      </c>
      <c r="Y353" s="613" t="s">
        <v>359</v>
      </c>
      <c r="Z353" s="622">
        <v>57331</v>
      </c>
      <c r="AA353" s="622">
        <v>1920</v>
      </c>
      <c r="AB353" s="622">
        <v>55424</v>
      </c>
      <c r="AC353" s="622">
        <v>118</v>
      </c>
      <c r="AD353" s="622">
        <v>0</v>
      </c>
      <c r="AE353" s="622">
        <v>2137</v>
      </c>
      <c r="AF353" s="622">
        <v>38</v>
      </c>
      <c r="AG353" s="622">
        <v>36</v>
      </c>
      <c r="AH353" s="622">
        <v>4</v>
      </c>
      <c r="AI353" s="623">
        <v>0</v>
      </c>
    </row>
    <row r="354">
      <c r="A354" s="719"/>
      <c r="B354" s="722" t="s">
        <v>332</v>
      </c>
      <c r="C354" s="722"/>
      <c r="D354" s="626">
        <f>SUM(D352:D353)</f>
      </c>
      <c r="E354" s="627">
        <f>SUM(E352:E353)</f>
      </c>
      <c r="F354" s="626">
        <f>SUM(F352:F353)</f>
      </c>
      <c r="G354" s="626">
        <f t="shared" si="369"/>
      </c>
      <c r="H354" s="628">
        <f t="shared" si="534"/>
      </c>
      <c r="I354" s="629">
        <f t="shared" si="21"/>
      </c>
      <c r="J354" s="630">
        <f t="shared" si="396"/>
      </c>
      <c r="K354" s="631">
        <f t="shared" si="460"/>
      </c>
      <c r="L354" s="628">
        <f t="shared" si="216"/>
      </c>
      <c r="M354" s="628">
        <f t="shared" si="301"/>
      </c>
      <c r="N354" s="632">
        <f t="shared" si="85"/>
      </c>
      <c r="O354" s="632">
        <f t="shared" si="125"/>
      </c>
      <c r="P354" s="632">
        <f t="shared" si="178"/>
      </c>
      <c r="Q354" s="632">
        <f t="shared" si="571"/>
      </c>
      <c r="R354" s="628">
        <f t="shared" si="47"/>
      </c>
      <c r="S354" s="630">
        <f t="shared" si="422"/>
      </c>
      <c r="T354" s="632">
        <f t="shared" si="502"/>
      </c>
      <c r="U354" s="632">
        <f t="shared" si="258"/>
      </c>
      <c r="V354" s="632">
        <f t="shared" si="343"/>
      </c>
      <c r="W354" s="632">
        <f t="shared" si="151"/>
      </c>
      <c r="X354" s="632"/>
      <c r="Y354" s="698"/>
      <c r="Z354" s="626">
        <f>SUM(Z352:Z353)</f>
      </c>
      <c r="AA354" s="626">
        <f>SUM(AA352:AA353)</f>
      </c>
      <c r="AB354" s="626">
        <f>SUM(AB352:AB353)</f>
      </c>
      <c r="AC354" s="626">
        <f>SUM(AC352:AC353)</f>
      </c>
      <c r="AD354" s="626">
        <f>SUM(AD352:AD353)</f>
      </c>
      <c r="AE354" s="626">
        <f>SUM(AE352:AE353)</f>
      </c>
      <c r="AF354" s="626">
        <f>SUM(AF352:AF353)</f>
      </c>
      <c r="AG354" s="626">
        <f>SUM(AG352:AG353)</f>
      </c>
      <c r="AH354" s="626">
        <f>SUM(AH352:AH353)</f>
      </c>
      <c r="AI354" s="626">
        <f>SUM(AI352:AI353)</f>
      </c>
    </row>
    <row customHeight="true" ht="16.071428571428573" r="355">
      <c r="A355" s="719"/>
      <c r="B355" s="723" t="s">
        <v>325</v>
      </c>
      <c r="C355" s="699" t="s">
        <v>345</v>
      </c>
      <c r="D355" s="691">
        <v>371.29200000000003</v>
      </c>
      <c r="E355" s="692">
        <v>0</v>
      </c>
      <c r="F355" s="665">
        <v>0</v>
      </c>
      <c r="G355" s="693">
        <f t="shared" si="369"/>
      </c>
      <c r="H355" s="617">
        <f t="shared" si="534"/>
      </c>
      <c r="I355" s="618">
        <f t="shared" si="21"/>
      </c>
      <c r="J355" s="619">
        <f t="shared" si="396"/>
      </c>
      <c r="K355" s="620">
        <f t="shared" si="460"/>
      </c>
      <c r="L355" s="617">
        <f t="shared" si="216"/>
      </c>
      <c r="M355" s="617">
        <f t="shared" si="301"/>
      </c>
      <c r="N355" s="621">
        <f t="shared" si="85"/>
      </c>
      <c r="O355" s="621">
        <f t="shared" si="125"/>
      </c>
      <c r="P355" s="621">
        <f t="shared" si="178"/>
      </c>
      <c r="Q355" s="621">
        <f t="shared" si="571"/>
      </c>
      <c r="R355" s="617">
        <f t="shared" si="47"/>
      </c>
      <c r="S355" s="619">
        <f t="shared" si="422"/>
      </c>
      <c r="T355" s="621">
        <f t="shared" si="502"/>
      </c>
      <c r="U355" s="621">
        <f t="shared" si="258"/>
      </c>
      <c r="V355" s="621">
        <f t="shared" si="343"/>
      </c>
      <c r="W355" s="621">
        <f t="shared" si="151"/>
      </c>
      <c r="X355" s="696" t="s">
        <v>327</v>
      </c>
      <c r="Y355" s="613" t="s">
        <v>359</v>
      </c>
      <c r="Z355" s="655">
        <v>44675</v>
      </c>
      <c r="AA355" s="655">
        <v>2164</v>
      </c>
      <c r="AB355" s="655">
        <v>42662</v>
      </c>
      <c r="AC355" s="622">
        <v>104</v>
      </c>
      <c r="AD355" s="622">
        <v>0</v>
      </c>
      <c r="AE355" s="655">
        <v>1905</v>
      </c>
      <c r="AF355" s="622">
        <v>25</v>
      </c>
      <c r="AG355" s="622">
        <v>33</v>
      </c>
      <c r="AH355" s="622">
        <v>3</v>
      </c>
      <c r="AI355" s="623">
        <v>0</v>
      </c>
    </row>
    <row customHeight="true" ht="16.071428571428573" r="356">
      <c r="A356" s="719"/>
      <c r="B356" s="723" t="s">
        <v>325</v>
      </c>
      <c r="C356" s="699" t="s">
        <v>346</v>
      </c>
      <c r="D356" s="691">
        <v>1108.79</v>
      </c>
      <c r="E356" s="692">
        <v>4</v>
      </c>
      <c r="F356" s="665">
        <v>901.2</v>
      </c>
      <c r="G356" s="693">
        <f t="shared" si="369"/>
      </c>
      <c r="H356" s="617">
        <f t="shared" si="534"/>
      </c>
      <c r="I356" s="618">
        <f t="shared" si="21"/>
      </c>
      <c r="J356" s="619">
        <f t="shared" si="396"/>
      </c>
      <c r="K356" s="620">
        <f>D356/AC356</f>
      </c>
      <c r="L356" s="617">
        <f>D356/AD356</f>
      </c>
      <c r="M356" s="617">
        <f>D356/AE356</f>
      </c>
      <c r="N356" s="621">
        <f>AD356/AC356</f>
      </c>
      <c r="O356" s="621">
        <f t="shared" si="125"/>
      </c>
      <c r="P356" s="621">
        <f t="shared" si="178"/>
      </c>
      <c r="Q356" s="621">
        <f>AE356/AA356</f>
      </c>
      <c r="R356" s="617">
        <f t="shared" si="47"/>
      </c>
      <c r="S356" s="619">
        <f t="shared" si="422"/>
      </c>
      <c r="T356" s="621">
        <f>AF356/AC356</f>
      </c>
      <c r="U356" s="621">
        <f>AG356/AC356</f>
      </c>
      <c r="V356" s="621">
        <f>AH356/AC356</f>
      </c>
      <c r="W356" s="621">
        <f t="shared" si="151"/>
      </c>
      <c r="X356" s="696" t="s">
        <v>327</v>
      </c>
      <c r="Y356" s="613" t="s">
        <v>359</v>
      </c>
      <c r="Z356" s="622">
        <v>144764</v>
      </c>
      <c r="AA356" s="622">
        <v>4237</v>
      </c>
      <c r="AB356" s="700">
        <v>142196</v>
      </c>
      <c r="AC356" s="701">
        <v>189</v>
      </c>
      <c r="AD356" s="701">
        <v>3</v>
      </c>
      <c r="AE356" s="701">
        <v>4465</v>
      </c>
      <c r="AF356" s="701">
        <v>59</v>
      </c>
      <c r="AG356" s="701">
        <v>72</v>
      </c>
      <c r="AH356" s="701">
        <v>4</v>
      </c>
      <c r="AI356" s="623">
        <v>1</v>
      </c>
    </row>
    <row customHeight="true" ht="16.071428571428573" r="357">
      <c r="A357" s="719"/>
      <c r="B357" s="723" t="s">
        <v>325</v>
      </c>
      <c r="C357" s="697" t="s">
        <v>326</v>
      </c>
      <c r="D357" s="691">
        <v>974.959</v>
      </c>
      <c r="E357" s="692">
        <v>5</v>
      </c>
      <c r="F357" s="665">
        <v>1658.8</v>
      </c>
      <c r="G357" s="693">
        <f t="shared" si="369"/>
      </c>
      <c r="H357" s="617">
        <f t="shared" si="534"/>
      </c>
      <c r="I357" s="618">
        <f t="shared" si="21"/>
      </c>
      <c r="J357" s="619">
        <f t="shared" si="396"/>
      </c>
      <c r="K357" s="620">
        <f t="shared" ref="K357:K366" si="461">D357/AB357</f>
      </c>
      <c r="L357" s="617">
        <f t="shared" ref="L357:L366" si="217">D357/AC357</f>
      </c>
      <c r="M357" s="617">
        <f t="shared" ref="M357:M366" si="302">D357/AD357</f>
      </c>
      <c r="N357" s="621">
        <f t="shared" ref="N357:N366" si="86">AC357/AB357</f>
      </c>
      <c r="O357" s="621">
        <f t="shared" si="125"/>
      </c>
      <c r="P357" s="621">
        <f t="shared" si="178"/>
      </c>
      <c r="Q357" s="621">
        <f t="shared" ref="Q357:Q366" si="572">AD357/AA357</f>
      </c>
      <c r="R357" s="617">
        <f t="shared" si="47"/>
      </c>
      <c r="S357" s="619">
        <f t="shared" si="422"/>
      </c>
      <c r="T357" s="621">
        <f t="shared" ref="T357:T366" si="503">AE357/AB357</f>
      </c>
      <c r="U357" s="621">
        <f t="shared" ref="U357:U366" si="259">AF357/AB357</f>
      </c>
      <c r="V357" s="621">
        <f t="shared" ref="V357:V366" si="344">AG357/AB357</f>
      </c>
      <c r="W357" s="621">
        <f t="shared" si="151"/>
      </c>
      <c r="X357" s="696" t="s">
        <v>327</v>
      </c>
      <c r="Y357" s="653" t="s">
        <v>348</v>
      </c>
      <c r="Z357" s="622">
        <v>125728</v>
      </c>
      <c r="AA357" s="622">
        <v>4192</v>
      </c>
      <c r="AB357" s="622">
        <v>119819</v>
      </c>
      <c r="AC357" s="676">
        <v>182</v>
      </c>
      <c r="AD357" s="676">
        <v>4</v>
      </c>
      <c r="AE357" s="676">
        <v>4326</v>
      </c>
      <c r="AF357" s="676">
        <v>92</v>
      </c>
      <c r="AG357" s="676">
        <v>82</v>
      </c>
      <c r="AH357" s="676">
        <v>6</v>
      </c>
      <c r="AI357" s="623">
        <v>2</v>
      </c>
    </row>
    <row customHeight="true" ht="16.071428571428573" r="358">
      <c r="A358" s="719"/>
      <c r="B358" s="723" t="s">
        <v>325</v>
      </c>
      <c r="C358" s="697" t="s">
        <v>329</v>
      </c>
      <c r="D358" s="669">
        <v>1401.66</v>
      </c>
      <c r="E358" s="667">
        <v>6</v>
      </c>
      <c r="F358" s="647">
        <v>1872</v>
      </c>
      <c r="G358" s="693">
        <f t="shared" si="369"/>
      </c>
      <c r="H358" s="617">
        <f t="shared" si="534"/>
      </c>
      <c r="I358" s="618">
        <f t="shared" si="21"/>
      </c>
      <c r="J358" s="619">
        <f t="shared" si="396"/>
      </c>
      <c r="K358" s="620">
        <f t="shared" si="461"/>
      </c>
      <c r="L358" s="617">
        <f t="shared" si="217"/>
      </c>
      <c r="M358" s="617">
        <f t="shared" si="302"/>
      </c>
      <c r="N358" s="621">
        <f t="shared" si="86"/>
      </c>
      <c r="O358" s="621">
        <f t="shared" si="125"/>
      </c>
      <c r="P358" s="621">
        <f t="shared" si="178"/>
      </c>
      <c r="Q358" s="621">
        <f t="shared" si="572"/>
      </c>
      <c r="R358" s="617">
        <f t="shared" si="47"/>
      </c>
      <c r="S358" s="619">
        <f t="shared" si="422"/>
      </c>
      <c r="T358" s="621">
        <f t="shared" si="503"/>
      </c>
      <c r="U358" s="621">
        <f t="shared" si="259"/>
      </c>
      <c r="V358" s="621">
        <f t="shared" si="344"/>
      </c>
      <c r="W358" s="621">
        <f t="shared" si="151"/>
      </c>
      <c r="X358" s="696" t="s">
        <v>327</v>
      </c>
      <c r="Y358" s="653" t="s">
        <v>348</v>
      </c>
      <c r="Z358" s="622">
        <v>198077</v>
      </c>
      <c r="AA358" s="622">
        <v>5624</v>
      </c>
      <c r="AB358" s="622">
        <v>191831</v>
      </c>
      <c r="AC358" s="622">
        <v>246</v>
      </c>
      <c r="AD358" s="622">
        <v>6</v>
      </c>
      <c r="AE358" s="622">
        <v>5984</v>
      </c>
      <c r="AF358" s="622">
        <v>72</v>
      </c>
      <c r="AG358" s="622">
        <v>117</v>
      </c>
      <c r="AH358" s="622">
        <v>3</v>
      </c>
      <c r="AI358" s="623">
        <v>0</v>
      </c>
    </row>
    <row customHeight="true" ht="16.071428571428573" r="359">
      <c r="A359" s="719"/>
      <c r="B359" s="723" t="s">
        <v>325</v>
      </c>
      <c r="C359" s="697" t="s">
        <v>330</v>
      </c>
      <c r="D359" s="669">
        <v>1877.867</v>
      </c>
      <c r="E359" s="667">
        <v>6</v>
      </c>
      <c r="F359" s="647">
        <v>1924.8</v>
      </c>
      <c r="G359" s="693">
        <f t="shared" si="369"/>
      </c>
      <c r="H359" s="617">
        <f t="shared" si="534"/>
      </c>
      <c r="I359" s="618">
        <f t="shared" si="21"/>
      </c>
      <c r="J359" s="619">
        <f t="shared" si="396"/>
      </c>
      <c r="K359" s="620">
        <f t="shared" si="461"/>
      </c>
      <c r="L359" s="617">
        <f t="shared" si="217"/>
      </c>
      <c r="M359" s="617">
        <f t="shared" si="302"/>
      </c>
      <c r="N359" s="621">
        <f t="shared" si="86"/>
      </c>
      <c r="O359" s="621">
        <f t="shared" si="125"/>
      </c>
      <c r="P359" s="621">
        <f t="shared" si="178"/>
      </c>
      <c r="Q359" s="621">
        <f t="shared" si="572"/>
      </c>
      <c r="R359" s="617">
        <f t="shared" si="47"/>
      </c>
      <c r="S359" s="619">
        <f t="shared" si="422"/>
      </c>
      <c r="T359" s="621">
        <f t="shared" si="503"/>
      </c>
      <c r="U359" s="621">
        <f t="shared" si="259"/>
      </c>
      <c r="V359" s="621">
        <f t="shared" si="344"/>
      </c>
      <c r="W359" s="621">
        <f t="shared" si="151"/>
      </c>
      <c r="X359" s="696" t="s">
        <v>327</v>
      </c>
      <c r="Y359" s="653" t="s">
        <v>348</v>
      </c>
      <c r="Z359" s="622">
        <v>270933</v>
      </c>
      <c r="AA359" s="622">
        <v>7813</v>
      </c>
      <c r="AB359" s="622">
        <v>264903</v>
      </c>
      <c r="AC359" s="622">
        <v>314</v>
      </c>
      <c r="AD359" s="622">
        <v>3</v>
      </c>
      <c r="AE359" s="622">
        <v>8601</v>
      </c>
      <c r="AF359" s="622">
        <v>131</v>
      </c>
      <c r="AG359" s="622">
        <v>143</v>
      </c>
      <c r="AH359" s="622">
        <v>7</v>
      </c>
      <c r="AI359" s="623">
        <v>3</v>
      </c>
    </row>
    <row customHeight="true" ht="16.071428571428573" r="360">
      <c r="A360" s="719"/>
      <c r="B360" s="722" t="s">
        <v>332</v>
      </c>
      <c r="C360" s="722"/>
      <c r="D360" s="626">
        <f>SUM(D355:D359)</f>
      </c>
      <c r="E360" s="627">
        <f>SUM(E355:E359)</f>
      </c>
      <c r="F360" s="626">
        <f>SUM(F355:F359)</f>
      </c>
      <c r="G360" s="626">
        <f t="shared" si="369"/>
      </c>
      <c r="H360" s="628">
        <f t="shared" si="534"/>
      </c>
      <c r="I360" s="629">
        <f t="shared" si="21"/>
      </c>
      <c r="J360" s="630">
        <f t="shared" si="396"/>
      </c>
      <c r="K360" s="631">
        <f t="shared" si="461"/>
      </c>
      <c r="L360" s="628">
        <f t="shared" si="217"/>
      </c>
      <c r="M360" s="628">
        <f t="shared" si="302"/>
      </c>
      <c r="N360" s="632">
        <f t="shared" si="86"/>
      </c>
      <c r="O360" s="632">
        <f t="shared" si="125"/>
      </c>
      <c r="P360" s="632">
        <f t="shared" si="178"/>
      </c>
      <c r="Q360" s="632">
        <f t="shared" si="572"/>
      </c>
      <c r="R360" s="628">
        <f t="shared" si="47"/>
      </c>
      <c r="S360" s="630">
        <f t="shared" si="422"/>
      </c>
      <c r="T360" s="632">
        <f t="shared" si="503"/>
      </c>
      <c r="U360" s="632">
        <f t="shared" si="259"/>
      </c>
      <c r="V360" s="632">
        <f t="shared" si="344"/>
      </c>
      <c r="W360" s="632">
        <f t="shared" si="151"/>
      </c>
      <c r="X360" s="632"/>
      <c r="Y360" s="698"/>
      <c r="Z360" s="626">
        <f>SUM(Z355:Z359)</f>
      </c>
      <c r="AA360" s="626">
        <f>SUM(AA355:AA359)</f>
      </c>
      <c r="AB360" s="626">
        <f>SUM(AB355:AB359)</f>
      </c>
      <c r="AC360" s="626">
        <f>SUM(AC355:AC359)</f>
      </c>
      <c r="AD360" s="626">
        <f>SUM(AD355:AD359)</f>
      </c>
      <c r="AE360" s="626">
        <f>SUM(AE355:AE359)</f>
      </c>
      <c r="AF360" s="626">
        <f>SUM(AF355:AF359)</f>
      </c>
      <c r="AG360" s="626">
        <f>SUM(AG355:AG359)</f>
      </c>
      <c r="AH360" s="626">
        <f>SUM(AH355:AH359)</f>
      </c>
      <c r="AI360" s="626">
        <f>SUM(AI355:AI359)</f>
      </c>
    </row>
    <row r="361">
      <c r="A361" s="719"/>
      <c r="B361" s="706" t="s">
        <v>361</v>
      </c>
      <c r="C361" s="697" t="s">
        <v>331</v>
      </c>
      <c r="D361" s="614">
        <v>2411.946</v>
      </c>
      <c r="E361" s="615">
        <v>5</v>
      </c>
      <c r="F361" s="647">
        <v>1062.4</v>
      </c>
      <c r="G361" s="693">
        <f t="shared" si="369"/>
      </c>
      <c r="H361" s="617">
        <f t="shared" si="534"/>
      </c>
      <c r="I361" s="618">
        <f t="shared" si="21"/>
      </c>
      <c r="J361" s="619">
        <f t="shared" si="396"/>
      </c>
      <c r="K361" s="620">
        <f t="shared" si="461"/>
      </c>
      <c r="L361" s="617">
        <f t="shared" si="217"/>
      </c>
      <c r="M361" s="622">
        <f t="shared" si="302"/>
      </c>
      <c r="N361" s="621">
        <f t="shared" si="86"/>
      </c>
      <c r="O361" s="621">
        <f t="shared" si="125"/>
      </c>
      <c r="P361" s="621">
        <f t="shared" si="178"/>
      </c>
      <c r="Q361" s="621">
        <f t="shared" si="572"/>
      </c>
      <c r="R361" s="617">
        <f t="shared" si="47"/>
      </c>
      <c r="S361" s="619">
        <f t="shared" si="422"/>
      </c>
      <c r="T361" s="621">
        <f t="shared" si="503"/>
      </c>
      <c r="U361" s="621">
        <f t="shared" si="259"/>
      </c>
      <c r="V361" s="621">
        <f t="shared" si="344"/>
      </c>
      <c r="W361" s="621">
        <f t="shared" si="151"/>
      </c>
      <c r="X361" s="696" t="s">
        <v>327</v>
      </c>
      <c r="Y361" s="653" t="s">
        <v>348</v>
      </c>
      <c r="Z361" s="622">
        <v>387825</v>
      </c>
      <c r="AA361" s="622">
        <v>9064</v>
      </c>
      <c r="AB361" s="622">
        <v>380251</v>
      </c>
      <c r="AC361" s="622">
        <v>360</v>
      </c>
      <c r="AD361" s="622">
        <v>3</v>
      </c>
      <c r="AE361" s="622">
        <v>9263</v>
      </c>
      <c r="AF361" s="622">
        <v>161</v>
      </c>
      <c r="AG361" s="622">
        <v>173</v>
      </c>
      <c r="AH361" s="623">
        <v>11</v>
      </c>
      <c r="AI361" s="623">
        <v>2</v>
      </c>
    </row>
    <row r="362">
      <c r="A362" s="719"/>
      <c r="B362" s="706" t="s">
        <v>361</v>
      </c>
      <c r="C362" s="697" t="s">
        <v>334</v>
      </c>
      <c r="D362" s="614">
        <v>2311.938</v>
      </c>
      <c r="E362" s="615">
        <v>3</v>
      </c>
      <c r="F362" s="647">
        <v>1813.6</v>
      </c>
      <c r="G362" s="693">
        <f t="shared" si="369"/>
      </c>
      <c r="H362" s="617">
        <f t="shared" si="534"/>
      </c>
      <c r="I362" s="618">
        <f t="shared" si="21"/>
      </c>
      <c r="J362" s="619">
        <f t="shared" si="396"/>
      </c>
      <c r="K362" s="620">
        <f t="shared" si="461"/>
      </c>
      <c r="L362" s="617">
        <f t="shared" si="217"/>
      </c>
      <c r="M362" s="617">
        <f t="shared" si="302"/>
      </c>
      <c r="N362" s="621">
        <f t="shared" si="86"/>
      </c>
      <c r="O362" s="621">
        <f t="shared" si="125"/>
      </c>
      <c r="P362" s="621">
        <f t="shared" si="178"/>
      </c>
      <c r="Q362" s="621">
        <f t="shared" si="572"/>
      </c>
      <c r="R362" s="617">
        <f t="shared" si="47"/>
      </c>
      <c r="S362" s="619">
        <f t="shared" si="422"/>
      </c>
      <c r="T362" s="621">
        <f t="shared" si="503"/>
      </c>
      <c r="U362" s="621">
        <f t="shared" si="259"/>
      </c>
      <c r="V362" s="621">
        <f t="shared" si="344"/>
      </c>
      <c r="W362" s="621">
        <f t="shared" si="151"/>
      </c>
      <c r="X362" s="696" t="s">
        <v>327</v>
      </c>
      <c r="Y362" s="653" t="s">
        <v>348</v>
      </c>
      <c r="Z362" s="622">
        <v>399780</v>
      </c>
      <c r="AA362" s="622">
        <v>8909</v>
      </c>
      <c r="AB362" s="622">
        <v>388237</v>
      </c>
      <c r="AC362" s="622">
        <v>369</v>
      </c>
      <c r="AD362" s="622">
        <v>2</v>
      </c>
      <c r="AE362" s="622">
        <v>9218</v>
      </c>
      <c r="AF362" s="622">
        <v>131</v>
      </c>
      <c r="AG362" s="622">
        <v>215</v>
      </c>
      <c r="AH362" s="622">
        <v>7</v>
      </c>
      <c r="AI362" s="623">
        <v>1</v>
      </c>
    </row>
    <row r="363">
      <c r="A363" s="719"/>
      <c r="B363" s="706" t="s">
        <v>361</v>
      </c>
      <c r="C363" s="697" t="s">
        <v>335</v>
      </c>
      <c r="D363" s="614">
        <v>2496.516</v>
      </c>
      <c r="E363" s="615">
        <v>3</v>
      </c>
      <c r="F363" s="647">
        <v>1284</v>
      </c>
      <c r="G363" s="693">
        <f t="shared" si="369"/>
      </c>
      <c r="H363" s="617">
        <f t="shared" si="534"/>
      </c>
      <c r="I363" s="618">
        <f t="shared" si="21"/>
      </c>
      <c r="J363" s="619">
        <f t="shared" si="396"/>
      </c>
      <c r="K363" s="620">
        <f t="shared" si="461"/>
      </c>
      <c r="L363" s="617">
        <f t="shared" si="217"/>
      </c>
      <c r="M363" s="617">
        <f t="shared" si="302"/>
      </c>
      <c r="N363" s="621">
        <f t="shared" si="86"/>
      </c>
      <c r="O363" s="621">
        <f t="shared" si="125"/>
      </c>
      <c r="P363" s="621">
        <f t="shared" si="178"/>
      </c>
      <c r="Q363" s="621">
        <f t="shared" si="572"/>
      </c>
      <c r="R363" s="617">
        <f t="shared" si="47"/>
      </c>
      <c r="S363" s="619">
        <f t="shared" si="422"/>
      </c>
      <c r="T363" s="621">
        <f t="shared" si="503"/>
      </c>
      <c r="U363" s="621">
        <f t="shared" si="259"/>
      </c>
      <c r="V363" s="621">
        <f t="shared" si="344"/>
      </c>
      <c r="W363" s="621">
        <f t="shared" si="151"/>
      </c>
      <c r="X363" s="696" t="s">
        <v>327</v>
      </c>
      <c r="Y363" s="693" t="s">
        <v>348</v>
      </c>
      <c r="Z363" s="622">
        <v>462846</v>
      </c>
      <c r="AA363" s="622">
        <v>6878</v>
      </c>
      <c r="AB363" s="622">
        <v>436764</v>
      </c>
      <c r="AC363" s="622">
        <v>516</v>
      </c>
      <c r="AD363" s="622">
        <v>3</v>
      </c>
      <c r="AE363" s="622">
        <v>10200</v>
      </c>
      <c r="AF363" s="622">
        <v>117</v>
      </c>
      <c r="AG363" s="622">
        <v>161</v>
      </c>
      <c r="AH363" s="623">
        <v>16</v>
      </c>
      <c r="AI363" s="623">
        <v>0</v>
      </c>
    </row>
    <row r="364">
      <c r="A364" s="719"/>
      <c r="B364" s="706" t="s">
        <v>361</v>
      </c>
      <c r="C364" s="697" t="s">
        <v>336</v>
      </c>
      <c r="D364" s="614">
        <v>1883.772</v>
      </c>
      <c r="E364" s="615">
        <v>4</v>
      </c>
      <c r="F364" s="647">
        <v>880</v>
      </c>
      <c r="G364" s="693">
        <f t="shared" si="369"/>
      </c>
      <c r="H364" s="617">
        <f t="shared" si="534"/>
      </c>
      <c r="I364" s="618">
        <f t="shared" si="21"/>
      </c>
      <c r="J364" s="619">
        <f t="shared" si="396"/>
      </c>
      <c r="K364" s="620">
        <f t="shared" si="461"/>
      </c>
      <c r="L364" s="617">
        <f t="shared" si="217"/>
      </c>
      <c r="M364" s="617">
        <f t="shared" si="302"/>
      </c>
      <c r="N364" s="621">
        <f t="shared" si="86"/>
      </c>
      <c r="O364" s="621">
        <f t="shared" si="125"/>
      </c>
      <c r="P364" s="621">
        <f t="shared" si="178"/>
      </c>
      <c r="Q364" s="621">
        <f t="shared" si="572"/>
      </c>
      <c r="R364" s="617">
        <f t="shared" si="47"/>
      </c>
      <c r="S364" s="619">
        <f t="shared" si="422"/>
      </c>
      <c r="T364" s="621">
        <f t="shared" si="503"/>
      </c>
      <c r="U364" s="621">
        <f t="shared" si="259"/>
      </c>
      <c r="V364" s="621">
        <f t="shared" si="344"/>
      </c>
      <c r="W364" s="621">
        <f t="shared" si="151"/>
      </c>
      <c r="X364" s="696" t="s">
        <v>327</v>
      </c>
      <c r="Y364" s="696" t="s">
        <v>348</v>
      </c>
      <c r="Z364" s="622">
        <v>381868</v>
      </c>
      <c r="AA364" s="622">
        <v>4421</v>
      </c>
      <c r="AB364" s="622">
        <v>344602</v>
      </c>
      <c r="AC364" s="622">
        <v>450</v>
      </c>
      <c r="AD364" s="622">
        <v>4</v>
      </c>
      <c r="AE364" s="622">
        <v>7635</v>
      </c>
      <c r="AF364" s="622">
        <v>110</v>
      </c>
      <c r="AG364" s="622">
        <v>99</v>
      </c>
      <c r="AH364" s="622">
        <v>18</v>
      </c>
      <c r="AI364" s="623">
        <v>0</v>
      </c>
    </row>
    <row r="365">
      <c r="A365" s="719"/>
      <c r="B365" s="722" t="s">
        <v>332</v>
      </c>
      <c r="C365" s="722"/>
      <c r="D365" s="626">
        <f>SUM(D361:D364)</f>
      </c>
      <c r="E365" s="627">
        <f>SUM(E361:E364)</f>
      </c>
      <c r="F365" s="626">
        <f>SUM(F361:F364)</f>
      </c>
      <c r="G365" s="626">
        <f t="shared" si="369"/>
      </c>
      <c r="H365" s="628">
        <f t="shared" si="534"/>
      </c>
      <c r="I365" s="629">
        <f t="shared" si="21"/>
      </c>
      <c r="J365" s="630">
        <f t="shared" si="396"/>
      </c>
      <c r="K365" s="631">
        <f t="shared" si="461"/>
      </c>
      <c r="L365" s="628">
        <f t="shared" si="217"/>
      </c>
      <c r="M365" s="628">
        <f t="shared" si="302"/>
      </c>
      <c r="N365" s="632">
        <f t="shared" si="86"/>
      </c>
      <c r="O365" s="632">
        <f t="shared" si="125"/>
      </c>
      <c r="P365" s="632">
        <f t="shared" si="178"/>
      </c>
      <c r="Q365" s="632">
        <f t="shared" si="572"/>
      </c>
      <c r="R365" s="628">
        <f t="shared" si="47"/>
      </c>
      <c r="S365" s="630">
        <f t="shared" si="422"/>
      </c>
      <c r="T365" s="632">
        <f t="shared" si="503"/>
      </c>
      <c r="U365" s="632">
        <f t="shared" si="259"/>
      </c>
      <c r="V365" s="632">
        <f t="shared" si="344"/>
      </c>
      <c r="W365" s="632">
        <f t="shared" si="151"/>
      </c>
      <c r="X365" s="632"/>
      <c r="Y365" s="698"/>
      <c r="Z365" s="626">
        <f>SUM(Z361:Z364)</f>
      </c>
      <c r="AA365" s="626">
        <f>SUM(AA361:AA364)</f>
      </c>
      <c r="AB365" s="626">
        <f>SUM(AB361:AB364)</f>
      </c>
      <c r="AC365" s="626">
        <f>SUM(AC361:AC364)</f>
      </c>
      <c r="AD365" s="626">
        <f>SUM(AD361:AD364)</f>
      </c>
      <c r="AE365" s="626">
        <f>SUM(AE361:AE364)</f>
      </c>
      <c r="AF365" s="626">
        <f>SUM(AF361:AF364)</f>
      </c>
      <c r="AG365" s="626">
        <f>SUM(AG361:AG364)</f>
      </c>
      <c r="AH365" s="626">
        <f>SUM(AH361:AH364)</f>
      </c>
      <c r="AI365" s="626">
        <f>SUM(AI361:AI364)</f>
      </c>
    </row>
    <row r="366">
      <c r="A366" s="719"/>
      <c r="B366" s="678" t="s">
        <v>337</v>
      </c>
      <c r="C366" s="678"/>
      <c r="D366" s="679">
        <f>SUM(D365+D360+D354+D351)</f>
      </c>
      <c r="E366" s="679">
        <f>SUM(E365+E360+E354+E351)</f>
      </c>
      <c r="F366" s="679">
        <f>SUM(F365+F360+F354+F351)</f>
      </c>
      <c r="G366" s="679">
        <f t="shared" si="369"/>
      </c>
      <c r="H366" s="680">
        <f t="shared" si="534"/>
      </c>
      <c r="I366" s="681">
        <f t="shared" si="21"/>
      </c>
      <c r="J366" s="682">
        <f t="shared" si="396"/>
      </c>
      <c r="K366" s="683">
        <f t="shared" si="461"/>
      </c>
      <c r="L366" s="683">
        <f t="shared" si="217"/>
      </c>
      <c r="M366" s="684">
        <f t="shared" si="302"/>
      </c>
      <c r="N366" s="685">
        <f t="shared" si="86"/>
      </c>
      <c r="O366" s="685">
        <f t="shared" si="125"/>
      </c>
      <c r="P366" s="685">
        <f t="shared" si="178"/>
      </c>
      <c r="Q366" s="685">
        <f t="shared" si="572"/>
      </c>
      <c r="R366" s="684">
        <f t="shared" si="47"/>
      </c>
      <c r="S366" s="686">
        <f t="shared" si="422"/>
      </c>
      <c r="T366" s="687">
        <f t="shared" si="503"/>
      </c>
      <c r="U366" s="687">
        <f t="shared" si="259"/>
      </c>
      <c r="V366" s="687">
        <f t="shared" si="344"/>
      </c>
      <c r="W366" s="687">
        <f t="shared" si="151"/>
      </c>
      <c r="X366" s="687"/>
      <c r="Y366" s="658"/>
      <c r="Z366" s="679">
        <f>SUM(Z365+Z360+Z354+Z351)</f>
      </c>
      <c r="AA366" s="679">
        <f>SUM(AA365+AA360+AA354+AA351)</f>
      </c>
      <c r="AB366" s="679">
        <f>SUM(AB365+AB360+AB354+AB351)</f>
      </c>
      <c r="AC366" s="679">
        <f>SUM(AC365+AC360+AC354+AC351)</f>
      </c>
      <c r="AD366" s="679">
        <f>SUM(AD365+AD360+AD354+AD351)</f>
      </c>
      <c r="AE366" s="679">
        <f>SUM(AE365+AE360+AE354+AE351)</f>
      </c>
      <c r="AF366" s="679">
        <f>SUM(AF365+AF360+AF354+AF351)</f>
      </c>
      <c r="AG366" s="679">
        <f>SUM(AG365+AG360+AG354+AG351)</f>
      </c>
      <c r="AH366" s="679">
        <f>SUM(AH365+AH360+AH354+AH351)</f>
      </c>
      <c r="AI366" s="679">
        <f>SUM(AI365+AI360+AI354+AI351)</f>
      </c>
    </row>
    <row r="367">
      <c r="A367" s="603" t="s">
        <v>291</v>
      </c>
      <c r="B367" s="603" t="s">
        <v>292</v>
      </c>
      <c r="C367" s="707" t="s">
        <v>293</v>
      </c>
      <c r="D367" s="689" t="s">
        <v>294</v>
      </c>
      <c r="E367" s="690" t="s">
        <v>295</v>
      </c>
      <c r="F367" s="662" t="s">
        <v>296</v>
      </c>
      <c r="G367" s="662" t="s">
        <v>349</v>
      </c>
      <c r="H367" s="595" t="s">
        <v>297</v>
      </c>
      <c r="I367" s="595" t="s">
        <v>298</v>
      </c>
      <c r="J367" s="595" t="s">
        <v>299</v>
      </c>
      <c r="K367" s="597" t="s">
        <v>300</v>
      </c>
      <c r="L367" s="597" t="s">
        <v>301</v>
      </c>
      <c r="M367" s="597" t="s">
        <v>302</v>
      </c>
      <c r="N367" s="597" t="s">
        <v>303</v>
      </c>
      <c r="O367" s="597" t="s">
        <v>304</v>
      </c>
      <c r="P367" s="597" t="s">
        <v>305</v>
      </c>
      <c r="Q367" s="597" t="s">
        <v>306</v>
      </c>
      <c r="R367" s="597" t="s">
        <v>307</v>
      </c>
      <c r="S367" s="597" t="s">
        <v>308</v>
      </c>
      <c r="T367" s="606" t="s">
        <v>309</v>
      </c>
      <c r="U367" s="606" t="s">
        <v>310</v>
      </c>
      <c r="V367" s="606" t="s">
        <v>311</v>
      </c>
      <c r="W367" s="606" t="s">
        <v>312</v>
      </c>
      <c r="X367" s="607" t="s">
        <v>313</v>
      </c>
      <c r="Y367" s="607" t="s">
        <v>314</v>
      </c>
      <c r="Z367" s="651" t="s">
        <v>315</v>
      </c>
      <c r="AA367" s="651" t="s">
        <v>316</v>
      </c>
      <c r="AB367" s="651" t="s">
        <v>317</v>
      </c>
      <c r="AC367" s="609" t="s">
        <v>318</v>
      </c>
      <c r="AD367" s="609" t="s">
        <v>319</v>
      </c>
      <c r="AE367" s="652" t="s">
        <v>320</v>
      </c>
      <c r="AF367" s="609" t="s">
        <v>321</v>
      </c>
      <c r="AG367" s="609" t="s">
        <v>322</v>
      </c>
      <c r="AH367" s="611" t="s">
        <v>323</v>
      </c>
      <c r="AI367" s="609" t="s">
        <v>324</v>
      </c>
    </row>
    <row r="368">
      <c r="A368" s="719">
        <v>46200</v>
      </c>
      <c r="B368" s="720" t="s">
        <v>352</v>
      </c>
      <c r="C368" s="710" t="s">
        <v>338</v>
      </c>
      <c r="D368" s="711">
        <v>1109.507</v>
      </c>
      <c r="E368" s="692">
        <v>2</v>
      </c>
      <c r="F368" s="665">
        <v>382.3</v>
      </c>
      <c r="G368" s="693">
        <f t="shared" ref="G368:G387" si="370">D368/AD368</f>
      </c>
      <c r="H368" s="617">
        <f t="shared" ref="H368:H387" si="535">F368/E368</f>
      </c>
      <c r="I368" s="618">
        <f t="shared" ref="I368:I387" si="22">D368/E368</f>
      </c>
      <c r="J368" s="619">
        <f t="shared" ref="J368:J387" si="397">F368/D368</f>
      </c>
      <c r="K368" s="620">
        <f t="shared" ref="K368:K376" si="462">D368/AB368</f>
      </c>
      <c r="L368" s="617">
        <f t="shared" ref="L368:L376" si="218">D368/AC368</f>
      </c>
      <c r="M368" s="617">
        <f t="shared" ref="M368:M376" si="303">D368/AD368</f>
      </c>
      <c r="N368" s="621">
        <f t="shared" ref="N368:N376" si="87">AC368/AB368</f>
      </c>
      <c r="O368" s="621">
        <f t="shared" ref="O368:O387" si="126">AD368/AC368</f>
      </c>
      <c r="P368" s="621">
        <f t="shared" ref="P368:P387" si="179">AA368/Z368</f>
      </c>
      <c r="Q368" s="621">
        <f t="shared" ref="Q368:Q376" si="573">AD368/AA368</f>
      </c>
      <c r="R368" s="617">
        <f t="shared" ref="R368:R387" si="48">D368/Z368*1000</f>
      </c>
      <c r="S368" s="619">
        <f t="shared" ref="S368:S387" si="423">D368/AA368</f>
      </c>
      <c r="T368" s="621">
        <f t="shared" ref="T368:T376" si="504">AE368/AB368</f>
      </c>
      <c r="U368" s="621">
        <f t="shared" ref="U368:U376" si="260">AF368/AB368</f>
      </c>
      <c r="V368" s="621">
        <f t="shared" ref="V368:V376" si="345">AG368/AB368</f>
      </c>
      <c r="W368" s="621">
        <f t="shared" ref="W368:W387" si="152">AH368/AB368</f>
      </c>
      <c r="X368" s="653" t="s">
        <v>327</v>
      </c>
      <c r="Y368" s="613" t="s">
        <v>359</v>
      </c>
      <c r="Z368" s="655">
        <v>152446</v>
      </c>
      <c r="AA368" s="655">
        <v>3239</v>
      </c>
      <c r="AB368" s="655">
        <v>99266</v>
      </c>
      <c r="AC368" s="655">
        <v>404</v>
      </c>
      <c r="AD368" s="622">
        <v>2</v>
      </c>
      <c r="AE368" s="655">
        <v>7713</v>
      </c>
      <c r="AF368" s="622">
        <v>88</v>
      </c>
      <c r="AG368" s="622">
        <v>79</v>
      </c>
      <c r="AH368" s="622">
        <v>5</v>
      </c>
      <c r="AI368" s="623">
        <v>1</v>
      </c>
    </row>
    <row r="369">
      <c r="A369" s="719"/>
      <c r="B369" s="720" t="s">
        <v>352</v>
      </c>
      <c r="C369" s="710" t="s">
        <v>340</v>
      </c>
      <c r="D369" s="711">
        <v>1065.771</v>
      </c>
      <c r="E369" s="692">
        <v>1</v>
      </c>
      <c r="F369" s="665">
        <v>227.99999999999994</v>
      </c>
      <c r="G369" s="693">
        <f t="shared" si="370"/>
      </c>
      <c r="H369" s="617">
        <f t="shared" si="535"/>
      </c>
      <c r="I369" s="618">
        <f t="shared" si="22"/>
      </c>
      <c r="J369" s="619">
        <f t="shared" si="397"/>
      </c>
      <c r="K369" s="620">
        <f t="shared" si="462"/>
      </c>
      <c r="L369" s="617">
        <f t="shared" si="218"/>
      </c>
      <c r="M369" s="617">
        <f t="shared" si="303"/>
      </c>
      <c r="N369" s="621">
        <f t="shared" si="87"/>
      </c>
      <c r="O369" s="621">
        <f t="shared" si="126"/>
      </c>
      <c r="P369" s="621">
        <f t="shared" si="179"/>
      </c>
      <c r="Q369" s="621">
        <f t="shared" si="573"/>
      </c>
      <c r="R369" s="617">
        <f t="shared" si="48"/>
      </c>
      <c r="S369" s="619">
        <f t="shared" si="423"/>
      </c>
      <c r="T369" s="621">
        <f t="shared" si="504"/>
      </c>
      <c r="U369" s="621">
        <f t="shared" si="260"/>
      </c>
      <c r="V369" s="621">
        <f t="shared" si="345"/>
      </c>
      <c r="W369" s="621">
        <f t="shared" si="152"/>
      </c>
      <c r="X369" s="653" t="s">
        <v>327</v>
      </c>
      <c r="Y369" s="613" t="s">
        <v>359</v>
      </c>
      <c r="Z369" s="622">
        <v>123096</v>
      </c>
      <c r="AA369" s="655">
        <v>2660</v>
      </c>
      <c r="AB369" s="655">
        <v>92534</v>
      </c>
      <c r="AC369" s="655">
        <v>339</v>
      </c>
      <c r="AD369" s="622">
        <v>0</v>
      </c>
      <c r="AE369" s="655">
        <v>5733</v>
      </c>
      <c r="AF369" s="622">
        <v>102</v>
      </c>
      <c r="AG369" s="622">
        <v>94</v>
      </c>
      <c r="AH369" s="622">
        <v>10</v>
      </c>
      <c r="AI369" s="623">
        <v>0</v>
      </c>
    </row>
    <row r="370">
      <c r="A370" s="719"/>
      <c r="B370" s="720" t="s">
        <v>352</v>
      </c>
      <c r="C370" s="712" t="s">
        <v>341</v>
      </c>
      <c r="D370" s="711">
        <v>1008.344</v>
      </c>
      <c r="E370" s="692">
        <v>6</v>
      </c>
      <c r="F370" s="665">
        <v>1887.8999999999999</v>
      </c>
      <c r="G370" s="693">
        <f t="shared" si="370"/>
      </c>
      <c r="H370" s="617">
        <f t="shared" si="535"/>
      </c>
      <c r="I370" s="618">
        <f t="shared" si="22"/>
      </c>
      <c r="J370" s="619">
        <f t="shared" si="397"/>
      </c>
      <c r="K370" s="620">
        <f t="shared" si="462"/>
      </c>
      <c r="L370" s="617">
        <f t="shared" si="218"/>
      </c>
      <c r="M370" s="617">
        <f t="shared" si="303"/>
      </c>
      <c r="N370" s="621">
        <f t="shared" si="87"/>
      </c>
      <c r="O370" s="621">
        <f t="shared" si="126"/>
      </c>
      <c r="P370" s="621">
        <f t="shared" si="179"/>
      </c>
      <c r="Q370" s="621">
        <f t="shared" si="573"/>
      </c>
      <c r="R370" s="617">
        <f t="shared" si="48"/>
      </c>
      <c r="S370" s="619">
        <f t="shared" si="423"/>
      </c>
      <c r="T370" s="621">
        <f t="shared" si="504"/>
      </c>
      <c r="U370" s="621">
        <f t="shared" si="260"/>
      </c>
      <c r="V370" s="621">
        <f t="shared" si="345"/>
      </c>
      <c r="W370" s="621">
        <f t="shared" si="152"/>
      </c>
      <c r="X370" s="693" t="s">
        <v>327</v>
      </c>
      <c r="Y370" s="613" t="s">
        <v>359</v>
      </c>
      <c r="Z370" s="622">
        <v>106445</v>
      </c>
      <c r="AA370" s="622">
        <v>2620</v>
      </c>
      <c r="AB370" s="622">
        <v>96869</v>
      </c>
      <c r="AC370" s="622">
        <v>237</v>
      </c>
      <c r="AD370" s="622">
        <v>5</v>
      </c>
      <c r="AE370" s="622">
        <v>5251</v>
      </c>
      <c r="AF370" s="622">
        <v>104</v>
      </c>
      <c r="AG370" s="622">
        <v>77</v>
      </c>
      <c r="AH370" s="623">
        <v>8</v>
      </c>
      <c r="AI370" s="623">
        <v>2</v>
      </c>
    </row>
    <row r="371">
      <c r="A371" s="719"/>
      <c r="B371" s="720" t="s">
        <v>352</v>
      </c>
      <c r="C371" s="713" t="s">
        <v>342</v>
      </c>
      <c r="D371" s="714">
        <v>1041.68</v>
      </c>
      <c r="E371" s="667">
        <v>0</v>
      </c>
      <c r="F371" s="647">
        <v>0</v>
      </c>
      <c r="G371" s="693">
        <f t="shared" si="370"/>
      </c>
      <c r="H371" s="617">
        <f t="shared" si="535"/>
      </c>
      <c r="I371" s="618">
        <f t="shared" si="22"/>
      </c>
      <c r="J371" s="619">
        <f t="shared" si="397"/>
      </c>
      <c r="K371" s="620">
        <f t="shared" si="462"/>
      </c>
      <c r="L371" s="617">
        <f t="shared" si="218"/>
      </c>
      <c r="M371" s="617">
        <f t="shared" si="303"/>
      </c>
      <c r="N371" s="621">
        <f t="shared" si="87"/>
      </c>
      <c r="O371" s="621">
        <f t="shared" si="126"/>
      </c>
      <c r="P371" s="621">
        <f t="shared" si="179"/>
      </c>
      <c r="Q371" s="621">
        <f t="shared" si="573"/>
      </c>
      <c r="R371" s="617">
        <f t="shared" si="48"/>
      </c>
      <c r="S371" s="619">
        <f t="shared" si="423"/>
      </c>
      <c r="T371" s="621">
        <f t="shared" si="504"/>
      </c>
      <c r="U371" s="621">
        <f t="shared" si="260"/>
      </c>
      <c r="V371" s="621">
        <f t="shared" si="345"/>
      </c>
      <c r="W371" s="621">
        <f t="shared" si="152"/>
      </c>
      <c r="X371" s="696" t="s">
        <v>327</v>
      </c>
      <c r="Y371" s="613" t="s">
        <v>359</v>
      </c>
      <c r="Z371" s="622">
        <v>122570</v>
      </c>
      <c r="AA371" s="622">
        <v>3026</v>
      </c>
      <c r="AB371" s="622">
        <v>116548</v>
      </c>
      <c r="AC371" s="622">
        <v>255</v>
      </c>
      <c r="AD371" s="622">
        <v>0</v>
      </c>
      <c r="AE371" s="622">
        <v>5792</v>
      </c>
      <c r="AF371" s="622">
        <v>97</v>
      </c>
      <c r="AG371" s="622">
        <v>75</v>
      </c>
      <c r="AH371" s="623">
        <v>4</v>
      </c>
      <c r="AI371" s="623">
        <v>0</v>
      </c>
    </row>
    <row r="372">
      <c r="A372" s="719"/>
      <c r="B372" s="721" t="s">
        <v>332</v>
      </c>
      <c r="C372" s="721"/>
      <c r="D372" s="626">
        <f>SUM(D368:D371)</f>
      </c>
      <c r="E372" s="627">
        <f>SUM(E368:E371)</f>
      </c>
      <c r="F372" s="626">
        <f>SUM(F368:F371)</f>
      </c>
      <c r="G372" s="626">
        <f t="shared" si="370"/>
      </c>
      <c r="H372" s="628">
        <f t="shared" si="535"/>
      </c>
      <c r="I372" s="629">
        <f t="shared" si="22"/>
      </c>
      <c r="J372" s="630">
        <f t="shared" si="397"/>
      </c>
      <c r="K372" s="631">
        <f t="shared" si="462"/>
      </c>
      <c r="L372" s="628">
        <f t="shared" si="218"/>
      </c>
      <c r="M372" s="628">
        <f t="shared" si="303"/>
      </c>
      <c r="N372" s="632">
        <f t="shared" si="87"/>
      </c>
      <c r="O372" s="632">
        <f t="shared" si="126"/>
      </c>
      <c r="P372" s="632">
        <f t="shared" si="179"/>
      </c>
      <c r="Q372" s="632">
        <f t="shared" si="573"/>
      </c>
      <c r="R372" s="628">
        <f t="shared" si="48"/>
      </c>
      <c r="S372" s="630">
        <f t="shared" si="423"/>
      </c>
      <c r="T372" s="632">
        <f t="shared" si="504"/>
      </c>
      <c r="U372" s="632">
        <f t="shared" si="260"/>
      </c>
      <c r="V372" s="632">
        <f t="shared" si="345"/>
      </c>
      <c r="W372" s="632">
        <f t="shared" si="152"/>
      </c>
      <c r="X372" s="632"/>
      <c r="Y372" s="698"/>
      <c r="Z372" s="626">
        <f>SUM(Z368:Z371)</f>
      </c>
      <c r="AA372" s="626">
        <f>SUM(AA368:AA371)</f>
      </c>
      <c r="AB372" s="626">
        <f>SUM(AB368:AB371)</f>
      </c>
      <c r="AC372" s="626">
        <f>SUM(AC368:AC371)</f>
      </c>
      <c r="AD372" s="626">
        <f>SUM(AD368:AD371)</f>
      </c>
      <c r="AE372" s="626">
        <f>SUM(AE368:AE371)</f>
      </c>
      <c r="AF372" s="626">
        <f>SUM(AF368:AF371)</f>
      </c>
      <c r="AG372" s="626">
        <f>SUM(AG368:AG371)</f>
      </c>
      <c r="AH372" s="626">
        <f>SUM(AH368:AH371)</f>
      </c>
      <c r="AI372" s="626">
        <f>SUM(AI368:AI371)</f>
      </c>
    </row>
    <row r="373">
      <c r="A373" s="719"/>
      <c r="B373" s="724" t="s">
        <v>362</v>
      </c>
      <c r="C373" s="713" t="s">
        <v>343</v>
      </c>
      <c r="D373" s="691">
        <v>1109.47</v>
      </c>
      <c r="E373" s="692">
        <v>4</v>
      </c>
      <c r="F373" s="665">
        <v>837.1999999999998</v>
      </c>
      <c r="G373" s="693">
        <f t="shared" si="370"/>
      </c>
      <c r="H373" s="617">
        <f t="shared" si="535"/>
      </c>
      <c r="I373" s="618">
        <f t="shared" si="22"/>
      </c>
      <c r="J373" s="619">
        <f t="shared" si="397"/>
      </c>
      <c r="K373" s="620">
        <f t="shared" si="462"/>
      </c>
      <c r="L373" s="617">
        <f t="shared" si="218"/>
      </c>
      <c r="M373" s="617">
        <f t="shared" si="303"/>
      </c>
      <c r="N373" s="621">
        <f t="shared" si="87"/>
      </c>
      <c r="O373" s="621">
        <f t="shared" si="126"/>
      </c>
      <c r="P373" s="621">
        <f t="shared" si="179"/>
      </c>
      <c r="Q373" s="621">
        <f t="shared" si="573"/>
      </c>
      <c r="R373" s="617">
        <f t="shared" si="48"/>
      </c>
      <c r="S373" s="619">
        <f t="shared" si="423"/>
      </c>
      <c r="T373" s="621">
        <f t="shared" si="504"/>
      </c>
      <c r="U373" s="621">
        <f t="shared" si="260"/>
      </c>
      <c r="V373" s="621">
        <f t="shared" si="345"/>
      </c>
      <c r="W373" s="621">
        <f t="shared" si="152"/>
      </c>
      <c r="X373" s="696" t="s">
        <v>327</v>
      </c>
      <c r="Y373" s="613" t="s">
        <v>359</v>
      </c>
      <c r="Z373" s="655">
        <v>140802</v>
      </c>
      <c r="AA373" s="655">
        <v>2947</v>
      </c>
      <c r="AB373" s="655">
        <v>134043</v>
      </c>
      <c r="AC373" s="622">
        <v>225</v>
      </c>
      <c r="AD373" s="622">
        <v>4</v>
      </c>
      <c r="AE373" s="655">
        <v>5365</v>
      </c>
      <c r="AF373" s="622">
        <v>70</v>
      </c>
      <c r="AG373" s="622">
        <v>74</v>
      </c>
      <c r="AH373" s="622">
        <v>12</v>
      </c>
      <c r="AI373" s="623">
        <v>1</v>
      </c>
    </row>
    <row r="374">
      <c r="A374" s="719"/>
      <c r="B374" s="724" t="s">
        <v>362</v>
      </c>
      <c r="C374" s="718" t="s">
        <v>344</v>
      </c>
      <c r="D374" s="669">
        <v>1275.237</v>
      </c>
      <c r="E374" s="667">
        <v>9</v>
      </c>
      <c r="F374" s="647">
        <v>4710.3</v>
      </c>
      <c r="G374" s="693">
        <f t="shared" si="370"/>
      </c>
      <c r="H374" s="617">
        <f t="shared" si="535"/>
      </c>
      <c r="I374" s="618">
        <f t="shared" si="22"/>
      </c>
      <c r="J374" s="619">
        <f t="shared" si="397"/>
      </c>
      <c r="K374" s="620">
        <f t="shared" si="462"/>
      </c>
      <c r="L374" s="617">
        <f t="shared" si="218"/>
      </c>
      <c r="M374" s="617">
        <f t="shared" si="303"/>
      </c>
      <c r="N374" s="621">
        <f t="shared" si="87"/>
      </c>
      <c r="O374" s="621">
        <f t="shared" si="126"/>
      </c>
      <c r="P374" s="621">
        <f t="shared" si="179"/>
      </c>
      <c r="Q374" s="621">
        <f t="shared" si="573"/>
      </c>
      <c r="R374" s="617">
        <f t="shared" si="48"/>
      </c>
      <c r="S374" s="619">
        <f t="shared" si="423"/>
      </c>
      <c r="T374" s="621">
        <f t="shared" si="504"/>
      </c>
      <c r="U374" s="621">
        <f t="shared" si="260"/>
      </c>
      <c r="V374" s="621">
        <f t="shared" si="345"/>
      </c>
      <c r="W374" s="621">
        <f t="shared" si="152"/>
      </c>
      <c r="X374" s="696" t="s">
        <v>327</v>
      </c>
      <c r="Y374" s="613" t="s">
        <v>359</v>
      </c>
      <c r="Z374" s="622">
        <v>166598</v>
      </c>
      <c r="AA374" s="622">
        <v>4664</v>
      </c>
      <c r="AB374" s="622">
        <v>160147</v>
      </c>
      <c r="AC374" s="622">
        <v>303</v>
      </c>
      <c r="AD374" s="622">
        <v>6</v>
      </c>
      <c r="AE374" s="622">
        <v>6150</v>
      </c>
      <c r="AF374" s="622">
        <v>71</v>
      </c>
      <c r="AG374" s="622">
        <v>101</v>
      </c>
      <c r="AH374" s="622">
        <v>6</v>
      </c>
      <c r="AI374" s="623">
        <v>1</v>
      </c>
    </row>
    <row r="375">
      <c r="A375" s="719"/>
      <c r="B375" s="722" t="s">
        <v>332</v>
      </c>
      <c r="C375" s="722"/>
      <c r="D375" s="626">
        <f>SUM(D373:D374)</f>
      </c>
      <c r="E375" s="627">
        <f>SUM(E373:E374)</f>
      </c>
      <c r="F375" s="626">
        <f>SUM(F373:F374)</f>
      </c>
      <c r="G375" s="626">
        <f t="shared" si="370"/>
      </c>
      <c r="H375" s="628">
        <f t="shared" si="535"/>
      </c>
      <c r="I375" s="629">
        <f t="shared" si="22"/>
      </c>
      <c r="J375" s="630">
        <f t="shared" si="397"/>
      </c>
      <c r="K375" s="631">
        <f t="shared" si="462"/>
      </c>
      <c r="L375" s="628">
        <f t="shared" si="218"/>
      </c>
      <c r="M375" s="628">
        <f t="shared" si="303"/>
      </c>
      <c r="N375" s="632">
        <f t="shared" si="87"/>
      </c>
      <c r="O375" s="632">
        <f t="shared" si="126"/>
      </c>
      <c r="P375" s="632">
        <f t="shared" si="179"/>
      </c>
      <c r="Q375" s="632">
        <f t="shared" si="573"/>
      </c>
      <c r="R375" s="628">
        <f t="shared" si="48"/>
      </c>
      <c r="S375" s="630">
        <f t="shared" si="423"/>
      </c>
      <c r="T375" s="632">
        <f t="shared" si="504"/>
      </c>
      <c r="U375" s="632">
        <f t="shared" si="260"/>
      </c>
      <c r="V375" s="632">
        <f t="shared" si="345"/>
      </c>
      <c r="W375" s="632">
        <f t="shared" si="152"/>
      </c>
      <c r="X375" s="632"/>
      <c r="Y375" s="698"/>
      <c r="Z375" s="626">
        <f>SUM(Z373:Z374)</f>
      </c>
      <c r="AA375" s="626">
        <f>SUM(AA373:AA374)</f>
      </c>
      <c r="AB375" s="626">
        <f>SUM(AB373:AB374)</f>
      </c>
      <c r="AC375" s="626">
        <f>SUM(AC373:AC374)</f>
      </c>
      <c r="AD375" s="626">
        <f>SUM(AD373:AD374)</f>
      </c>
      <c r="AE375" s="626">
        <f>SUM(AE373:AE374)</f>
      </c>
      <c r="AF375" s="626">
        <f>SUM(AF373:AF374)</f>
      </c>
      <c r="AG375" s="626">
        <f>SUM(AG373:AG374)</f>
      </c>
      <c r="AH375" s="626">
        <f>SUM(AH373:AH374)</f>
      </c>
      <c r="AI375" s="626">
        <f>SUM(AI373:AI374)</f>
      </c>
    </row>
    <row r="376">
      <c r="A376" s="719"/>
      <c r="B376" s="723" t="s">
        <v>325</v>
      </c>
      <c r="C376" s="699" t="s">
        <v>345</v>
      </c>
      <c r="D376" s="691">
        <v>1801.7930000000001</v>
      </c>
      <c r="E376" s="692">
        <v>4</v>
      </c>
      <c r="F376" s="665">
        <v>859.5000000000009</v>
      </c>
      <c r="G376" s="693">
        <f t="shared" si="370"/>
      </c>
      <c r="H376" s="617">
        <f t="shared" si="535"/>
      </c>
      <c r="I376" s="618">
        <f t="shared" si="22"/>
      </c>
      <c r="J376" s="619">
        <f t="shared" si="397"/>
      </c>
      <c r="K376" s="620">
        <f t="shared" si="462"/>
      </c>
      <c r="L376" s="617">
        <f t="shared" si="218"/>
      </c>
      <c r="M376" s="617">
        <f t="shared" si="303"/>
      </c>
      <c r="N376" s="621">
        <f t="shared" si="87"/>
      </c>
      <c r="O376" s="621">
        <f t="shared" si="126"/>
      </c>
      <c r="P376" s="621">
        <f t="shared" si="179"/>
      </c>
      <c r="Q376" s="621">
        <f t="shared" si="573"/>
      </c>
      <c r="R376" s="617">
        <f t="shared" si="48"/>
      </c>
      <c r="S376" s="619">
        <f t="shared" si="423"/>
      </c>
      <c r="T376" s="621">
        <f t="shared" si="504"/>
      </c>
      <c r="U376" s="621">
        <f t="shared" si="260"/>
      </c>
      <c r="V376" s="621">
        <f t="shared" si="345"/>
      </c>
      <c r="W376" s="621">
        <f t="shared" si="152"/>
      </c>
      <c r="X376" s="696" t="s">
        <v>327</v>
      </c>
      <c r="Y376" s="613" t="s">
        <v>359</v>
      </c>
      <c r="Z376" s="655">
        <v>247215</v>
      </c>
      <c r="AA376" s="655">
        <v>5839</v>
      </c>
      <c r="AB376" s="655">
        <v>217912</v>
      </c>
      <c r="AC376" s="622">
        <v>402</v>
      </c>
      <c r="AD376" s="622">
        <v>3</v>
      </c>
      <c r="AE376" s="655">
        <v>7172</v>
      </c>
      <c r="AF376" s="622">
        <v>100</v>
      </c>
      <c r="AG376" s="622">
        <v>109</v>
      </c>
      <c r="AH376" s="622">
        <v>11</v>
      </c>
      <c r="AI376" s="623">
        <v>2</v>
      </c>
    </row>
    <row r="377">
      <c r="A377" s="719"/>
      <c r="B377" s="723" t="s">
        <v>325</v>
      </c>
      <c r="C377" s="699" t="s">
        <v>346</v>
      </c>
      <c r="D377" s="691">
        <v>1977.997</v>
      </c>
      <c r="E377" s="692">
        <v>4</v>
      </c>
      <c r="F377" s="665">
        <v>1448</v>
      </c>
      <c r="G377" s="693">
        <f t="shared" si="370"/>
      </c>
      <c r="H377" s="617">
        <f t="shared" si="535"/>
      </c>
      <c r="I377" s="618">
        <f t="shared" si="22"/>
      </c>
      <c r="J377" s="619">
        <f t="shared" si="397"/>
      </c>
      <c r="K377" s="620">
        <f>D377/AC377</f>
      </c>
      <c r="L377" s="617">
        <f>D377/AD377</f>
      </c>
      <c r="M377" s="617">
        <f>D377/AE377</f>
      </c>
      <c r="N377" s="621">
        <f>AD377/AC377</f>
      </c>
      <c r="O377" s="621">
        <f t="shared" si="126"/>
      </c>
      <c r="P377" s="621">
        <f t="shared" si="179"/>
      </c>
      <c r="Q377" s="621">
        <f>AE377/AA377</f>
      </c>
      <c r="R377" s="617">
        <f t="shared" si="48"/>
      </c>
      <c r="S377" s="619">
        <f t="shared" si="423"/>
      </c>
      <c r="T377" s="621">
        <f>AF377/AC377</f>
      </c>
      <c r="U377" s="621">
        <f>AG377/AC377</f>
      </c>
      <c r="V377" s="621">
        <f>AH377/AC377</f>
      </c>
      <c r="W377" s="621">
        <f t="shared" si="152"/>
      </c>
      <c r="X377" s="696" t="s">
        <v>327</v>
      </c>
      <c r="Y377" s="613" t="s">
        <v>359</v>
      </c>
      <c r="Z377" s="622">
        <v>303095</v>
      </c>
      <c r="AA377" s="622">
        <v>6507</v>
      </c>
      <c r="AB377" s="700">
        <v>262405</v>
      </c>
      <c r="AC377" s="701">
        <v>407</v>
      </c>
      <c r="AD377" s="701">
        <v>5</v>
      </c>
      <c r="AE377" s="701">
        <v>7493</v>
      </c>
      <c r="AF377" s="701">
        <v>109</v>
      </c>
      <c r="AG377" s="701">
        <v>100</v>
      </c>
      <c r="AH377" s="701">
        <v>14</v>
      </c>
      <c r="AI377" s="623">
        <v>0</v>
      </c>
    </row>
    <row r="378">
      <c r="A378" s="719"/>
      <c r="B378" s="723" t="s">
        <v>325</v>
      </c>
      <c r="C378" s="697" t="s">
        <v>326</v>
      </c>
      <c r="D378" s="691">
        <v>1881.974</v>
      </c>
      <c r="E378" s="692">
        <v>2</v>
      </c>
      <c r="F378" s="665">
        <v>1024</v>
      </c>
      <c r="G378" s="693">
        <f t="shared" si="370"/>
      </c>
      <c r="H378" s="617">
        <f t="shared" si="535"/>
      </c>
      <c r="I378" s="618">
        <f t="shared" si="22"/>
      </c>
      <c r="J378" s="619">
        <f t="shared" si="397"/>
      </c>
      <c r="K378" s="620">
        <f t="shared" ref="K378:K387" si="463">D378/AB378</f>
      </c>
      <c r="L378" s="617">
        <f t="shared" ref="L378:L387" si="219">D378/AC378</f>
      </c>
      <c r="M378" s="617">
        <f t="shared" ref="M378:M387" si="304">D378/AD378</f>
      </c>
      <c r="N378" s="621">
        <f t="shared" ref="N378:N387" si="88">AC378/AB378</f>
      </c>
      <c r="O378" s="621">
        <f t="shared" si="126"/>
      </c>
      <c r="P378" s="621">
        <f t="shared" si="179"/>
      </c>
      <c r="Q378" s="621">
        <f t="shared" ref="Q378:Q387" si="574">AD378/AA378</f>
      </c>
      <c r="R378" s="617">
        <f t="shared" si="48"/>
      </c>
      <c r="S378" s="619">
        <f t="shared" si="423"/>
      </c>
      <c r="T378" s="621">
        <f t="shared" ref="T378:T387" si="505">AE378/AB378</f>
      </c>
      <c r="U378" s="621">
        <f t="shared" ref="U378:U387" si="261">AF378/AB378</f>
      </c>
      <c r="V378" s="621">
        <f t="shared" ref="V378:V387" si="346">AG378/AB378</f>
      </c>
      <c r="W378" s="621">
        <f t="shared" si="152"/>
      </c>
      <c r="X378" s="696" t="s">
        <v>327</v>
      </c>
      <c r="Y378" s="653" t="s">
        <v>348</v>
      </c>
      <c r="Z378" s="622">
        <v>302518</v>
      </c>
      <c r="AA378" s="622">
        <v>6131</v>
      </c>
      <c r="AB378" s="622">
        <v>281342</v>
      </c>
      <c r="AC378" s="676">
        <v>353</v>
      </c>
      <c r="AD378" s="676">
        <v>2</v>
      </c>
      <c r="AE378" s="676">
        <v>7261</v>
      </c>
      <c r="AF378" s="676">
        <v>86</v>
      </c>
      <c r="AG378" s="676">
        <v>101</v>
      </c>
      <c r="AH378" s="676">
        <v>8</v>
      </c>
      <c r="AI378" s="623">
        <v>0</v>
      </c>
    </row>
    <row r="379">
      <c r="A379" s="719"/>
      <c r="B379" s="723" t="s">
        <v>325</v>
      </c>
      <c r="C379" s="697" t="s">
        <v>329</v>
      </c>
      <c r="D379" s="669">
        <v>1559.095</v>
      </c>
      <c r="E379" s="667">
        <v>6</v>
      </c>
      <c r="F379" s="647">
        <v>1657.4</v>
      </c>
      <c r="G379" s="693">
        <f t="shared" si="370"/>
      </c>
      <c r="H379" s="617">
        <f t="shared" si="535"/>
      </c>
      <c r="I379" s="618">
        <f t="shared" si="22"/>
      </c>
      <c r="J379" s="619">
        <f t="shared" si="397"/>
      </c>
      <c r="K379" s="620">
        <f t="shared" si="463"/>
      </c>
      <c r="L379" s="617">
        <f t="shared" si="219"/>
      </c>
      <c r="M379" s="617">
        <f t="shared" si="304"/>
      </c>
      <c r="N379" s="621">
        <f t="shared" si="88"/>
      </c>
      <c r="O379" s="621">
        <f t="shared" si="126"/>
      </c>
      <c r="P379" s="621">
        <f t="shared" si="179"/>
      </c>
      <c r="Q379" s="621">
        <f t="shared" si="574"/>
      </c>
      <c r="R379" s="617">
        <f t="shared" si="48"/>
      </c>
      <c r="S379" s="619">
        <f t="shared" si="423"/>
      </c>
      <c r="T379" s="621">
        <f t="shared" si="505"/>
      </c>
      <c r="U379" s="621">
        <f t="shared" si="261"/>
      </c>
      <c r="V379" s="621">
        <f t="shared" si="346"/>
      </c>
      <c r="W379" s="621">
        <f t="shared" si="152"/>
      </c>
      <c r="X379" s="696" t="s">
        <v>327</v>
      </c>
      <c r="Y379" s="653" t="s">
        <v>348</v>
      </c>
      <c r="Z379" s="622">
        <v>240322</v>
      </c>
      <c r="AA379" s="622">
        <v>5345</v>
      </c>
      <c r="AB379" s="622">
        <v>238531</v>
      </c>
      <c r="AC379" s="622">
        <v>257</v>
      </c>
      <c r="AD379" s="622">
        <v>3</v>
      </c>
      <c r="AE379" s="622">
        <v>6801</v>
      </c>
      <c r="AF379" s="622">
        <v>93</v>
      </c>
      <c r="AG379" s="622">
        <v>86</v>
      </c>
      <c r="AH379" s="622">
        <v>0</v>
      </c>
      <c r="AI379" s="623">
        <v>3</v>
      </c>
    </row>
    <row r="380">
      <c r="A380" s="719"/>
      <c r="B380" s="723" t="s">
        <v>325</v>
      </c>
      <c r="C380" s="697" t="s">
        <v>330</v>
      </c>
      <c r="D380" s="669">
        <v>1758.672</v>
      </c>
      <c r="E380" s="667">
        <v>6</v>
      </c>
      <c r="F380" s="647">
        <v>1957.2</v>
      </c>
      <c r="G380" s="693">
        <f t="shared" si="370"/>
      </c>
      <c r="H380" s="617">
        <f t="shared" si="535"/>
      </c>
      <c r="I380" s="618">
        <f t="shared" si="22"/>
      </c>
      <c r="J380" s="619">
        <f t="shared" si="397"/>
      </c>
      <c r="K380" s="620">
        <f t="shared" si="463"/>
      </c>
      <c r="L380" s="617">
        <f t="shared" si="219"/>
      </c>
      <c r="M380" s="617">
        <f t="shared" si="304"/>
      </c>
      <c r="N380" s="621">
        <f t="shared" si="88"/>
      </c>
      <c r="O380" s="621">
        <f t="shared" si="126"/>
      </c>
      <c r="P380" s="621">
        <f t="shared" si="179"/>
      </c>
      <c r="Q380" s="621">
        <f t="shared" si="574"/>
      </c>
      <c r="R380" s="617">
        <f t="shared" si="48"/>
      </c>
      <c r="S380" s="619">
        <f t="shared" si="423"/>
      </c>
      <c r="T380" s="621">
        <f t="shared" si="505"/>
      </c>
      <c r="U380" s="621">
        <f t="shared" si="261"/>
      </c>
      <c r="V380" s="621">
        <f t="shared" si="346"/>
      </c>
      <c r="W380" s="621">
        <f t="shared" si="152"/>
      </c>
      <c r="X380" s="696" t="s">
        <v>327</v>
      </c>
      <c r="Y380" s="653" t="s">
        <v>348</v>
      </c>
      <c r="Z380" s="622">
        <v>259489</v>
      </c>
      <c r="AA380" s="622">
        <v>3592</v>
      </c>
      <c r="AB380" s="622">
        <v>257470</v>
      </c>
      <c r="AC380" s="622">
        <v>279</v>
      </c>
      <c r="AD380" s="622">
        <v>4</v>
      </c>
      <c r="AE380" s="622">
        <v>7665</v>
      </c>
      <c r="AF380" s="622">
        <v>89</v>
      </c>
      <c r="AG380" s="622">
        <v>81</v>
      </c>
      <c r="AH380" s="622">
        <v>9</v>
      </c>
      <c r="AI380" s="623">
        <v>1</v>
      </c>
    </row>
    <row r="381">
      <c r="A381" s="719"/>
      <c r="B381" s="722" t="s">
        <v>332</v>
      </c>
      <c r="C381" s="722"/>
      <c r="D381" s="626">
        <f>SUM(D376:D380)</f>
      </c>
      <c r="E381" s="627">
        <f>SUM(E376:E380)</f>
      </c>
      <c r="F381" s="626">
        <f>SUM(F376:F380)</f>
      </c>
      <c r="G381" s="626">
        <f t="shared" si="370"/>
      </c>
      <c r="H381" s="628">
        <f t="shared" si="535"/>
      </c>
      <c r="I381" s="629">
        <f t="shared" si="22"/>
      </c>
      <c r="J381" s="630">
        <f t="shared" si="397"/>
      </c>
      <c r="K381" s="631">
        <f t="shared" si="463"/>
      </c>
      <c r="L381" s="628">
        <f t="shared" si="219"/>
      </c>
      <c r="M381" s="628">
        <f t="shared" si="304"/>
      </c>
      <c r="N381" s="632">
        <f t="shared" si="88"/>
      </c>
      <c r="O381" s="632">
        <f t="shared" si="126"/>
      </c>
      <c r="P381" s="632">
        <f t="shared" si="179"/>
      </c>
      <c r="Q381" s="632">
        <f t="shared" si="574"/>
      </c>
      <c r="R381" s="628">
        <f t="shared" si="48"/>
      </c>
      <c r="S381" s="630">
        <f t="shared" si="423"/>
      </c>
      <c r="T381" s="632">
        <f t="shared" si="505"/>
      </c>
      <c r="U381" s="632">
        <f t="shared" si="261"/>
      </c>
      <c r="V381" s="632">
        <f t="shared" si="346"/>
      </c>
      <c r="W381" s="632">
        <f t="shared" si="152"/>
      </c>
      <c r="X381" s="632"/>
      <c r="Y381" s="698"/>
      <c r="Z381" s="626">
        <f>SUM(Z376:Z380)</f>
      </c>
      <c r="AA381" s="626">
        <f>SUM(AA376:AA380)</f>
      </c>
      <c r="AB381" s="626">
        <f>SUM(AB376:AB380)</f>
      </c>
      <c r="AC381" s="626">
        <f>SUM(AC376:AC380)</f>
      </c>
      <c r="AD381" s="626">
        <f>SUM(AD376:AD380)</f>
      </c>
      <c r="AE381" s="626">
        <f>SUM(AE376:AE380)</f>
      </c>
      <c r="AF381" s="626">
        <f>SUM(AF376:AF380)</f>
      </c>
      <c r="AG381" s="626">
        <f>SUM(AG376:AG380)</f>
      </c>
      <c r="AH381" s="626">
        <f>SUM(AH376:AH380)</f>
      </c>
      <c r="AI381" s="626">
        <f>SUM(AI376:AI380)</f>
      </c>
    </row>
    <row r="382">
      <c r="A382" s="719"/>
      <c r="B382" s="706" t="s">
        <v>361</v>
      </c>
      <c r="C382" s="697" t="s">
        <v>331</v>
      </c>
      <c r="D382" s="614">
        <v>2404.4</v>
      </c>
      <c r="E382" s="615">
        <v>1</v>
      </c>
      <c r="F382" s="647">
        <v>196</v>
      </c>
      <c r="G382" s="693">
        <f t="shared" si="370"/>
      </c>
      <c r="H382" s="617">
        <f t="shared" si="535"/>
      </c>
      <c r="I382" s="618">
        <f t="shared" si="22"/>
      </c>
      <c r="J382" s="619">
        <f t="shared" si="397"/>
      </c>
      <c r="K382" s="620">
        <f t="shared" si="463"/>
      </c>
      <c r="L382" s="617">
        <f t="shared" si="219"/>
      </c>
      <c r="M382" s="622">
        <f t="shared" si="304"/>
      </c>
      <c r="N382" s="621">
        <f t="shared" si="88"/>
      </c>
      <c r="O382" s="621">
        <f t="shared" si="126"/>
      </c>
      <c r="P382" s="621">
        <f t="shared" si="179"/>
      </c>
      <c r="Q382" s="621">
        <f t="shared" si="574"/>
      </c>
      <c r="R382" s="617">
        <f t="shared" si="48"/>
      </c>
      <c r="S382" s="619">
        <f t="shared" si="423"/>
      </c>
      <c r="T382" s="621">
        <f t="shared" si="505"/>
      </c>
      <c r="U382" s="621">
        <f t="shared" si="261"/>
      </c>
      <c r="V382" s="621">
        <f t="shared" si="346"/>
      </c>
      <c r="W382" s="621">
        <f t="shared" si="152"/>
      </c>
      <c r="X382" s="696" t="s">
        <v>327</v>
      </c>
      <c r="Y382" s="653" t="s">
        <v>348</v>
      </c>
      <c r="Z382" s="622">
        <v>359464</v>
      </c>
      <c r="AA382" s="622">
        <v>3252</v>
      </c>
      <c r="AB382" s="622">
        <v>357459</v>
      </c>
      <c r="AC382" s="622">
        <v>339</v>
      </c>
      <c r="AD382" s="622">
        <v>1</v>
      </c>
      <c r="AE382" s="622">
        <v>8857</v>
      </c>
      <c r="AF382" s="622">
        <v>150</v>
      </c>
      <c r="AG382" s="622">
        <v>108</v>
      </c>
      <c r="AH382" s="623">
        <v>9</v>
      </c>
      <c r="AI382" s="623">
        <v>0</v>
      </c>
    </row>
    <row r="383">
      <c r="A383" s="719"/>
      <c r="B383" s="706" t="s">
        <v>361</v>
      </c>
      <c r="C383" s="697" t="s">
        <v>334</v>
      </c>
      <c r="D383" s="614">
        <v>2946.89</v>
      </c>
      <c r="E383" s="615">
        <v>2</v>
      </c>
      <c r="F383" s="647">
        <v>392</v>
      </c>
      <c r="G383" s="693">
        <f t="shared" si="370"/>
      </c>
      <c r="H383" s="617">
        <f t="shared" si="535"/>
      </c>
      <c r="I383" s="618">
        <f t="shared" si="22"/>
      </c>
      <c r="J383" s="619">
        <f t="shared" si="397"/>
      </c>
      <c r="K383" s="620">
        <f t="shared" si="463"/>
      </c>
      <c r="L383" s="617">
        <f t="shared" si="219"/>
      </c>
      <c r="M383" s="617">
        <f t="shared" si="304"/>
      </c>
      <c r="N383" s="621">
        <f t="shared" si="88"/>
      </c>
      <c r="O383" s="621">
        <f t="shared" si="126"/>
      </c>
      <c r="P383" s="621">
        <f t="shared" si="179"/>
      </c>
      <c r="Q383" s="621">
        <f t="shared" si="574"/>
      </c>
      <c r="R383" s="617">
        <f t="shared" si="48"/>
      </c>
      <c r="S383" s="619">
        <f t="shared" si="423"/>
      </c>
      <c r="T383" s="621">
        <f t="shared" si="505"/>
      </c>
      <c r="U383" s="621">
        <f t="shared" si="261"/>
      </c>
      <c r="V383" s="621">
        <f t="shared" si="346"/>
      </c>
      <c r="W383" s="621">
        <f t="shared" si="152"/>
      </c>
      <c r="X383" s="696" t="s">
        <v>327</v>
      </c>
      <c r="Y383" s="653" t="s">
        <v>348</v>
      </c>
      <c r="Z383" s="622">
        <v>533207</v>
      </c>
      <c r="AA383" s="622">
        <v>4457</v>
      </c>
      <c r="AB383" s="622">
        <v>534273</v>
      </c>
      <c r="AC383" s="622">
        <v>481</v>
      </c>
      <c r="AD383" s="622">
        <v>2</v>
      </c>
      <c r="AE383" s="622">
        <v>11931</v>
      </c>
      <c r="AF383" s="622">
        <v>150</v>
      </c>
      <c r="AG383" s="622">
        <v>129</v>
      </c>
      <c r="AH383" s="622">
        <v>8</v>
      </c>
      <c r="AI383" s="623">
        <v>0</v>
      </c>
    </row>
    <row r="384">
      <c r="A384" s="719"/>
      <c r="B384" s="706" t="s">
        <v>361</v>
      </c>
      <c r="C384" s="697" t="s">
        <v>335</v>
      </c>
      <c r="D384" s="614">
        <v>2712.484</v>
      </c>
      <c r="E384" s="615">
        <v>1</v>
      </c>
      <c r="F384" s="647">
        <v>228</v>
      </c>
      <c r="G384" s="693">
        <f t="shared" si="370"/>
      </c>
      <c r="H384" s="617">
        <f t="shared" si="535"/>
      </c>
      <c r="I384" s="618">
        <f t="shared" si="22"/>
      </c>
      <c r="J384" s="619">
        <f t="shared" si="397"/>
      </c>
      <c r="K384" s="620">
        <f t="shared" si="463"/>
      </c>
      <c r="L384" s="617">
        <f t="shared" si="219"/>
      </c>
      <c r="M384" s="617">
        <f t="shared" si="304"/>
      </c>
      <c r="N384" s="621">
        <f t="shared" si="88"/>
      </c>
      <c r="O384" s="621">
        <f t="shared" si="126"/>
      </c>
      <c r="P384" s="621">
        <f t="shared" si="179"/>
      </c>
      <c r="Q384" s="621">
        <f t="shared" si="574"/>
      </c>
      <c r="R384" s="617">
        <f t="shared" si="48"/>
      </c>
      <c r="S384" s="619">
        <f t="shared" si="423"/>
      </c>
      <c r="T384" s="621">
        <f t="shared" si="505"/>
      </c>
      <c r="U384" s="621">
        <f t="shared" si="261"/>
      </c>
      <c r="V384" s="621">
        <f t="shared" si="346"/>
      </c>
      <c r="W384" s="621">
        <f t="shared" si="152"/>
      </c>
      <c r="X384" s="696" t="s">
        <v>327</v>
      </c>
      <c r="Y384" s="693" t="s">
        <v>348</v>
      </c>
      <c r="Z384" s="622">
        <v>504118</v>
      </c>
      <c r="AA384" s="622">
        <v>5109</v>
      </c>
      <c r="AB384" s="622">
        <v>504189</v>
      </c>
      <c r="AC384" s="622">
        <v>519</v>
      </c>
      <c r="AD384" s="622">
        <v>2</v>
      </c>
      <c r="AE384" s="622">
        <v>12774</v>
      </c>
      <c r="AF384" s="622">
        <v>130</v>
      </c>
      <c r="AG384" s="622">
        <v>159</v>
      </c>
      <c r="AH384" s="623">
        <v>21</v>
      </c>
      <c r="AI384" s="623">
        <v>0</v>
      </c>
    </row>
    <row r="385">
      <c r="A385" s="719"/>
      <c r="B385" s="706" t="s">
        <v>361</v>
      </c>
      <c r="C385" s="697" t="s">
        <v>336</v>
      </c>
      <c r="D385" s="614">
        <v>1497.85</v>
      </c>
      <c r="E385" s="615">
        <v>8</v>
      </c>
      <c r="F385" s="647">
        <v>2359.2</v>
      </c>
      <c r="G385" s="693">
        <f t="shared" si="370"/>
      </c>
      <c r="H385" s="617">
        <f t="shared" si="535"/>
      </c>
      <c r="I385" s="618">
        <f t="shared" si="22"/>
      </c>
      <c r="J385" s="619">
        <f t="shared" si="397"/>
      </c>
      <c r="K385" s="620">
        <f t="shared" si="463"/>
      </c>
      <c r="L385" s="617">
        <f t="shared" si="219"/>
      </c>
      <c r="M385" s="617">
        <f t="shared" si="304"/>
      </c>
      <c r="N385" s="621">
        <f t="shared" si="88"/>
      </c>
      <c r="O385" s="621">
        <f t="shared" si="126"/>
      </c>
      <c r="P385" s="621">
        <f t="shared" si="179"/>
      </c>
      <c r="Q385" s="621">
        <f t="shared" si="574"/>
      </c>
      <c r="R385" s="617">
        <f t="shared" si="48"/>
      </c>
      <c r="S385" s="619">
        <f t="shared" si="423"/>
      </c>
      <c r="T385" s="621">
        <f t="shared" si="505"/>
      </c>
      <c r="U385" s="621">
        <f t="shared" si="261"/>
      </c>
      <c r="V385" s="621">
        <f t="shared" si="346"/>
      </c>
      <c r="W385" s="621">
        <f t="shared" si="152"/>
      </c>
      <c r="X385" s="696" t="s">
        <v>327</v>
      </c>
      <c r="Y385" s="696" t="s">
        <v>348</v>
      </c>
      <c r="Z385" s="622">
        <v>258072</v>
      </c>
      <c r="AA385" s="622">
        <v>3816</v>
      </c>
      <c r="AB385" s="622">
        <v>255136</v>
      </c>
      <c r="AC385" s="622">
        <v>413</v>
      </c>
      <c r="AD385" s="622">
        <v>5</v>
      </c>
      <c r="AE385" s="622">
        <v>8310</v>
      </c>
      <c r="AF385" s="622">
        <v>98</v>
      </c>
      <c r="AG385" s="622">
        <v>103</v>
      </c>
      <c r="AH385" s="622">
        <v>14</v>
      </c>
      <c r="AI385" s="623">
        <v>4</v>
      </c>
    </row>
    <row r="386">
      <c r="A386" s="719"/>
      <c r="B386" s="722" t="s">
        <v>332</v>
      </c>
      <c r="C386" s="722"/>
      <c r="D386" s="626">
        <f>SUM(D382:D385)</f>
      </c>
      <c r="E386" s="627">
        <f>SUM(E382:E385)</f>
      </c>
      <c r="F386" s="626">
        <f>SUM(F382:F385)</f>
      </c>
      <c r="G386" s="626">
        <f t="shared" si="370"/>
      </c>
      <c r="H386" s="628">
        <f t="shared" si="535"/>
      </c>
      <c r="I386" s="629">
        <f t="shared" si="22"/>
      </c>
      <c r="J386" s="630">
        <f t="shared" si="397"/>
      </c>
      <c r="K386" s="631">
        <f t="shared" si="463"/>
      </c>
      <c r="L386" s="628">
        <f t="shared" si="219"/>
      </c>
      <c r="M386" s="628">
        <f t="shared" si="304"/>
      </c>
      <c r="N386" s="632">
        <f t="shared" si="88"/>
      </c>
      <c r="O386" s="632">
        <f t="shared" si="126"/>
      </c>
      <c r="P386" s="632">
        <f t="shared" si="179"/>
      </c>
      <c r="Q386" s="632">
        <f t="shared" si="574"/>
      </c>
      <c r="R386" s="628">
        <f t="shared" si="48"/>
      </c>
      <c r="S386" s="630">
        <f t="shared" si="423"/>
      </c>
      <c r="T386" s="632">
        <f t="shared" si="505"/>
      </c>
      <c r="U386" s="632">
        <f t="shared" si="261"/>
      </c>
      <c r="V386" s="632">
        <f t="shared" si="346"/>
      </c>
      <c r="W386" s="632">
        <f t="shared" si="152"/>
      </c>
      <c r="X386" s="632"/>
      <c r="Y386" s="698"/>
      <c r="Z386" s="626">
        <f>SUM(Z382:Z385)</f>
      </c>
      <c r="AA386" s="626">
        <f>SUM(AA382:AA385)</f>
      </c>
      <c r="AB386" s="626">
        <f>SUM(AB382:AB385)</f>
      </c>
      <c r="AC386" s="626">
        <f>SUM(AC382:AC385)</f>
      </c>
      <c r="AD386" s="626">
        <f>SUM(AD382:AD385)</f>
      </c>
      <c r="AE386" s="626">
        <f>SUM(AE382:AE385)</f>
      </c>
      <c r="AF386" s="626">
        <f>SUM(AF382:AF385)</f>
      </c>
      <c r="AG386" s="626">
        <f>SUM(AG382:AG385)</f>
      </c>
      <c r="AH386" s="626">
        <f>SUM(AH382:AH385)</f>
      </c>
      <c r="AI386" s="626">
        <f>SUM(AI382:AI385)</f>
      </c>
    </row>
    <row r="387">
      <c r="A387" s="719"/>
      <c r="B387" s="678" t="s">
        <v>337</v>
      </c>
      <c r="C387" s="678"/>
      <c r="D387" s="679">
        <f>SUM(D386+D381+D375+D372)</f>
      </c>
      <c r="E387" s="679">
        <f>SUM(E386+E381+E375+E372)</f>
      </c>
      <c r="F387" s="679">
        <f>SUM(F386+F381+F375+F372)</f>
      </c>
      <c r="G387" s="679">
        <f t="shared" si="370"/>
      </c>
      <c r="H387" s="680">
        <f t="shared" si="535"/>
      </c>
      <c r="I387" s="681">
        <f t="shared" si="22"/>
      </c>
      <c r="J387" s="682">
        <f t="shared" si="397"/>
      </c>
      <c r="K387" s="683">
        <f t="shared" si="463"/>
      </c>
      <c r="L387" s="683">
        <f t="shared" si="219"/>
      </c>
      <c r="M387" s="684">
        <f t="shared" si="304"/>
      </c>
      <c r="N387" s="685">
        <f t="shared" si="88"/>
      </c>
      <c r="O387" s="685">
        <f t="shared" si="126"/>
      </c>
      <c r="P387" s="685">
        <f t="shared" si="179"/>
      </c>
      <c r="Q387" s="685">
        <f t="shared" si="574"/>
      </c>
      <c r="R387" s="684">
        <f t="shared" si="48"/>
      </c>
      <c r="S387" s="686">
        <f t="shared" si="423"/>
      </c>
      <c r="T387" s="687">
        <f t="shared" si="505"/>
      </c>
      <c r="U387" s="687">
        <f t="shared" si="261"/>
      </c>
      <c r="V387" s="687">
        <f t="shared" si="346"/>
      </c>
      <c r="W387" s="687">
        <f t="shared" si="152"/>
      </c>
      <c r="X387" s="687"/>
      <c r="Y387" s="658"/>
      <c r="Z387" s="679">
        <f>SUM(Z386+Z381+Z375+Z372)</f>
      </c>
      <c r="AA387" s="679">
        <f>SUM(AA386+AA381+AA375+AA372)</f>
      </c>
      <c r="AB387" s="679">
        <f>SUM(AB386+AB381+AB375+AB372)</f>
      </c>
      <c r="AC387" s="679">
        <f>SUM(AC386+AC381+AC375+AC372)</f>
      </c>
      <c r="AD387" s="679">
        <f>SUM(AD386+AD381+AD375+AD372)</f>
      </c>
      <c r="AE387" s="679">
        <f>SUM(AE386+AE381+AE375+AE372)</f>
      </c>
      <c r="AF387" s="679">
        <f>SUM(AF386+AF381+AF375+AF372)</f>
      </c>
      <c r="AG387" s="679">
        <f>SUM(AG386+AG381+AG375+AG372)</f>
      </c>
      <c r="AH387" s="679">
        <f>SUM(AH386+AH381+AH375+AH372)</f>
      </c>
      <c r="AI387" s="679">
        <f>SUM(AI386+AI381+AI375+AI372)</f>
      </c>
    </row>
    <row r="388">
      <c r="A388" s="603" t="s">
        <v>291</v>
      </c>
      <c r="B388" s="603" t="s">
        <v>292</v>
      </c>
      <c r="C388" s="707" t="s">
        <v>293</v>
      </c>
      <c r="D388" s="689" t="s">
        <v>294</v>
      </c>
      <c r="E388" s="690" t="s">
        <v>295</v>
      </c>
      <c r="F388" s="662" t="s">
        <v>296</v>
      </c>
      <c r="G388" s="662" t="s">
        <v>349</v>
      </c>
      <c r="H388" s="595" t="s">
        <v>297</v>
      </c>
      <c r="I388" s="595" t="s">
        <v>298</v>
      </c>
      <c r="J388" s="595" t="s">
        <v>299</v>
      </c>
      <c r="K388" s="597" t="s">
        <v>300</v>
      </c>
      <c r="L388" s="597" t="s">
        <v>301</v>
      </c>
      <c r="M388" s="597" t="s">
        <v>302</v>
      </c>
      <c r="N388" s="597" t="s">
        <v>303</v>
      </c>
      <c r="O388" s="597" t="s">
        <v>304</v>
      </c>
      <c r="P388" s="597" t="s">
        <v>305</v>
      </c>
      <c r="Q388" s="597" t="s">
        <v>306</v>
      </c>
      <c r="R388" s="597" t="s">
        <v>307</v>
      </c>
      <c r="S388" s="597" t="s">
        <v>308</v>
      </c>
      <c r="T388" s="606" t="s">
        <v>309</v>
      </c>
      <c r="U388" s="606" t="s">
        <v>310</v>
      </c>
      <c r="V388" s="606" t="s">
        <v>311</v>
      </c>
      <c r="W388" s="606" t="s">
        <v>312</v>
      </c>
      <c r="X388" s="607" t="s">
        <v>313</v>
      </c>
      <c r="Y388" s="607" t="s">
        <v>314</v>
      </c>
      <c r="Z388" s="651" t="s">
        <v>315</v>
      </c>
      <c r="AA388" s="651" t="s">
        <v>316</v>
      </c>
      <c r="AB388" s="651" t="s">
        <v>317</v>
      </c>
      <c r="AC388" s="609" t="s">
        <v>318</v>
      </c>
      <c r="AD388" s="609" t="s">
        <v>319</v>
      </c>
      <c r="AE388" s="652" t="s">
        <v>320</v>
      </c>
      <c r="AF388" s="609" t="s">
        <v>321</v>
      </c>
      <c r="AG388" s="609" t="s">
        <v>322</v>
      </c>
      <c r="AH388" s="611" t="s">
        <v>323</v>
      </c>
      <c r="AI388" s="609" t="s">
        <v>324</v>
      </c>
    </row>
    <row r="389">
      <c r="A389" s="719">
        <v>46201</v>
      </c>
      <c r="B389" s="720" t="s">
        <v>353</v>
      </c>
      <c r="C389" s="710" t="s">
        <v>338</v>
      </c>
      <c r="D389" s="711">
        <v>629.405</v>
      </c>
      <c r="E389" s="692">
        <v>6</v>
      </c>
      <c r="F389" s="665">
        <v>3129.6000000000004</v>
      </c>
      <c r="G389" s="693">
        <f t="shared" ref="G389:G408" si="371">D389/AD389</f>
      </c>
      <c r="H389" s="617">
        <f t="shared" ref="H389:H408" si="536">F389/E389</f>
      </c>
      <c r="I389" s="618">
        <f t="shared" ref="I389:I408" si="23">D389/E389</f>
      </c>
      <c r="J389" s="619">
        <f t="shared" ref="J389:J408" si="398">F389/D389</f>
      </c>
      <c r="K389" s="620">
        <f t="shared" ref="K389:K397" si="464">D389/AB389</f>
      </c>
      <c r="L389" s="617">
        <f t="shared" ref="L389:L397" si="220">D389/AC389</f>
      </c>
      <c r="M389" s="617">
        <f t="shared" ref="M389:M397" si="305">D389/AD389</f>
      </c>
      <c r="N389" s="621">
        <f t="shared" ref="N389:N397" si="89">AC389/AB389</f>
      </c>
      <c r="O389" s="621">
        <f t="shared" ref="O389:O408" si="127">AD389/AC389</f>
      </c>
      <c r="P389" s="621">
        <f t="shared" ref="P389:P408" si="180">AA389/Z389</f>
      </c>
      <c r="Q389" s="621">
        <f t="shared" ref="Q389:Q397" si="575">AD389/AA389</f>
      </c>
      <c r="R389" s="617">
        <f t="shared" ref="R389:R408" si="49">D389/Z389*1000</f>
      </c>
      <c r="S389" s="619">
        <f t="shared" ref="S389:S408" si="424">D389/AA389</f>
      </c>
      <c r="T389" s="621">
        <f t="shared" ref="T389:T397" si="506">AE389/AB389</f>
      </c>
      <c r="U389" s="621">
        <f t="shared" ref="U389:U397" si="262">AF389/AB389</f>
      </c>
      <c r="V389" s="621">
        <f t="shared" ref="V389:V397" si="347">AG389/AB389</f>
      </c>
      <c r="W389" s="621">
        <f t="shared" ref="W389:W408" si="153">AH389/AB389</f>
      </c>
      <c r="X389" s="653" t="s">
        <v>327</v>
      </c>
      <c r="Y389" s="613" t="s">
        <v>359</v>
      </c>
      <c r="Z389" s="655">
        <v>59545</v>
      </c>
      <c r="AA389" s="655">
        <v>2381</v>
      </c>
      <c r="AB389" s="655">
        <v>57476</v>
      </c>
      <c r="AC389" s="655">
        <v>250</v>
      </c>
      <c r="AD389" s="622">
        <v>5</v>
      </c>
      <c r="AE389" s="655">
        <v>8345</v>
      </c>
      <c r="AF389" s="622">
        <v>103</v>
      </c>
      <c r="AG389" s="622">
        <v>103</v>
      </c>
      <c r="AH389" s="622">
        <v>4</v>
      </c>
      <c r="AI389" s="623">
        <v>1</v>
      </c>
    </row>
    <row r="390">
      <c r="A390" s="719"/>
      <c r="B390" s="720" t="s">
        <v>353</v>
      </c>
      <c r="C390" s="710" t="s">
        <v>340</v>
      </c>
      <c r="D390" s="711">
        <v>868.396</v>
      </c>
      <c r="E390" s="692">
        <v>2</v>
      </c>
      <c r="F390" s="665">
        <v>456</v>
      </c>
      <c r="G390" s="693">
        <f t="shared" si="371"/>
      </c>
      <c r="H390" s="617">
        <f t="shared" si="536"/>
      </c>
      <c r="I390" s="618">
        <f t="shared" si="23"/>
      </c>
      <c r="J390" s="619">
        <f t="shared" si="398"/>
      </c>
      <c r="K390" s="620">
        <f t="shared" si="464"/>
      </c>
      <c r="L390" s="617">
        <f t="shared" si="220"/>
      </c>
      <c r="M390" s="617">
        <f t="shared" si="305"/>
      </c>
      <c r="N390" s="621">
        <f t="shared" si="89"/>
      </c>
      <c r="O390" s="621">
        <f t="shared" si="127"/>
      </c>
      <c r="P390" s="621">
        <f t="shared" si="180"/>
      </c>
      <c r="Q390" s="621">
        <f t="shared" si="575"/>
      </c>
      <c r="R390" s="617">
        <f t="shared" si="49"/>
      </c>
      <c r="S390" s="619">
        <f t="shared" si="424"/>
      </c>
      <c r="T390" s="621">
        <f t="shared" si="506"/>
      </c>
      <c r="U390" s="621">
        <f t="shared" si="262"/>
      </c>
      <c r="V390" s="621">
        <f t="shared" si="347"/>
      </c>
      <c r="W390" s="621">
        <f t="shared" si="153"/>
      </c>
      <c r="X390" s="653" t="s">
        <v>327</v>
      </c>
      <c r="Y390" s="613" t="s">
        <v>359</v>
      </c>
      <c r="Z390" s="622">
        <v>71274</v>
      </c>
      <c r="AA390" s="655">
        <v>2540</v>
      </c>
      <c r="AB390" s="655">
        <v>68439</v>
      </c>
      <c r="AC390" s="655">
        <v>259</v>
      </c>
      <c r="AD390" s="622">
        <v>2</v>
      </c>
      <c r="AE390" s="655">
        <v>7004</v>
      </c>
      <c r="AF390" s="622">
        <v>88</v>
      </c>
      <c r="AG390" s="622">
        <v>85</v>
      </c>
      <c r="AH390" s="622">
        <v>10</v>
      </c>
      <c r="AI390" s="623">
        <v>0</v>
      </c>
    </row>
    <row r="391">
      <c r="A391" s="719"/>
      <c r="B391" s="720" t="s">
        <v>353</v>
      </c>
      <c r="C391" s="712" t="s">
        <v>341</v>
      </c>
      <c r="D391" s="711">
        <v>1717.414</v>
      </c>
      <c r="E391" s="692">
        <v>4</v>
      </c>
      <c r="F391" s="665">
        <v>2446.3999999999996</v>
      </c>
      <c r="G391" s="693">
        <f t="shared" si="371"/>
      </c>
      <c r="H391" s="617">
        <f t="shared" si="536"/>
      </c>
      <c r="I391" s="618">
        <f t="shared" si="23"/>
      </c>
      <c r="J391" s="619">
        <f t="shared" si="398"/>
      </c>
      <c r="K391" s="620">
        <f t="shared" si="464"/>
      </c>
      <c r="L391" s="617">
        <f t="shared" si="220"/>
      </c>
      <c r="M391" s="617">
        <f t="shared" si="305"/>
      </c>
      <c r="N391" s="621">
        <f t="shared" si="89"/>
      </c>
      <c r="O391" s="621">
        <f t="shared" si="127"/>
      </c>
      <c r="P391" s="621">
        <f t="shared" si="180"/>
      </c>
      <c r="Q391" s="621">
        <f t="shared" si="575"/>
      </c>
      <c r="R391" s="617">
        <f t="shared" si="49"/>
      </c>
      <c r="S391" s="619">
        <f t="shared" si="424"/>
      </c>
      <c r="T391" s="621">
        <f t="shared" si="506"/>
      </c>
      <c r="U391" s="621">
        <f t="shared" si="262"/>
      </c>
      <c r="V391" s="621">
        <f t="shared" si="347"/>
      </c>
      <c r="W391" s="621">
        <f t="shared" si="153"/>
      </c>
      <c r="X391" s="693" t="s">
        <v>327</v>
      </c>
      <c r="Y391" s="613" t="s">
        <v>359</v>
      </c>
      <c r="Z391" s="622">
        <v>208839</v>
      </c>
      <c r="AA391" s="622">
        <v>4183</v>
      </c>
      <c r="AB391" s="622">
        <v>154974</v>
      </c>
      <c r="AC391" s="622">
        <v>411</v>
      </c>
      <c r="AD391" s="622">
        <v>3</v>
      </c>
      <c r="AE391" s="622">
        <v>7959</v>
      </c>
      <c r="AF391" s="622">
        <v>129</v>
      </c>
      <c r="AG391" s="622">
        <v>135</v>
      </c>
      <c r="AH391" s="623">
        <v>9</v>
      </c>
      <c r="AI391" s="623">
        <v>1</v>
      </c>
    </row>
    <row r="392">
      <c r="A392" s="719"/>
      <c r="B392" s="720" t="s">
        <v>353</v>
      </c>
      <c r="C392" s="713" t="s">
        <v>342</v>
      </c>
      <c r="D392" s="714">
        <v>1544.7269999999999</v>
      </c>
      <c r="E392" s="667">
        <v>6</v>
      </c>
      <c r="F392" s="647">
        <v>1293.2000000000007</v>
      </c>
      <c r="G392" s="693">
        <f t="shared" si="371"/>
      </c>
      <c r="H392" s="617">
        <f t="shared" si="536"/>
      </c>
      <c r="I392" s="618">
        <f t="shared" si="23"/>
      </c>
      <c r="J392" s="619">
        <f t="shared" si="398"/>
      </c>
      <c r="K392" s="620">
        <f t="shared" si="464"/>
      </c>
      <c r="L392" s="617">
        <f t="shared" si="220"/>
      </c>
      <c r="M392" s="617">
        <f t="shared" si="305"/>
      </c>
      <c r="N392" s="621">
        <f t="shared" si="89"/>
      </c>
      <c r="O392" s="621">
        <f t="shared" si="127"/>
      </c>
      <c r="P392" s="621">
        <f t="shared" si="180"/>
      </c>
      <c r="Q392" s="621">
        <f t="shared" si="575"/>
      </c>
      <c r="R392" s="617">
        <f t="shared" si="49"/>
      </c>
      <c r="S392" s="619">
        <f t="shared" si="424"/>
      </c>
      <c r="T392" s="621">
        <f t="shared" si="506"/>
      </c>
      <c r="U392" s="621">
        <f t="shared" si="262"/>
      </c>
      <c r="V392" s="621">
        <f t="shared" si="347"/>
      </c>
      <c r="W392" s="621">
        <f t="shared" si="153"/>
      </c>
      <c r="X392" s="696" t="s">
        <v>327</v>
      </c>
      <c r="Y392" s="613" t="s">
        <v>359</v>
      </c>
      <c r="Z392" s="622">
        <v>222179</v>
      </c>
      <c r="AA392" s="622">
        <v>4871</v>
      </c>
      <c r="AB392" s="622">
        <v>156597</v>
      </c>
      <c r="AC392" s="622">
        <v>522</v>
      </c>
      <c r="AD392" s="622">
        <v>5</v>
      </c>
      <c r="AE392" s="622">
        <v>8383</v>
      </c>
      <c r="AF392" s="622">
        <v>144</v>
      </c>
      <c r="AG392" s="622">
        <v>109</v>
      </c>
      <c r="AH392" s="623">
        <v>13</v>
      </c>
      <c r="AI392" s="623">
        <v>1</v>
      </c>
    </row>
    <row r="393">
      <c r="A393" s="719"/>
      <c r="B393" s="721" t="s">
        <v>332</v>
      </c>
      <c r="C393" s="721"/>
      <c r="D393" s="626">
        <f>SUM(D389:D392)</f>
      </c>
      <c r="E393" s="627">
        <f>SUM(E389:E392)</f>
      </c>
      <c r="F393" s="626">
        <f>SUM(F389:F392)</f>
      </c>
      <c r="G393" s="626">
        <f t="shared" si="371"/>
      </c>
      <c r="H393" s="628">
        <f t="shared" si="536"/>
      </c>
      <c r="I393" s="629">
        <f t="shared" si="23"/>
      </c>
      <c r="J393" s="630">
        <f t="shared" si="398"/>
      </c>
      <c r="K393" s="631">
        <f t="shared" si="464"/>
      </c>
      <c r="L393" s="628">
        <f t="shared" si="220"/>
      </c>
      <c r="M393" s="628">
        <f t="shared" si="305"/>
      </c>
      <c r="N393" s="632">
        <f t="shared" si="89"/>
      </c>
      <c r="O393" s="632">
        <f t="shared" si="127"/>
      </c>
      <c r="P393" s="632">
        <f t="shared" si="180"/>
      </c>
      <c r="Q393" s="632">
        <f t="shared" si="575"/>
      </c>
      <c r="R393" s="628">
        <f t="shared" si="49"/>
      </c>
      <c r="S393" s="630">
        <f t="shared" si="424"/>
      </c>
      <c r="T393" s="632">
        <f t="shared" si="506"/>
      </c>
      <c r="U393" s="632">
        <f t="shared" si="262"/>
      </c>
      <c r="V393" s="632">
        <f t="shared" si="347"/>
      </c>
      <c r="W393" s="632">
        <f t="shared" si="153"/>
      </c>
      <c r="X393" s="632"/>
      <c r="Y393" s="698"/>
      <c r="Z393" s="626">
        <f>SUM(Z389:Z392)</f>
      </c>
      <c r="AA393" s="626">
        <f>SUM(AA389:AA392)</f>
      </c>
      <c r="AB393" s="626">
        <f>SUM(AB389:AB392)</f>
      </c>
      <c r="AC393" s="626">
        <f>SUM(AC389:AC392)</f>
      </c>
      <c r="AD393" s="626">
        <f>SUM(AD389:AD392)</f>
      </c>
      <c r="AE393" s="626">
        <f>SUM(AE389:AE392)</f>
      </c>
      <c r="AF393" s="626">
        <f>SUM(AF389:AF392)</f>
      </c>
      <c r="AG393" s="626">
        <f>SUM(AG389:AG392)</f>
      </c>
      <c r="AH393" s="626">
        <f>SUM(AH389:AH392)</f>
      </c>
      <c r="AI393" s="626">
        <f>SUM(AI389:AI392)</f>
      </c>
    </row>
    <row r="394">
      <c r="A394" s="719"/>
      <c r="B394" s="724" t="s">
        <v>361</v>
      </c>
      <c r="C394" s="713" t="s">
        <v>343</v>
      </c>
      <c r="D394" s="691">
        <v>1750.1889999999999</v>
      </c>
      <c r="E394" s="692">
        <v>5</v>
      </c>
      <c r="F394" s="665">
        <v>1718.3999999999996</v>
      </c>
      <c r="G394" s="693">
        <f t="shared" si="371"/>
      </c>
      <c r="H394" s="617">
        <f t="shared" si="536"/>
      </c>
      <c r="I394" s="618">
        <f t="shared" si="23"/>
      </c>
      <c r="J394" s="619">
        <f t="shared" si="398"/>
      </c>
      <c r="K394" s="620">
        <f t="shared" si="464"/>
      </c>
      <c r="L394" s="617">
        <f t="shared" si="220"/>
      </c>
      <c r="M394" s="617">
        <f t="shared" si="305"/>
      </c>
      <c r="N394" s="621">
        <f t="shared" si="89"/>
      </c>
      <c r="O394" s="621">
        <f t="shared" si="127"/>
      </c>
      <c r="P394" s="621">
        <f t="shared" si="180"/>
      </c>
      <c r="Q394" s="621">
        <f t="shared" si="575"/>
      </c>
      <c r="R394" s="617">
        <f t="shared" si="49"/>
      </c>
      <c r="S394" s="619">
        <f t="shared" si="424"/>
      </c>
      <c r="T394" s="621">
        <f t="shared" si="506"/>
      </c>
      <c r="U394" s="621">
        <f t="shared" si="262"/>
      </c>
      <c r="V394" s="621">
        <f t="shared" si="347"/>
      </c>
      <c r="W394" s="621">
        <f t="shared" si="153"/>
      </c>
      <c r="X394" s="696" t="s">
        <v>327</v>
      </c>
      <c r="Y394" s="613" t="s">
        <v>359</v>
      </c>
      <c r="Z394" s="655">
        <v>278666</v>
      </c>
      <c r="AA394" s="655">
        <v>5285</v>
      </c>
      <c r="AB394" s="655">
        <v>186217</v>
      </c>
      <c r="AC394" s="622">
        <v>521</v>
      </c>
      <c r="AD394" s="622">
        <v>4</v>
      </c>
      <c r="AE394" s="655">
        <v>6950</v>
      </c>
      <c r="AF394" s="622">
        <v>107</v>
      </c>
      <c r="AG394" s="622">
        <v>118</v>
      </c>
      <c r="AH394" s="622">
        <v>11</v>
      </c>
      <c r="AI394" s="623">
        <v>0</v>
      </c>
    </row>
    <row r="395">
      <c r="A395" s="719"/>
      <c r="B395" s="724" t="s">
        <v>361</v>
      </c>
      <c r="C395" s="718" t="s">
        <v>344</v>
      </c>
      <c r="D395" s="669">
        <v>2045.275</v>
      </c>
      <c r="E395" s="667">
        <v>1</v>
      </c>
      <c r="F395" s="647">
        <v>196</v>
      </c>
      <c r="G395" s="693">
        <f t="shared" si="371"/>
      </c>
      <c r="H395" s="617">
        <f t="shared" si="536"/>
      </c>
      <c r="I395" s="618">
        <f t="shared" si="23"/>
      </c>
      <c r="J395" s="619">
        <f t="shared" si="398"/>
      </c>
      <c r="K395" s="620">
        <f t="shared" si="464"/>
      </c>
      <c r="L395" s="617">
        <f t="shared" si="220"/>
      </c>
      <c r="M395" s="617">
        <f t="shared" si="305"/>
      </c>
      <c r="N395" s="621">
        <f t="shared" si="89"/>
      </c>
      <c r="O395" s="621">
        <f t="shared" si="127"/>
      </c>
      <c r="P395" s="621">
        <f t="shared" si="180"/>
      </c>
      <c r="Q395" s="621">
        <f t="shared" si="575"/>
      </c>
      <c r="R395" s="617">
        <f t="shared" si="49"/>
      </c>
      <c r="S395" s="619">
        <f t="shared" si="424"/>
      </c>
      <c r="T395" s="621">
        <f t="shared" si="506"/>
      </c>
      <c r="U395" s="621">
        <f t="shared" si="262"/>
      </c>
      <c r="V395" s="621">
        <f t="shared" si="347"/>
      </c>
      <c r="W395" s="621">
        <f t="shared" si="153"/>
      </c>
      <c r="X395" s="696" t="s">
        <v>327</v>
      </c>
      <c r="Y395" s="613" t="s">
        <v>359</v>
      </c>
      <c r="Z395" s="622">
        <v>331386</v>
      </c>
      <c r="AA395" s="622">
        <v>6840</v>
      </c>
      <c r="AB395" s="622">
        <v>243659</v>
      </c>
      <c r="AC395" s="622">
        <v>610</v>
      </c>
      <c r="AD395" s="622">
        <v>0</v>
      </c>
      <c r="AE395" s="622">
        <v>7413</v>
      </c>
      <c r="AF395" s="622">
        <v>111</v>
      </c>
      <c r="AG395" s="622">
        <v>157</v>
      </c>
      <c r="AH395" s="622">
        <v>14</v>
      </c>
      <c r="AI395" s="623">
        <v>0</v>
      </c>
    </row>
    <row r="396">
      <c r="A396" s="719"/>
      <c r="B396" s="722" t="s">
        <v>332</v>
      </c>
      <c r="C396" s="722"/>
      <c r="D396" s="626">
        <f>SUM(D394:D395)</f>
      </c>
      <c r="E396" s="627">
        <f>SUM(E394:E395)</f>
      </c>
      <c r="F396" s="626">
        <f>SUM(F394:F395)</f>
      </c>
      <c r="G396" s="626">
        <f t="shared" si="371"/>
      </c>
      <c r="H396" s="628">
        <f t="shared" si="536"/>
      </c>
      <c r="I396" s="629">
        <f t="shared" si="23"/>
      </c>
      <c r="J396" s="630">
        <f t="shared" si="398"/>
      </c>
      <c r="K396" s="631">
        <f t="shared" si="464"/>
      </c>
      <c r="L396" s="628">
        <f t="shared" si="220"/>
      </c>
      <c r="M396" s="628">
        <f t="shared" si="305"/>
      </c>
      <c r="N396" s="632">
        <f t="shared" si="89"/>
      </c>
      <c r="O396" s="632">
        <f t="shared" si="127"/>
      </c>
      <c r="P396" s="632">
        <f t="shared" si="180"/>
      </c>
      <c r="Q396" s="632">
        <f t="shared" si="575"/>
      </c>
      <c r="R396" s="628">
        <f t="shared" si="49"/>
      </c>
      <c r="S396" s="630">
        <f t="shared" si="424"/>
      </c>
      <c r="T396" s="632">
        <f t="shared" si="506"/>
      </c>
      <c r="U396" s="632">
        <f t="shared" si="262"/>
      </c>
      <c r="V396" s="632">
        <f t="shared" si="347"/>
      </c>
      <c r="W396" s="632">
        <f t="shared" si="153"/>
      </c>
      <c r="X396" s="632"/>
      <c r="Y396" s="698"/>
      <c r="Z396" s="626">
        <f>SUM(Z394:Z395)</f>
      </c>
      <c r="AA396" s="626">
        <f>SUM(AA394:AA395)</f>
      </c>
      <c r="AB396" s="626">
        <f>SUM(AB394:AB395)</f>
      </c>
      <c r="AC396" s="626">
        <f>SUM(AC394:AC395)</f>
      </c>
      <c r="AD396" s="626">
        <f>SUM(AD394:AD395)</f>
      </c>
      <c r="AE396" s="626">
        <f>SUM(AE394:AE395)</f>
      </c>
      <c r="AF396" s="626">
        <f>SUM(AF394:AF395)</f>
      </c>
      <c r="AG396" s="626">
        <f>SUM(AG394:AG395)</f>
      </c>
      <c r="AH396" s="626">
        <f>SUM(AH394:AH395)</f>
      </c>
      <c r="AI396" s="626">
        <f>SUM(AI394:AI395)</f>
      </c>
    </row>
    <row r="397">
      <c r="A397" s="719"/>
      <c r="B397" s="723" t="s">
        <v>362</v>
      </c>
      <c r="C397" s="699" t="s">
        <v>345</v>
      </c>
      <c r="D397" s="691">
        <v>2001.1640000000002</v>
      </c>
      <c r="E397" s="692">
        <v>2</v>
      </c>
      <c r="F397" s="665">
        <v>1056</v>
      </c>
      <c r="G397" s="693">
        <f t="shared" si="371"/>
      </c>
      <c r="H397" s="617">
        <f t="shared" si="536"/>
      </c>
      <c r="I397" s="618">
        <f t="shared" si="23"/>
      </c>
      <c r="J397" s="619">
        <f t="shared" si="398"/>
      </c>
      <c r="K397" s="620">
        <f t="shared" si="464"/>
      </c>
      <c r="L397" s="617">
        <f t="shared" si="220"/>
      </c>
      <c r="M397" s="617">
        <f t="shared" si="305"/>
      </c>
      <c r="N397" s="621">
        <f t="shared" si="89"/>
      </c>
      <c r="O397" s="621">
        <f t="shared" si="127"/>
      </c>
      <c r="P397" s="621">
        <f t="shared" si="180"/>
      </c>
      <c r="Q397" s="621">
        <f t="shared" si="575"/>
      </c>
      <c r="R397" s="617">
        <f t="shared" si="49"/>
      </c>
      <c r="S397" s="619">
        <f t="shared" si="424"/>
      </c>
      <c r="T397" s="621">
        <f t="shared" si="506"/>
      </c>
      <c r="U397" s="621">
        <f t="shared" si="262"/>
      </c>
      <c r="V397" s="621">
        <f t="shared" si="347"/>
      </c>
      <c r="W397" s="621">
        <f t="shared" si="153"/>
      </c>
      <c r="X397" s="696" t="s">
        <v>327</v>
      </c>
      <c r="Y397" s="613" t="s">
        <v>359</v>
      </c>
      <c r="Z397" s="655">
        <v>324162</v>
      </c>
      <c r="AA397" s="655">
        <v>7252</v>
      </c>
      <c r="AB397" s="655">
        <v>234870</v>
      </c>
      <c r="AC397" s="622">
        <v>524</v>
      </c>
      <c r="AD397" s="622">
        <v>3</v>
      </c>
      <c r="AE397" s="655">
        <v>7662</v>
      </c>
      <c r="AF397" s="622">
        <v>116</v>
      </c>
      <c r="AG397" s="622">
        <v>116</v>
      </c>
      <c r="AH397" s="622">
        <v>9</v>
      </c>
      <c r="AI397" s="623">
        <v>0</v>
      </c>
    </row>
    <row r="398">
      <c r="A398" s="719"/>
      <c r="B398" s="723" t="s">
        <v>362</v>
      </c>
      <c r="C398" s="699" t="s">
        <v>346</v>
      </c>
      <c r="D398" s="691">
        <v>1985.096</v>
      </c>
      <c r="E398" s="692">
        <v>2</v>
      </c>
      <c r="F398" s="665">
        <v>456</v>
      </c>
      <c r="G398" s="693">
        <f t="shared" si="371"/>
      </c>
      <c r="H398" s="617">
        <f t="shared" si="536"/>
      </c>
      <c r="I398" s="618">
        <f t="shared" si="23"/>
      </c>
      <c r="J398" s="619">
        <f t="shared" si="398"/>
      </c>
      <c r="K398" s="620">
        <f>D398/AC398</f>
      </c>
      <c r="L398" s="617">
        <f>D398/AD398</f>
      </c>
      <c r="M398" s="617">
        <f>D398/AE398</f>
      </c>
      <c r="N398" s="621">
        <f>AD398/AC398</f>
      </c>
      <c r="O398" s="621">
        <f t="shared" si="127"/>
      </c>
      <c r="P398" s="621">
        <f t="shared" si="180"/>
      </c>
      <c r="Q398" s="621">
        <f>AE398/AA398</f>
      </c>
      <c r="R398" s="617">
        <f t="shared" si="49"/>
      </c>
      <c r="S398" s="619">
        <f t="shared" si="424"/>
      </c>
      <c r="T398" s="621">
        <f>AF398/AC398</f>
      </c>
      <c r="U398" s="621">
        <f>AG398/AC398</f>
      </c>
      <c r="V398" s="621">
        <f>AH398/AC398</f>
      </c>
      <c r="W398" s="621">
        <f t="shared" si="153"/>
      </c>
      <c r="X398" s="696" t="s">
        <v>327</v>
      </c>
      <c r="Y398" s="613" t="s">
        <v>359</v>
      </c>
      <c r="Z398" s="622">
        <v>344167</v>
      </c>
      <c r="AA398" s="622">
        <v>9095</v>
      </c>
      <c r="AB398" s="700">
        <v>258874</v>
      </c>
      <c r="AC398" s="701">
        <v>540</v>
      </c>
      <c r="AD398" s="701">
        <v>2</v>
      </c>
      <c r="AE398" s="701">
        <v>8324</v>
      </c>
      <c r="AF398" s="701">
        <v>105</v>
      </c>
      <c r="AG398" s="701">
        <v>165</v>
      </c>
      <c r="AH398" s="701">
        <v>11</v>
      </c>
      <c r="AI398" s="623">
        <v>0</v>
      </c>
    </row>
    <row r="399">
      <c r="A399" s="719"/>
      <c r="B399" s="723" t="s">
        <v>362</v>
      </c>
      <c r="C399" s="697" t="s">
        <v>326</v>
      </c>
      <c r="D399" s="669">
        <v>2973.531</v>
      </c>
      <c r="E399" s="667">
        <v>7</v>
      </c>
      <c r="F399" s="647">
        <v>1425.9</v>
      </c>
      <c r="G399" s="693">
        <f t="shared" si="371"/>
      </c>
      <c r="H399" s="617">
        <f t="shared" si="536"/>
      </c>
      <c r="I399" s="618">
        <f t="shared" si="23"/>
      </c>
      <c r="J399" s="619">
        <f t="shared" si="398"/>
      </c>
      <c r="K399" s="620">
        <f t="shared" ref="K399:K408" si="465">D399/AB399</f>
      </c>
      <c r="L399" s="617">
        <f t="shared" ref="L399:L408" si="221">D399/AC399</f>
      </c>
      <c r="M399" s="617">
        <f t="shared" ref="M399:M408" si="306">D399/AD399</f>
      </c>
      <c r="N399" s="621">
        <f t="shared" ref="N399:N408" si="90">AC399/AB399</f>
      </c>
      <c r="O399" s="621">
        <f t="shared" si="127"/>
      </c>
      <c r="P399" s="621">
        <f t="shared" si="180"/>
      </c>
      <c r="Q399" s="621">
        <f t="shared" ref="Q399:Q408" si="576">AD399/AA399</f>
      </c>
      <c r="R399" s="617">
        <f t="shared" si="49"/>
      </c>
      <c r="S399" s="619">
        <f t="shared" si="424"/>
      </c>
      <c r="T399" s="621">
        <f t="shared" ref="T399:T408" si="507">AE399/AB399</f>
      </c>
      <c r="U399" s="621">
        <f t="shared" ref="U399:U408" si="263">AF399/AB399</f>
      </c>
      <c r="V399" s="621">
        <f t="shared" ref="V399:V408" si="348">AG399/AB399</f>
      </c>
      <c r="W399" s="621">
        <f t="shared" si="153"/>
      </c>
      <c r="X399" s="696" t="s">
        <v>327</v>
      </c>
      <c r="Y399" s="653" t="s">
        <v>348</v>
      </c>
      <c r="Z399" s="622">
        <v>562646</v>
      </c>
      <c r="AA399" s="622">
        <v>11211</v>
      </c>
      <c r="AB399" s="622">
        <v>371546</v>
      </c>
      <c r="AC399" s="622">
        <v>725</v>
      </c>
      <c r="AD399" s="622">
        <v>2</v>
      </c>
      <c r="AE399" s="622">
        <v>10977</v>
      </c>
      <c r="AF399" s="622">
        <v>138</v>
      </c>
      <c r="AG399" s="622">
        <v>159</v>
      </c>
      <c r="AH399" s="622">
        <v>9</v>
      </c>
      <c r="AI399" s="623">
        <v>3</v>
      </c>
    </row>
    <row r="400">
      <c r="A400" s="719"/>
      <c r="B400" s="722" t="s">
        <v>332</v>
      </c>
      <c r="C400" s="722"/>
      <c r="D400" s="626">
        <f>SUM(D397:D399)</f>
      </c>
      <c r="E400" s="627">
        <f>SUM(E397:E399)</f>
      </c>
      <c r="F400" s="626">
        <f>SUM(F397:F399)</f>
      </c>
      <c r="G400" s="626">
        <f t="shared" si="371"/>
      </c>
      <c r="H400" s="628">
        <f t="shared" si="536"/>
      </c>
      <c r="I400" s="629">
        <f t="shared" si="23"/>
      </c>
      <c r="J400" s="630">
        <f t="shared" si="398"/>
      </c>
      <c r="K400" s="631">
        <f t="shared" si="465"/>
      </c>
      <c r="L400" s="628">
        <f t="shared" si="221"/>
      </c>
      <c r="M400" s="628">
        <f t="shared" si="306"/>
      </c>
      <c r="N400" s="632">
        <f t="shared" si="90"/>
      </c>
      <c r="O400" s="632">
        <f t="shared" si="127"/>
      </c>
      <c r="P400" s="632">
        <f t="shared" si="180"/>
      </c>
      <c r="Q400" s="632">
        <f t="shared" si="576"/>
      </c>
      <c r="R400" s="628">
        <f t="shared" si="49"/>
      </c>
      <c r="S400" s="630">
        <f t="shared" si="424"/>
      </c>
      <c r="T400" s="632">
        <f t="shared" si="507"/>
      </c>
      <c r="U400" s="632">
        <f t="shared" si="263"/>
      </c>
      <c r="V400" s="632">
        <f t="shared" si="348"/>
      </c>
      <c r="W400" s="632">
        <f t="shared" si="153"/>
      </c>
      <c r="X400" s="632"/>
      <c r="Y400" s="698"/>
      <c r="Z400" s="626">
        <f>SUM(Z397:Z399)</f>
      </c>
      <c r="AA400" s="626">
        <f>SUM(AA397:AA399)</f>
      </c>
      <c r="AB400" s="626">
        <f>SUM(AB397:AB399)</f>
      </c>
      <c r="AC400" s="626">
        <f>SUM(AC397:AC399)</f>
      </c>
      <c r="AD400" s="626">
        <f>SUM(AD397:AD399)</f>
      </c>
      <c r="AE400" s="626">
        <f>SUM(AE397:AE399)</f>
      </c>
      <c r="AF400" s="626">
        <f>SUM(AF397:AF399)</f>
      </c>
      <c r="AG400" s="626">
        <f>SUM(AG397:AG399)</f>
      </c>
      <c r="AH400" s="626">
        <f>SUM(AH397:AH399)</f>
      </c>
      <c r="AI400" s="626">
        <f>SUM(AI397:AI399)</f>
      </c>
    </row>
    <row r="401">
      <c r="A401" s="719"/>
      <c r="B401" s="706" t="s">
        <v>325</v>
      </c>
      <c r="C401" s="697" t="s">
        <v>329</v>
      </c>
      <c r="D401" s="614">
        <v>2168.787</v>
      </c>
      <c r="E401" s="615">
        <v>1</v>
      </c>
      <c r="F401" s="647">
        <v>228</v>
      </c>
      <c r="G401" s="693">
        <f t="shared" si="371"/>
      </c>
      <c r="H401" s="617">
        <f t="shared" si="536"/>
      </c>
      <c r="I401" s="618">
        <f t="shared" si="23"/>
      </c>
      <c r="J401" s="619">
        <f t="shared" si="398"/>
      </c>
      <c r="K401" s="620">
        <f t="shared" si="465"/>
      </c>
      <c r="L401" s="617">
        <f t="shared" si="221"/>
      </c>
      <c r="M401" s="622">
        <f t="shared" si="306"/>
      </c>
      <c r="N401" s="621">
        <f t="shared" si="90"/>
      </c>
      <c r="O401" s="621">
        <f t="shared" si="127"/>
      </c>
      <c r="P401" s="621">
        <f t="shared" si="180"/>
      </c>
      <c r="Q401" s="621">
        <f t="shared" si="576"/>
      </c>
      <c r="R401" s="617">
        <f t="shared" si="49"/>
      </c>
      <c r="S401" s="619">
        <f t="shared" si="424"/>
      </c>
      <c r="T401" s="621">
        <f t="shared" si="507"/>
      </c>
      <c r="U401" s="621">
        <f t="shared" si="263"/>
      </c>
      <c r="V401" s="621">
        <f t="shared" si="348"/>
      </c>
      <c r="W401" s="621">
        <f t="shared" si="153"/>
      </c>
      <c r="X401" s="696" t="s">
        <v>327</v>
      </c>
      <c r="Y401" s="653" t="s">
        <v>348</v>
      </c>
      <c r="Z401" s="622">
        <v>377977</v>
      </c>
      <c r="AA401" s="622">
        <v>9907</v>
      </c>
      <c r="AB401" s="622">
        <v>301353</v>
      </c>
      <c r="AC401" s="622">
        <v>594</v>
      </c>
      <c r="AD401" s="622">
        <v>2</v>
      </c>
      <c r="AE401" s="622">
        <v>10862</v>
      </c>
      <c r="AF401" s="622">
        <v>154</v>
      </c>
      <c r="AG401" s="622">
        <v>171</v>
      </c>
      <c r="AH401" s="623">
        <v>11</v>
      </c>
      <c r="AI401" s="623">
        <v>0</v>
      </c>
    </row>
    <row r="402">
      <c r="A402" s="719"/>
      <c r="B402" s="706" t="s">
        <v>325</v>
      </c>
      <c r="C402" s="697" t="s">
        <v>330</v>
      </c>
      <c r="D402" s="614">
        <v>1851.335</v>
      </c>
      <c r="E402" s="615">
        <v>1</v>
      </c>
      <c r="F402" s="647">
        <v>796</v>
      </c>
      <c r="G402" s="693">
        <f t="shared" si="371"/>
      </c>
      <c r="H402" s="617">
        <f t="shared" si="536"/>
      </c>
      <c r="I402" s="618">
        <f t="shared" si="23"/>
      </c>
      <c r="J402" s="619">
        <f t="shared" si="398"/>
      </c>
      <c r="K402" s="620">
        <f t="shared" si="465"/>
      </c>
      <c r="L402" s="617">
        <f t="shared" si="221"/>
      </c>
      <c r="M402" s="617">
        <f t="shared" si="306"/>
      </c>
      <c r="N402" s="621">
        <f t="shared" si="90"/>
      </c>
      <c r="O402" s="621">
        <f t="shared" si="127"/>
      </c>
      <c r="P402" s="621">
        <f t="shared" si="180"/>
      </c>
      <c r="Q402" s="621">
        <f t="shared" si="576"/>
      </c>
      <c r="R402" s="617">
        <f t="shared" si="49"/>
      </c>
      <c r="S402" s="619">
        <f t="shared" si="424"/>
      </c>
      <c r="T402" s="621">
        <f t="shared" si="507"/>
      </c>
      <c r="U402" s="621">
        <f t="shared" si="263"/>
      </c>
      <c r="V402" s="621">
        <f t="shared" si="348"/>
      </c>
      <c r="W402" s="621">
        <f t="shared" si="153"/>
      </c>
      <c r="X402" s="696" t="s">
        <v>327</v>
      </c>
      <c r="Y402" s="653" t="s">
        <v>348</v>
      </c>
      <c r="Z402" s="622">
        <v>309453</v>
      </c>
      <c r="AA402" s="622">
        <v>5782</v>
      </c>
      <c r="AB402" s="622">
        <v>303925</v>
      </c>
      <c r="AC402" s="622">
        <v>369</v>
      </c>
      <c r="AD402" s="622">
        <v>2</v>
      </c>
      <c r="AE402" s="622">
        <v>9774</v>
      </c>
      <c r="AF402" s="622">
        <v>102</v>
      </c>
      <c r="AG402" s="622">
        <v>120</v>
      </c>
      <c r="AH402" s="622">
        <v>5</v>
      </c>
      <c r="AI402" s="623">
        <v>0</v>
      </c>
    </row>
    <row customHeight="true" ht="16.071428571428573" r="403">
      <c r="A403" s="719"/>
      <c r="B403" s="706" t="s">
        <v>325</v>
      </c>
      <c r="C403" s="697" t="s">
        <v>331</v>
      </c>
      <c r="D403" s="614">
        <v>1614.96</v>
      </c>
      <c r="E403" s="615">
        <v>2</v>
      </c>
      <c r="F403" s="647">
        <v>1056</v>
      </c>
      <c r="G403" s="693">
        <f t="shared" si="371"/>
      </c>
      <c r="H403" s="617">
        <f t="shared" si="536"/>
      </c>
      <c r="I403" s="618">
        <f t="shared" si="23"/>
      </c>
      <c r="J403" s="619">
        <f t="shared" si="398"/>
      </c>
      <c r="K403" s="620">
        <f t="shared" si="465"/>
      </c>
      <c r="L403" s="617">
        <f t="shared" si="221"/>
      </c>
      <c r="M403" s="617">
        <f t="shared" si="306"/>
      </c>
      <c r="N403" s="621">
        <f t="shared" si="90"/>
      </c>
      <c r="O403" s="621">
        <f t="shared" si="127"/>
      </c>
      <c r="P403" s="621">
        <f t="shared" si="180"/>
      </c>
      <c r="Q403" s="621">
        <f t="shared" si="576"/>
      </c>
      <c r="R403" s="617">
        <f t="shared" si="49"/>
      </c>
      <c r="S403" s="619">
        <f t="shared" si="424"/>
      </c>
      <c r="T403" s="621">
        <f t="shared" si="507"/>
      </c>
      <c r="U403" s="621">
        <f t="shared" si="263"/>
      </c>
      <c r="V403" s="621">
        <f t="shared" si="348"/>
      </c>
      <c r="W403" s="621">
        <f t="shared" si="153"/>
      </c>
      <c r="X403" s="696" t="s">
        <v>327</v>
      </c>
      <c r="Y403" s="653" t="s">
        <v>348</v>
      </c>
      <c r="Z403" s="622">
        <v>269299</v>
      </c>
      <c r="AA403" s="622">
        <v>3345</v>
      </c>
      <c r="AB403" s="622">
        <v>266274</v>
      </c>
      <c r="AC403" s="622">
        <v>333</v>
      </c>
      <c r="AD403" s="622">
        <v>2</v>
      </c>
      <c r="AE403" s="622">
        <v>8929</v>
      </c>
      <c r="AF403" s="622">
        <v>121</v>
      </c>
      <c r="AG403" s="622">
        <v>110</v>
      </c>
      <c r="AH403" s="622">
        <v>5</v>
      </c>
      <c r="AI403" s="623">
        <v>0</v>
      </c>
    </row>
    <row customHeight="true" ht="16.071428571428573" r="404">
      <c r="A404" s="719"/>
      <c r="B404" s="706" t="s">
        <v>325</v>
      </c>
      <c r="C404" s="697" t="s">
        <v>334</v>
      </c>
      <c r="D404" s="614">
        <v>1792.266</v>
      </c>
      <c r="E404" s="615">
        <v>1</v>
      </c>
      <c r="F404" s="647">
        <v>228</v>
      </c>
      <c r="G404" s="693">
        <f t="shared" si="371"/>
      </c>
      <c r="H404" s="617">
        <f t="shared" si="536"/>
      </c>
      <c r="I404" s="618">
        <f t="shared" si="23"/>
      </c>
      <c r="J404" s="619">
        <f t="shared" si="398"/>
      </c>
      <c r="K404" s="620">
        <f t="shared" si="465"/>
      </c>
      <c r="L404" s="617">
        <f t="shared" si="221"/>
      </c>
      <c r="M404" s="617">
        <f t="shared" si="306"/>
      </c>
      <c r="N404" s="621">
        <f t="shared" si="90"/>
      </c>
      <c r="O404" s="621">
        <f t="shared" si="127"/>
      </c>
      <c r="P404" s="621">
        <f t="shared" si="180"/>
      </c>
      <c r="Q404" s="621">
        <f t="shared" si="576"/>
      </c>
      <c r="R404" s="617">
        <f t="shared" si="49"/>
      </c>
      <c r="S404" s="619">
        <f t="shared" si="424"/>
      </c>
      <c r="T404" s="621">
        <f t="shared" si="507"/>
      </c>
      <c r="U404" s="621">
        <f t="shared" si="263"/>
      </c>
      <c r="V404" s="621">
        <f t="shared" si="348"/>
      </c>
      <c r="W404" s="621">
        <f t="shared" si="153"/>
      </c>
      <c r="X404" s="696" t="s">
        <v>327</v>
      </c>
      <c r="Y404" s="653" t="s">
        <v>348</v>
      </c>
      <c r="Z404" s="622">
        <v>309762</v>
      </c>
      <c r="AA404" s="622">
        <v>3185</v>
      </c>
      <c r="AB404" s="622">
        <v>307998</v>
      </c>
      <c r="AC404" s="622">
        <v>307</v>
      </c>
      <c r="AD404" s="622">
        <v>0</v>
      </c>
      <c r="AE404" s="622">
        <v>7979</v>
      </c>
      <c r="AF404" s="622">
        <v>87</v>
      </c>
      <c r="AG404" s="622">
        <v>94</v>
      </c>
      <c r="AH404" s="622">
        <v>3</v>
      </c>
      <c r="AI404" s="623">
        <v>0</v>
      </c>
    </row>
    <row r="405">
      <c r="A405" s="719"/>
      <c r="B405" s="706" t="s">
        <v>325</v>
      </c>
      <c r="C405" s="697" t="s">
        <v>335</v>
      </c>
      <c r="D405" s="614">
        <v>1354.076</v>
      </c>
      <c r="E405" s="615">
        <v>4</v>
      </c>
      <c r="F405" s="647">
        <v>806.3</v>
      </c>
      <c r="G405" s="693">
        <f t="shared" si="371"/>
      </c>
      <c r="H405" s="617">
        <f t="shared" si="536"/>
      </c>
      <c r="I405" s="618">
        <f t="shared" si="23"/>
      </c>
      <c r="J405" s="619">
        <f t="shared" si="398"/>
      </c>
      <c r="K405" s="620">
        <f t="shared" si="465"/>
      </c>
      <c r="L405" s="617">
        <f t="shared" si="221"/>
      </c>
      <c r="M405" s="617">
        <f t="shared" si="306"/>
      </c>
      <c r="N405" s="621">
        <f t="shared" si="90"/>
      </c>
      <c r="O405" s="621">
        <f t="shared" si="127"/>
      </c>
      <c r="P405" s="621">
        <f t="shared" si="180"/>
      </c>
      <c r="Q405" s="621">
        <f t="shared" si="576"/>
      </c>
      <c r="R405" s="617">
        <f t="shared" si="49"/>
      </c>
      <c r="S405" s="619">
        <f t="shared" si="424"/>
      </c>
      <c r="T405" s="621">
        <f t="shared" si="507"/>
      </c>
      <c r="U405" s="621">
        <f t="shared" si="263"/>
      </c>
      <c r="V405" s="621">
        <f t="shared" si="348"/>
      </c>
      <c r="W405" s="621">
        <f t="shared" si="153"/>
      </c>
      <c r="X405" s="696" t="s">
        <v>327</v>
      </c>
      <c r="Y405" s="693" t="s">
        <v>348</v>
      </c>
      <c r="Z405" s="622">
        <v>209697</v>
      </c>
      <c r="AA405" s="622">
        <v>3181</v>
      </c>
      <c r="AB405" s="622">
        <v>206122</v>
      </c>
      <c r="AC405" s="622">
        <v>355</v>
      </c>
      <c r="AD405" s="622">
        <v>3</v>
      </c>
      <c r="AE405" s="622">
        <v>7435</v>
      </c>
      <c r="AF405" s="622">
        <v>103</v>
      </c>
      <c r="AG405" s="622">
        <v>106</v>
      </c>
      <c r="AH405" s="623">
        <v>14</v>
      </c>
      <c r="AI405" s="623">
        <v>1</v>
      </c>
    </row>
    <row r="406">
      <c r="A406" s="719"/>
      <c r="B406" s="706" t="s">
        <v>325</v>
      </c>
      <c r="C406" s="697" t="s">
        <v>336</v>
      </c>
      <c r="D406" s="614">
        <v>1122.562</v>
      </c>
      <c r="E406" s="615">
        <v>3</v>
      </c>
      <c r="F406" s="647">
        <v>1252</v>
      </c>
      <c r="G406" s="693">
        <f t="shared" si="371"/>
      </c>
      <c r="H406" s="617">
        <f t="shared" si="536"/>
      </c>
      <c r="I406" s="618">
        <f t="shared" si="23"/>
      </c>
      <c r="J406" s="619">
        <f t="shared" si="398"/>
      </c>
      <c r="K406" s="620">
        <f t="shared" si="465"/>
      </c>
      <c r="L406" s="617">
        <f t="shared" si="221"/>
      </c>
      <c r="M406" s="617">
        <f t="shared" si="306"/>
      </c>
      <c r="N406" s="621">
        <f t="shared" si="90"/>
      </c>
      <c r="O406" s="621">
        <f t="shared" si="127"/>
      </c>
      <c r="P406" s="621">
        <f t="shared" si="180"/>
      </c>
      <c r="Q406" s="621">
        <f t="shared" si="576"/>
      </c>
      <c r="R406" s="617">
        <f t="shared" si="49"/>
      </c>
      <c r="S406" s="619">
        <f t="shared" si="424"/>
      </c>
      <c r="T406" s="621">
        <f t="shared" si="507"/>
      </c>
      <c r="U406" s="621">
        <f t="shared" si="263"/>
      </c>
      <c r="V406" s="621">
        <f t="shared" si="348"/>
      </c>
      <c r="W406" s="621">
        <f t="shared" si="153"/>
      </c>
      <c r="X406" s="696" t="s">
        <v>327</v>
      </c>
      <c r="Y406" s="696" t="s">
        <v>348</v>
      </c>
      <c r="Z406" s="622">
        <v>169879</v>
      </c>
      <c r="AA406" s="622">
        <v>2985</v>
      </c>
      <c r="AB406" s="622">
        <v>166294</v>
      </c>
      <c r="AC406" s="622">
        <v>290</v>
      </c>
      <c r="AD406" s="622">
        <v>3</v>
      </c>
      <c r="AE406" s="622">
        <v>5764</v>
      </c>
      <c r="AF406" s="622">
        <v>82</v>
      </c>
      <c r="AG406" s="622">
        <v>87</v>
      </c>
      <c r="AH406" s="622">
        <v>11</v>
      </c>
      <c r="AI406" s="623">
        <v>0</v>
      </c>
    </row>
    <row r="407">
      <c r="A407" s="719"/>
      <c r="B407" s="722" t="s">
        <v>332</v>
      </c>
      <c r="C407" s="722"/>
      <c r="D407" s="626">
        <f>SUM(D401:D406)</f>
      </c>
      <c r="E407" s="627">
        <f>SUM(E401:E406)</f>
      </c>
      <c r="F407" s="626">
        <f>SUM(F401:F406)</f>
      </c>
      <c r="G407" s="626">
        <f t="shared" si="371"/>
      </c>
      <c r="H407" s="628">
        <f t="shared" si="536"/>
      </c>
      <c r="I407" s="629">
        <f t="shared" si="23"/>
      </c>
      <c r="J407" s="630">
        <f t="shared" si="398"/>
      </c>
      <c r="K407" s="631">
        <f t="shared" si="465"/>
      </c>
      <c r="L407" s="628">
        <f t="shared" si="221"/>
      </c>
      <c r="M407" s="628">
        <f t="shared" si="306"/>
      </c>
      <c r="N407" s="632">
        <f t="shared" si="90"/>
      </c>
      <c r="O407" s="632">
        <f t="shared" si="127"/>
      </c>
      <c r="P407" s="632">
        <f t="shared" si="180"/>
      </c>
      <c r="Q407" s="632">
        <f t="shared" si="576"/>
      </c>
      <c r="R407" s="628">
        <f t="shared" si="49"/>
      </c>
      <c r="S407" s="630">
        <f t="shared" si="424"/>
      </c>
      <c r="T407" s="632">
        <f t="shared" si="507"/>
      </c>
      <c r="U407" s="632">
        <f t="shared" si="263"/>
      </c>
      <c r="V407" s="632">
        <f t="shared" si="348"/>
      </c>
      <c r="W407" s="632">
        <f t="shared" si="153"/>
      </c>
      <c r="X407" s="632"/>
      <c r="Y407" s="698"/>
      <c r="Z407" s="626">
        <f>SUM(Z401:Z406)</f>
      </c>
      <c r="AA407" s="626">
        <f>SUM(AA401:AA406)</f>
      </c>
      <c r="AB407" s="626">
        <f>SUM(AB401:AB406)</f>
      </c>
      <c r="AC407" s="626">
        <f>SUM(AC401:AC406)</f>
      </c>
      <c r="AD407" s="626">
        <f>SUM(AD401:AD406)</f>
      </c>
      <c r="AE407" s="626">
        <f>SUM(AE401:AE406)</f>
      </c>
      <c r="AF407" s="626">
        <f>SUM(AF401:AF406)</f>
      </c>
      <c r="AG407" s="626">
        <f>SUM(AG401:AG406)</f>
      </c>
      <c r="AH407" s="626">
        <f>SUM(AH401:AH406)</f>
      </c>
      <c r="AI407" s="626">
        <f>SUM(AI401:AI406)</f>
      </c>
    </row>
    <row r="408">
      <c r="A408" s="719"/>
      <c r="B408" s="678" t="s">
        <v>337</v>
      </c>
      <c r="C408" s="678"/>
      <c r="D408" s="679">
        <f>SUM(D407+D400+D396+D393)</f>
      </c>
      <c r="E408" s="679">
        <f>SUM(E407+E400+E396+E393)</f>
      </c>
      <c r="F408" s="679">
        <f>SUM(F407+F400+F396+F393)</f>
      </c>
      <c r="G408" s="679">
        <f t="shared" si="371"/>
      </c>
      <c r="H408" s="680">
        <f t="shared" si="536"/>
      </c>
      <c r="I408" s="681">
        <f t="shared" si="23"/>
      </c>
      <c r="J408" s="682">
        <f t="shared" si="398"/>
      </c>
      <c r="K408" s="683">
        <f t="shared" si="465"/>
      </c>
      <c r="L408" s="683">
        <f t="shared" si="221"/>
      </c>
      <c r="M408" s="684">
        <f t="shared" si="306"/>
      </c>
      <c r="N408" s="685">
        <f t="shared" si="90"/>
      </c>
      <c r="O408" s="685">
        <f t="shared" si="127"/>
      </c>
      <c r="P408" s="685">
        <f t="shared" si="180"/>
      </c>
      <c r="Q408" s="685">
        <f t="shared" si="576"/>
      </c>
      <c r="R408" s="684">
        <f t="shared" si="49"/>
      </c>
      <c r="S408" s="686">
        <f t="shared" si="424"/>
      </c>
      <c r="T408" s="687">
        <f t="shared" si="507"/>
      </c>
      <c r="U408" s="687">
        <f t="shared" si="263"/>
      </c>
      <c r="V408" s="687">
        <f t="shared" si="348"/>
      </c>
      <c r="W408" s="687">
        <f t="shared" si="153"/>
      </c>
      <c r="X408" s="687"/>
      <c r="Y408" s="658"/>
      <c r="Z408" s="679">
        <f>SUM(Z407+Z400+Z396+Z393)</f>
      </c>
      <c r="AA408" s="679">
        <f>SUM(AA407+AA400+AA396+AA393)</f>
      </c>
      <c r="AB408" s="679">
        <f>SUM(AB407+AB400+AB396+AB393)</f>
      </c>
      <c r="AC408" s="679">
        <f>SUM(AC407+AC400+AC396+AC393)</f>
      </c>
      <c r="AD408" s="679">
        <f>SUM(AD407+AD400+AD396+AD393)</f>
      </c>
      <c r="AE408" s="679">
        <f>SUM(AE407+AE400+AE396+AE393)</f>
      </c>
      <c r="AF408" s="679">
        <f>SUM(AF407+AF400+AF396+AF393)</f>
      </c>
      <c r="AG408" s="679">
        <f>SUM(AG407+AG400+AG396+AG393)</f>
      </c>
      <c r="AH408" s="679">
        <f>SUM(AH407+AH400+AH396+AH393)</f>
      </c>
      <c r="AI408" s="679">
        <f>SUM(AI407+AI400+AI396+AI393)</f>
      </c>
    </row>
    <row r="409">
      <c r="A409" s="603" t="s">
        <v>291</v>
      </c>
      <c r="B409" s="603" t="s">
        <v>292</v>
      </c>
      <c r="C409" s="707" t="s">
        <v>293</v>
      </c>
      <c r="D409" s="689" t="s">
        <v>294</v>
      </c>
      <c r="E409" s="690" t="s">
        <v>295</v>
      </c>
      <c r="F409" s="662" t="s">
        <v>296</v>
      </c>
      <c r="G409" s="662" t="s">
        <v>349</v>
      </c>
      <c r="H409" s="595" t="s">
        <v>297</v>
      </c>
      <c r="I409" s="595" t="s">
        <v>298</v>
      </c>
      <c r="J409" s="595" t="s">
        <v>299</v>
      </c>
      <c r="K409" s="597" t="s">
        <v>300</v>
      </c>
      <c r="L409" s="597" t="s">
        <v>301</v>
      </c>
      <c r="M409" s="597" t="s">
        <v>302</v>
      </c>
      <c r="N409" s="597" t="s">
        <v>303</v>
      </c>
      <c r="O409" s="597" t="s">
        <v>304</v>
      </c>
      <c r="P409" s="597" t="s">
        <v>305</v>
      </c>
      <c r="Q409" s="597" t="s">
        <v>306</v>
      </c>
      <c r="R409" s="597" t="s">
        <v>307</v>
      </c>
      <c r="S409" s="597" t="s">
        <v>308</v>
      </c>
      <c r="T409" s="606" t="s">
        <v>309</v>
      </c>
      <c r="U409" s="606" t="s">
        <v>310</v>
      </c>
      <c r="V409" s="606" t="s">
        <v>311</v>
      </c>
      <c r="W409" s="606" t="s">
        <v>312</v>
      </c>
      <c r="X409" s="607" t="s">
        <v>313</v>
      </c>
      <c r="Y409" s="607" t="s">
        <v>314</v>
      </c>
      <c r="Z409" s="651" t="s">
        <v>315</v>
      </c>
      <c r="AA409" s="651" t="s">
        <v>316</v>
      </c>
      <c r="AB409" s="651" t="s">
        <v>317</v>
      </c>
      <c r="AC409" s="609" t="s">
        <v>318</v>
      </c>
      <c r="AD409" s="609" t="s">
        <v>319</v>
      </c>
      <c r="AE409" s="652" t="s">
        <v>320</v>
      </c>
      <c r="AF409" s="609" t="s">
        <v>321</v>
      </c>
      <c r="AG409" s="609" t="s">
        <v>322</v>
      </c>
      <c r="AH409" s="611" t="s">
        <v>323</v>
      </c>
      <c r="AI409" s="609" t="s">
        <v>324</v>
      </c>
    </row>
    <row r="410">
      <c r="A410" s="719">
        <v>46202</v>
      </c>
      <c r="B410" s="720" t="s">
        <v>353</v>
      </c>
      <c r="C410" s="710" t="s">
        <v>338</v>
      </c>
      <c r="D410" s="711">
        <v>642.0160000000001</v>
      </c>
      <c r="E410" s="692">
        <v>2</v>
      </c>
      <c r="F410" s="665">
        <v>392</v>
      </c>
      <c r="G410" s="693">
        <f t="shared" ref="G410:G429" si="372">D410/AD410</f>
      </c>
      <c r="H410" s="617">
        <f t="shared" ref="H410:H429" si="537">F410/E410</f>
      </c>
      <c r="I410" s="618">
        <f t="shared" ref="I410:I429" si="24">D410/E410</f>
      </c>
      <c r="J410" s="619">
        <f t="shared" ref="J410:J429" si="399">F410/D410</f>
      </c>
      <c r="K410" s="620">
        <f t="shared" ref="K410:K419" si="466">D410/AB410</f>
      </c>
      <c r="L410" s="617">
        <f t="shared" ref="L410:L419" si="222">D410/AC410</f>
      </c>
      <c r="M410" s="617">
        <f t="shared" ref="M410:M419" si="307">D410/AD410</f>
      </c>
      <c r="N410" s="621">
        <f t="shared" ref="N410:N419" si="91">AC410/AB410</f>
      </c>
      <c r="O410" s="621">
        <f t="shared" ref="O410:O429" si="128">AD410/AC410</f>
      </c>
      <c r="P410" s="621">
        <f t="shared" ref="P410:P429" si="181">AA410/Z410</f>
      </c>
      <c r="Q410" s="621">
        <f t="shared" ref="Q410:Q419" si="577">AD410/AA410</f>
      </c>
      <c r="R410" s="617">
        <f t="shared" ref="R410:R429" si="50">D410/Z410*1000</f>
      </c>
      <c r="S410" s="619">
        <f t="shared" ref="S410:S429" si="425">D410/AA410</f>
      </c>
      <c r="T410" s="621">
        <f t="shared" ref="T410:T419" si="508">AE410/AB410</f>
      </c>
      <c r="U410" s="621">
        <f t="shared" ref="U410:U419" si="264">AF410/AB410</f>
      </c>
      <c r="V410" s="621">
        <f t="shared" ref="V410:V419" si="349">AG410/AB410</f>
      </c>
      <c r="W410" s="621">
        <f t="shared" ref="W410:W429" si="154">AH410/AB410</f>
      </c>
      <c r="X410" s="653" t="s">
        <v>327</v>
      </c>
      <c r="Y410" s="613" t="s">
        <v>359</v>
      </c>
      <c r="Z410" s="655">
        <v>68225</v>
      </c>
      <c r="AA410" s="655">
        <v>2153</v>
      </c>
      <c r="AB410" s="655">
        <v>66583</v>
      </c>
      <c r="AC410" s="655">
        <v>275</v>
      </c>
      <c r="AD410" s="622">
        <v>2</v>
      </c>
      <c r="AE410" s="655">
        <v>8979</v>
      </c>
      <c r="AF410" s="622">
        <v>111</v>
      </c>
      <c r="AG410" s="622">
        <v>86</v>
      </c>
      <c r="AH410" s="622">
        <v>8</v>
      </c>
      <c r="AI410" s="623">
        <v>0</v>
      </c>
    </row>
    <row r="411">
      <c r="A411" s="719"/>
      <c r="B411" s="720" t="s">
        <v>353</v>
      </c>
      <c r="C411" s="710" t="s">
        <v>340</v>
      </c>
      <c r="D411" s="711">
        <v>1010.273</v>
      </c>
      <c r="E411" s="692">
        <v>2</v>
      </c>
      <c r="F411" s="665">
        <v>1056</v>
      </c>
      <c r="G411" s="693">
        <f t="shared" si="372"/>
      </c>
      <c r="H411" s="617">
        <f t="shared" si="537"/>
      </c>
      <c r="I411" s="618">
        <f t="shared" si="24"/>
      </c>
      <c r="J411" s="619">
        <f t="shared" si="399"/>
      </c>
      <c r="K411" s="620">
        <f t="shared" si="466"/>
      </c>
      <c r="L411" s="617">
        <f t="shared" si="222"/>
      </c>
      <c r="M411" s="617">
        <f t="shared" si="307"/>
      </c>
      <c r="N411" s="621">
        <f t="shared" si="91"/>
      </c>
      <c r="O411" s="621">
        <f t="shared" si="128"/>
      </c>
      <c r="P411" s="621">
        <f t="shared" si="181"/>
      </c>
      <c r="Q411" s="621">
        <f t="shared" si="577"/>
      </c>
      <c r="R411" s="617">
        <f t="shared" si="50"/>
      </c>
      <c r="S411" s="619">
        <f t="shared" si="425"/>
      </c>
      <c r="T411" s="621">
        <f t="shared" si="508"/>
      </c>
      <c r="U411" s="621">
        <f t="shared" si="264"/>
      </c>
      <c r="V411" s="621">
        <f t="shared" si="349"/>
      </c>
      <c r="W411" s="621">
        <f t="shared" si="154"/>
      </c>
      <c r="X411" s="653" t="s">
        <v>327</v>
      </c>
      <c r="Y411" s="613" t="s">
        <v>359</v>
      </c>
      <c r="Z411" s="622">
        <v>96589</v>
      </c>
      <c r="AA411" s="655">
        <v>2816</v>
      </c>
      <c r="AB411" s="655">
        <v>94573</v>
      </c>
      <c r="AC411" s="655">
        <v>370</v>
      </c>
      <c r="AD411" s="622">
        <v>2</v>
      </c>
      <c r="AE411" s="655">
        <v>9038</v>
      </c>
      <c r="AF411" s="622">
        <v>120</v>
      </c>
      <c r="AG411" s="622">
        <v>104</v>
      </c>
      <c r="AH411" s="622">
        <v>5</v>
      </c>
      <c r="AI411" s="623">
        <v>0</v>
      </c>
    </row>
    <row customHeight="true" ht="16.071428571428573" r="412">
      <c r="A412" s="719"/>
      <c r="B412" s="720" t="s">
        <v>353</v>
      </c>
      <c r="C412" s="712" t="s">
        <v>341</v>
      </c>
      <c r="D412" s="711">
        <v>851.2120000000001</v>
      </c>
      <c r="E412" s="692">
        <v>2</v>
      </c>
      <c r="F412" s="665">
        <v>424</v>
      </c>
      <c r="G412" s="693">
        <f t="shared" si="372"/>
      </c>
      <c r="H412" s="617">
        <f t="shared" si="537"/>
      </c>
      <c r="I412" s="618">
        <f t="shared" si="24"/>
      </c>
      <c r="J412" s="619">
        <f t="shared" si="399"/>
      </c>
      <c r="K412" s="620">
        <f t="shared" si="466"/>
      </c>
      <c r="L412" s="617">
        <f t="shared" si="222"/>
      </c>
      <c r="M412" s="617">
        <f t="shared" si="307"/>
      </c>
      <c r="N412" s="621">
        <f t="shared" si="91"/>
      </c>
      <c r="O412" s="621">
        <f t="shared" si="128"/>
      </c>
      <c r="P412" s="621">
        <f t="shared" si="181"/>
      </c>
      <c r="Q412" s="621">
        <f t="shared" si="577"/>
      </c>
      <c r="R412" s="617">
        <f t="shared" si="50"/>
      </c>
      <c r="S412" s="619">
        <f t="shared" si="425"/>
      </c>
      <c r="T412" s="621">
        <f t="shared" si="508"/>
      </c>
      <c r="U412" s="621">
        <f t="shared" si="264"/>
      </c>
      <c r="V412" s="621">
        <f t="shared" si="349"/>
      </c>
      <c r="W412" s="621">
        <f t="shared" si="154"/>
      </c>
      <c r="X412" s="653" t="s">
        <v>327</v>
      </c>
      <c r="Y412" s="613" t="s">
        <v>359</v>
      </c>
      <c r="Z412" s="622">
        <v>82585</v>
      </c>
      <c r="AA412" s="655">
        <v>2501</v>
      </c>
      <c r="AB412" s="655">
        <v>79891</v>
      </c>
      <c r="AC412" s="655">
        <v>263</v>
      </c>
      <c r="AD412" s="622">
        <v>2</v>
      </c>
      <c r="AE412" s="655">
        <v>5568</v>
      </c>
      <c r="AF412" s="622">
        <v>92</v>
      </c>
      <c r="AG412" s="622">
        <v>71</v>
      </c>
      <c r="AH412" s="622">
        <v>7</v>
      </c>
      <c r="AI412" s="623">
        <v>0</v>
      </c>
    </row>
    <row r="413">
      <c r="A413" s="719"/>
      <c r="B413" s="720" t="s">
        <v>353</v>
      </c>
      <c r="C413" s="713" t="s">
        <v>342</v>
      </c>
      <c r="D413" s="711">
        <v>921.027</v>
      </c>
      <c r="E413" s="692">
        <v>4</v>
      </c>
      <c r="F413" s="665">
        <v>848</v>
      </c>
      <c r="G413" s="693">
        <f t="shared" si="372"/>
      </c>
      <c r="H413" s="617">
        <f t="shared" si="537"/>
      </c>
      <c r="I413" s="618">
        <f t="shared" si="24"/>
      </c>
      <c r="J413" s="619">
        <f t="shared" si="399"/>
      </c>
      <c r="K413" s="620">
        <f t="shared" si="466"/>
      </c>
      <c r="L413" s="617">
        <f t="shared" si="222"/>
      </c>
      <c r="M413" s="617">
        <f t="shared" si="307"/>
      </c>
      <c r="N413" s="621">
        <f t="shared" si="91"/>
      </c>
      <c r="O413" s="621">
        <f t="shared" si="128"/>
      </c>
      <c r="P413" s="621">
        <f t="shared" si="181"/>
      </c>
      <c r="Q413" s="621">
        <f t="shared" si="577"/>
      </c>
      <c r="R413" s="617">
        <f t="shared" si="50"/>
      </c>
      <c r="S413" s="619">
        <f t="shared" si="425"/>
      </c>
      <c r="T413" s="621">
        <f t="shared" si="508"/>
      </c>
      <c r="U413" s="621">
        <f t="shared" si="264"/>
      </c>
      <c r="V413" s="621">
        <f t="shared" si="349"/>
      </c>
      <c r="W413" s="621">
        <f t="shared" si="154"/>
      </c>
      <c r="X413" s="693" t="s">
        <v>327</v>
      </c>
      <c r="Y413" s="613" t="s">
        <v>359</v>
      </c>
      <c r="Z413" s="622">
        <v>89905</v>
      </c>
      <c r="AA413" s="622">
        <v>2753</v>
      </c>
      <c r="AB413" s="622">
        <v>87587</v>
      </c>
      <c r="AC413" s="622">
        <v>277</v>
      </c>
      <c r="AD413" s="622">
        <v>4</v>
      </c>
      <c r="AE413" s="622">
        <v>6348</v>
      </c>
      <c r="AF413" s="622">
        <v>88</v>
      </c>
      <c r="AG413" s="622">
        <v>76</v>
      </c>
      <c r="AH413" s="623">
        <v>9</v>
      </c>
      <c r="AI413" s="623">
        <v>0</v>
      </c>
    </row>
    <row r="414">
      <c r="A414" s="719"/>
      <c r="B414" s="720" t="s">
        <v>353</v>
      </c>
      <c r="C414" s="713" t="s">
        <v>343</v>
      </c>
      <c r="D414" s="714">
        <v>1044</v>
      </c>
      <c r="E414" s="667">
        <v>5</v>
      </c>
      <c r="F414" s="647">
        <v>1065.1999999999998</v>
      </c>
      <c r="G414" s="693">
        <f t="shared" si="372"/>
      </c>
      <c r="H414" s="617">
        <f t="shared" si="537"/>
      </c>
      <c r="I414" s="618">
        <f t="shared" si="24"/>
      </c>
      <c r="J414" s="619">
        <f t="shared" si="399"/>
      </c>
      <c r="K414" s="620">
        <f t="shared" si="466"/>
      </c>
      <c r="L414" s="617">
        <f t="shared" si="222"/>
      </c>
      <c r="M414" s="617">
        <f t="shared" si="307"/>
      </c>
      <c r="N414" s="621">
        <f t="shared" si="91"/>
      </c>
      <c r="O414" s="621">
        <f t="shared" si="128"/>
      </c>
      <c r="P414" s="621">
        <f t="shared" si="181"/>
      </c>
      <c r="Q414" s="621">
        <f t="shared" si="577"/>
      </c>
      <c r="R414" s="617">
        <f t="shared" si="50"/>
      </c>
      <c r="S414" s="619">
        <f t="shared" si="425"/>
      </c>
      <c r="T414" s="621">
        <f t="shared" si="508"/>
      </c>
      <c r="U414" s="621">
        <f t="shared" si="264"/>
      </c>
      <c r="V414" s="621">
        <f t="shared" si="349"/>
      </c>
      <c r="W414" s="621">
        <f t="shared" si="154"/>
      </c>
      <c r="X414" s="696" t="s">
        <v>327</v>
      </c>
      <c r="Y414" s="613" t="s">
        <v>359</v>
      </c>
      <c r="Z414" s="622">
        <v>132539</v>
      </c>
      <c r="AA414" s="622">
        <v>2934</v>
      </c>
      <c r="AB414" s="622">
        <v>130588</v>
      </c>
      <c r="AC414" s="622">
        <v>288</v>
      </c>
      <c r="AD414" s="622">
        <v>5</v>
      </c>
      <c r="AE414" s="622">
        <v>6432</v>
      </c>
      <c r="AF414" s="622">
        <v>122</v>
      </c>
      <c r="AG414" s="622">
        <v>83</v>
      </c>
      <c r="AH414" s="623">
        <v>8</v>
      </c>
      <c r="AI414" s="623">
        <v>1</v>
      </c>
    </row>
    <row r="415">
      <c r="A415" s="719"/>
      <c r="B415" s="721" t="s">
        <v>332</v>
      </c>
      <c r="C415" s="721"/>
      <c r="D415" s="626">
        <f>SUM(D410:D414)</f>
      </c>
      <c r="E415" s="627">
        <f>SUM(E410:E414)</f>
      </c>
      <c r="F415" s="626">
        <f>SUM(F410:F414)</f>
      </c>
      <c r="G415" s="626">
        <f t="shared" si="372"/>
      </c>
      <c r="H415" s="628">
        <f t="shared" si="537"/>
      </c>
      <c r="I415" s="629">
        <f t="shared" si="24"/>
      </c>
      <c r="J415" s="630">
        <f t="shared" si="399"/>
      </c>
      <c r="K415" s="631">
        <f t="shared" si="466"/>
      </c>
      <c r="L415" s="628">
        <f t="shared" si="222"/>
      </c>
      <c r="M415" s="628">
        <f t="shared" si="307"/>
      </c>
      <c r="N415" s="632">
        <f t="shared" si="91"/>
      </c>
      <c r="O415" s="632">
        <f t="shared" si="128"/>
      </c>
      <c r="P415" s="632">
        <f t="shared" si="181"/>
      </c>
      <c r="Q415" s="632">
        <f t="shared" si="577"/>
      </c>
      <c r="R415" s="628">
        <f t="shared" si="50"/>
      </c>
      <c r="S415" s="630">
        <f t="shared" si="425"/>
      </c>
      <c r="T415" s="632">
        <f t="shared" si="508"/>
      </c>
      <c r="U415" s="632">
        <f t="shared" si="264"/>
      </c>
      <c r="V415" s="632">
        <f t="shared" si="349"/>
      </c>
      <c r="W415" s="632">
        <f t="shared" si="154"/>
      </c>
      <c r="X415" s="632"/>
      <c r="Y415" s="698"/>
      <c r="Z415" s="626">
        <f>SUM(Z410:Z414)</f>
      </c>
      <c r="AA415" s="626">
        <f>SUM(AA410:AA414)</f>
      </c>
      <c r="AB415" s="626">
        <f>SUM(AB410:AB414)</f>
      </c>
      <c r="AC415" s="626">
        <f>SUM(AC410:AC414)</f>
      </c>
      <c r="AD415" s="626">
        <f>SUM(AD410:AD414)</f>
      </c>
      <c r="AE415" s="626">
        <f>SUM(AE410:AE414)</f>
      </c>
      <c r="AF415" s="626">
        <f>SUM(AF410:AF414)</f>
      </c>
      <c r="AG415" s="626">
        <f>SUM(AG410:AG414)</f>
      </c>
      <c r="AH415" s="626">
        <f>SUM(AH410:AH414)</f>
      </c>
      <c r="AI415" s="626">
        <f>SUM(AI410:AI414)</f>
      </c>
    </row>
    <row r="416">
      <c r="A416" s="719"/>
      <c r="B416" s="723" t="s">
        <v>362</v>
      </c>
      <c r="C416" s="718" t="s">
        <v>344</v>
      </c>
      <c r="D416" s="691">
        <v>987.951</v>
      </c>
      <c r="E416" s="692">
        <v>7</v>
      </c>
      <c r="F416" s="665">
        <v>2143.5</v>
      </c>
      <c r="G416" s="693">
        <f t="shared" si="372"/>
      </c>
      <c r="H416" s="617">
        <f t="shared" si="537"/>
      </c>
      <c r="I416" s="618">
        <f t="shared" si="24"/>
      </c>
      <c r="J416" s="619">
        <f t="shared" si="399"/>
      </c>
      <c r="K416" s="620">
        <f t="shared" si="466"/>
      </c>
      <c r="L416" s="617">
        <f t="shared" si="222"/>
      </c>
      <c r="M416" s="617">
        <f t="shared" si="307"/>
      </c>
      <c r="N416" s="621">
        <f t="shared" si="91"/>
      </c>
      <c r="O416" s="621">
        <f t="shared" si="128"/>
      </c>
      <c r="P416" s="621">
        <f t="shared" si="181"/>
      </c>
      <c r="Q416" s="621">
        <f t="shared" si="577"/>
      </c>
      <c r="R416" s="617">
        <f t="shared" si="50"/>
      </c>
      <c r="S416" s="619">
        <f t="shared" si="425"/>
      </c>
      <c r="T416" s="621">
        <f t="shared" si="508"/>
      </c>
      <c r="U416" s="621">
        <f t="shared" si="264"/>
      </c>
      <c r="V416" s="621">
        <f t="shared" si="349"/>
      </c>
      <c r="W416" s="621">
        <f t="shared" si="154"/>
      </c>
      <c r="X416" s="696" t="s">
        <v>327</v>
      </c>
      <c r="Y416" s="613" t="s">
        <v>359</v>
      </c>
      <c r="Z416" s="655">
        <v>117445</v>
      </c>
      <c r="AA416" s="655">
        <v>3646</v>
      </c>
      <c r="AB416" s="655">
        <v>116125</v>
      </c>
      <c r="AC416" s="622">
        <v>277</v>
      </c>
      <c r="AD416" s="622">
        <v>5</v>
      </c>
      <c r="AE416" s="655">
        <v>5503</v>
      </c>
      <c r="AF416" s="622">
        <v>88</v>
      </c>
      <c r="AG416" s="622">
        <v>83</v>
      </c>
      <c r="AH416" s="622">
        <v>12</v>
      </c>
      <c r="AI416" s="623">
        <v>2</v>
      </c>
    </row>
    <row r="417">
      <c r="A417" s="719"/>
      <c r="B417" s="723" t="s">
        <v>362</v>
      </c>
      <c r="C417" s="699" t="s">
        <v>345</v>
      </c>
      <c r="D417" s="669">
        <v>1477.551</v>
      </c>
      <c r="E417" s="667">
        <v>5</v>
      </c>
      <c r="F417" s="647">
        <v>1065.1999999999998</v>
      </c>
      <c r="G417" s="693">
        <f t="shared" si="372"/>
      </c>
      <c r="H417" s="617">
        <f t="shared" si="537"/>
      </c>
      <c r="I417" s="618">
        <f t="shared" si="24"/>
      </c>
      <c r="J417" s="619">
        <f t="shared" si="399"/>
      </c>
      <c r="K417" s="620">
        <f t="shared" si="466"/>
      </c>
      <c r="L417" s="617">
        <f t="shared" si="222"/>
      </c>
      <c r="M417" s="617">
        <f t="shared" si="307"/>
      </c>
      <c r="N417" s="621">
        <f t="shared" si="91"/>
      </c>
      <c r="O417" s="621">
        <f t="shared" si="128"/>
      </c>
      <c r="P417" s="621">
        <f t="shared" si="181"/>
      </c>
      <c r="Q417" s="621">
        <f t="shared" si="577"/>
      </c>
      <c r="R417" s="617">
        <f t="shared" si="50"/>
      </c>
      <c r="S417" s="619">
        <f t="shared" si="425"/>
      </c>
      <c r="T417" s="621">
        <f t="shared" si="508"/>
      </c>
      <c r="U417" s="621">
        <f t="shared" si="264"/>
      </c>
      <c r="V417" s="621">
        <f t="shared" si="349"/>
      </c>
      <c r="W417" s="621">
        <f t="shared" si="154"/>
      </c>
      <c r="X417" s="696" t="s">
        <v>327</v>
      </c>
      <c r="Y417" s="613" t="s">
        <v>359</v>
      </c>
      <c r="Z417" s="622">
        <v>200529</v>
      </c>
      <c r="AA417" s="622">
        <v>4834</v>
      </c>
      <c r="AB417" s="622">
        <v>199391</v>
      </c>
      <c r="AC417" s="622">
        <v>236</v>
      </c>
      <c r="AD417" s="622">
        <v>5</v>
      </c>
      <c r="AE417" s="622">
        <v>6868</v>
      </c>
      <c r="AF417" s="622">
        <v>105</v>
      </c>
      <c r="AG417" s="622">
        <v>114</v>
      </c>
      <c r="AH417" s="622">
        <v>8</v>
      </c>
      <c r="AI417" s="623">
        <v>1</v>
      </c>
    </row>
    <row r="418">
      <c r="A418" s="719"/>
      <c r="B418" s="722" t="s">
        <v>332</v>
      </c>
      <c r="C418" s="722"/>
      <c r="D418" s="626">
        <f>SUM(D416:D417)</f>
      </c>
      <c r="E418" s="627">
        <f>SUM(E416:E417)</f>
      </c>
      <c r="F418" s="626">
        <f>SUM(F416:F417)</f>
      </c>
      <c r="G418" s="626">
        <f t="shared" si="372"/>
      </c>
      <c r="H418" s="628">
        <f t="shared" si="537"/>
      </c>
      <c r="I418" s="629">
        <f t="shared" si="24"/>
      </c>
      <c r="J418" s="630">
        <f t="shared" si="399"/>
      </c>
      <c r="K418" s="631">
        <f t="shared" si="466"/>
      </c>
      <c r="L418" s="628">
        <f t="shared" si="222"/>
      </c>
      <c r="M418" s="628">
        <f t="shared" si="307"/>
      </c>
      <c r="N418" s="632">
        <f t="shared" si="91"/>
      </c>
      <c r="O418" s="632">
        <f t="shared" si="128"/>
      </c>
      <c r="P418" s="632">
        <f t="shared" si="181"/>
      </c>
      <c r="Q418" s="632">
        <f t="shared" si="577"/>
      </c>
      <c r="R418" s="628">
        <f t="shared" si="50"/>
      </c>
      <c r="S418" s="630">
        <f t="shared" si="425"/>
      </c>
      <c r="T418" s="632">
        <f t="shared" si="508"/>
      </c>
      <c r="U418" s="632">
        <f t="shared" si="264"/>
      </c>
      <c r="V418" s="632">
        <f t="shared" si="349"/>
      </c>
      <c r="W418" s="632">
        <f t="shared" si="154"/>
      </c>
      <c r="X418" s="632"/>
      <c r="Y418" s="698"/>
      <c r="Z418" s="626">
        <f>SUM(Z416:Z417)</f>
      </c>
      <c r="AA418" s="626">
        <f>SUM(AA416:AA417)</f>
      </c>
      <c r="AB418" s="626">
        <f>SUM(AB416:AB417)</f>
      </c>
      <c r="AC418" s="626">
        <f>SUM(AC416:AC417)</f>
      </c>
      <c r="AD418" s="626">
        <f>SUM(AD416:AD417)</f>
      </c>
      <c r="AE418" s="626">
        <f>SUM(AE416:AE417)</f>
      </c>
      <c r="AF418" s="626">
        <f>SUM(AF416:AF417)</f>
      </c>
      <c r="AG418" s="626">
        <f>SUM(AG416:AG417)</f>
      </c>
      <c r="AH418" s="626">
        <f>SUM(AH416:AH417)</f>
      </c>
      <c r="AI418" s="626">
        <f>SUM(AI416:AI417)</f>
      </c>
    </row>
    <row r="419">
      <c r="A419" s="719"/>
      <c r="B419" s="723" t="s">
        <v>361</v>
      </c>
      <c r="C419" s="699" t="s">
        <v>346</v>
      </c>
      <c r="D419" s="691">
        <v>2127.697</v>
      </c>
      <c r="E419" s="692">
        <v>3</v>
      </c>
      <c r="F419" s="665">
        <v>652</v>
      </c>
      <c r="G419" s="693">
        <f t="shared" si="372"/>
      </c>
      <c r="H419" s="617">
        <f t="shared" si="537"/>
      </c>
      <c r="I419" s="618">
        <f t="shared" si="24"/>
      </c>
      <c r="J419" s="619">
        <f t="shared" si="399"/>
      </c>
      <c r="K419" s="620">
        <f t="shared" si="466"/>
      </c>
      <c r="L419" s="617">
        <f t="shared" si="222"/>
      </c>
      <c r="M419" s="617">
        <f t="shared" si="307"/>
      </c>
      <c r="N419" s="621">
        <f t="shared" si="91"/>
      </c>
      <c r="O419" s="621">
        <f t="shared" si="128"/>
      </c>
      <c r="P419" s="621">
        <f t="shared" si="181"/>
      </c>
      <c r="Q419" s="621">
        <f t="shared" si="577"/>
      </c>
      <c r="R419" s="617">
        <f t="shared" si="50"/>
      </c>
      <c r="S419" s="619">
        <f t="shared" si="425"/>
      </c>
      <c r="T419" s="621">
        <f t="shared" si="508"/>
      </c>
      <c r="U419" s="621">
        <f t="shared" si="264"/>
      </c>
      <c r="V419" s="621">
        <f t="shared" si="349"/>
      </c>
      <c r="W419" s="621">
        <f t="shared" si="154"/>
      </c>
      <c r="X419" s="696" t="s">
        <v>327</v>
      </c>
      <c r="Y419" s="613" t="s">
        <v>359</v>
      </c>
      <c r="Z419" s="655">
        <v>304032</v>
      </c>
      <c r="AA419" s="655">
        <v>6525</v>
      </c>
      <c r="AB419" s="655">
        <v>304593</v>
      </c>
      <c r="AC419" s="622">
        <v>429</v>
      </c>
      <c r="AD419" s="622">
        <v>3</v>
      </c>
      <c r="AE419" s="655">
        <v>9862</v>
      </c>
      <c r="AF419" s="622">
        <v>128</v>
      </c>
      <c r="AG419" s="622">
        <v>131</v>
      </c>
      <c r="AH419" s="622">
        <v>18</v>
      </c>
      <c r="AI419" s="623">
        <v>0</v>
      </c>
    </row>
    <row r="420">
      <c r="A420" s="719"/>
      <c r="B420" s="723" t="s">
        <v>361</v>
      </c>
      <c r="C420" s="697" t="s">
        <v>326</v>
      </c>
      <c r="D420" s="691">
        <v>1690.671</v>
      </c>
      <c r="E420" s="692">
        <v>1</v>
      </c>
      <c r="F420" s="665">
        <v>828</v>
      </c>
      <c r="G420" s="693">
        <f t="shared" si="372"/>
      </c>
      <c r="H420" s="617">
        <f t="shared" si="537"/>
      </c>
      <c r="I420" s="618">
        <f t="shared" si="24"/>
      </c>
      <c r="J420" s="619">
        <f t="shared" si="399"/>
      </c>
      <c r="K420" s="620">
        <f>D420/AC420</f>
      </c>
      <c r="L420" s="617">
        <f>D420/AD420</f>
      </c>
      <c r="M420" s="617">
        <f>D420/AE420</f>
      </c>
      <c r="N420" s="621">
        <f>AD420/AC420</f>
      </c>
      <c r="O420" s="621">
        <f t="shared" si="128"/>
      </c>
      <c r="P420" s="621">
        <f t="shared" si="181"/>
      </c>
      <c r="Q420" s="621">
        <f>AE420/AA420</f>
      </c>
      <c r="R420" s="617">
        <f t="shared" si="50"/>
      </c>
      <c r="S420" s="619">
        <f t="shared" si="425"/>
      </c>
      <c r="T420" s="621">
        <f>AF420/AC420</f>
      </c>
      <c r="U420" s="621">
        <f>AG420/AC420</f>
      </c>
      <c r="V420" s="621">
        <f>AH420/AC420</f>
      </c>
      <c r="W420" s="621">
        <f t="shared" si="154"/>
      </c>
      <c r="X420" s="696" t="s">
        <v>327</v>
      </c>
      <c r="Y420" s="613" t="s">
        <v>356</v>
      </c>
      <c r="Z420" s="622">
        <v>230712</v>
      </c>
      <c r="AA420" s="622">
        <v>5893</v>
      </c>
      <c r="AB420" s="700">
        <v>230021</v>
      </c>
      <c r="AC420" s="701">
        <v>372</v>
      </c>
      <c r="AD420" s="701">
        <v>1</v>
      </c>
      <c r="AE420" s="701">
        <v>8760</v>
      </c>
      <c r="AF420" s="701">
        <v>109</v>
      </c>
      <c r="AG420" s="701">
        <v>107</v>
      </c>
      <c r="AH420" s="701">
        <v>13</v>
      </c>
      <c r="AI420" s="623">
        <v>0</v>
      </c>
    </row>
    <row r="421">
      <c r="A421" s="719"/>
      <c r="B421" s="723" t="s">
        <v>361</v>
      </c>
      <c r="C421" s="697" t="s">
        <v>329</v>
      </c>
      <c r="D421" s="669">
        <v>1560.51</v>
      </c>
      <c r="E421" s="667">
        <v>0</v>
      </c>
      <c r="F421" s="647">
        <v>0</v>
      </c>
      <c r="G421" s="693">
        <f t="shared" si="372"/>
      </c>
      <c r="H421" s="617">
        <f t="shared" si="537"/>
      </c>
      <c r="I421" s="618">
        <f t="shared" si="24"/>
      </c>
      <c r="J421" s="619">
        <f t="shared" si="399"/>
      </c>
      <c r="K421" s="620">
        <f t="shared" ref="K421:K429" si="467">D421/AB421</f>
      </c>
      <c r="L421" s="617">
        <f t="shared" ref="L421:L429" si="223">D421/AC421</f>
      </c>
      <c r="M421" s="617">
        <f t="shared" ref="M421:M429" si="308">D421/AD421</f>
      </c>
      <c r="N421" s="621">
        <f t="shared" ref="N421:N429" si="92">AC421/AB421</f>
      </c>
      <c r="O421" s="621">
        <f t="shared" si="128"/>
      </c>
      <c r="P421" s="621">
        <f t="shared" si="181"/>
      </c>
      <c r="Q421" s="621">
        <f t="shared" ref="Q421:Q429" si="578">AD421/AA421</f>
      </c>
      <c r="R421" s="617">
        <f t="shared" si="50"/>
      </c>
      <c r="S421" s="619">
        <f t="shared" si="425"/>
      </c>
      <c r="T421" s="621">
        <f t="shared" ref="T421:T429" si="509">AE421/AB421</f>
      </c>
      <c r="U421" s="621">
        <f t="shared" ref="U421:U429" si="265">AF421/AB421</f>
      </c>
      <c r="V421" s="621">
        <f t="shared" ref="V421:V429" si="350">AG421/AB421</f>
      </c>
      <c r="W421" s="621">
        <f t="shared" si="154"/>
      </c>
      <c r="X421" s="696" t="s">
        <v>327</v>
      </c>
      <c r="Y421" s="613" t="s">
        <v>356</v>
      </c>
      <c r="Z421" s="622">
        <v>204684</v>
      </c>
      <c r="AA421" s="622">
        <v>6746</v>
      </c>
      <c r="AB421" s="622">
        <v>206742</v>
      </c>
      <c r="AC421" s="622">
        <v>378</v>
      </c>
      <c r="AD421" s="622">
        <v>0</v>
      </c>
      <c r="AE421" s="622">
        <v>8603</v>
      </c>
      <c r="AF421" s="622">
        <v>149</v>
      </c>
      <c r="AG421" s="622">
        <v>132</v>
      </c>
      <c r="AH421" s="622">
        <v>5</v>
      </c>
      <c r="AI421" s="623">
        <v>0</v>
      </c>
    </row>
    <row r="422">
      <c r="A422" s="719"/>
      <c r="B422" s="722" t="s">
        <v>332</v>
      </c>
      <c r="C422" s="722"/>
      <c r="D422" s="626">
        <f>SUM(D419:D421)</f>
      </c>
      <c r="E422" s="627">
        <f>SUM(E419:E421)</f>
      </c>
      <c r="F422" s="626">
        <f>SUM(F419:F421)</f>
      </c>
      <c r="G422" s="626">
        <f t="shared" si="372"/>
      </c>
      <c r="H422" s="628">
        <f t="shared" si="537"/>
      </c>
      <c r="I422" s="629">
        <f t="shared" si="24"/>
      </c>
      <c r="J422" s="630">
        <f t="shared" si="399"/>
      </c>
      <c r="K422" s="631">
        <f t="shared" si="467"/>
      </c>
      <c r="L422" s="628">
        <f t="shared" si="223"/>
      </c>
      <c r="M422" s="628">
        <f t="shared" si="308"/>
      </c>
      <c r="N422" s="632">
        <f t="shared" si="92"/>
      </c>
      <c r="O422" s="632">
        <f t="shared" si="128"/>
      </c>
      <c r="P422" s="632">
        <f t="shared" si="181"/>
      </c>
      <c r="Q422" s="632">
        <f t="shared" si="578"/>
      </c>
      <c r="R422" s="628">
        <f t="shared" si="50"/>
      </c>
      <c r="S422" s="630">
        <f t="shared" si="425"/>
      </c>
      <c r="T422" s="632">
        <f t="shared" si="509"/>
      </c>
      <c r="U422" s="632">
        <f t="shared" si="265"/>
      </c>
      <c r="V422" s="632">
        <f t="shared" si="350"/>
      </c>
      <c r="W422" s="632">
        <f t="shared" si="154"/>
      </c>
      <c r="X422" s="632"/>
      <c r="Y422" s="698"/>
      <c r="Z422" s="626">
        <f>SUM(Z419:Z421)</f>
      </c>
      <c r="AA422" s="626">
        <f>SUM(AA419:AA421)</f>
      </c>
      <c r="AB422" s="626">
        <f>SUM(AB419:AB421)</f>
      </c>
      <c r="AC422" s="626">
        <f>SUM(AC419:AC421)</f>
      </c>
      <c r="AD422" s="626">
        <f>SUM(AD419:AD421)</f>
      </c>
      <c r="AE422" s="626">
        <f>SUM(AE419:AE421)</f>
      </c>
      <c r="AF422" s="626">
        <f>SUM(AF419:AF421)</f>
      </c>
      <c r="AG422" s="626">
        <f>SUM(AG419:AG421)</f>
      </c>
      <c r="AH422" s="626">
        <f>SUM(AH419:AH421)</f>
      </c>
      <c r="AI422" s="626">
        <f>SUM(AI419:AI421)</f>
      </c>
    </row>
    <row r="423">
      <c r="A423" s="719"/>
      <c r="B423" s="706" t="s">
        <v>325</v>
      </c>
      <c r="C423" s="697" t="s">
        <v>330</v>
      </c>
      <c r="D423" s="614">
        <v>1677.522</v>
      </c>
      <c r="E423" s="615">
        <v>1</v>
      </c>
      <c r="F423" s="647">
        <v>228</v>
      </c>
      <c r="G423" s="693">
        <f t="shared" si="372"/>
      </c>
      <c r="H423" s="617">
        <f t="shared" si="537"/>
      </c>
      <c r="I423" s="618">
        <f t="shared" si="24"/>
      </c>
      <c r="J423" s="619">
        <f t="shared" si="399"/>
      </c>
      <c r="K423" s="620">
        <f t="shared" si="467"/>
      </c>
      <c r="L423" s="617">
        <f t="shared" si="223"/>
      </c>
      <c r="M423" s="622">
        <f t="shared" si="308"/>
      </c>
      <c r="N423" s="621">
        <f t="shared" si="92"/>
      </c>
      <c r="O423" s="621">
        <f t="shared" si="128"/>
      </c>
      <c r="P423" s="621">
        <f t="shared" si="181"/>
      </c>
      <c r="Q423" s="621">
        <f t="shared" si="578"/>
      </c>
      <c r="R423" s="617">
        <f t="shared" si="50"/>
      </c>
      <c r="S423" s="619">
        <f t="shared" si="425"/>
      </c>
      <c r="T423" s="621">
        <f t="shared" si="509"/>
      </c>
      <c r="U423" s="621">
        <f t="shared" si="265"/>
      </c>
      <c r="V423" s="621">
        <f t="shared" si="350"/>
      </c>
      <c r="W423" s="621">
        <f t="shared" si="154"/>
      </c>
      <c r="X423" s="696" t="s">
        <v>327</v>
      </c>
      <c r="Y423" s="613" t="s">
        <v>356</v>
      </c>
      <c r="Z423" s="622">
        <v>226291</v>
      </c>
      <c r="AA423" s="622">
        <v>3968</v>
      </c>
      <c r="AB423" s="622">
        <v>225982</v>
      </c>
      <c r="AC423" s="622">
        <v>327</v>
      </c>
      <c r="AD423" s="622">
        <v>2</v>
      </c>
      <c r="AE423" s="622">
        <v>8467</v>
      </c>
      <c r="AF423" s="622">
        <v>110</v>
      </c>
      <c r="AG423" s="622">
        <v>105</v>
      </c>
      <c r="AH423" s="623">
        <v>6</v>
      </c>
      <c r="AI423" s="623">
        <v>1</v>
      </c>
    </row>
    <row r="424">
      <c r="A424" s="719"/>
      <c r="B424" s="706" t="s">
        <v>325</v>
      </c>
      <c r="C424" s="697" t="s">
        <v>331</v>
      </c>
      <c r="D424" s="614">
        <v>1598.946</v>
      </c>
      <c r="E424" s="615">
        <v>5</v>
      </c>
      <c r="F424" s="647">
        <v>2301.6000000000004</v>
      </c>
      <c r="G424" s="693">
        <f t="shared" si="372"/>
      </c>
      <c r="H424" s="617">
        <f t="shared" si="537"/>
      </c>
      <c r="I424" s="618">
        <f t="shared" si="24"/>
      </c>
      <c r="J424" s="619">
        <f t="shared" si="399"/>
      </c>
      <c r="K424" s="620">
        <f t="shared" si="467"/>
      </c>
      <c r="L424" s="617">
        <f t="shared" si="223"/>
      </c>
      <c r="M424" s="617">
        <f t="shared" si="308"/>
      </c>
      <c r="N424" s="621">
        <f t="shared" si="92"/>
      </c>
      <c r="O424" s="621">
        <f t="shared" si="128"/>
      </c>
      <c r="P424" s="621">
        <f t="shared" si="181"/>
      </c>
      <c r="Q424" s="621">
        <f t="shared" si="578"/>
      </c>
      <c r="R424" s="617">
        <f t="shared" si="50"/>
      </c>
      <c r="S424" s="619">
        <f t="shared" si="425"/>
      </c>
      <c r="T424" s="621">
        <f t="shared" si="509"/>
      </c>
      <c r="U424" s="621">
        <f t="shared" si="265"/>
      </c>
      <c r="V424" s="621">
        <f t="shared" si="350"/>
      </c>
      <c r="W424" s="621">
        <f t="shared" si="154"/>
      </c>
      <c r="X424" s="696" t="s">
        <v>327</v>
      </c>
      <c r="Y424" s="613" t="s">
        <v>356</v>
      </c>
      <c r="Z424" s="622">
        <v>246856</v>
      </c>
      <c r="AA424" s="622">
        <v>2665</v>
      </c>
      <c r="AB424" s="622">
        <v>245715</v>
      </c>
      <c r="AC424" s="622">
        <v>326</v>
      </c>
      <c r="AD424" s="622">
        <v>3</v>
      </c>
      <c r="AE424" s="622">
        <v>7700</v>
      </c>
      <c r="AF424" s="622">
        <v>83</v>
      </c>
      <c r="AG424" s="622">
        <v>99</v>
      </c>
      <c r="AH424" s="622">
        <v>6</v>
      </c>
      <c r="AI424" s="623">
        <v>1</v>
      </c>
    </row>
    <row r="425">
      <c r="A425" s="719"/>
      <c r="B425" s="706" t="s">
        <v>325</v>
      </c>
      <c r="C425" s="697" t="s">
        <v>334</v>
      </c>
      <c r="D425" s="614">
        <v>1473.585</v>
      </c>
      <c r="E425" s="615">
        <v>1</v>
      </c>
      <c r="F425" s="647">
        <v>196</v>
      </c>
      <c r="G425" s="693">
        <f t="shared" si="372"/>
      </c>
      <c r="H425" s="617">
        <f t="shared" si="537"/>
      </c>
      <c r="I425" s="618">
        <f t="shared" si="24"/>
      </c>
      <c r="J425" s="619">
        <f t="shared" si="399"/>
      </c>
      <c r="K425" s="620">
        <f t="shared" si="467"/>
      </c>
      <c r="L425" s="617">
        <f t="shared" si="223"/>
      </c>
      <c r="M425" s="617">
        <f t="shared" si="308"/>
      </c>
      <c r="N425" s="621">
        <f t="shared" si="92"/>
      </c>
      <c r="O425" s="621">
        <f t="shared" si="128"/>
      </c>
      <c r="P425" s="621">
        <f t="shared" si="181"/>
      </c>
      <c r="Q425" s="621">
        <f t="shared" si="578"/>
      </c>
      <c r="R425" s="617">
        <f t="shared" si="50"/>
      </c>
      <c r="S425" s="619">
        <f t="shared" si="425"/>
      </c>
      <c r="T425" s="621">
        <f t="shared" si="509"/>
      </c>
      <c r="U425" s="621">
        <f t="shared" si="265"/>
      </c>
      <c r="V425" s="621">
        <f t="shared" si="350"/>
      </c>
      <c r="W425" s="621">
        <f t="shared" si="154"/>
      </c>
      <c r="X425" s="696" t="s">
        <v>327</v>
      </c>
      <c r="Y425" s="613" t="s">
        <v>356</v>
      </c>
      <c r="Z425" s="622">
        <v>211636</v>
      </c>
      <c r="AA425" s="622">
        <v>2528</v>
      </c>
      <c r="AB425" s="622">
        <v>210557</v>
      </c>
      <c r="AC425" s="622">
        <v>336</v>
      </c>
      <c r="AD425" s="622">
        <v>0</v>
      </c>
      <c r="AE425" s="622">
        <v>7519</v>
      </c>
      <c r="AF425" s="622">
        <v>102</v>
      </c>
      <c r="AG425" s="622">
        <v>102</v>
      </c>
      <c r="AH425" s="622">
        <v>4</v>
      </c>
      <c r="AI425" s="623">
        <v>0</v>
      </c>
    </row>
    <row r="426">
      <c r="A426" s="719"/>
      <c r="B426" s="706" t="s">
        <v>325</v>
      </c>
      <c r="C426" s="697" t="s">
        <v>335</v>
      </c>
      <c r="D426" s="614">
        <v>1758.0230000000001</v>
      </c>
      <c r="E426" s="615">
        <v>8</v>
      </c>
      <c r="F426" s="647">
        <v>2804.600000000002</v>
      </c>
      <c r="G426" s="693">
        <f t="shared" si="372"/>
      </c>
      <c r="H426" s="617">
        <f t="shared" si="537"/>
      </c>
      <c r="I426" s="618">
        <f t="shared" si="24"/>
      </c>
      <c r="J426" s="619">
        <f t="shared" si="399"/>
      </c>
      <c r="K426" s="620">
        <f t="shared" si="467"/>
      </c>
      <c r="L426" s="617">
        <f t="shared" si="223"/>
      </c>
      <c r="M426" s="617">
        <f t="shared" si="308"/>
      </c>
      <c r="N426" s="621">
        <f t="shared" si="92"/>
      </c>
      <c r="O426" s="621">
        <f t="shared" si="128"/>
      </c>
      <c r="P426" s="621">
        <f t="shared" si="181"/>
      </c>
      <c r="Q426" s="621">
        <f t="shared" si="578"/>
      </c>
      <c r="R426" s="617">
        <f t="shared" si="50"/>
      </c>
      <c r="S426" s="619">
        <f t="shared" si="425"/>
      </c>
      <c r="T426" s="621">
        <f t="shared" si="509"/>
      </c>
      <c r="U426" s="621">
        <f t="shared" si="265"/>
      </c>
      <c r="V426" s="621">
        <f t="shared" si="350"/>
      </c>
      <c r="W426" s="621">
        <f t="shared" si="154"/>
      </c>
      <c r="X426" s="696" t="s">
        <v>327</v>
      </c>
      <c r="Y426" s="613" t="s">
        <v>356</v>
      </c>
      <c r="Z426" s="622">
        <v>276651</v>
      </c>
      <c r="AA426" s="622">
        <v>2978</v>
      </c>
      <c r="AB426" s="622">
        <v>276427</v>
      </c>
      <c r="AC426" s="622">
        <v>342</v>
      </c>
      <c r="AD426" s="622">
        <v>8</v>
      </c>
      <c r="AE426" s="622">
        <v>8894</v>
      </c>
      <c r="AF426" s="622">
        <v>101</v>
      </c>
      <c r="AG426" s="622">
        <v>99</v>
      </c>
      <c r="AH426" s="623">
        <v>18</v>
      </c>
      <c r="AI426" s="623">
        <v>1</v>
      </c>
    </row>
    <row r="427">
      <c r="A427" s="719"/>
      <c r="B427" s="706" t="s">
        <v>325</v>
      </c>
      <c r="C427" s="697" t="s">
        <v>336</v>
      </c>
      <c r="D427" s="614">
        <v>2300.406</v>
      </c>
      <c r="E427" s="615">
        <v>5</v>
      </c>
      <c r="F427" s="647">
        <v>1044</v>
      </c>
      <c r="G427" s="693">
        <f t="shared" si="372"/>
      </c>
      <c r="H427" s="617">
        <f t="shared" si="537"/>
      </c>
      <c r="I427" s="618">
        <f t="shared" si="24"/>
      </c>
      <c r="J427" s="619">
        <f t="shared" si="399"/>
      </c>
      <c r="K427" s="620">
        <f t="shared" si="467"/>
      </c>
      <c r="L427" s="617">
        <f t="shared" si="223"/>
      </c>
      <c r="M427" s="617">
        <f t="shared" si="308"/>
      </c>
      <c r="N427" s="621">
        <f t="shared" si="92"/>
      </c>
      <c r="O427" s="621">
        <f t="shared" si="128"/>
      </c>
      <c r="P427" s="621">
        <f t="shared" si="181"/>
      </c>
      <c r="Q427" s="621">
        <f t="shared" si="578"/>
      </c>
      <c r="R427" s="617">
        <f t="shared" si="50"/>
      </c>
      <c r="S427" s="619">
        <f t="shared" si="425"/>
      </c>
      <c r="T427" s="621">
        <f t="shared" si="509"/>
      </c>
      <c r="U427" s="621">
        <f t="shared" si="265"/>
      </c>
      <c r="V427" s="621">
        <f t="shared" si="350"/>
      </c>
      <c r="W427" s="621">
        <f t="shared" si="154"/>
      </c>
      <c r="X427" s="696" t="s">
        <v>327</v>
      </c>
      <c r="Y427" s="613" t="s">
        <v>356</v>
      </c>
      <c r="Z427" s="622">
        <v>397917</v>
      </c>
      <c r="AA427" s="622">
        <v>3877</v>
      </c>
      <c r="AB427" s="622">
        <v>400090</v>
      </c>
      <c r="AC427" s="622">
        <v>431</v>
      </c>
      <c r="AD427" s="622">
        <v>5</v>
      </c>
      <c r="AE427" s="622">
        <v>11190</v>
      </c>
      <c r="AF427" s="622">
        <v>141</v>
      </c>
      <c r="AG427" s="622">
        <v>139</v>
      </c>
      <c r="AH427" s="622">
        <v>24</v>
      </c>
      <c r="AI427" s="623">
        <v>0</v>
      </c>
    </row>
    <row r="428">
      <c r="A428" s="719"/>
      <c r="B428" s="722" t="s">
        <v>332</v>
      </c>
      <c r="C428" s="722"/>
      <c r="D428" s="626">
        <f>SUM(D423:D427)</f>
      </c>
      <c r="E428" s="627">
        <f>SUM(E423:E427)</f>
      </c>
      <c r="F428" s="626">
        <f>SUM(F423:F427)</f>
      </c>
      <c r="G428" s="626">
        <f t="shared" si="372"/>
      </c>
      <c r="H428" s="628">
        <f t="shared" si="537"/>
      </c>
      <c r="I428" s="629">
        <f t="shared" si="24"/>
      </c>
      <c r="J428" s="630">
        <f t="shared" si="399"/>
      </c>
      <c r="K428" s="631">
        <f t="shared" si="467"/>
      </c>
      <c r="L428" s="628">
        <f t="shared" si="223"/>
      </c>
      <c r="M428" s="628">
        <f t="shared" si="308"/>
      </c>
      <c r="N428" s="632">
        <f t="shared" si="92"/>
      </c>
      <c r="O428" s="632">
        <f t="shared" si="128"/>
      </c>
      <c r="P428" s="632">
        <f t="shared" si="181"/>
      </c>
      <c r="Q428" s="632">
        <f t="shared" si="578"/>
      </c>
      <c r="R428" s="628">
        <f t="shared" si="50"/>
      </c>
      <c r="S428" s="630">
        <f t="shared" si="425"/>
      </c>
      <c r="T428" s="632">
        <f t="shared" si="509"/>
      </c>
      <c r="U428" s="632">
        <f t="shared" si="265"/>
      </c>
      <c r="V428" s="632">
        <f t="shared" si="350"/>
      </c>
      <c r="W428" s="632">
        <f t="shared" si="154"/>
      </c>
      <c r="X428" s="632"/>
      <c r="Y428" s="698"/>
      <c r="Z428" s="626">
        <f>SUM(Z423:Z427)</f>
      </c>
      <c r="AA428" s="626">
        <f>SUM(AA423:AA427)</f>
      </c>
      <c r="AB428" s="626">
        <f>SUM(AB423:AB427)</f>
      </c>
      <c r="AC428" s="626">
        <f>SUM(AC423:AC427)</f>
      </c>
      <c r="AD428" s="626">
        <f>SUM(AD423:AD427)</f>
      </c>
      <c r="AE428" s="626">
        <f>SUM(AE423:AE427)</f>
      </c>
      <c r="AF428" s="626">
        <f>SUM(AF423:AF427)</f>
      </c>
      <c r="AG428" s="626">
        <f>SUM(AG423:AG427)</f>
      </c>
      <c r="AH428" s="626">
        <f>SUM(AH423:AH427)</f>
      </c>
      <c r="AI428" s="626">
        <f>SUM(AI423:AI427)</f>
      </c>
    </row>
    <row customHeight="true" ht="15.046296296296056" r="429">
      <c r="A429" s="719"/>
      <c r="B429" s="678" t="s">
        <v>337</v>
      </c>
      <c r="C429" s="678"/>
      <c r="D429" s="679">
        <f>SUM(D428+D422+D418+D415)</f>
      </c>
      <c r="E429" s="679">
        <f>SUM(E428+E422+E418+E415)</f>
      </c>
      <c r="F429" s="679">
        <f>SUM(F428+F422+F418+F415)</f>
      </c>
      <c r="G429" s="679">
        <f t="shared" si="372"/>
      </c>
      <c r="H429" s="680">
        <f t="shared" si="537"/>
      </c>
      <c r="I429" s="681">
        <f t="shared" si="24"/>
      </c>
      <c r="J429" s="682">
        <f t="shared" si="399"/>
      </c>
      <c r="K429" s="683">
        <f t="shared" si="467"/>
      </c>
      <c r="L429" s="683">
        <f t="shared" si="223"/>
      </c>
      <c r="M429" s="684">
        <f t="shared" si="308"/>
      </c>
      <c r="N429" s="685">
        <f t="shared" si="92"/>
      </c>
      <c r="O429" s="685">
        <f t="shared" si="128"/>
      </c>
      <c r="P429" s="685">
        <f t="shared" si="181"/>
      </c>
      <c r="Q429" s="685">
        <f t="shared" si="578"/>
      </c>
      <c r="R429" s="684">
        <f t="shared" si="50"/>
      </c>
      <c r="S429" s="686">
        <f t="shared" si="425"/>
      </c>
      <c r="T429" s="687">
        <f t="shared" si="509"/>
      </c>
      <c r="U429" s="687">
        <f t="shared" si="265"/>
      </c>
      <c r="V429" s="687">
        <f t="shared" si="350"/>
      </c>
      <c r="W429" s="687">
        <f t="shared" si="154"/>
      </c>
      <c r="X429" s="687"/>
      <c r="Y429" s="658"/>
      <c r="Z429" s="679">
        <f>SUM(Z428+Z422+Z418+Z415)</f>
      </c>
      <c r="AA429" s="679">
        <f>SUM(AA428+AA422+AA418+AA415)</f>
      </c>
      <c r="AB429" s="679">
        <f>SUM(AB428+AB422+AB418+AB415)</f>
      </c>
      <c r="AC429" s="679">
        <f>SUM(AC428+AC422+AC418+AC415)</f>
      </c>
      <c r="AD429" s="679">
        <f>SUM(AD428+AD422+AD418+AD415)</f>
      </c>
      <c r="AE429" s="679">
        <f>SUM(AE428+AE422+AE418+AE415)</f>
      </c>
      <c r="AF429" s="679">
        <f>SUM(AF428+AF422+AF418+AF415)</f>
      </c>
      <c r="AG429" s="679">
        <f>SUM(AG428+AG422+AG418+AG415)</f>
      </c>
      <c r="AH429" s="679">
        <f>SUM(AH428+AH422+AH418+AH415)</f>
      </c>
      <c r="AI429" s="679">
        <f>SUM(AI428+AI422+AI418+AI415)</f>
      </c>
    </row>
    <row r="430">
      <c r="A430" s="603" t="s">
        <v>291</v>
      </c>
      <c r="B430" s="603" t="s">
        <v>292</v>
      </c>
      <c r="C430" s="707" t="s">
        <v>293</v>
      </c>
      <c r="D430" s="689" t="s">
        <v>294</v>
      </c>
      <c r="E430" s="690" t="s">
        <v>295</v>
      </c>
      <c r="F430" s="662" t="s">
        <v>296</v>
      </c>
      <c r="G430" s="662" t="s">
        <v>349</v>
      </c>
      <c r="H430" s="595" t="s">
        <v>297</v>
      </c>
      <c r="I430" s="595" t="s">
        <v>298</v>
      </c>
      <c r="J430" s="595" t="s">
        <v>299</v>
      </c>
      <c r="K430" s="597" t="s">
        <v>300</v>
      </c>
      <c r="L430" s="597" t="s">
        <v>301</v>
      </c>
      <c r="M430" s="597" t="s">
        <v>302</v>
      </c>
      <c r="N430" s="597" t="s">
        <v>303</v>
      </c>
      <c r="O430" s="597" t="s">
        <v>304</v>
      </c>
      <c r="P430" s="597" t="s">
        <v>305</v>
      </c>
      <c r="Q430" s="597" t="s">
        <v>306</v>
      </c>
      <c r="R430" s="597" t="s">
        <v>307</v>
      </c>
      <c r="S430" s="597" t="s">
        <v>308</v>
      </c>
      <c r="T430" s="606" t="s">
        <v>309</v>
      </c>
      <c r="U430" s="606" t="s">
        <v>310</v>
      </c>
      <c r="V430" s="606" t="s">
        <v>311</v>
      </c>
      <c r="W430" s="606" t="s">
        <v>312</v>
      </c>
      <c r="X430" s="607" t="s">
        <v>313</v>
      </c>
      <c r="Y430" s="607" t="s">
        <v>314</v>
      </c>
      <c r="Z430" s="651" t="s">
        <v>315</v>
      </c>
      <c r="AA430" s="651" t="s">
        <v>316</v>
      </c>
      <c r="AB430" s="651" t="s">
        <v>317</v>
      </c>
      <c r="AC430" s="609" t="s">
        <v>318</v>
      </c>
      <c r="AD430" s="609" t="s">
        <v>319</v>
      </c>
      <c r="AE430" s="652" t="s">
        <v>320</v>
      </c>
      <c r="AF430" s="609" t="s">
        <v>321</v>
      </c>
      <c r="AG430" s="609" t="s">
        <v>322</v>
      </c>
      <c r="AH430" s="611" t="s">
        <v>323</v>
      </c>
      <c r="AI430" s="609" t="s">
        <v>324</v>
      </c>
    </row>
    <row r="431">
      <c r="A431" s="719">
        <v>46203</v>
      </c>
      <c r="B431" s="720" t="s">
        <v>325</v>
      </c>
      <c r="C431" s="710" t="s">
        <v>338</v>
      </c>
      <c r="D431" s="711">
        <v>907.834</v>
      </c>
      <c r="E431" s="692">
        <v>0</v>
      </c>
      <c r="F431" s="665">
        <v>0</v>
      </c>
      <c r="G431" s="693">
        <f t="shared" ref="G431:G450" si="373">D431/AD431</f>
      </c>
      <c r="H431" s="617">
        <f t="shared" ref="H431:H450" si="538">F431/E431</f>
      </c>
      <c r="I431" s="618">
        <f t="shared" ref="I431:I450" si="25">D431/E431</f>
      </c>
      <c r="J431" s="619">
        <f t="shared" ref="J431:J450" si="400">F431/D431</f>
      </c>
      <c r="K431" s="620">
        <f t="shared" ref="K431:K438" si="468">D431/AB431</f>
      </c>
      <c r="L431" s="617">
        <f t="shared" ref="L431:L438" si="224">D431/AC431</f>
      </c>
      <c r="M431" s="617">
        <f t="shared" ref="M431:M438" si="309">D431/AD431</f>
      </c>
      <c r="N431" s="621">
        <f t="shared" ref="N431:N438" si="93">AC431/AB431</f>
      </c>
      <c r="O431" s="621">
        <f t="shared" ref="O431:O450" si="129">AD431/AC431</f>
      </c>
      <c r="P431" s="621">
        <f t="shared" ref="P431:P450" si="182">AA431/Z431</f>
      </c>
      <c r="Q431" s="621">
        <f t="shared" ref="Q431:Q438" si="579">AD431/AA431</f>
      </c>
      <c r="R431" s="617">
        <f t="shared" ref="R431:R450" si="51">D431/Z431*1000</f>
      </c>
      <c r="S431" s="619">
        <f t="shared" ref="S431:S450" si="426">D431/AA431</f>
      </c>
      <c r="T431" s="621">
        <f t="shared" ref="T431:T438" si="510">AE431/AB431</f>
      </c>
      <c r="U431" s="621">
        <f t="shared" ref="U431:U438" si="266">AF431/AB431</f>
      </c>
      <c r="V431" s="621">
        <f t="shared" ref="V431:V438" si="351">AG431/AB431</f>
      </c>
      <c r="W431" s="621">
        <f t="shared" ref="W431:W450" si="155">AH431/AB431</f>
      </c>
      <c r="X431" s="653" t="s">
        <v>327</v>
      </c>
      <c r="Y431" s="613" t="s">
        <v>363</v>
      </c>
      <c r="Z431" s="655">
        <v>91277</v>
      </c>
      <c r="AA431" s="655">
        <v>2235</v>
      </c>
      <c r="AB431" s="655">
        <v>90804</v>
      </c>
      <c r="AC431" s="655">
        <v>291</v>
      </c>
      <c r="AD431" s="622">
        <v>0</v>
      </c>
      <c r="AE431" s="655">
        <v>10481</v>
      </c>
      <c r="AF431" s="622">
        <v>81</v>
      </c>
      <c r="AG431" s="622">
        <v>106</v>
      </c>
      <c r="AH431" s="622">
        <v>9</v>
      </c>
      <c r="AI431" s="623">
        <v>0</v>
      </c>
    </row>
    <row r="432">
      <c r="A432" s="719"/>
      <c r="B432" s="720" t="s">
        <v>325</v>
      </c>
      <c r="C432" s="710" t="s">
        <v>340</v>
      </c>
      <c r="D432" s="711">
        <v>1361.381</v>
      </c>
      <c r="E432" s="692">
        <v>1</v>
      </c>
      <c r="F432" s="665">
        <v>228</v>
      </c>
      <c r="G432" s="693">
        <f t="shared" si="373"/>
      </c>
      <c r="H432" s="617">
        <f t="shared" si="538"/>
      </c>
      <c r="I432" s="618">
        <f t="shared" si="25"/>
      </c>
      <c r="J432" s="619">
        <f t="shared" si="400"/>
      </c>
      <c r="K432" s="620">
        <f t="shared" si="468"/>
      </c>
      <c r="L432" s="617">
        <f t="shared" si="224"/>
      </c>
      <c r="M432" s="617">
        <f t="shared" si="309"/>
      </c>
      <c r="N432" s="621">
        <f t="shared" si="93"/>
      </c>
      <c r="O432" s="621">
        <f t="shared" si="129"/>
      </c>
      <c r="P432" s="621">
        <f t="shared" si="182"/>
      </c>
      <c r="Q432" s="621">
        <f t="shared" si="579"/>
      </c>
      <c r="R432" s="617">
        <f t="shared" si="51"/>
      </c>
      <c r="S432" s="619">
        <f t="shared" si="426"/>
      </c>
      <c r="T432" s="621">
        <f t="shared" si="510"/>
      </c>
      <c r="U432" s="621">
        <f t="shared" si="266"/>
      </c>
      <c r="V432" s="621">
        <f t="shared" si="351"/>
      </c>
      <c r="W432" s="621">
        <f t="shared" si="155"/>
      </c>
      <c r="X432" s="653" t="s">
        <v>327</v>
      </c>
      <c r="Y432" s="613" t="s">
        <v>363</v>
      </c>
      <c r="Z432" s="622">
        <v>115002</v>
      </c>
      <c r="AA432" s="655">
        <v>2682</v>
      </c>
      <c r="AB432" s="655">
        <v>113698</v>
      </c>
      <c r="AC432" s="655">
        <v>329</v>
      </c>
      <c r="AD432" s="622">
        <v>1</v>
      </c>
      <c r="AE432" s="655">
        <v>10250</v>
      </c>
      <c r="AF432" s="622">
        <v>131</v>
      </c>
      <c r="AG432" s="622">
        <v>128</v>
      </c>
      <c r="AH432" s="622">
        <v>12</v>
      </c>
      <c r="AI432" s="623">
        <v>0</v>
      </c>
    </row>
    <row r="433">
      <c r="A433" s="719"/>
      <c r="B433" s="720" t="s">
        <v>325</v>
      </c>
      <c r="C433" s="712" t="s">
        <v>341</v>
      </c>
      <c r="D433" s="711">
        <v>1207.736</v>
      </c>
      <c r="E433" s="692">
        <v>1</v>
      </c>
      <c r="F433" s="665">
        <v>228</v>
      </c>
      <c r="G433" s="693">
        <f t="shared" si="373"/>
      </c>
      <c r="H433" s="617">
        <f t="shared" si="538"/>
      </c>
      <c r="I433" s="618">
        <f t="shared" si="25"/>
      </c>
      <c r="J433" s="619">
        <f t="shared" si="400"/>
      </c>
      <c r="K433" s="620">
        <f t="shared" si="468"/>
      </c>
      <c r="L433" s="617">
        <f t="shared" si="224"/>
      </c>
      <c r="M433" s="617">
        <f t="shared" si="309"/>
      </c>
      <c r="N433" s="621">
        <f t="shared" si="93"/>
      </c>
      <c r="O433" s="621">
        <f t="shared" si="129"/>
      </c>
      <c r="P433" s="621">
        <f t="shared" si="182"/>
      </c>
      <c r="Q433" s="621">
        <f t="shared" si="579"/>
      </c>
      <c r="R433" s="617">
        <f t="shared" si="51"/>
      </c>
      <c r="S433" s="619">
        <f t="shared" si="426"/>
      </c>
      <c r="T433" s="621">
        <f t="shared" si="510"/>
      </c>
      <c r="U433" s="621">
        <f t="shared" si="266"/>
      </c>
      <c r="V433" s="621">
        <f t="shared" si="351"/>
      </c>
      <c r="W433" s="621">
        <f t="shared" si="155"/>
      </c>
      <c r="X433" s="653" t="s">
        <v>327</v>
      </c>
      <c r="Y433" s="613" t="s">
        <v>363</v>
      </c>
      <c r="Z433" s="622">
        <v>109795</v>
      </c>
      <c r="AA433" s="655">
        <v>2365</v>
      </c>
      <c r="AB433" s="655">
        <v>108152</v>
      </c>
      <c r="AC433" s="655">
        <v>271</v>
      </c>
      <c r="AD433" s="622">
        <v>1</v>
      </c>
      <c r="AE433" s="655">
        <v>6934</v>
      </c>
      <c r="AF433" s="622">
        <v>87</v>
      </c>
      <c r="AG433" s="622">
        <v>80</v>
      </c>
      <c r="AH433" s="622">
        <v>11</v>
      </c>
      <c r="AI433" s="623">
        <v>0</v>
      </c>
    </row>
    <row r="434">
      <c r="A434" s="719"/>
      <c r="B434" s="720" t="s">
        <v>325</v>
      </c>
      <c r="C434" s="713" t="s">
        <v>342</v>
      </c>
      <c r="D434" s="711">
        <v>1999.39</v>
      </c>
      <c r="E434" s="692">
        <v>5</v>
      </c>
      <c r="F434" s="665">
        <v>2308</v>
      </c>
      <c r="G434" s="693">
        <f t="shared" si="373"/>
      </c>
      <c r="H434" s="617">
        <f t="shared" si="538"/>
      </c>
      <c r="I434" s="618">
        <f t="shared" si="25"/>
      </c>
      <c r="J434" s="619">
        <f t="shared" si="400"/>
      </c>
      <c r="K434" s="620">
        <f t="shared" si="468"/>
      </c>
      <c r="L434" s="617">
        <f t="shared" si="224"/>
      </c>
      <c r="M434" s="617">
        <f t="shared" si="309"/>
      </c>
      <c r="N434" s="621">
        <f t="shared" si="93"/>
      </c>
      <c r="O434" s="621">
        <f t="shared" si="129"/>
      </c>
      <c r="P434" s="621">
        <f t="shared" si="182"/>
      </c>
      <c r="Q434" s="621">
        <f t="shared" si="579"/>
      </c>
      <c r="R434" s="617">
        <f t="shared" si="51"/>
      </c>
      <c r="S434" s="619">
        <f t="shared" si="426"/>
      </c>
      <c r="T434" s="621">
        <f t="shared" si="510"/>
      </c>
      <c r="U434" s="621">
        <f t="shared" si="266"/>
      </c>
      <c r="V434" s="621">
        <f t="shared" si="351"/>
      </c>
      <c r="W434" s="621">
        <f t="shared" si="155"/>
      </c>
      <c r="X434" s="693" t="s">
        <v>327</v>
      </c>
      <c r="Y434" s="613" t="s">
        <v>363</v>
      </c>
      <c r="Z434" s="622">
        <v>228259</v>
      </c>
      <c r="AA434" s="622">
        <v>3273</v>
      </c>
      <c r="AB434" s="622">
        <v>227973</v>
      </c>
      <c r="AC434" s="622">
        <v>277</v>
      </c>
      <c r="AD434" s="622">
        <v>4</v>
      </c>
      <c r="AE434" s="622">
        <v>9208</v>
      </c>
      <c r="AF434" s="622">
        <v>129</v>
      </c>
      <c r="AG434" s="622">
        <v>83</v>
      </c>
      <c r="AH434" s="623">
        <v>12</v>
      </c>
      <c r="AI434" s="623">
        <v>0</v>
      </c>
    </row>
    <row r="435">
      <c r="A435" s="719"/>
      <c r="B435" s="720" t="s">
        <v>325</v>
      </c>
      <c r="C435" s="713" t="s">
        <v>343</v>
      </c>
      <c r="D435" s="714">
        <v>2218.703</v>
      </c>
      <c r="E435" s="667">
        <v>3</v>
      </c>
      <c r="F435" s="647">
        <v>684</v>
      </c>
      <c r="G435" s="693">
        <f t="shared" si="373"/>
      </c>
      <c r="H435" s="617">
        <f t="shared" si="538"/>
      </c>
      <c r="I435" s="618">
        <f t="shared" si="25"/>
      </c>
      <c r="J435" s="619">
        <f t="shared" si="400"/>
      </c>
      <c r="K435" s="620">
        <f t="shared" si="468"/>
      </c>
      <c r="L435" s="617">
        <f t="shared" si="224"/>
      </c>
      <c r="M435" s="617">
        <f t="shared" si="309"/>
      </c>
      <c r="N435" s="621">
        <f t="shared" si="93"/>
      </c>
      <c r="O435" s="621">
        <f t="shared" si="129"/>
      </c>
      <c r="P435" s="621">
        <f t="shared" si="182"/>
      </c>
      <c r="Q435" s="621">
        <f t="shared" si="579"/>
      </c>
      <c r="R435" s="617">
        <f t="shared" si="51"/>
      </c>
      <c r="S435" s="619">
        <f t="shared" si="426"/>
      </c>
      <c r="T435" s="621">
        <f t="shared" si="510"/>
      </c>
      <c r="U435" s="621">
        <f t="shared" si="266"/>
      </c>
      <c r="V435" s="621">
        <f t="shared" si="351"/>
      </c>
      <c r="W435" s="621">
        <f t="shared" si="155"/>
      </c>
      <c r="X435" s="696" t="s">
        <v>327</v>
      </c>
      <c r="Y435" s="613" t="s">
        <v>363</v>
      </c>
      <c r="Z435" s="622">
        <v>308886</v>
      </c>
      <c r="AA435" s="622">
        <v>5213</v>
      </c>
      <c r="AB435" s="622">
        <v>310637</v>
      </c>
      <c r="AC435" s="622">
        <v>502</v>
      </c>
      <c r="AD435" s="622">
        <v>4</v>
      </c>
      <c r="AE435" s="622">
        <v>10890</v>
      </c>
      <c r="AF435" s="622">
        <v>139</v>
      </c>
      <c r="AG435" s="622">
        <v>130</v>
      </c>
      <c r="AH435" s="623">
        <v>9</v>
      </c>
      <c r="AI435" s="623">
        <v>0</v>
      </c>
    </row>
    <row r="436">
      <c r="A436" s="719"/>
      <c r="B436" s="721" t="s">
        <v>332</v>
      </c>
      <c r="C436" s="721"/>
      <c r="D436" s="626">
        <f>SUM(D431:D435)</f>
      </c>
      <c r="E436" s="627">
        <f>SUM(E431:E435)</f>
      </c>
      <c r="F436" s="626">
        <f>SUM(F431:F435)</f>
      </c>
      <c r="G436" s="626">
        <f t="shared" si="373"/>
      </c>
      <c r="H436" s="628">
        <f t="shared" si="538"/>
      </c>
      <c r="I436" s="629">
        <f t="shared" si="25"/>
      </c>
      <c r="J436" s="630">
        <f t="shared" si="400"/>
      </c>
      <c r="K436" s="631">
        <f t="shared" si="468"/>
      </c>
      <c r="L436" s="628">
        <f t="shared" si="224"/>
      </c>
      <c r="M436" s="628">
        <f t="shared" si="309"/>
      </c>
      <c r="N436" s="632">
        <f t="shared" si="93"/>
      </c>
      <c r="O436" s="632">
        <f t="shared" si="129"/>
      </c>
      <c r="P436" s="632">
        <f t="shared" si="182"/>
      </c>
      <c r="Q436" s="632">
        <f t="shared" si="579"/>
      </c>
      <c r="R436" s="628">
        <f t="shared" si="51"/>
      </c>
      <c r="S436" s="630">
        <f t="shared" si="426"/>
      </c>
      <c r="T436" s="632">
        <f t="shared" si="510"/>
      </c>
      <c r="U436" s="632">
        <f t="shared" si="266"/>
      </c>
      <c r="V436" s="632">
        <f t="shared" si="351"/>
      </c>
      <c r="W436" s="632">
        <f t="shared" si="155"/>
      </c>
      <c r="X436" s="632"/>
      <c r="Y436" s="698"/>
      <c r="Z436" s="626">
        <f>SUM(Z431:Z435)</f>
      </c>
      <c r="AA436" s="626">
        <f>SUM(AA431:AA435)</f>
      </c>
      <c r="AB436" s="626">
        <f>SUM(AB431:AB435)</f>
      </c>
      <c r="AC436" s="626">
        <f>SUM(AC431:AC435)</f>
      </c>
      <c r="AD436" s="626">
        <f>SUM(AD431:AD435)</f>
      </c>
      <c r="AE436" s="626">
        <f>SUM(AE431:AE435)</f>
      </c>
      <c r="AF436" s="626">
        <f>SUM(AF431:AF435)</f>
      </c>
      <c r="AG436" s="626">
        <f>SUM(AG431:AG435)</f>
      </c>
      <c r="AH436" s="626">
        <f>SUM(AH431:AH435)</f>
      </c>
      <c r="AI436" s="626">
        <f>SUM(AI431:AI435)</f>
      </c>
    </row>
    <row r="437">
      <c r="A437" s="719"/>
      <c r="B437" s="723" t="s">
        <v>362</v>
      </c>
      <c r="C437" s="718" t="s">
        <v>344</v>
      </c>
      <c r="D437" s="669">
        <v>1633.695</v>
      </c>
      <c r="E437" s="692">
        <v>0</v>
      </c>
      <c r="F437" s="665">
        <v>0</v>
      </c>
      <c r="G437" s="693">
        <f t="shared" si="373"/>
      </c>
      <c r="H437" s="617">
        <f t="shared" si="538"/>
      </c>
      <c r="I437" s="618">
        <f t="shared" si="25"/>
      </c>
      <c r="J437" s="619">
        <f t="shared" si="400"/>
      </c>
      <c r="K437" s="620">
        <f t="shared" si="468"/>
      </c>
      <c r="L437" s="617">
        <f t="shared" si="224"/>
      </c>
      <c r="M437" s="617">
        <f t="shared" si="309"/>
      </c>
      <c r="N437" s="621">
        <f t="shared" si="93"/>
      </c>
      <c r="O437" s="621">
        <f t="shared" si="129"/>
      </c>
      <c r="P437" s="621">
        <f t="shared" si="182"/>
      </c>
      <c r="Q437" s="621">
        <f t="shared" si="579"/>
      </c>
      <c r="R437" s="617">
        <f t="shared" si="51"/>
      </c>
      <c r="S437" s="619">
        <f t="shared" si="426"/>
      </c>
      <c r="T437" s="621">
        <f t="shared" si="510"/>
      </c>
      <c r="U437" s="621">
        <f t="shared" si="266"/>
      </c>
      <c r="V437" s="621">
        <f t="shared" si="351"/>
      </c>
      <c r="W437" s="621">
        <f t="shared" si="155"/>
      </c>
      <c r="X437" s="696" t="s">
        <v>327</v>
      </c>
      <c r="Y437" s="613" t="s">
        <v>363</v>
      </c>
      <c r="Z437" s="655">
        <v>190265</v>
      </c>
      <c r="AA437" s="655">
        <v>4380</v>
      </c>
      <c r="AB437" s="655">
        <v>190735</v>
      </c>
      <c r="AC437" s="622">
        <v>361</v>
      </c>
      <c r="AD437" s="622">
        <v>0</v>
      </c>
      <c r="AE437" s="655">
        <v>8158</v>
      </c>
      <c r="AF437" s="622">
        <v>105</v>
      </c>
      <c r="AG437" s="622">
        <v>107</v>
      </c>
      <c r="AH437" s="622">
        <v>18</v>
      </c>
      <c r="AI437" s="623">
        <v>0</v>
      </c>
    </row>
    <row r="438">
      <c r="A438" s="719"/>
      <c r="B438" s="723" t="s">
        <v>362</v>
      </c>
      <c r="C438" s="699" t="s">
        <v>345</v>
      </c>
      <c r="D438" s="669">
        <v>1454.925</v>
      </c>
      <c r="E438" s="667">
        <v>2</v>
      </c>
      <c r="F438" s="647">
        <v>1017.6000000000004</v>
      </c>
      <c r="G438" s="693">
        <f t="shared" si="373"/>
      </c>
      <c r="H438" s="617">
        <f t="shared" si="538"/>
      </c>
      <c r="I438" s="618">
        <f t="shared" si="25"/>
      </c>
      <c r="J438" s="619">
        <f t="shared" si="400"/>
      </c>
      <c r="K438" s="620">
        <f t="shared" si="468"/>
      </c>
      <c r="L438" s="617">
        <f t="shared" si="224"/>
      </c>
      <c r="M438" s="617">
        <f t="shared" si="309"/>
      </c>
      <c r="N438" s="621">
        <f t="shared" si="93"/>
      </c>
      <c r="O438" s="621">
        <f t="shared" si="129"/>
      </c>
      <c r="P438" s="621">
        <f t="shared" si="182"/>
      </c>
      <c r="Q438" s="621">
        <f t="shared" si="579"/>
      </c>
      <c r="R438" s="617">
        <f t="shared" si="51"/>
      </c>
      <c r="S438" s="619">
        <f t="shared" si="426"/>
      </c>
      <c r="T438" s="621">
        <f t="shared" si="510"/>
      </c>
      <c r="U438" s="621">
        <f t="shared" si="266"/>
      </c>
      <c r="V438" s="621">
        <f t="shared" si="351"/>
      </c>
      <c r="W438" s="621">
        <f t="shared" si="155"/>
      </c>
      <c r="X438" s="696" t="s">
        <v>327</v>
      </c>
      <c r="Y438" s="613" t="s">
        <v>363</v>
      </c>
      <c r="Z438" s="622">
        <v>172609</v>
      </c>
      <c r="AA438" s="622">
        <v>3594</v>
      </c>
      <c r="AB438" s="622">
        <v>172820</v>
      </c>
      <c r="AC438" s="622">
        <v>246</v>
      </c>
      <c r="AD438" s="622">
        <v>1</v>
      </c>
      <c r="AE438" s="622">
        <v>6243</v>
      </c>
      <c r="AF438" s="622">
        <v>106</v>
      </c>
      <c r="AG438" s="622">
        <v>60</v>
      </c>
      <c r="AH438" s="622">
        <v>14</v>
      </c>
      <c r="AI438" s="623">
        <v>1</v>
      </c>
    </row>
    <row customHeight="true" ht="16.071428571428573" r="439">
      <c r="A439" s="719"/>
      <c r="B439" s="723" t="s">
        <v>362</v>
      </c>
      <c r="C439" s="725" t="s">
        <v>346</v>
      </c>
      <c r="D439" s="691">
        <v>1743.4269999999997</v>
      </c>
      <c r="E439" s="692">
        <v>3</v>
      </c>
      <c r="F439" s="665">
        <v>1284</v>
      </c>
      <c r="G439" s="693">
        <f t="shared" si="373"/>
      </c>
      <c r="H439" s="617">
        <f t="shared" si="538"/>
      </c>
      <c r="I439" s="618">
        <f t="shared" si="25"/>
      </c>
      <c r="J439" s="619">
        <f t="shared" si="400"/>
      </c>
      <c r="K439" s="620">
        <f t="shared" ref="K439:K440" si="374">D439/AC439</f>
      </c>
      <c r="L439" s="617">
        <f t="shared" ref="L439:L440" si="156">D439/AD439</f>
      </c>
      <c r="M439" s="617">
        <f t="shared" ref="M439:M440" si="183">D439/AE439</f>
      </c>
      <c r="N439" s="621">
        <f t="shared" ref="N439:N440" si="581">AD439/AC439</f>
      </c>
      <c r="O439" s="621">
        <f t="shared" si="129"/>
      </c>
      <c r="P439" s="621">
        <f t="shared" si="182"/>
      </c>
      <c r="Q439" s="621">
        <f t="shared" ref="Q439:Q440" si="52">AE439/AA439</f>
      </c>
      <c r="R439" s="617">
        <f t="shared" si="51"/>
      </c>
      <c r="S439" s="619">
        <f t="shared" si="426"/>
      </c>
      <c r="T439" s="621">
        <f t="shared" ref="T439:T440" si="427">AF439/AC439</f>
      </c>
      <c r="U439" s="621">
        <f t="shared" ref="U439:U440" si="512">AG439/AC439</f>
      </c>
      <c r="V439" s="621">
        <f t="shared" ref="V439:V440" si="268">AH439/AC439</f>
      </c>
      <c r="W439" s="621">
        <f t="shared" si="155"/>
      </c>
      <c r="X439" s="696" t="s">
        <v>327</v>
      </c>
      <c r="Y439" s="613" t="s">
        <v>363</v>
      </c>
      <c r="Z439" s="622">
        <v>226569</v>
      </c>
      <c r="AA439" s="622">
        <v>3986</v>
      </c>
      <c r="AB439" s="622">
        <v>226549</v>
      </c>
      <c r="AC439" s="701">
        <v>275</v>
      </c>
      <c r="AD439" s="701">
        <v>4</v>
      </c>
      <c r="AE439" s="701">
        <v>7394</v>
      </c>
      <c r="AF439" s="701">
        <v>158</v>
      </c>
      <c r="AG439" s="701">
        <v>92</v>
      </c>
      <c r="AH439" s="701">
        <v>4</v>
      </c>
      <c r="AI439" s="623">
        <v>1</v>
      </c>
    </row>
    <row customHeight="true" ht="16.071428571428573" r="440">
      <c r="A440" s="719"/>
      <c r="B440" s="723" t="s">
        <v>362</v>
      </c>
      <c r="C440" s="697" t="s">
        <v>326</v>
      </c>
      <c r="D440" s="691">
        <v>1336.917</v>
      </c>
      <c r="E440" s="692">
        <v>2</v>
      </c>
      <c r="F440" s="665">
        <v>456</v>
      </c>
      <c r="G440" s="693">
        <f t="shared" si="373"/>
      </c>
      <c r="H440" s="617">
        <f t="shared" si="538"/>
      </c>
      <c r="I440" s="618">
        <f t="shared" si="25"/>
      </c>
      <c r="J440" s="619">
        <f t="shared" si="400"/>
      </c>
      <c r="K440" s="620">
        <f t="shared" si="374"/>
      </c>
      <c r="L440" s="617">
        <f t="shared" si="156"/>
      </c>
      <c r="M440" s="617">
        <f t="shared" si="183"/>
      </c>
      <c r="N440" s="621">
        <f t="shared" si="581"/>
      </c>
      <c r="O440" s="621">
        <f t="shared" si="129"/>
      </c>
      <c r="P440" s="621">
        <f t="shared" si="182"/>
      </c>
      <c r="Q440" s="621">
        <f t="shared" si="52"/>
      </c>
      <c r="R440" s="617">
        <f t="shared" si="51"/>
      </c>
      <c r="S440" s="619">
        <f t="shared" si="426"/>
      </c>
      <c r="T440" s="621">
        <f t="shared" si="427"/>
      </c>
      <c r="U440" s="621">
        <f t="shared" si="512"/>
      </c>
      <c r="V440" s="621">
        <f t="shared" si="268"/>
      </c>
      <c r="W440" s="621">
        <f t="shared" si="155"/>
      </c>
      <c r="X440" s="696" t="s">
        <v>327</v>
      </c>
      <c r="Y440" s="613" t="s">
        <v>356</v>
      </c>
      <c r="Z440" s="622">
        <v>153961</v>
      </c>
      <c r="AA440" s="622">
        <v>3978</v>
      </c>
      <c r="AB440" s="622">
        <v>153402</v>
      </c>
      <c r="AC440" s="701">
        <v>203</v>
      </c>
      <c r="AD440" s="701">
        <v>2</v>
      </c>
      <c r="AE440" s="701">
        <v>5724</v>
      </c>
      <c r="AF440" s="701">
        <v>121</v>
      </c>
      <c r="AG440" s="701">
        <v>62</v>
      </c>
      <c r="AH440" s="701">
        <v>10</v>
      </c>
      <c r="AI440" s="623">
        <v>0</v>
      </c>
    </row>
    <row r="441">
      <c r="A441" s="719"/>
      <c r="B441" s="722" t="s">
        <v>332</v>
      </c>
      <c r="C441" s="722"/>
      <c r="D441" s="626">
        <f>SUM(D437:D440)</f>
      </c>
      <c r="E441" s="627">
        <f>SUM(E437:E440)</f>
      </c>
      <c r="F441" s="626">
        <f>SUM(F437:F440)</f>
      </c>
      <c r="G441" s="626">
        <f t="shared" si="373"/>
      </c>
      <c r="H441" s="628">
        <f t="shared" si="538"/>
      </c>
      <c r="I441" s="629">
        <f t="shared" si="25"/>
      </c>
      <c r="J441" s="630">
        <f t="shared" si="400"/>
      </c>
      <c r="K441" s="631">
        <f>D441/AB441</f>
      </c>
      <c r="L441" s="628">
        <f>D441/AC441</f>
      </c>
      <c r="M441" s="628">
        <f>D441/AD441</f>
      </c>
      <c r="N441" s="632">
        <f>AC441/AB441</f>
      </c>
      <c r="O441" s="632">
        <f t="shared" si="129"/>
      </c>
      <c r="P441" s="632">
        <f t="shared" si="182"/>
      </c>
      <c r="Q441" s="632">
        <f>AD441/AA441</f>
      </c>
      <c r="R441" s="628">
        <f t="shared" si="51"/>
      </c>
      <c r="S441" s="630">
        <f t="shared" si="426"/>
      </c>
      <c r="T441" s="632">
        <f>AE441/AB441</f>
      </c>
      <c r="U441" s="632">
        <f>AF441/AB441</f>
      </c>
      <c r="V441" s="632">
        <f>AG441/AB441</f>
      </c>
      <c r="W441" s="632">
        <f t="shared" si="155"/>
      </c>
      <c r="X441" s="632"/>
      <c r="Y441" s="698"/>
      <c r="Z441" s="626">
        <f>SUM(Z437:Z440)</f>
      </c>
      <c r="AA441" s="626">
        <f>SUM(AA437:AA440)</f>
      </c>
      <c r="AB441" s="626">
        <f>SUM(AB437:AB440)</f>
      </c>
      <c r="AC441" s="626">
        <f>SUM(AC437:AC440)</f>
      </c>
      <c r="AD441" s="626">
        <f>SUM(AD437:AD440)</f>
      </c>
      <c r="AE441" s="626">
        <f>SUM(AE437:AE440)</f>
      </c>
      <c r="AF441" s="626">
        <f>SUM(AF437:AF440)</f>
      </c>
      <c r="AG441" s="626">
        <f>SUM(AG437:AG440)</f>
      </c>
      <c r="AH441" s="626">
        <f>SUM(AH437:AH440)</f>
      </c>
      <c r="AI441" s="626">
        <f>SUM(AI437:AI440)</f>
      </c>
    </row>
    <row r="442">
      <c r="A442" s="719"/>
      <c r="B442" s="723" t="s">
        <v>364</v>
      </c>
      <c r="C442" s="697" t="s">
        <v>329</v>
      </c>
      <c r="D442" s="691">
        <v>1931.8270000000002</v>
      </c>
      <c r="E442" s="692">
        <v>6</v>
      </c>
      <c r="F442" s="665">
        <v>2366.7000000000007</v>
      </c>
      <c r="G442" s="693">
        <f t="shared" si="373"/>
      </c>
      <c r="H442" s="617">
        <f t="shared" si="538"/>
      </c>
      <c r="I442" s="618">
        <f t="shared" si="25"/>
      </c>
      <c r="J442" s="619">
        <f t="shared" si="400"/>
      </c>
      <c r="K442" s="620">
        <f>D442/AC442</f>
      </c>
      <c r="L442" s="617">
        <f>D442/AD442</f>
      </c>
      <c r="M442" s="617">
        <f>D442/AE442</f>
      </c>
      <c r="N442" s="621">
        <f>AD442/AC442</f>
      </c>
      <c r="O442" s="621">
        <f t="shared" si="129"/>
      </c>
      <c r="P442" s="621">
        <f t="shared" si="182"/>
      </c>
      <c r="Q442" s="621">
        <f>AE442/AA442</f>
      </c>
      <c r="R442" s="617">
        <f t="shared" si="51"/>
      </c>
      <c r="S442" s="619">
        <f t="shared" si="426"/>
      </c>
      <c r="T442" s="621">
        <f>AF442/AC442</f>
      </c>
      <c r="U442" s="621">
        <f>AG442/AC442</f>
      </c>
      <c r="V442" s="621">
        <f>AH442/AC442</f>
      </c>
      <c r="W442" s="621">
        <f t="shared" si="155"/>
      </c>
      <c r="X442" s="696" t="s">
        <v>327</v>
      </c>
      <c r="Y442" s="613" t="s">
        <v>356</v>
      </c>
      <c r="Z442" s="622">
        <v>271941</v>
      </c>
      <c r="AA442" s="622">
        <v>3770</v>
      </c>
      <c r="AB442" s="700">
        <v>272138</v>
      </c>
      <c r="AC442" s="701">
        <v>318</v>
      </c>
      <c r="AD442" s="701">
        <v>4</v>
      </c>
      <c r="AE442" s="701">
        <v>8315</v>
      </c>
      <c r="AF442" s="701">
        <v>125</v>
      </c>
      <c r="AG442" s="701">
        <v>75</v>
      </c>
      <c r="AH442" s="701">
        <v>8</v>
      </c>
      <c r="AI442" s="623">
        <v>2</v>
      </c>
    </row>
    <row r="443">
      <c r="A443" s="719"/>
      <c r="B443" s="723" t="s">
        <v>364</v>
      </c>
      <c r="C443" s="725" t="s">
        <v>330</v>
      </c>
      <c r="D443" s="669">
        <v>1132.439</v>
      </c>
      <c r="E443" s="667">
        <v>1</v>
      </c>
      <c r="F443" s="647">
        <v>217.1999999999989</v>
      </c>
      <c r="G443" s="693">
        <f t="shared" si="373"/>
      </c>
      <c r="H443" s="617">
        <f t="shared" si="538"/>
      </c>
      <c r="I443" s="618">
        <f t="shared" si="25"/>
      </c>
      <c r="J443" s="619">
        <f t="shared" si="400"/>
      </c>
      <c r="K443" s="620">
        <f t="shared" ref="K443:K450" si="469">D443/AB443</f>
      </c>
      <c r="L443" s="617">
        <f t="shared" ref="L443:L450" si="225">D443/AC443</f>
      </c>
      <c r="M443" s="617">
        <f t="shared" ref="M443:M450" si="310">D443/AD443</f>
      </c>
      <c r="N443" s="621">
        <f t="shared" ref="N443:N450" si="94">AC443/AB443</f>
      </c>
      <c r="O443" s="621">
        <f t="shared" si="129"/>
      </c>
      <c r="P443" s="621">
        <f t="shared" si="182"/>
      </c>
      <c r="Q443" s="621">
        <f t="shared" ref="Q443:Q450" si="580">AD443/AA443</f>
      </c>
      <c r="R443" s="617">
        <f t="shared" si="51"/>
      </c>
      <c r="S443" s="619">
        <f t="shared" si="426"/>
      </c>
      <c r="T443" s="621">
        <f t="shared" ref="T443:T450" si="511">AE443/AB443</f>
      </c>
      <c r="U443" s="621">
        <f t="shared" ref="U443:U450" si="267">AF443/AB443</f>
      </c>
      <c r="V443" s="621">
        <f t="shared" ref="V443:V450" si="352">AG443/AB443</f>
      </c>
      <c r="W443" s="621">
        <f t="shared" si="155"/>
      </c>
      <c r="X443" s="696" t="s">
        <v>327</v>
      </c>
      <c r="Y443" s="613" t="s">
        <v>356</v>
      </c>
      <c r="Z443" s="622">
        <v>142465</v>
      </c>
      <c r="AA443" s="622">
        <v>1889</v>
      </c>
      <c r="AB443" s="622">
        <v>140322</v>
      </c>
      <c r="AC443" s="622">
        <v>279</v>
      </c>
      <c r="AD443" s="622">
        <v>0</v>
      </c>
      <c r="AE443" s="622">
        <v>5137</v>
      </c>
      <c r="AF443" s="622">
        <v>48</v>
      </c>
      <c r="AG443" s="622">
        <v>55</v>
      </c>
      <c r="AH443" s="622">
        <v>10</v>
      </c>
      <c r="AI443" s="623">
        <v>0</v>
      </c>
    </row>
    <row r="444">
      <c r="A444" s="719"/>
      <c r="B444" s="722" t="s">
        <v>332</v>
      </c>
      <c r="C444" s="722"/>
      <c r="D444" s="626">
        <f>SUM(D442:D443)</f>
      </c>
      <c r="E444" s="627">
        <f>SUM(E442:E443)</f>
      </c>
      <c r="F444" s="626">
        <f>SUM(F442:F443)</f>
      </c>
      <c r="G444" s="626">
        <f t="shared" si="373"/>
      </c>
      <c r="H444" s="628">
        <f t="shared" si="538"/>
      </c>
      <c r="I444" s="629">
        <f t="shared" si="25"/>
      </c>
      <c r="J444" s="630">
        <f t="shared" si="400"/>
      </c>
      <c r="K444" s="631">
        <f t="shared" si="469"/>
      </c>
      <c r="L444" s="628">
        <f t="shared" si="225"/>
      </c>
      <c r="M444" s="628">
        <f t="shared" si="310"/>
      </c>
      <c r="N444" s="632">
        <f t="shared" si="94"/>
      </c>
      <c r="O444" s="632">
        <f t="shared" si="129"/>
      </c>
      <c r="P444" s="632">
        <f t="shared" si="182"/>
      </c>
      <c r="Q444" s="632">
        <f t="shared" si="580"/>
      </c>
      <c r="R444" s="628">
        <f t="shared" si="51"/>
      </c>
      <c r="S444" s="630">
        <f t="shared" si="426"/>
      </c>
      <c r="T444" s="632">
        <f t="shared" si="511"/>
      </c>
      <c r="U444" s="632">
        <f t="shared" si="267"/>
      </c>
      <c r="V444" s="632">
        <f t="shared" si="352"/>
      </c>
      <c r="W444" s="632">
        <f t="shared" si="155"/>
      </c>
      <c r="X444" s="632"/>
      <c r="Y444" s="698"/>
      <c r="Z444" s="626">
        <f>SUM(Z442:Z443)</f>
      </c>
      <c r="AA444" s="626">
        <f>SUM(AA442:AA443)</f>
      </c>
      <c r="AB444" s="626">
        <f>SUM(AB442:AB443)</f>
      </c>
      <c r="AC444" s="626">
        <f>SUM(AC442:AC443)</f>
      </c>
      <c r="AD444" s="626">
        <f>SUM(AD442:AD443)</f>
      </c>
      <c r="AE444" s="626">
        <f>SUM(AE442:AE443)</f>
      </c>
      <c r="AF444" s="626">
        <f>SUM(AF442:AF443)</f>
      </c>
      <c r="AG444" s="626">
        <f>SUM(AG442:AG443)</f>
      </c>
      <c r="AH444" s="626">
        <f>SUM(AH442:AH443)</f>
      </c>
      <c r="AI444" s="626">
        <f>SUM(AI442:AI443)</f>
      </c>
    </row>
    <row r="445">
      <c r="A445" s="719"/>
      <c r="B445" s="706" t="s">
        <v>353</v>
      </c>
      <c r="C445" s="697" t="s">
        <v>331</v>
      </c>
      <c r="D445" s="614">
        <v>1391.549</v>
      </c>
      <c r="E445" s="615">
        <v>6</v>
      </c>
      <c r="F445" s="647">
        <v>4264.200000000001</v>
      </c>
      <c r="G445" s="693">
        <f t="shared" si="373"/>
      </c>
      <c r="H445" s="617">
        <f t="shared" si="538"/>
      </c>
      <c r="I445" s="618">
        <f t="shared" si="25"/>
      </c>
      <c r="J445" s="619">
        <f t="shared" si="400"/>
      </c>
      <c r="K445" s="620">
        <f t="shared" si="469"/>
      </c>
      <c r="L445" s="617">
        <f t="shared" si="225"/>
      </c>
      <c r="M445" s="617">
        <f t="shared" si="310"/>
      </c>
      <c r="N445" s="621">
        <f t="shared" si="94"/>
      </c>
      <c r="O445" s="621">
        <f t="shared" si="129"/>
      </c>
      <c r="P445" s="621">
        <f t="shared" si="182"/>
      </c>
      <c r="Q445" s="621">
        <f t="shared" si="580"/>
      </c>
      <c r="R445" s="617">
        <f t="shared" si="51"/>
      </c>
      <c r="S445" s="619">
        <f t="shared" si="426"/>
      </c>
      <c r="T445" s="621">
        <f t="shared" si="511"/>
      </c>
      <c r="U445" s="621">
        <f t="shared" si="267"/>
      </c>
      <c r="V445" s="621">
        <f t="shared" si="352"/>
      </c>
      <c r="W445" s="621">
        <f t="shared" si="155"/>
      </c>
      <c r="X445" s="696" t="s">
        <v>327</v>
      </c>
      <c r="Y445" s="613" t="s">
        <v>356</v>
      </c>
      <c r="Z445" s="622">
        <v>226971</v>
      </c>
      <c r="AA445" s="622">
        <v>1893</v>
      </c>
      <c r="AB445" s="622">
        <v>226017</v>
      </c>
      <c r="AC445" s="622">
        <v>209</v>
      </c>
      <c r="AD445" s="622">
        <v>5</v>
      </c>
      <c r="AE445" s="622">
        <v>5054</v>
      </c>
      <c r="AF445" s="622">
        <v>83</v>
      </c>
      <c r="AG445" s="622">
        <v>59</v>
      </c>
      <c r="AH445" s="622">
        <v>8</v>
      </c>
      <c r="AI445" s="623">
        <v>1</v>
      </c>
    </row>
    <row r="446">
      <c r="A446" s="719"/>
      <c r="B446" s="706" t="s">
        <v>353</v>
      </c>
      <c r="C446" s="697" t="s">
        <v>334</v>
      </c>
      <c r="D446" s="614">
        <v>2956.628</v>
      </c>
      <c r="E446" s="615">
        <v>5</v>
      </c>
      <c r="F446" s="647">
        <v>1669.6000000000004</v>
      </c>
      <c r="G446" s="693">
        <f t="shared" si="373"/>
      </c>
      <c r="H446" s="617">
        <f t="shared" si="538"/>
      </c>
      <c r="I446" s="618">
        <f t="shared" si="25"/>
      </c>
      <c r="J446" s="619">
        <f t="shared" si="400"/>
      </c>
      <c r="K446" s="620">
        <f t="shared" si="469"/>
      </c>
      <c r="L446" s="617">
        <f t="shared" si="225"/>
      </c>
      <c r="M446" s="617">
        <f t="shared" si="310"/>
      </c>
      <c r="N446" s="621">
        <f t="shared" si="94"/>
      </c>
      <c r="O446" s="621">
        <f t="shared" si="129"/>
      </c>
      <c r="P446" s="621">
        <f t="shared" si="182"/>
      </c>
      <c r="Q446" s="621">
        <f t="shared" si="580"/>
      </c>
      <c r="R446" s="617">
        <f t="shared" si="51"/>
      </c>
      <c r="S446" s="619">
        <f t="shared" si="426"/>
      </c>
      <c r="T446" s="621">
        <f t="shared" si="511"/>
      </c>
      <c r="U446" s="621">
        <f t="shared" si="267"/>
      </c>
      <c r="V446" s="621">
        <f t="shared" si="352"/>
      </c>
      <c r="W446" s="621">
        <f t="shared" si="155"/>
      </c>
      <c r="X446" s="696" t="s">
        <v>327</v>
      </c>
      <c r="Y446" s="613" t="s">
        <v>356</v>
      </c>
      <c r="Z446" s="622">
        <v>556805</v>
      </c>
      <c r="AA446" s="622">
        <v>3582</v>
      </c>
      <c r="AB446" s="622">
        <v>557980</v>
      </c>
      <c r="AC446" s="622">
        <v>370</v>
      </c>
      <c r="AD446" s="622">
        <v>4</v>
      </c>
      <c r="AE446" s="622">
        <v>9859</v>
      </c>
      <c r="AF446" s="622">
        <v>104</v>
      </c>
      <c r="AG446" s="622">
        <v>114</v>
      </c>
      <c r="AH446" s="622">
        <v>10</v>
      </c>
      <c r="AI446" s="623">
        <v>1</v>
      </c>
    </row>
    <row r="447">
      <c r="A447" s="719"/>
      <c r="B447" s="706" t="s">
        <v>353</v>
      </c>
      <c r="C447" s="697" t="s">
        <v>335</v>
      </c>
      <c r="D447" s="614">
        <v>1614.052</v>
      </c>
      <c r="E447" s="615">
        <v>5</v>
      </c>
      <c r="F447" s="647">
        <v>1595.1000000000004</v>
      </c>
      <c r="G447" s="693">
        <f t="shared" si="373"/>
      </c>
      <c r="H447" s="617">
        <f t="shared" si="538"/>
      </c>
      <c r="I447" s="618">
        <f t="shared" si="25"/>
      </c>
      <c r="J447" s="619">
        <f t="shared" si="400"/>
      </c>
      <c r="K447" s="620">
        <f t="shared" si="469"/>
      </c>
      <c r="L447" s="617">
        <f t="shared" si="225"/>
      </c>
      <c r="M447" s="617">
        <f t="shared" si="310"/>
      </c>
      <c r="N447" s="621">
        <f t="shared" si="94"/>
      </c>
      <c r="O447" s="621">
        <f t="shared" si="129"/>
      </c>
      <c r="P447" s="621">
        <f t="shared" si="182"/>
      </c>
      <c r="Q447" s="621">
        <f t="shared" si="580"/>
      </c>
      <c r="R447" s="617">
        <f t="shared" si="51"/>
      </c>
      <c r="S447" s="619">
        <f t="shared" si="426"/>
      </c>
      <c r="T447" s="621">
        <f t="shared" si="511"/>
      </c>
      <c r="U447" s="621">
        <f t="shared" si="267"/>
      </c>
      <c r="V447" s="621">
        <f t="shared" si="352"/>
      </c>
      <c r="W447" s="621">
        <f t="shared" si="155"/>
      </c>
      <c r="X447" s="696" t="s">
        <v>327</v>
      </c>
      <c r="Y447" s="613" t="s">
        <v>356</v>
      </c>
      <c r="Z447" s="622">
        <v>319943</v>
      </c>
      <c r="AA447" s="622">
        <v>2638</v>
      </c>
      <c r="AB447" s="622">
        <v>319446</v>
      </c>
      <c r="AC447" s="622">
        <v>350</v>
      </c>
      <c r="AD447" s="622">
        <v>3</v>
      </c>
      <c r="AE447" s="622">
        <v>6942</v>
      </c>
      <c r="AF447" s="622">
        <v>88</v>
      </c>
      <c r="AG447" s="622">
        <v>102</v>
      </c>
      <c r="AH447" s="623">
        <v>13</v>
      </c>
      <c r="AI447" s="623">
        <v>1</v>
      </c>
    </row>
    <row r="448">
      <c r="A448" s="719"/>
      <c r="B448" s="706" t="s">
        <v>353</v>
      </c>
      <c r="C448" s="697" t="s">
        <v>336</v>
      </c>
      <c r="D448" s="614">
        <v>1727.586</v>
      </c>
      <c r="E448" s="615">
        <v>3</v>
      </c>
      <c r="F448" s="647">
        <v>1845.5999999999985</v>
      </c>
      <c r="G448" s="693">
        <f t="shared" si="373"/>
      </c>
      <c r="H448" s="617">
        <f t="shared" si="538"/>
      </c>
      <c r="I448" s="618">
        <f t="shared" si="25"/>
      </c>
      <c r="J448" s="619">
        <f t="shared" si="400"/>
      </c>
      <c r="K448" s="620">
        <f t="shared" si="469"/>
      </c>
      <c r="L448" s="617">
        <f t="shared" si="225"/>
      </c>
      <c r="M448" s="617">
        <f t="shared" si="310"/>
      </c>
      <c r="N448" s="621">
        <f t="shared" si="94"/>
      </c>
      <c r="O448" s="621">
        <f t="shared" si="129"/>
      </c>
      <c r="P448" s="621">
        <f t="shared" si="182"/>
      </c>
      <c r="Q448" s="621">
        <f t="shared" si="580"/>
      </c>
      <c r="R448" s="617">
        <f t="shared" si="51"/>
      </c>
      <c r="S448" s="619">
        <f t="shared" si="426"/>
      </c>
      <c r="T448" s="621">
        <f t="shared" si="511"/>
      </c>
      <c r="U448" s="621">
        <f t="shared" si="267"/>
      </c>
      <c r="V448" s="621">
        <f t="shared" si="352"/>
      </c>
      <c r="W448" s="621">
        <f t="shared" si="155"/>
      </c>
      <c r="X448" s="696" t="s">
        <v>327</v>
      </c>
      <c r="Y448" s="613" t="s">
        <v>356</v>
      </c>
      <c r="Z448" s="622">
        <v>302369</v>
      </c>
      <c r="AA448" s="622">
        <v>2499</v>
      </c>
      <c r="AB448" s="622">
        <v>301703</v>
      </c>
      <c r="AC448" s="622">
        <v>316</v>
      </c>
      <c r="AD448" s="622">
        <v>3</v>
      </c>
      <c r="AE448" s="622">
        <v>6803</v>
      </c>
      <c r="AF448" s="622">
        <v>79</v>
      </c>
      <c r="AG448" s="622">
        <v>90</v>
      </c>
      <c r="AH448" s="622">
        <v>6</v>
      </c>
      <c r="AI448" s="623">
        <v>1</v>
      </c>
    </row>
    <row r="449">
      <c r="A449" s="719"/>
      <c r="B449" s="722" t="s">
        <v>332</v>
      </c>
      <c r="C449" s="722"/>
      <c r="D449" s="626">
        <f>SUM(D445:D448)</f>
      </c>
      <c r="E449" s="627">
        <f>SUM(E445:E448)</f>
      </c>
      <c r="F449" s="626">
        <f>SUM(F445:F448)</f>
      </c>
      <c r="G449" s="626">
        <f t="shared" si="373"/>
      </c>
      <c r="H449" s="628">
        <f t="shared" si="538"/>
      </c>
      <c r="I449" s="629">
        <f t="shared" si="25"/>
      </c>
      <c r="J449" s="630">
        <f t="shared" si="400"/>
      </c>
      <c r="K449" s="631">
        <f t="shared" si="469"/>
      </c>
      <c r="L449" s="628">
        <f t="shared" si="225"/>
      </c>
      <c r="M449" s="628">
        <f t="shared" si="310"/>
      </c>
      <c r="N449" s="632">
        <f t="shared" si="94"/>
      </c>
      <c r="O449" s="632">
        <f t="shared" si="129"/>
      </c>
      <c r="P449" s="632">
        <f t="shared" si="182"/>
      </c>
      <c r="Q449" s="632">
        <f t="shared" si="580"/>
      </c>
      <c r="R449" s="628">
        <f t="shared" si="51"/>
      </c>
      <c r="S449" s="630">
        <f t="shared" si="426"/>
      </c>
      <c r="T449" s="632">
        <f t="shared" si="511"/>
      </c>
      <c r="U449" s="632">
        <f t="shared" si="267"/>
      </c>
      <c r="V449" s="632">
        <f t="shared" si="352"/>
      </c>
      <c r="W449" s="632">
        <f t="shared" si="155"/>
      </c>
      <c r="X449" s="632"/>
      <c r="Y449" s="698"/>
      <c r="Z449" s="626">
        <f>SUM(Z445:Z448)</f>
      </c>
      <c r="AA449" s="626">
        <f>SUM(AA445:AA448)</f>
      </c>
      <c r="AB449" s="626">
        <f>SUM(AB445:AB448)</f>
      </c>
      <c r="AC449" s="626">
        <f>SUM(AC445:AC448)</f>
      </c>
      <c r="AD449" s="626">
        <f>SUM(AD445:AD448)</f>
      </c>
      <c r="AE449" s="626">
        <f>SUM(AE445:AE448)</f>
      </c>
      <c r="AF449" s="626">
        <f>SUM(AF445:AF448)</f>
      </c>
      <c r="AG449" s="626">
        <f>SUM(AG445:AG448)</f>
      </c>
      <c r="AH449" s="626">
        <f>SUM(AH445:AH448)</f>
      </c>
      <c r="AI449" s="626">
        <f>SUM(AI445:AI448)</f>
      </c>
    </row>
    <row r="450">
      <c r="A450" s="719"/>
      <c r="B450" s="678" t="s">
        <v>337</v>
      </c>
      <c r="C450" s="678"/>
      <c r="D450" s="679">
        <f>SUM(D449+D444+D441+D436)</f>
      </c>
      <c r="E450" s="679">
        <f>SUM(E449+E444+E441+E436)</f>
      </c>
      <c r="F450" s="679">
        <f>SUM(F449+F444+F441+F436)</f>
      </c>
      <c r="G450" s="679">
        <f t="shared" si="373"/>
      </c>
      <c r="H450" s="680">
        <f t="shared" si="538"/>
      </c>
      <c r="I450" s="681">
        <f t="shared" si="25"/>
      </c>
      <c r="J450" s="682">
        <f t="shared" si="400"/>
      </c>
      <c r="K450" s="683">
        <f t="shared" si="469"/>
      </c>
      <c r="L450" s="683">
        <f t="shared" si="225"/>
      </c>
      <c r="M450" s="684">
        <f t="shared" si="310"/>
      </c>
      <c r="N450" s="685">
        <f t="shared" si="94"/>
      </c>
      <c r="O450" s="685">
        <f t="shared" si="129"/>
      </c>
      <c r="P450" s="685">
        <f t="shared" si="182"/>
      </c>
      <c r="Q450" s="685">
        <f t="shared" si="580"/>
      </c>
      <c r="R450" s="684">
        <f t="shared" si="51"/>
      </c>
      <c r="S450" s="686">
        <f t="shared" si="426"/>
      </c>
      <c r="T450" s="687">
        <f t="shared" si="511"/>
      </c>
      <c r="U450" s="687">
        <f t="shared" si="267"/>
      </c>
      <c r="V450" s="687">
        <f t="shared" si="352"/>
      </c>
      <c r="W450" s="687">
        <f t="shared" si="155"/>
      </c>
      <c r="X450" s="687"/>
      <c r="Y450" s="658"/>
      <c r="Z450" s="679">
        <f>SUM(Z449+Z444+Z441+Z436)</f>
      </c>
      <c r="AA450" s="679">
        <f>SUM(AA449+AA444+AA441+AA436)</f>
      </c>
      <c r="AB450" s="679">
        <f>SUM(AB449+AB444+AB441+AB436)</f>
      </c>
      <c r="AC450" s="679">
        <f>SUM(AC449+AC444+AC441+AC436)</f>
      </c>
      <c r="AD450" s="679">
        <f>SUM(AD449+AD444+AD441+AD436)</f>
      </c>
      <c r="AE450" s="679">
        <f>SUM(AE449+AE444+AE441+AE436)</f>
      </c>
      <c r="AF450" s="679">
        <f>SUM(AF449+AF444+AF441+AF436)</f>
      </c>
      <c r="AG450" s="679">
        <f>SUM(AG449+AG444+AG441+AG436)</f>
      </c>
      <c r="AH450" s="679">
        <f>SUM(AH449+AH444+AH441+AH436)</f>
      </c>
      <c r="AI450" s="679">
        <f>SUM(AI449+AI444+AI441+AI436)</f>
      </c>
    </row>
    <row r="451">
      <c r="A451" s="726" t="s">
        <v>365</v>
      </c>
      <c r="B451" s="727"/>
      <c r="C451" s="727"/>
      <c r="D451" s="728">
        <f>D452+D453+D454+C452+C453+C454</f>
      </c>
      <c r="E451">
        <f>E452-E450</f>
      </c>
      <c r="F451">
        <f>F452-F450</f>
      </c>
      <c r="G451" s="727"/>
      <c r="H451" s="727"/>
      <c r="I451" s="727"/>
      <c r="J451" s="727"/>
      <c r="K451" s="727"/>
      <c r="L451" s="727"/>
      <c r="M451" s="727"/>
      <c r="N451" s="727"/>
      <c r="O451" s="727"/>
      <c r="P451" s="727"/>
      <c r="Q451" s="727"/>
      <c r="R451" s="727"/>
      <c r="S451" s="727"/>
      <c r="T451" s="727"/>
      <c r="U451" s="727"/>
      <c r="V451" s="727"/>
      <c r="W451" s="727"/>
      <c r="X451" s="727"/>
      <c r="Y451" s="727"/>
      <c r="Z451" s="727">
        <f>Z452+Z453+Z454+Z455+Z456+Z457</f>
      </c>
      <c r="AA451" s="727">
        <f>AA452+AA453+AA454+AA455+AA456+AA457</f>
      </c>
      <c r="AB451" s="727">
        <f>AB452+AB453+AB454+AB455+AB456+AB457</f>
      </c>
      <c r="AC451" s="727">
        <f>AC452+AC453+AC454+AC455+AC456+AC457</f>
      </c>
      <c r="AD451" s="727">
        <f>AD452+AD453+AD454+AD455+AD456+AD457</f>
      </c>
      <c r="AE451" s="727">
        <f>AE452+AE453+AE454+AE455+AE456+AE457</f>
      </c>
      <c r="AF451" s="727">
        <f>AF452+AF453+AF454+AF455+AF456+AF457</f>
      </c>
      <c r="AG451" s="727">
        <f>AG452+AG453+AG454+AG455+AG456+AG457</f>
      </c>
      <c r="AH451" s="727">
        <f>AH452+AH453+AH454+AH455+AH456+AH457</f>
      </c>
      <c r="AI451" s="727"/>
    </row>
    <row r="452">
      <c r="A452" s="727"/>
      <c r="B452" s="726"/>
      <c r="C452" s="726"/>
      <c r="D452" s="729">
        <v>719.736</v>
      </c>
      <c r="E452" s="730">
        <v>40</v>
      </c>
      <c r="F452" s="730">
        <v>18164</v>
      </c>
      <c r="G452" s="727"/>
      <c r="H452" s="727"/>
      <c r="I452" s="727"/>
      <c r="J452" s="727"/>
      <c r="K452" s="727"/>
      <c r="L452" s="727"/>
      <c r="M452" s="727"/>
      <c r="N452" s="727"/>
      <c r="O452" s="727"/>
      <c r="P452" s="727"/>
      <c r="Q452" s="727"/>
      <c r="R452" s="727"/>
      <c r="S452" s="727"/>
      <c r="T452" s="727"/>
      <c r="U452" s="727"/>
      <c r="V452" s="727"/>
      <c r="W452" s="727"/>
      <c r="X452" s="727"/>
      <c r="Y452" s="727"/>
      <c r="Z452" s="731">
        <v>158087</v>
      </c>
      <c r="AA452" s="731">
        <v>1801</v>
      </c>
      <c r="AB452" s="731">
        <v>156906</v>
      </c>
      <c r="AC452" s="731">
        <v>235</v>
      </c>
      <c r="AD452" s="731">
        <v>2</v>
      </c>
      <c r="AE452" s="731">
        <v>5321</v>
      </c>
      <c r="AF452" s="731">
        <v>70</v>
      </c>
      <c r="AG452" s="731">
        <v>66</v>
      </c>
      <c r="AH452" s="732">
        <v>4</v>
      </c>
      <c r="AI452" s="727"/>
    </row>
    <row r="453">
      <c r="A453" s="727"/>
      <c r="B453" s="726"/>
      <c r="C453" s="726"/>
      <c r="D453" s="733">
        <v>0</v>
      </c>
      <c r="E453" s="734"/>
      <c r="F453" s="735"/>
      <c r="G453" s="735"/>
      <c r="H453" s="735"/>
      <c r="I453" s="735"/>
      <c r="J453" s="735"/>
      <c r="K453" s="735"/>
      <c r="L453" s="735"/>
      <c r="M453" s="735"/>
      <c r="N453" s="727"/>
      <c r="O453" s="727"/>
      <c r="P453" s="727"/>
      <c r="Q453" s="727"/>
      <c r="R453" s="727"/>
      <c r="S453" s="727"/>
      <c r="T453" s="727"/>
      <c r="U453" s="727"/>
      <c r="V453" s="727"/>
      <c r="W453" s="727"/>
      <c r="X453" s="727"/>
      <c r="Y453" s="727"/>
      <c r="Z453" s="731">
        <v>1398</v>
      </c>
      <c r="AA453" s="731">
        <v>9</v>
      </c>
      <c r="AB453" s="731">
        <v>1409</v>
      </c>
      <c r="AC453" s="731">
        <v>3</v>
      </c>
      <c r="AD453" s="731">
        <v>0</v>
      </c>
      <c r="AE453" s="731">
        <v>24</v>
      </c>
      <c r="AF453" s="731">
        <v>0</v>
      </c>
      <c r="AG453" s="731">
        <v>0</v>
      </c>
      <c r="AH453" s="732">
        <v>0</v>
      </c>
      <c r="AI453" s="727"/>
    </row>
    <row r="454">
      <c r="A454" s="727"/>
      <c r="B454" s="726"/>
      <c r="C454" s="726"/>
      <c r="D454" s="736">
        <v>1007.85</v>
      </c>
      <c r="E454" s="737"/>
      <c r="F454" s="738"/>
      <c r="G454" s="727"/>
      <c r="H454" s="727"/>
      <c r="I454" s="727"/>
      <c r="J454" s="727"/>
      <c r="K454" s="727"/>
      <c r="L454" s="727"/>
      <c r="M454" s="727"/>
      <c r="N454" s="727"/>
      <c r="O454" s="727"/>
      <c r="P454" s="727"/>
      <c r="Q454" s="727"/>
      <c r="R454" s="727"/>
      <c r="S454" s="727"/>
      <c r="T454" s="727"/>
      <c r="U454" s="727"/>
      <c r="V454" s="727"/>
      <c r="W454" s="727"/>
      <c r="X454" s="727"/>
      <c r="Y454" s="727"/>
      <c r="Z454" s="739">
        <v>142884</v>
      </c>
      <c r="AA454" s="739">
        <v>689</v>
      </c>
      <c r="AB454" s="739">
        <v>143388</v>
      </c>
      <c r="AC454" s="739">
        <v>78</v>
      </c>
      <c r="AD454" s="739">
        <v>1</v>
      </c>
      <c r="AE454" s="739">
        <v>1458</v>
      </c>
      <c r="AF454" s="739">
        <v>9</v>
      </c>
      <c r="AG454" s="739">
        <v>24</v>
      </c>
      <c r="AH454" s="740">
        <v>2</v>
      </c>
      <c r="AI454" s="727"/>
    </row>
    <row r="455">
      <c r="A455" s="727"/>
      <c r="B455" s="727"/>
      <c r="C455" s="727"/>
      <c r="D455" s="727"/>
      <c r="E455" s="727"/>
      <c r="F455" s="727"/>
      <c r="G455" s="727"/>
      <c r="H455" s="727"/>
      <c r="I455" s="727"/>
      <c r="J455" s="727"/>
      <c r="K455" s="727"/>
      <c r="L455" s="727"/>
      <c r="M455" s="727"/>
      <c r="N455" s="727"/>
      <c r="O455" s="727"/>
      <c r="P455" s="727"/>
      <c r="Q455" s="727"/>
      <c r="R455" s="727"/>
      <c r="S455" s="727"/>
      <c r="T455" s="727"/>
      <c r="U455" s="727"/>
      <c r="V455" s="727"/>
      <c r="W455" s="727"/>
      <c r="X455" s="727"/>
      <c r="Y455" s="727"/>
      <c r="Z455" s="727"/>
      <c r="AA455" s="727"/>
      <c r="AB455" s="727"/>
      <c r="AC455" s="727"/>
      <c r="AD455" s="727"/>
      <c r="AE455" s="727"/>
      <c r="AF455" s="727"/>
      <c r="AG455" s="727"/>
      <c r="AH455" s="727"/>
      <c r="AI455" s="727"/>
    </row>
    <row r="456">
      <c r="A456" s="727"/>
      <c r="B456" s="727"/>
      <c r="C456" s="727"/>
      <c r="D456" s="727"/>
      <c r="E456" s="727"/>
      <c r="F456" s="727"/>
      <c r="G456" s="727"/>
      <c r="H456" s="727"/>
      <c r="I456" s="727"/>
      <c r="J456" s="727"/>
      <c r="K456" s="727"/>
      <c r="L456" s="727"/>
      <c r="M456" s="727"/>
      <c r="N456" s="727"/>
      <c r="O456" s="727"/>
      <c r="P456" s="727"/>
      <c r="Q456" s="727"/>
      <c r="R456" s="727"/>
      <c r="S456" s="727"/>
      <c r="T456" s="727"/>
      <c r="U456" s="727"/>
      <c r="V456" s="727"/>
      <c r="W456" s="727"/>
      <c r="X456" s="727"/>
      <c r="Y456" s="727"/>
      <c r="Z456" s="727"/>
      <c r="AA456" s="727"/>
      <c r="AB456" s="727"/>
      <c r="AC456" s="727"/>
      <c r="AD456" s="727"/>
      <c r="AE456" s="727"/>
      <c r="AF456" s="727"/>
      <c r="AG456" s="727"/>
      <c r="AH456" s="727"/>
      <c r="AI456" s="727"/>
    </row>
    <row r="457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7"/>
      <c r="P457" s="727"/>
      <c r="Q457" s="727"/>
      <c r="R457" s="727"/>
      <c r="S457" s="727"/>
      <c r="T457" s="727"/>
      <c r="U457" s="727"/>
      <c r="V457" s="727"/>
      <c r="W457" s="727"/>
      <c r="X457" s="727"/>
      <c r="Y457" s="727"/>
      <c r="Z457" s="727"/>
      <c r="AA457" s="727"/>
      <c r="AB457" s="727"/>
      <c r="AC457" s="727"/>
      <c r="AD457" s="727"/>
      <c r="AE457" s="727"/>
      <c r="AF457" s="727"/>
      <c r="AG457" s="727"/>
      <c r="AH457" s="727"/>
      <c r="AI457" s="727"/>
    </row>
    <row r="458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7"/>
      <c r="P458" s="727"/>
      <c r="Q458" s="727"/>
      <c r="R458" s="727"/>
      <c r="S458" s="727"/>
      <c r="T458" s="727"/>
      <c r="U458" s="727"/>
      <c r="V458" s="727"/>
      <c r="W458" s="727"/>
      <c r="X458" s="727"/>
      <c r="Y458" s="727"/>
      <c r="Z458" s="727"/>
      <c r="AA458" s="727"/>
      <c r="AB458" s="727"/>
      <c r="AC458" s="727"/>
      <c r="AD458" s="727"/>
      <c r="AE458" s="727"/>
      <c r="AF458" s="727"/>
      <c r="AG458" s="727"/>
      <c r="AH458" s="727"/>
      <c r="AI458" s="727"/>
    </row>
    <row r="459">
      <c r="A459" s="727"/>
      <c r="B459" s="727"/>
      <c r="C459" s="727"/>
      <c r="D459" s="727"/>
      <c r="E459" s="727"/>
      <c r="F459" s="727"/>
      <c r="G459" s="727"/>
      <c r="H459" s="727"/>
      <c r="I459" s="727"/>
      <c r="J459" s="727"/>
      <c r="K459" s="727"/>
      <c r="L459" s="727"/>
      <c r="M459" s="727"/>
      <c r="N459" s="727"/>
      <c r="O459" s="727"/>
      <c r="P459" s="727"/>
      <c r="Q459" s="727"/>
      <c r="R459" s="727"/>
      <c r="S459" s="727"/>
      <c r="T459" s="727"/>
      <c r="U459" s="727"/>
      <c r="V459" s="727"/>
      <c r="W459" s="727"/>
      <c r="X459" s="727"/>
      <c r="Y459" s="727"/>
      <c r="Z459" s="727"/>
      <c r="AA459" s="727"/>
      <c r="AB459" s="727"/>
      <c r="AC459" s="727"/>
      <c r="AD459" s="727"/>
      <c r="AE459" s="727"/>
      <c r="AF459" s="727"/>
      <c r="AG459" s="727"/>
      <c r="AH459" s="727"/>
      <c r="AI459" s="727"/>
    </row>
    <row r="460">
      <c r="A460" s="727"/>
      <c r="B460" s="727"/>
      <c r="C460" s="727"/>
      <c r="D460" s="727"/>
      <c r="E460" s="727"/>
      <c r="F460" s="727"/>
      <c r="G460" s="727"/>
      <c r="H460" s="727"/>
      <c r="I460" s="727"/>
      <c r="J460" s="727"/>
      <c r="K460" s="727"/>
      <c r="L460" s="727"/>
      <c r="M460" s="727"/>
      <c r="N460" s="727"/>
      <c r="O460" s="727"/>
      <c r="P460" s="727"/>
      <c r="Q460" s="727"/>
      <c r="R460" s="727"/>
      <c r="S460" s="727"/>
      <c r="T460" s="727"/>
      <c r="U460" s="727"/>
      <c r="V460" s="727"/>
      <c r="W460" s="727"/>
      <c r="X460" s="727"/>
      <c r="Y460" s="727"/>
      <c r="Z460" s="727"/>
      <c r="AA460" s="727"/>
      <c r="AB460" s="727"/>
      <c r="AC460" s="727"/>
      <c r="AD460" s="727"/>
      <c r="AE460" s="727"/>
      <c r="AF460" s="727"/>
      <c r="AG460" s="727"/>
      <c r="AH460" s="727"/>
      <c r="AI460" s="727"/>
    </row>
    <row r="461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7"/>
      <c r="P461" s="727"/>
      <c r="Q461" s="727"/>
      <c r="R461" s="727"/>
      <c r="S461" s="727"/>
      <c r="T461" s="727"/>
      <c r="U461" s="727"/>
      <c r="V461" s="727"/>
      <c r="W461" s="727"/>
      <c r="X461" s="727"/>
      <c r="Y461" s="727"/>
      <c r="Z461" s="727"/>
      <c r="AA461" s="727"/>
      <c r="AB461" s="727"/>
      <c r="AC461" s="727"/>
      <c r="AD461" s="727"/>
      <c r="AE461" s="727"/>
      <c r="AF461" s="727"/>
      <c r="AG461" s="727"/>
      <c r="AH461" s="727"/>
      <c r="AI461" s="727"/>
    </row>
    <row r="46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7"/>
      <c r="P462" s="727"/>
      <c r="Q462" s="727"/>
      <c r="R462" s="727"/>
      <c r="S462" s="727"/>
      <c r="T462" s="727"/>
      <c r="U462" s="727"/>
      <c r="V462" s="727"/>
      <c r="W462" s="727"/>
      <c r="X462" s="727"/>
      <c r="Y462" s="727"/>
      <c r="Z462" s="727"/>
      <c r="AA462" s="727"/>
      <c r="AB462" s="727"/>
      <c r="AC462" s="727"/>
      <c r="AD462" s="727"/>
      <c r="AE462" s="727"/>
      <c r="AF462" s="727"/>
      <c r="AG462" s="727"/>
      <c r="AH462" s="727"/>
      <c r="AI462" s="727"/>
    </row>
    <row r="463">
      <c r="A463" s="727"/>
      <c r="B463" s="727"/>
      <c r="C463" s="727"/>
      <c r="D463" s="727"/>
      <c r="E463" s="727"/>
      <c r="F463" s="727"/>
      <c r="G463" s="727"/>
      <c r="H463" s="727"/>
      <c r="I463" s="727"/>
      <c r="J463" s="727"/>
      <c r="K463" s="727"/>
      <c r="L463" s="727"/>
      <c r="M463" s="727"/>
      <c r="N463" s="727"/>
      <c r="O463" s="727"/>
      <c r="P463" s="727"/>
      <c r="Q463" s="727"/>
      <c r="R463" s="727"/>
      <c r="S463" s="727"/>
      <c r="T463" s="727"/>
      <c r="U463" s="727"/>
      <c r="V463" s="727"/>
      <c r="W463" s="727"/>
      <c r="X463" s="727"/>
      <c r="Y463" s="727"/>
      <c r="Z463" s="727"/>
      <c r="AA463" s="727"/>
      <c r="AB463" s="727"/>
      <c r="AC463" s="727"/>
      <c r="AD463" s="727"/>
      <c r="AE463" s="727"/>
      <c r="AF463" s="727"/>
      <c r="AG463" s="727"/>
      <c r="AH463" s="727"/>
      <c r="AI463" s="727"/>
    </row>
    <row r="464">
      <c r="A464" s="727"/>
      <c r="B464" s="727"/>
      <c r="C464" s="727"/>
      <c r="D464" s="727"/>
      <c r="E464" s="727"/>
      <c r="F464" s="727"/>
      <c r="G464" s="727"/>
      <c r="H464" s="727"/>
      <c r="I464" s="727"/>
      <c r="J464" s="727"/>
      <c r="K464" s="727"/>
      <c r="L464" s="727"/>
      <c r="M464" s="727"/>
      <c r="N464" s="727"/>
      <c r="O464" s="727"/>
      <c r="P464" s="727"/>
      <c r="Q464" s="727"/>
      <c r="R464" s="727"/>
      <c r="S464" s="727"/>
      <c r="T464" s="727"/>
      <c r="U464" s="727"/>
      <c r="V464" s="727"/>
      <c r="W464" s="727"/>
      <c r="X464" s="727"/>
      <c r="Y464" s="727"/>
      <c r="Z464" s="727"/>
      <c r="AA464" s="727"/>
      <c r="AB464" s="727"/>
      <c r="AC464" s="727"/>
      <c r="AD464" s="727"/>
      <c r="AE464" s="727"/>
      <c r="AF464" s="727"/>
      <c r="AG464" s="727"/>
      <c r="AH464" s="727"/>
      <c r="AI464" s="727"/>
    </row>
    <row r="465">
      <c r="A465" s="727"/>
      <c r="B465" s="727"/>
      <c r="C465" s="727"/>
      <c r="D465" s="727"/>
      <c r="E465" s="727"/>
      <c r="F465" s="727"/>
      <c r="G465" s="727"/>
      <c r="H465" s="727"/>
      <c r="I465" s="727"/>
      <c r="J465" s="727"/>
      <c r="K465" s="727"/>
      <c r="L465" s="727"/>
      <c r="M465" s="727"/>
      <c r="N465" s="727"/>
      <c r="O465" s="727"/>
      <c r="P465" s="727"/>
      <c r="Q465" s="727"/>
      <c r="R465" s="727"/>
      <c r="S465" s="727"/>
      <c r="T465" s="727"/>
      <c r="U465" s="727"/>
      <c r="V465" s="727"/>
      <c r="W465" s="727"/>
      <c r="X465" s="727"/>
      <c r="Y465" s="727"/>
      <c r="Z465" s="727"/>
      <c r="AA465" s="727"/>
      <c r="AB465" s="727"/>
      <c r="AC465" s="727"/>
      <c r="AD465" s="727"/>
      <c r="AE465" s="727"/>
      <c r="AF465" s="727"/>
      <c r="AG465" s="727"/>
      <c r="AH465" s="727"/>
      <c r="AI465" s="727"/>
    </row>
    <row r="466">
      <c r="A466" s="727"/>
      <c r="B466" s="727"/>
      <c r="C466" s="727"/>
      <c r="D466" s="727"/>
      <c r="E466" s="727"/>
      <c r="F466" s="727"/>
      <c r="G466" s="727"/>
      <c r="H466" s="727"/>
      <c r="I466" s="727"/>
      <c r="J466" s="727"/>
      <c r="K466" s="727"/>
      <c r="L466" s="727"/>
      <c r="M466" s="727"/>
      <c r="N466" s="727"/>
      <c r="O466" s="727"/>
      <c r="P466" s="727"/>
      <c r="Q466" s="727"/>
      <c r="R466" s="727"/>
      <c r="S466" s="727"/>
      <c r="T466" s="727"/>
      <c r="U466" s="727"/>
      <c r="V466" s="727"/>
      <c r="W466" s="727"/>
      <c r="X466" s="727"/>
      <c r="Y466" s="727"/>
      <c r="Z466" s="727"/>
      <c r="AA466" s="727"/>
      <c r="AB466" s="727"/>
      <c r="AC466" s="727"/>
      <c r="AD466" s="727"/>
      <c r="AE466" s="727"/>
      <c r="AF466" s="727"/>
      <c r="AG466" s="727"/>
      <c r="AH466" s="727"/>
      <c r="AI466" s="727"/>
    </row>
    <row r="467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7"/>
      <c r="P467" s="727"/>
      <c r="Q467" s="727"/>
      <c r="R467" s="727"/>
      <c r="S467" s="727"/>
      <c r="T467" s="727"/>
      <c r="U467" s="727"/>
      <c r="V467" s="727"/>
      <c r="W467" s="727"/>
      <c r="X467" s="727"/>
      <c r="Y467" s="727"/>
      <c r="Z467" s="727"/>
      <c r="AA467" s="727"/>
      <c r="AB467" s="727"/>
      <c r="AC467" s="727"/>
      <c r="AD467" s="727"/>
      <c r="AE467" s="727"/>
      <c r="AF467" s="727"/>
      <c r="AG467" s="727"/>
      <c r="AH467" s="727"/>
      <c r="AI467" s="727"/>
    </row>
    <row r="468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7"/>
      <c r="P468" s="727"/>
      <c r="Q468" s="727"/>
      <c r="R468" s="727"/>
      <c r="S468" s="727"/>
      <c r="T468" s="727"/>
      <c r="U468" s="727"/>
      <c r="V468" s="727"/>
      <c r="W468" s="727"/>
      <c r="X468" s="727"/>
      <c r="Y468" s="727"/>
      <c r="Z468" s="727"/>
      <c r="AA468" s="727"/>
      <c r="AB468" s="727"/>
      <c r="AC468" s="727"/>
      <c r="AD468" s="727"/>
      <c r="AE468" s="727"/>
      <c r="AF468" s="727"/>
      <c r="AG468" s="727"/>
      <c r="AH468" s="727"/>
      <c r="AI468" s="727"/>
    </row>
    <row r="469">
      <c r="A469" s="727"/>
      <c r="B469" s="727"/>
      <c r="C469" s="727"/>
      <c r="D469" s="727"/>
      <c r="E469" s="727"/>
      <c r="F469" s="727"/>
      <c r="G469" s="727"/>
      <c r="H469" s="727"/>
      <c r="I469" s="727"/>
      <c r="J469" s="727"/>
      <c r="K469" s="727"/>
      <c r="L469" s="727"/>
      <c r="M469" s="727"/>
      <c r="N469" s="727"/>
      <c r="O469" s="727"/>
      <c r="P469" s="727"/>
      <c r="Q469" s="727"/>
      <c r="R469" s="727"/>
      <c r="S469" s="727"/>
      <c r="T469" s="727"/>
      <c r="U469" s="727"/>
      <c r="V469" s="727"/>
      <c r="W469" s="727"/>
      <c r="X469" s="727"/>
      <c r="Y469" s="727"/>
      <c r="Z469" s="727"/>
      <c r="AA469" s="727"/>
      <c r="AB469" s="727"/>
      <c r="AC469" s="727"/>
      <c r="AD469" s="727"/>
      <c r="AE469" s="727"/>
      <c r="AF469" s="727"/>
      <c r="AG469" s="727"/>
      <c r="AH469" s="727"/>
      <c r="AI469" s="727"/>
    </row>
    <row r="470">
      <c r="A470" s="727"/>
      <c r="B470" s="727"/>
      <c r="C470" s="727"/>
      <c r="D470" s="727"/>
      <c r="E470" s="727"/>
      <c r="F470" s="727"/>
      <c r="G470" s="727"/>
      <c r="H470" s="727"/>
      <c r="I470" s="727"/>
      <c r="J470" s="727"/>
      <c r="K470" s="727"/>
      <c r="L470" s="727"/>
      <c r="M470" s="727"/>
      <c r="N470" s="727"/>
      <c r="O470" s="727"/>
      <c r="P470" s="727"/>
      <c r="Q470" s="727"/>
      <c r="R470" s="727"/>
      <c r="S470" s="727"/>
      <c r="T470" s="727"/>
      <c r="U470" s="727"/>
      <c r="V470" s="727"/>
      <c r="W470" s="727"/>
      <c r="X470" s="727"/>
      <c r="Y470" s="727"/>
      <c r="Z470" s="727"/>
      <c r="AA470" s="727"/>
      <c r="AB470" s="727"/>
      <c r="AC470" s="727"/>
      <c r="AD470" s="727"/>
      <c r="AE470" s="727"/>
      <c r="AF470" s="727"/>
      <c r="AG470" s="727"/>
      <c r="AH470" s="727"/>
      <c r="AI470" s="727"/>
    </row>
    <row r="471">
      <c r="A471" s="727"/>
      <c r="B471" s="727"/>
      <c r="C471" s="727"/>
      <c r="D471" s="727"/>
      <c r="E471" s="727"/>
      <c r="F471" s="727"/>
      <c r="G471" s="727"/>
      <c r="H471" s="727"/>
      <c r="I471" s="727"/>
      <c r="J471" s="727"/>
      <c r="K471" s="727"/>
      <c r="L471" s="727"/>
      <c r="M471" s="727"/>
      <c r="N471" s="727"/>
      <c r="O471" s="727"/>
      <c r="P471" s="727"/>
      <c r="Q471" s="727"/>
      <c r="R471" s="727"/>
      <c r="S471" s="727"/>
      <c r="T471" s="727"/>
      <c r="U471" s="727"/>
      <c r="V471" s="727"/>
      <c r="W471" s="727"/>
      <c r="X471" s="727"/>
      <c r="Y471" s="727"/>
      <c r="Z471" s="727"/>
      <c r="AA471" s="727"/>
      <c r="AB471" s="727"/>
      <c r="AC471" s="727"/>
      <c r="AD471" s="727"/>
      <c r="AE471" s="727"/>
      <c r="AF471" s="727"/>
      <c r="AG471" s="727"/>
      <c r="AH471" s="727"/>
      <c r="AI471" s="727"/>
    </row>
    <row r="472">
      <c r="A472" s="727"/>
      <c r="B472" s="727"/>
      <c r="C472" s="727"/>
      <c r="D472" s="727"/>
      <c r="E472" s="727"/>
      <c r="F472" s="727"/>
      <c r="G472" s="727"/>
      <c r="H472" s="727"/>
      <c r="I472" s="727"/>
      <c r="J472" s="727"/>
      <c r="K472" s="727"/>
      <c r="L472" s="727"/>
      <c r="M472" s="727"/>
      <c r="N472" s="727"/>
      <c r="O472" s="727"/>
      <c r="P472" s="727"/>
      <c r="Q472" s="727"/>
      <c r="R472" s="727"/>
      <c r="S472" s="727"/>
      <c r="T472" s="727"/>
      <c r="U472" s="727"/>
      <c r="V472" s="727"/>
      <c r="W472" s="727"/>
      <c r="X472" s="727"/>
      <c r="Y472" s="727"/>
      <c r="Z472" s="727"/>
      <c r="AA472" s="727"/>
      <c r="AB472" s="727"/>
      <c r="AC472" s="727"/>
      <c r="AD472" s="727"/>
      <c r="AE472" s="727"/>
      <c r="AF472" s="727"/>
      <c r="AG472" s="727"/>
      <c r="AH472" s="727"/>
      <c r="AI472" s="727"/>
    </row>
    <row r="473">
      <c r="A473" s="727"/>
      <c r="B473" s="727"/>
      <c r="C473" s="727"/>
      <c r="D473" s="727"/>
      <c r="E473" s="727"/>
      <c r="F473" s="727"/>
      <c r="G473" s="727"/>
      <c r="H473" s="727"/>
      <c r="I473" s="727"/>
      <c r="J473" s="727"/>
      <c r="K473" s="727"/>
      <c r="L473" s="727"/>
      <c r="M473" s="727"/>
      <c r="N473" s="727"/>
      <c r="O473" s="727"/>
      <c r="P473" s="727"/>
      <c r="Q473" s="727"/>
      <c r="R473" s="727"/>
      <c r="S473" s="727"/>
      <c r="T473" s="727"/>
      <c r="U473" s="727"/>
      <c r="V473" s="727"/>
      <c r="W473" s="727"/>
      <c r="X473" s="727"/>
      <c r="Y473" s="727"/>
      <c r="Z473" s="727"/>
      <c r="AA473" s="727"/>
      <c r="AB473" s="727"/>
      <c r="AC473" s="727"/>
      <c r="AD473" s="727"/>
      <c r="AE473" s="727"/>
      <c r="AF473" s="727"/>
      <c r="AG473" s="727"/>
      <c r="AH473" s="727"/>
      <c r="AI473" s="727"/>
    </row>
    <row r="474">
      <c r="A474" s="727"/>
      <c r="B474" s="727"/>
      <c r="C474" s="727"/>
      <c r="D474" s="727"/>
      <c r="E474" s="727"/>
      <c r="F474" s="727"/>
      <c r="G474" s="727"/>
      <c r="H474" s="727"/>
      <c r="I474" s="727"/>
      <c r="J474" s="727"/>
      <c r="K474" s="727"/>
      <c r="L474" s="727"/>
      <c r="M474" s="727"/>
      <c r="N474" s="727"/>
      <c r="O474" s="727"/>
      <c r="P474" s="727"/>
      <c r="Q474" s="727"/>
      <c r="R474" s="727"/>
      <c r="S474" s="727"/>
      <c r="T474" s="727"/>
      <c r="U474" s="727"/>
      <c r="V474" s="727"/>
      <c r="W474" s="727"/>
      <c r="X474" s="727"/>
      <c r="Y474" s="727"/>
      <c r="Z474" s="727"/>
      <c r="AA474" s="727"/>
      <c r="AB474" s="727"/>
      <c r="AC474" s="727"/>
      <c r="AD474" s="727"/>
      <c r="AE474" s="727"/>
      <c r="AF474" s="727"/>
      <c r="AG474" s="727"/>
      <c r="AH474" s="727"/>
      <c r="AI474" s="727"/>
    </row>
    <row r="475">
      <c r="A475" s="727"/>
      <c r="B475" s="727"/>
      <c r="C475" s="727"/>
      <c r="D475" s="727"/>
      <c r="E475" s="727"/>
      <c r="F475" s="727"/>
      <c r="G475" s="727"/>
      <c r="H475" s="727"/>
      <c r="I475" s="727"/>
      <c r="J475" s="727"/>
      <c r="K475" s="727"/>
      <c r="L475" s="727"/>
      <c r="M475" s="727"/>
      <c r="N475" s="727"/>
      <c r="O475" s="727"/>
      <c r="P475" s="727"/>
      <c r="Q475" s="727"/>
      <c r="R475" s="727"/>
      <c r="S475" s="727"/>
      <c r="T475" s="727"/>
      <c r="U475" s="727"/>
      <c r="V475" s="727"/>
      <c r="W475" s="727"/>
      <c r="X475" s="727"/>
      <c r="Y475" s="727"/>
      <c r="Z475" s="727"/>
      <c r="AA475" s="727"/>
      <c r="AB475" s="727"/>
      <c r="AC475" s="727"/>
      <c r="AD475" s="727"/>
      <c r="AE475" s="727"/>
      <c r="AF475" s="727"/>
      <c r="AG475" s="727"/>
      <c r="AH475" s="727"/>
      <c r="AI475" s="727"/>
    </row>
    <row r="476">
      <c r="A476" s="727"/>
      <c r="B476" s="727"/>
      <c r="C476" s="727"/>
      <c r="D476" s="727"/>
      <c r="E476" s="727"/>
      <c r="F476" s="727"/>
      <c r="G476" s="727"/>
      <c r="H476" s="727"/>
      <c r="I476" s="727"/>
      <c r="J476" s="727"/>
      <c r="K476" s="727"/>
      <c r="L476" s="727"/>
      <c r="M476" s="727"/>
      <c r="N476" s="727"/>
      <c r="O476" s="727"/>
      <c r="P476" s="727"/>
      <c r="Q476" s="727"/>
      <c r="R476" s="727"/>
      <c r="S476" s="727"/>
      <c r="T476" s="727"/>
      <c r="U476" s="727"/>
      <c r="V476" s="727"/>
      <c r="W476" s="727"/>
      <c r="X476" s="727"/>
      <c r="Y476" s="727"/>
      <c r="Z476" s="727"/>
      <c r="AA476" s="727"/>
      <c r="AB476" s="727"/>
      <c r="AC476" s="727"/>
      <c r="AD476" s="727"/>
      <c r="AE476" s="727"/>
      <c r="AF476" s="727"/>
      <c r="AG476" s="727"/>
      <c r="AH476" s="727"/>
      <c r="AI476" s="727"/>
    </row>
    <row r="477">
      <c r="A477" s="727"/>
      <c r="B477" s="727"/>
      <c r="C477" s="727"/>
      <c r="D477" s="727"/>
      <c r="E477" s="727"/>
      <c r="F477" s="727"/>
      <c r="G477" s="727"/>
      <c r="H477" s="727"/>
      <c r="I477" s="727"/>
      <c r="J477" s="727"/>
      <c r="K477" s="727"/>
      <c r="L477" s="727"/>
      <c r="M477" s="727"/>
      <c r="N477" s="727"/>
      <c r="O477" s="727"/>
      <c r="P477" s="727"/>
      <c r="Q477" s="727"/>
      <c r="R477" s="727"/>
      <c r="S477" s="727"/>
      <c r="T477" s="727"/>
      <c r="U477" s="727"/>
      <c r="V477" s="727"/>
      <c r="W477" s="727"/>
      <c r="X477" s="727"/>
      <c r="Y477" s="727"/>
      <c r="Z477" s="727"/>
      <c r="AA477" s="727"/>
      <c r="AB477" s="727"/>
      <c r="AC477" s="727"/>
      <c r="AD477" s="727"/>
      <c r="AE477" s="727"/>
      <c r="AF477" s="727"/>
      <c r="AG477" s="727"/>
      <c r="AH477" s="727"/>
      <c r="AI477" s="727"/>
    </row>
    <row r="478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7"/>
      <c r="P478" s="727"/>
      <c r="Q478" s="727"/>
      <c r="R478" s="727"/>
      <c r="S478" s="727"/>
      <c r="T478" s="727"/>
      <c r="U478" s="727"/>
      <c r="V478" s="727"/>
      <c r="W478" s="727"/>
      <c r="X478" s="727"/>
      <c r="Y478" s="727"/>
      <c r="Z478" s="727"/>
      <c r="AA478" s="727"/>
      <c r="AB478" s="727"/>
      <c r="AC478" s="727"/>
      <c r="AD478" s="727"/>
      <c r="AE478" s="727"/>
      <c r="AF478" s="727"/>
      <c r="AG478" s="727"/>
      <c r="AH478" s="727"/>
      <c r="AI478" s="727"/>
    </row>
    <row r="479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7"/>
      <c r="P479" s="727"/>
      <c r="Q479" s="727"/>
      <c r="R479" s="727"/>
      <c r="S479" s="727"/>
      <c r="T479" s="727"/>
      <c r="U479" s="727"/>
      <c r="V479" s="727"/>
      <c r="W479" s="727"/>
      <c r="X479" s="727"/>
      <c r="Y479" s="727"/>
      <c r="Z479" s="727"/>
      <c r="AA479" s="727"/>
      <c r="AB479" s="727"/>
      <c r="AC479" s="727"/>
      <c r="AD479" s="727"/>
      <c r="AE479" s="727"/>
      <c r="AF479" s="727"/>
      <c r="AG479" s="727"/>
      <c r="AH479" s="727"/>
      <c r="AI479" s="727"/>
    </row>
    <row r="480">
      <c r="A480" s="727"/>
      <c r="B480" s="727"/>
      <c r="C480" s="727"/>
      <c r="D480" s="727"/>
      <c r="E480" s="727"/>
      <c r="F480" s="727"/>
      <c r="G480" s="727"/>
      <c r="H480" s="727"/>
      <c r="I480" s="727"/>
      <c r="J480" s="727"/>
      <c r="K480" s="727"/>
      <c r="L480" s="727"/>
      <c r="M480" s="727"/>
      <c r="N480" s="727"/>
      <c r="O480" s="727"/>
      <c r="P480" s="727"/>
      <c r="Q480" s="727"/>
      <c r="R480" s="727"/>
      <c r="S480" s="727"/>
      <c r="T480" s="727"/>
      <c r="U480" s="727"/>
      <c r="V480" s="727"/>
      <c r="W480" s="727"/>
      <c r="X480" s="727"/>
      <c r="Y480" s="727"/>
      <c r="Z480" s="727"/>
      <c r="AA480" s="727"/>
      <c r="AB480" s="727"/>
      <c r="AC480" s="727"/>
      <c r="AD480" s="727"/>
      <c r="AE480" s="727"/>
      <c r="AF480" s="727"/>
      <c r="AG480" s="727"/>
      <c r="AH480" s="727"/>
      <c r="AI480" s="727"/>
    </row>
    <row r="481">
      <c r="A481" s="727"/>
      <c r="B481" s="727"/>
      <c r="C481" s="727"/>
      <c r="D481" s="727"/>
      <c r="E481" s="727"/>
      <c r="F481" s="727"/>
      <c r="G481" s="727"/>
      <c r="H481" s="727"/>
      <c r="I481" s="727"/>
      <c r="J481" s="727"/>
      <c r="K481" s="727"/>
      <c r="L481" s="727"/>
      <c r="M481" s="727"/>
      <c r="N481" s="727"/>
      <c r="O481" s="727"/>
      <c r="P481" s="727"/>
      <c r="Q481" s="727"/>
      <c r="R481" s="727"/>
      <c r="S481" s="727"/>
      <c r="T481" s="727"/>
      <c r="U481" s="727"/>
      <c r="V481" s="727"/>
      <c r="W481" s="727"/>
      <c r="X481" s="727"/>
      <c r="Y481" s="727"/>
      <c r="Z481" s="727"/>
      <c r="AA481" s="727"/>
      <c r="AB481" s="727"/>
      <c r="AC481" s="727"/>
      <c r="AD481" s="727"/>
      <c r="AE481" s="727"/>
      <c r="AF481" s="727"/>
      <c r="AG481" s="727"/>
      <c r="AH481" s="727"/>
      <c r="AI481" s="727"/>
    </row>
    <row r="482">
      <c r="A482" s="727"/>
      <c r="B482" s="727"/>
      <c r="C482" s="727"/>
      <c r="D482" s="727"/>
      <c r="E482" s="727"/>
      <c r="F482" s="727"/>
      <c r="G482" s="727"/>
      <c r="H482" s="727"/>
      <c r="I482" s="727"/>
      <c r="J482" s="727"/>
      <c r="K482" s="727"/>
      <c r="L482" s="727"/>
      <c r="M482" s="727"/>
      <c r="N482" s="727"/>
      <c r="O482" s="727"/>
      <c r="P482" s="727"/>
      <c r="Q482" s="727"/>
      <c r="R482" s="727"/>
      <c r="S482" s="727"/>
      <c r="T482" s="727"/>
      <c r="U482" s="727"/>
      <c r="V482" s="727"/>
      <c r="W482" s="727"/>
      <c r="X482" s="727"/>
      <c r="Y482" s="727"/>
      <c r="Z482" s="727"/>
      <c r="AA482" s="727"/>
      <c r="AB482" s="727"/>
      <c r="AC482" s="727"/>
      <c r="AD482" s="727"/>
      <c r="AE482" s="727"/>
      <c r="AF482" s="727"/>
      <c r="AG482" s="727"/>
      <c r="AH482" s="727"/>
      <c r="AI482" s="727"/>
    </row>
    <row r="483">
      <c r="A483" s="741"/>
      <c r="B483" s="741"/>
      <c r="C483" s="741"/>
      <c r="D483" s="741"/>
      <c r="E483" s="741"/>
      <c r="F483" s="741"/>
      <c r="G483" s="741"/>
      <c r="H483" s="741"/>
      <c r="I483" s="741"/>
      <c r="J483" s="741"/>
      <c r="K483" s="741"/>
      <c r="L483" s="741"/>
      <c r="M483" s="741"/>
      <c r="N483" s="741"/>
      <c r="O483" s="741"/>
      <c r="P483" s="741"/>
      <c r="Q483" s="741"/>
      <c r="R483" s="741"/>
      <c r="S483" s="741"/>
      <c r="T483" s="741"/>
      <c r="U483" s="741"/>
      <c r="V483" s="741"/>
      <c r="W483" s="741"/>
      <c r="X483" s="741"/>
      <c r="Y483" s="741"/>
      <c r="Z483" s="741"/>
      <c r="AA483" s="741"/>
      <c r="AB483" s="741"/>
      <c r="AC483" s="741"/>
      <c r="AD483" s="741"/>
      <c r="AE483" s="741"/>
      <c r="AF483" s="741"/>
      <c r="AG483" s="741"/>
      <c r="AH483" s="741"/>
      <c r="AI483" s="741"/>
    </row>
    <row r="484">
      <c r="A484" s="741"/>
      <c r="B484" s="741"/>
      <c r="C484" s="741"/>
      <c r="D484" s="741"/>
      <c r="E484" s="741"/>
      <c r="F484" s="741"/>
      <c r="G484" s="741"/>
      <c r="H484" s="741"/>
      <c r="I484" s="741"/>
      <c r="J484" s="741"/>
      <c r="K484" s="741"/>
      <c r="L484" s="741"/>
      <c r="M484" s="741"/>
      <c r="N484" s="741"/>
      <c r="O484" s="741"/>
      <c r="P484" s="741"/>
      <c r="Q484" s="741"/>
      <c r="R484" s="741"/>
      <c r="S484" s="741"/>
      <c r="T484" s="741"/>
      <c r="U484" s="741"/>
      <c r="V484" s="741"/>
      <c r="W484" s="741"/>
      <c r="X484" s="741"/>
      <c r="Y484" s="741"/>
      <c r="Z484" s="741"/>
      <c r="AA484" s="741"/>
      <c r="AB484" s="741"/>
      <c r="AC484" s="741"/>
      <c r="AD484" s="741"/>
      <c r="AE484" s="741"/>
      <c r="AF484" s="741"/>
      <c r="AG484" s="741"/>
      <c r="AH484" s="741"/>
      <c r="AI484" s="741"/>
    </row>
    <row r="485">
      <c r="A485" s="741"/>
      <c r="B485" s="741"/>
      <c r="C485" s="741"/>
      <c r="D485" s="741"/>
      <c r="E485" s="741"/>
      <c r="F485" s="741"/>
      <c r="G485" s="741"/>
      <c r="H485" s="741"/>
      <c r="I485" s="741"/>
      <c r="J485" s="741"/>
      <c r="K485" s="741"/>
      <c r="L485" s="741"/>
      <c r="M485" s="741"/>
      <c r="N485" s="741"/>
      <c r="O485" s="741"/>
      <c r="P485" s="741"/>
      <c r="Q485" s="741"/>
      <c r="R485" s="741"/>
      <c r="S485" s="741"/>
      <c r="T485" s="741"/>
      <c r="U485" s="741"/>
      <c r="V485" s="741"/>
      <c r="W485" s="741"/>
      <c r="X485" s="741"/>
      <c r="Y485" s="741"/>
      <c r="Z485" s="741"/>
      <c r="AA485" s="741"/>
      <c r="AB485" s="741"/>
      <c r="AC485" s="741"/>
      <c r="AD485" s="741"/>
      <c r="AE485" s="741"/>
      <c r="AF485" s="741"/>
      <c r="AG485" s="741"/>
      <c r="AH485" s="741"/>
      <c r="AI485" s="741"/>
    </row>
    <row r="486">
      <c r="A486" s="741"/>
      <c r="B486" s="741"/>
      <c r="C486" s="741"/>
      <c r="D486" s="741"/>
      <c r="E486" s="741"/>
      <c r="F486" s="741"/>
      <c r="G486" s="741"/>
      <c r="H486" s="741"/>
      <c r="I486" s="741"/>
      <c r="J486" s="741"/>
      <c r="K486" s="741"/>
      <c r="L486" s="741"/>
      <c r="M486" s="741"/>
      <c r="N486" s="741"/>
      <c r="O486" s="741"/>
      <c r="P486" s="741"/>
      <c r="Q486" s="741"/>
      <c r="R486" s="741"/>
      <c r="S486" s="741"/>
      <c r="T486" s="741"/>
      <c r="U486" s="741"/>
      <c r="V486" s="741"/>
      <c r="W486" s="741"/>
      <c r="X486" s="741"/>
      <c r="Y486" s="741"/>
      <c r="Z486" s="741"/>
      <c r="AA486" s="741"/>
      <c r="AB486" s="741"/>
      <c r="AC486" s="741"/>
      <c r="AD486" s="741"/>
      <c r="AE486" s="741"/>
      <c r="AF486" s="741"/>
      <c r="AG486" s="741"/>
      <c r="AH486" s="741"/>
      <c r="AI486" s="741"/>
    </row>
    <row r="487">
      <c r="A487" s="741"/>
      <c r="B487" s="741"/>
      <c r="C487" s="741"/>
      <c r="D487" s="741"/>
      <c r="E487" s="741"/>
      <c r="F487" s="741"/>
      <c r="G487" s="741"/>
      <c r="H487" s="741"/>
      <c r="I487" s="741"/>
      <c r="J487" s="741"/>
      <c r="K487" s="741"/>
      <c r="L487" s="741"/>
      <c r="M487" s="741"/>
      <c r="N487" s="741"/>
      <c r="O487" s="741"/>
      <c r="P487" s="741"/>
      <c r="Q487" s="741"/>
      <c r="R487" s="741"/>
      <c r="S487" s="741"/>
      <c r="T487" s="741"/>
      <c r="U487" s="741"/>
      <c r="V487" s="741"/>
      <c r="W487" s="741"/>
      <c r="X487" s="741"/>
      <c r="Y487" s="741"/>
      <c r="Z487" s="741"/>
      <c r="AA487" s="741"/>
      <c r="AB487" s="741"/>
      <c r="AC487" s="741"/>
      <c r="AD487" s="741"/>
      <c r="AE487" s="741"/>
      <c r="AF487" s="741"/>
      <c r="AG487" s="741"/>
      <c r="AH487" s="741"/>
      <c r="AI487" s="741"/>
    </row>
    <row r="488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1"/>
      <c r="P488" s="741"/>
      <c r="Q488" s="741"/>
      <c r="R488" s="741"/>
      <c r="S488" s="741"/>
      <c r="T488" s="741"/>
      <c r="U488" s="741"/>
      <c r="V488" s="741"/>
      <c r="W488" s="741"/>
      <c r="X488" s="741"/>
      <c r="Y488" s="741"/>
      <c r="Z488" s="741"/>
      <c r="AA488" s="741"/>
      <c r="AB488" s="741"/>
      <c r="AC488" s="741"/>
      <c r="AD488" s="741"/>
      <c r="AE488" s="741"/>
      <c r="AF488" s="741"/>
      <c r="AG488" s="741"/>
      <c r="AH488" s="741"/>
      <c r="AI488" s="741"/>
    </row>
    <row r="489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1"/>
      <c r="P489" s="741"/>
      <c r="Q489" s="741"/>
      <c r="R489" s="741"/>
      <c r="S489" s="741"/>
      <c r="T489" s="741"/>
      <c r="U489" s="741"/>
      <c r="V489" s="741"/>
      <c r="W489" s="741"/>
      <c r="X489" s="741"/>
      <c r="Y489" s="741"/>
      <c r="Z489" s="741"/>
      <c r="AA489" s="741"/>
      <c r="AB489" s="741"/>
      <c r="AC489" s="741"/>
      <c r="AD489" s="741"/>
      <c r="AE489" s="741"/>
      <c r="AF489" s="741"/>
      <c r="AG489" s="741"/>
      <c r="AH489" s="741"/>
      <c r="AI489" s="741"/>
    </row>
    <row r="490">
      <c r="A490" s="741"/>
      <c r="B490" s="741"/>
      <c r="C490" s="741"/>
      <c r="D490" s="741"/>
      <c r="E490" s="741"/>
      <c r="F490" s="741"/>
      <c r="G490" s="741"/>
      <c r="H490" s="741"/>
      <c r="I490" s="741"/>
      <c r="J490" s="741"/>
      <c r="K490" s="741"/>
      <c r="L490" s="741"/>
      <c r="M490" s="741"/>
      <c r="N490" s="741"/>
      <c r="O490" s="741"/>
      <c r="P490" s="741"/>
      <c r="Q490" s="741"/>
      <c r="R490" s="741"/>
      <c r="S490" s="741"/>
      <c r="T490" s="741"/>
      <c r="U490" s="741"/>
      <c r="V490" s="741"/>
      <c r="W490" s="741"/>
      <c r="X490" s="741"/>
      <c r="Y490" s="741"/>
      <c r="Z490" s="741"/>
      <c r="AA490" s="741"/>
      <c r="AB490" s="741"/>
      <c r="AC490" s="741"/>
      <c r="AD490" s="741"/>
      <c r="AE490" s="741"/>
      <c r="AF490" s="741"/>
      <c r="AG490" s="741"/>
      <c r="AH490" s="741"/>
      <c r="AI490" s="741"/>
    </row>
    <row r="491">
      <c r="A491" s="741"/>
      <c r="B491" s="741"/>
      <c r="C491" s="741"/>
      <c r="D491" s="741"/>
      <c r="E491" s="741"/>
      <c r="F491" s="741"/>
      <c r="G491" s="741"/>
      <c r="H491" s="741"/>
      <c r="I491" s="741"/>
      <c r="J491" s="741"/>
      <c r="K491" s="741"/>
      <c r="L491" s="741"/>
      <c r="M491" s="741"/>
      <c r="N491" s="741"/>
      <c r="O491" s="741"/>
      <c r="P491" s="741"/>
      <c r="Q491" s="741"/>
      <c r="R491" s="741"/>
      <c r="S491" s="741"/>
      <c r="T491" s="741"/>
      <c r="U491" s="741"/>
      <c r="V491" s="741"/>
      <c r="W491" s="741"/>
      <c r="X491" s="741"/>
      <c r="Y491" s="741"/>
      <c r="Z491" s="741"/>
      <c r="AA491" s="741"/>
      <c r="AB491" s="741"/>
      <c r="AC491" s="741"/>
      <c r="AD491" s="741"/>
      <c r="AE491" s="741"/>
      <c r="AF491" s="741"/>
      <c r="AG491" s="741"/>
      <c r="AH491" s="741"/>
      <c r="AI491" s="741"/>
    </row>
    <row r="492">
      <c r="A492" s="741"/>
      <c r="B492" s="741"/>
      <c r="C492" s="741"/>
      <c r="D492" s="741"/>
      <c r="E492" s="741"/>
      <c r="F492" s="741"/>
      <c r="G492" s="741"/>
      <c r="H492" s="741"/>
      <c r="I492" s="741"/>
      <c r="J492" s="741"/>
      <c r="K492" s="741"/>
      <c r="L492" s="741"/>
      <c r="M492" s="741"/>
      <c r="N492" s="741"/>
      <c r="O492" s="741"/>
      <c r="P492" s="741"/>
      <c r="Q492" s="741"/>
      <c r="R492" s="741"/>
      <c r="S492" s="741"/>
      <c r="T492" s="741"/>
      <c r="U492" s="741"/>
      <c r="V492" s="741"/>
      <c r="W492" s="741"/>
      <c r="X492" s="741"/>
      <c r="Y492" s="741"/>
      <c r="Z492" s="741"/>
      <c r="AA492" s="741"/>
      <c r="AB492" s="741"/>
      <c r="AC492" s="741"/>
      <c r="AD492" s="741"/>
      <c r="AE492" s="741"/>
      <c r="AF492" s="741"/>
      <c r="AG492" s="741"/>
      <c r="AH492" s="741"/>
      <c r="AI492" s="741"/>
    </row>
    <row r="493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1"/>
      <c r="P493" s="741"/>
      <c r="Q493" s="741"/>
      <c r="R493" s="741"/>
      <c r="S493" s="741"/>
      <c r="T493" s="741"/>
      <c r="U493" s="741"/>
      <c r="V493" s="741"/>
      <c r="W493" s="741"/>
      <c r="X493" s="741"/>
      <c r="Y493" s="741"/>
      <c r="Z493" s="741"/>
      <c r="AA493" s="741"/>
      <c r="AB493" s="741"/>
      <c r="AC493" s="741"/>
      <c r="AD493" s="741"/>
      <c r="AE493" s="741"/>
      <c r="AF493" s="741"/>
      <c r="AG493" s="741"/>
      <c r="AH493" s="741"/>
      <c r="AI493" s="741"/>
    </row>
    <row r="494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1"/>
      <c r="P494" s="741"/>
      <c r="Q494" s="741"/>
      <c r="R494" s="741"/>
      <c r="S494" s="741"/>
      <c r="T494" s="741"/>
      <c r="U494" s="741"/>
      <c r="V494" s="741"/>
      <c r="W494" s="741"/>
      <c r="X494" s="741"/>
      <c r="Y494" s="741"/>
      <c r="Z494" s="741"/>
      <c r="AA494" s="741"/>
      <c r="AB494" s="741"/>
      <c r="AC494" s="741"/>
      <c r="AD494" s="741"/>
      <c r="AE494" s="741"/>
      <c r="AF494" s="741"/>
      <c r="AG494" s="741"/>
      <c r="AH494" s="741"/>
      <c r="AI494" s="741"/>
    </row>
    <row r="495">
      <c r="A495" s="741"/>
      <c r="B495" s="741"/>
      <c r="C495" s="741"/>
      <c r="D495" s="741"/>
      <c r="E495" s="741"/>
      <c r="F495" s="741"/>
      <c r="G495" s="741"/>
      <c r="H495" s="741"/>
      <c r="I495" s="741"/>
      <c r="J495" s="741"/>
      <c r="K495" s="741"/>
      <c r="L495" s="741"/>
      <c r="M495" s="741"/>
      <c r="N495" s="741"/>
      <c r="O495" s="741"/>
      <c r="P495" s="741"/>
      <c r="Q495" s="741"/>
      <c r="R495" s="741"/>
      <c r="S495" s="741"/>
      <c r="T495" s="741"/>
      <c r="U495" s="741"/>
      <c r="V495" s="741"/>
      <c r="W495" s="741"/>
      <c r="X495" s="741"/>
      <c r="Y495" s="741"/>
      <c r="Z495" s="741"/>
      <c r="AA495" s="741"/>
      <c r="AB495" s="741"/>
      <c r="AC495" s="741"/>
      <c r="AD495" s="741"/>
      <c r="AE495" s="741"/>
      <c r="AF495" s="741"/>
      <c r="AG495" s="741"/>
      <c r="AH495" s="741"/>
      <c r="AI495" s="741"/>
    </row>
    <row r="496">
      <c r="A496" s="741"/>
      <c r="B496" s="741"/>
      <c r="C496" s="741"/>
      <c r="D496" s="741"/>
      <c r="E496" s="741"/>
      <c r="F496" s="741"/>
      <c r="G496" s="741"/>
      <c r="H496" s="741"/>
      <c r="I496" s="741"/>
      <c r="J496" s="741"/>
      <c r="K496" s="741"/>
      <c r="L496" s="741"/>
      <c r="M496" s="741"/>
      <c r="N496" s="741"/>
      <c r="O496" s="741"/>
      <c r="P496" s="741"/>
      <c r="Q496" s="741"/>
      <c r="R496" s="741"/>
      <c r="S496" s="741"/>
      <c r="T496" s="741"/>
      <c r="U496" s="741"/>
      <c r="V496" s="741"/>
      <c r="W496" s="741"/>
      <c r="X496" s="741"/>
      <c r="Y496" s="741"/>
      <c r="Z496" s="741"/>
      <c r="AA496" s="741"/>
      <c r="AB496" s="741"/>
      <c r="AC496" s="741"/>
      <c r="AD496" s="741"/>
      <c r="AE496" s="741"/>
      <c r="AF496" s="741"/>
      <c r="AG496" s="741"/>
      <c r="AH496" s="741"/>
      <c r="AI496" s="741"/>
    </row>
    <row r="497">
      <c r="A497" s="741"/>
      <c r="B497" s="741"/>
      <c r="C497" s="741"/>
      <c r="D497" s="741"/>
      <c r="E497" s="741"/>
      <c r="F497" s="741"/>
      <c r="G497" s="741"/>
      <c r="H497" s="741"/>
      <c r="I497" s="741"/>
      <c r="J497" s="741"/>
      <c r="K497" s="741"/>
      <c r="L497" s="741"/>
      <c r="M497" s="741"/>
      <c r="N497" s="741"/>
      <c r="O497" s="741"/>
      <c r="P497" s="741"/>
      <c r="Q497" s="741"/>
      <c r="R497" s="741"/>
      <c r="S497" s="741"/>
      <c r="T497" s="741"/>
      <c r="U497" s="741"/>
      <c r="V497" s="741"/>
      <c r="W497" s="741"/>
      <c r="X497" s="741"/>
      <c r="Y497" s="741"/>
      <c r="Z497" s="741"/>
      <c r="AA497" s="741"/>
      <c r="AB497" s="741"/>
      <c r="AC497" s="741"/>
      <c r="AD497" s="741"/>
      <c r="AE497" s="741"/>
      <c r="AF497" s="741"/>
      <c r="AG497" s="741"/>
      <c r="AH497" s="741"/>
      <c r="AI497" s="741"/>
    </row>
    <row r="498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1"/>
      <c r="P498" s="741"/>
      <c r="Q498" s="741"/>
      <c r="R498" s="741"/>
      <c r="S498" s="741"/>
      <c r="T498" s="741"/>
      <c r="U498" s="741"/>
      <c r="V498" s="741"/>
      <c r="W498" s="741"/>
      <c r="X498" s="741"/>
      <c r="Y498" s="741"/>
      <c r="Z498" s="741"/>
      <c r="AA498" s="741"/>
      <c r="AB498" s="741"/>
      <c r="AC498" s="741"/>
      <c r="AD498" s="741"/>
      <c r="AE498" s="741"/>
      <c r="AF498" s="741"/>
      <c r="AG498" s="741"/>
      <c r="AH498" s="741"/>
      <c r="AI498" s="741"/>
    </row>
    <row r="499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1"/>
      <c r="P499" s="741"/>
      <c r="Q499" s="741"/>
      <c r="R499" s="741"/>
      <c r="S499" s="741"/>
      <c r="T499" s="741"/>
      <c r="U499" s="741"/>
      <c r="V499" s="741"/>
      <c r="W499" s="741"/>
      <c r="X499" s="741"/>
      <c r="Y499" s="741"/>
      <c r="Z499" s="741"/>
      <c r="AA499" s="741"/>
      <c r="AB499" s="741"/>
      <c r="AC499" s="741"/>
      <c r="AD499" s="741"/>
      <c r="AE499" s="741"/>
      <c r="AF499" s="741"/>
      <c r="AG499" s="741"/>
      <c r="AH499" s="741"/>
      <c r="AI499" s="741"/>
    </row>
    <row r="500">
      <c r="A500" s="741"/>
      <c r="B500" s="741"/>
      <c r="C500" s="741"/>
      <c r="D500" s="741"/>
      <c r="E500" s="741"/>
      <c r="F500" s="741"/>
      <c r="G500" s="741"/>
      <c r="H500" s="741"/>
      <c r="I500" s="741"/>
      <c r="J500" s="741"/>
      <c r="K500" s="741"/>
      <c r="L500" s="741"/>
      <c r="M500" s="741"/>
      <c r="N500" s="741"/>
      <c r="O500" s="741"/>
      <c r="P500" s="741"/>
      <c r="Q500" s="741"/>
      <c r="R500" s="741"/>
      <c r="S500" s="741"/>
      <c r="T500" s="741"/>
      <c r="U500" s="741"/>
      <c r="V500" s="741"/>
      <c r="W500" s="741"/>
      <c r="X500" s="741"/>
      <c r="Y500" s="741"/>
      <c r="Z500" s="741"/>
      <c r="AA500" s="741"/>
      <c r="AB500" s="741"/>
      <c r="AC500" s="741"/>
      <c r="AD500" s="741"/>
      <c r="AE500" s="741"/>
      <c r="AF500" s="741"/>
      <c r="AG500" s="741"/>
      <c r="AH500" s="741"/>
      <c r="AI500" s="741"/>
    </row>
    <row r="501">
      <c r="A501" s="741"/>
      <c r="B501" s="741"/>
      <c r="C501" s="741"/>
      <c r="D501" s="741"/>
      <c r="E501" s="741"/>
      <c r="F501" s="741"/>
      <c r="G501" s="741"/>
      <c r="H501" s="741"/>
      <c r="I501" s="741"/>
      <c r="J501" s="741"/>
      <c r="K501" s="741"/>
      <c r="L501" s="741"/>
      <c r="M501" s="741"/>
      <c r="N501" s="741"/>
      <c r="O501" s="741"/>
      <c r="P501" s="741"/>
      <c r="Q501" s="741"/>
      <c r="R501" s="741"/>
      <c r="S501" s="741"/>
      <c r="T501" s="741"/>
      <c r="U501" s="741"/>
      <c r="V501" s="741"/>
      <c r="W501" s="741"/>
      <c r="X501" s="741"/>
      <c r="Y501" s="741"/>
      <c r="Z501" s="741"/>
      <c r="AA501" s="741"/>
      <c r="AB501" s="741"/>
      <c r="AC501" s="741"/>
      <c r="AD501" s="741"/>
      <c r="AE501" s="741"/>
      <c r="AF501" s="741"/>
      <c r="AG501" s="741"/>
      <c r="AH501" s="741"/>
      <c r="AI501" s="741"/>
    </row>
    <row r="502">
      <c r="A502" s="741"/>
      <c r="B502" s="741"/>
      <c r="C502" s="741"/>
      <c r="D502" s="741"/>
      <c r="E502" s="741"/>
      <c r="F502" s="741"/>
      <c r="G502" s="741"/>
      <c r="H502" s="741"/>
      <c r="I502" s="741"/>
      <c r="J502" s="741"/>
      <c r="K502" s="741"/>
      <c r="L502" s="741"/>
      <c r="M502" s="741"/>
      <c r="N502" s="741"/>
      <c r="O502" s="741"/>
      <c r="P502" s="741"/>
      <c r="Q502" s="741"/>
      <c r="R502" s="741"/>
      <c r="S502" s="741"/>
      <c r="T502" s="741"/>
      <c r="U502" s="741"/>
      <c r="V502" s="741"/>
      <c r="W502" s="741"/>
      <c r="X502" s="741"/>
      <c r="Y502" s="741"/>
      <c r="Z502" s="741"/>
      <c r="AA502" s="741"/>
      <c r="AB502" s="741"/>
      <c r="AC502" s="741"/>
      <c r="AD502" s="741"/>
      <c r="AE502" s="741"/>
      <c r="AF502" s="741"/>
      <c r="AG502" s="741"/>
      <c r="AH502" s="741"/>
      <c r="AI502" s="741"/>
    </row>
    <row r="503">
      <c r="A503" s="741"/>
      <c r="B503" s="741"/>
      <c r="C503" s="741"/>
      <c r="D503" s="741"/>
      <c r="E503" s="741"/>
      <c r="F503" s="741"/>
      <c r="G503" s="741"/>
      <c r="H503" s="741"/>
      <c r="I503" s="741"/>
      <c r="J503" s="741"/>
      <c r="K503" s="741"/>
      <c r="L503" s="741"/>
      <c r="M503" s="741"/>
      <c r="N503" s="741"/>
      <c r="O503" s="741"/>
      <c r="P503" s="741"/>
      <c r="Q503" s="741"/>
      <c r="R503" s="741"/>
      <c r="S503" s="741"/>
      <c r="T503" s="741"/>
      <c r="U503" s="741"/>
      <c r="V503" s="741"/>
      <c r="W503" s="741"/>
      <c r="X503" s="741"/>
      <c r="Y503" s="741"/>
      <c r="Z503" s="741"/>
      <c r="AA503" s="741"/>
      <c r="AB503" s="741"/>
      <c r="AC503" s="741"/>
      <c r="AD503" s="741"/>
      <c r="AE503" s="741"/>
      <c r="AF503" s="741"/>
      <c r="AG503" s="741"/>
      <c r="AH503" s="741"/>
      <c r="AI503" s="741"/>
    </row>
    <row r="504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1"/>
      <c r="P504" s="741"/>
      <c r="Q504" s="741"/>
      <c r="R504" s="741"/>
      <c r="S504" s="741"/>
      <c r="T504" s="741"/>
      <c r="U504" s="741"/>
      <c r="V504" s="741"/>
      <c r="W504" s="741"/>
      <c r="X504" s="741"/>
      <c r="Y504" s="741"/>
      <c r="Z504" s="741"/>
      <c r="AA504" s="741"/>
      <c r="AB504" s="741"/>
      <c r="AC504" s="741"/>
      <c r="AD504" s="741"/>
      <c r="AE504" s="741"/>
      <c r="AF504" s="741"/>
      <c r="AG504" s="741"/>
      <c r="AH504" s="741"/>
      <c r="AI504" s="741"/>
    </row>
    <row r="505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1"/>
      <c r="P505" s="741"/>
      <c r="Q505" s="741"/>
      <c r="R505" s="741"/>
      <c r="S505" s="741"/>
      <c r="T505" s="741"/>
      <c r="U505" s="741"/>
      <c r="V505" s="741"/>
      <c r="W505" s="741"/>
      <c r="X505" s="741"/>
      <c r="Y505" s="741"/>
      <c r="Z505" s="741"/>
      <c r="AA505" s="741"/>
      <c r="AB505" s="741"/>
      <c r="AC505" s="741"/>
      <c r="AD505" s="741"/>
      <c r="AE505" s="741"/>
      <c r="AF505" s="741"/>
      <c r="AG505" s="741"/>
      <c r="AH505" s="741"/>
      <c r="AI505" s="741"/>
    </row>
    <row r="506">
      <c r="A506" s="741"/>
      <c r="B506" s="741"/>
      <c r="C506" s="741"/>
      <c r="D506" s="741"/>
      <c r="E506" s="741"/>
      <c r="F506" s="741"/>
      <c r="G506" s="741"/>
      <c r="H506" s="741"/>
      <c r="I506" s="741"/>
      <c r="J506" s="741"/>
      <c r="K506" s="741"/>
      <c r="L506" s="741"/>
      <c r="M506" s="741"/>
      <c r="N506" s="741"/>
      <c r="O506" s="741"/>
      <c r="P506" s="741"/>
      <c r="Q506" s="741"/>
      <c r="R506" s="741"/>
      <c r="S506" s="741"/>
      <c r="T506" s="741"/>
      <c r="U506" s="741"/>
      <c r="V506" s="741"/>
      <c r="W506" s="741"/>
      <c r="X506" s="741"/>
      <c r="Y506" s="741"/>
      <c r="Z506" s="741"/>
      <c r="AA506" s="741"/>
      <c r="AB506" s="741"/>
      <c r="AC506" s="741"/>
      <c r="AD506" s="741"/>
      <c r="AE506" s="741"/>
      <c r="AF506" s="741"/>
      <c r="AG506" s="741"/>
      <c r="AH506" s="741"/>
      <c r="AI506" s="741"/>
    </row>
    <row r="507">
      <c r="A507" s="741"/>
      <c r="B507" s="741"/>
      <c r="C507" s="741"/>
      <c r="D507" s="741"/>
      <c r="E507" s="741"/>
      <c r="F507" s="741"/>
      <c r="G507" s="741"/>
      <c r="H507" s="741"/>
      <c r="I507" s="741"/>
      <c r="J507" s="741"/>
      <c r="K507" s="741"/>
      <c r="L507" s="741"/>
      <c r="M507" s="741"/>
      <c r="N507" s="741"/>
      <c r="O507" s="741"/>
      <c r="P507" s="741"/>
      <c r="Q507" s="741"/>
      <c r="R507" s="741"/>
      <c r="S507" s="741"/>
      <c r="T507" s="741"/>
      <c r="U507" s="741"/>
      <c r="V507" s="741"/>
      <c r="W507" s="741"/>
      <c r="X507" s="741"/>
      <c r="Y507" s="741"/>
      <c r="Z507" s="741"/>
      <c r="AA507" s="741"/>
      <c r="AB507" s="741"/>
      <c r="AC507" s="741"/>
      <c r="AD507" s="741"/>
      <c r="AE507" s="741"/>
      <c r="AF507" s="741"/>
      <c r="AG507" s="741"/>
      <c r="AH507" s="741"/>
      <c r="AI507" s="741"/>
    </row>
    <row r="508">
      <c r="A508" s="741"/>
      <c r="B508" s="741"/>
      <c r="C508" s="741"/>
      <c r="D508" s="741"/>
      <c r="E508" s="741"/>
      <c r="F508" s="741"/>
      <c r="G508" s="741"/>
      <c r="H508" s="741"/>
      <c r="I508" s="741"/>
      <c r="J508" s="741"/>
      <c r="K508" s="741"/>
      <c r="L508" s="741"/>
      <c r="M508" s="741"/>
      <c r="N508" s="741"/>
      <c r="O508" s="741"/>
      <c r="P508" s="741"/>
      <c r="Q508" s="741"/>
      <c r="R508" s="741"/>
      <c r="S508" s="741"/>
      <c r="T508" s="741"/>
      <c r="U508" s="741"/>
      <c r="V508" s="741"/>
      <c r="W508" s="741"/>
      <c r="X508" s="741"/>
      <c r="Y508" s="741"/>
      <c r="Z508" s="741"/>
      <c r="AA508" s="741"/>
      <c r="AB508" s="741"/>
      <c r="AC508" s="741"/>
      <c r="AD508" s="741"/>
      <c r="AE508" s="741"/>
      <c r="AF508" s="741"/>
      <c r="AG508" s="741"/>
      <c r="AH508" s="741"/>
      <c r="AI508" s="741"/>
    </row>
    <row r="509">
      <c r="A509" s="741"/>
      <c r="B509" s="741"/>
      <c r="C509" s="741"/>
      <c r="D509" s="741"/>
      <c r="E509" s="741"/>
      <c r="F509" s="741"/>
      <c r="G509" s="741"/>
      <c r="H509" s="741"/>
      <c r="I509" s="741"/>
      <c r="J509" s="741"/>
      <c r="K509" s="741"/>
      <c r="L509" s="741"/>
      <c r="M509" s="741"/>
      <c r="N509" s="741"/>
      <c r="O509" s="741"/>
      <c r="P509" s="741"/>
      <c r="Q509" s="741"/>
      <c r="R509" s="741"/>
      <c r="S509" s="741"/>
      <c r="T509" s="741"/>
      <c r="U509" s="741"/>
      <c r="V509" s="741"/>
      <c r="W509" s="741"/>
      <c r="X509" s="741"/>
      <c r="Y509" s="741"/>
      <c r="Z509" s="741"/>
      <c r="AA509" s="741"/>
      <c r="AB509" s="741"/>
      <c r="AC509" s="741"/>
      <c r="AD509" s="741"/>
      <c r="AE509" s="741"/>
      <c r="AF509" s="741"/>
      <c r="AG509" s="741"/>
      <c r="AH509" s="741"/>
      <c r="AI509" s="741"/>
    </row>
    <row r="510">
      <c r="A510" s="741"/>
      <c r="B510" s="741"/>
      <c r="C510" s="741"/>
      <c r="D510" s="741"/>
      <c r="E510" s="741"/>
      <c r="F510" s="741"/>
      <c r="G510" s="741"/>
      <c r="H510" s="741"/>
      <c r="I510" s="741"/>
      <c r="J510" s="741"/>
      <c r="K510" s="741"/>
      <c r="L510" s="741"/>
      <c r="M510" s="741"/>
      <c r="N510" s="741"/>
      <c r="O510" s="741"/>
      <c r="P510" s="741"/>
      <c r="Q510" s="741"/>
      <c r="R510" s="741"/>
      <c r="S510" s="741"/>
      <c r="T510" s="741"/>
      <c r="U510" s="741"/>
      <c r="V510" s="741"/>
      <c r="W510" s="741"/>
      <c r="X510" s="741"/>
      <c r="Y510" s="741"/>
      <c r="Z510" s="741"/>
      <c r="AA510" s="741"/>
      <c r="AB510" s="741"/>
      <c r="AC510" s="741"/>
      <c r="AD510" s="741"/>
      <c r="AE510" s="741"/>
      <c r="AF510" s="741"/>
      <c r="AG510" s="741"/>
      <c r="AH510" s="741"/>
      <c r="AI510" s="741"/>
    </row>
    <row r="511">
      <c r="A511" s="741"/>
      <c r="B511" s="741"/>
      <c r="C511" s="741"/>
      <c r="D511" s="741"/>
      <c r="E511" s="741"/>
      <c r="F511" s="741"/>
      <c r="G511" s="741"/>
      <c r="H511" s="741"/>
      <c r="I511" s="741"/>
      <c r="J511" s="741"/>
      <c r="K511" s="741"/>
      <c r="L511" s="741"/>
      <c r="M511" s="741"/>
      <c r="N511" s="741"/>
      <c r="O511" s="741"/>
      <c r="P511" s="741"/>
      <c r="Q511" s="741"/>
      <c r="R511" s="741"/>
      <c r="S511" s="741"/>
      <c r="T511" s="741"/>
      <c r="U511" s="741"/>
      <c r="V511" s="741"/>
      <c r="W511" s="741"/>
      <c r="X511" s="741"/>
      <c r="Y511" s="741"/>
      <c r="Z511" s="741"/>
      <c r="AA511" s="741"/>
      <c r="AB511" s="741"/>
      <c r="AC511" s="741"/>
      <c r="AD511" s="741"/>
      <c r="AE511" s="741"/>
      <c r="AF511" s="741"/>
      <c r="AG511" s="741"/>
      <c r="AH511" s="741"/>
      <c r="AI511" s="741"/>
    </row>
    <row r="512">
      <c r="A512" s="741"/>
      <c r="B512" s="741"/>
      <c r="C512" s="741"/>
      <c r="D512" s="741"/>
      <c r="E512" s="741"/>
      <c r="F512" s="741"/>
      <c r="G512" s="741"/>
      <c r="H512" s="741"/>
      <c r="I512" s="741"/>
      <c r="J512" s="741"/>
      <c r="K512" s="741"/>
      <c r="L512" s="741"/>
      <c r="M512" s="741"/>
      <c r="N512" s="741"/>
      <c r="O512" s="741"/>
      <c r="P512" s="741"/>
      <c r="Q512" s="741"/>
      <c r="R512" s="741"/>
      <c r="S512" s="741"/>
      <c r="T512" s="741"/>
      <c r="U512" s="741"/>
      <c r="V512" s="741"/>
      <c r="W512" s="741"/>
      <c r="X512" s="741"/>
      <c r="Y512" s="741"/>
      <c r="Z512" s="741"/>
      <c r="AA512" s="741"/>
      <c r="AB512" s="741"/>
      <c r="AC512" s="741"/>
      <c r="AD512" s="741"/>
      <c r="AE512" s="741"/>
      <c r="AF512" s="741"/>
      <c r="AG512" s="741"/>
      <c r="AH512" s="741"/>
      <c r="AI512" s="741"/>
    </row>
    <row r="513">
      <c r="A513" s="741"/>
      <c r="B513" s="741"/>
      <c r="C513" s="741"/>
      <c r="D513" s="741"/>
      <c r="E513" s="741"/>
      <c r="F513" s="741"/>
      <c r="G513" s="741"/>
      <c r="H513" s="741"/>
      <c r="I513" s="741"/>
      <c r="J513" s="741"/>
      <c r="K513" s="741"/>
      <c r="L513" s="741"/>
      <c r="M513" s="741"/>
      <c r="N513" s="741"/>
      <c r="O513" s="741"/>
      <c r="P513" s="741"/>
      <c r="Q513" s="741"/>
      <c r="R513" s="741"/>
      <c r="S513" s="741"/>
      <c r="T513" s="741"/>
      <c r="U513" s="741"/>
      <c r="V513" s="741"/>
      <c r="W513" s="741"/>
      <c r="X513" s="741"/>
      <c r="Y513" s="741"/>
      <c r="Z513" s="741"/>
      <c r="AA513" s="741"/>
      <c r="AB513" s="741"/>
      <c r="AC513" s="741"/>
      <c r="AD513" s="741"/>
      <c r="AE513" s="741"/>
      <c r="AF513" s="741"/>
      <c r="AG513" s="741"/>
      <c r="AH513" s="741"/>
      <c r="AI513" s="741"/>
    </row>
    <row r="514">
      <c r="A514" s="741"/>
      <c r="B514" s="741"/>
      <c r="C514" s="741"/>
      <c r="D514" s="741"/>
      <c r="E514" s="741"/>
      <c r="F514" s="741"/>
      <c r="G514" s="741"/>
      <c r="H514" s="741"/>
      <c r="I514" s="741"/>
      <c r="J514" s="741"/>
      <c r="K514" s="741"/>
      <c r="L514" s="741"/>
      <c r="M514" s="741"/>
      <c r="N514" s="741"/>
      <c r="O514" s="741"/>
      <c r="P514" s="741"/>
      <c r="Q514" s="741"/>
      <c r="R514" s="741"/>
      <c r="S514" s="741"/>
      <c r="T514" s="741"/>
      <c r="U514" s="741"/>
      <c r="V514" s="741"/>
      <c r="W514" s="741"/>
      <c r="X514" s="741"/>
      <c r="Y514" s="741"/>
      <c r="Z514" s="741"/>
      <c r="AA514" s="741"/>
      <c r="AB514" s="741"/>
      <c r="AC514" s="741"/>
      <c r="AD514" s="741"/>
      <c r="AE514" s="741"/>
      <c r="AF514" s="741"/>
      <c r="AG514" s="741"/>
      <c r="AH514" s="741"/>
      <c r="AI514" s="741"/>
    </row>
    <row r="515">
      <c r="A515" s="741"/>
      <c r="B515" s="741"/>
      <c r="C515" s="741"/>
      <c r="D515" s="741"/>
      <c r="E515" s="741"/>
      <c r="F515" s="741"/>
      <c r="G515" s="741"/>
      <c r="H515" s="741"/>
      <c r="I515" s="741"/>
      <c r="J515" s="741"/>
      <c r="K515" s="741"/>
      <c r="L515" s="741"/>
      <c r="M515" s="741"/>
      <c r="N515" s="741"/>
      <c r="O515" s="741"/>
      <c r="P515" s="741"/>
      <c r="Q515" s="741"/>
      <c r="R515" s="741"/>
      <c r="S515" s="741"/>
      <c r="T515" s="741"/>
      <c r="U515" s="741"/>
      <c r="V515" s="741"/>
      <c r="W515" s="741"/>
      <c r="X515" s="741"/>
      <c r="Y515" s="741"/>
      <c r="Z515" s="741"/>
      <c r="AA515" s="741"/>
      <c r="AB515" s="741"/>
      <c r="AC515" s="741"/>
      <c r="AD515" s="741"/>
      <c r="AE515" s="741"/>
      <c r="AF515" s="741"/>
      <c r="AG515" s="741"/>
      <c r="AH515" s="741"/>
      <c r="AI515" s="741"/>
    </row>
    <row r="516">
      <c r="A516" s="741"/>
      <c r="B516" s="741"/>
      <c r="C516" s="741"/>
      <c r="D516" s="741"/>
      <c r="E516" s="741"/>
      <c r="F516" s="741"/>
      <c r="G516" s="741"/>
      <c r="H516" s="741"/>
      <c r="I516" s="741"/>
      <c r="J516" s="741"/>
      <c r="K516" s="741"/>
      <c r="L516" s="741"/>
      <c r="M516" s="741"/>
      <c r="N516" s="741"/>
      <c r="O516" s="741"/>
      <c r="P516" s="741"/>
      <c r="Q516" s="741"/>
      <c r="R516" s="741"/>
      <c r="S516" s="741"/>
      <c r="T516" s="741"/>
      <c r="U516" s="741"/>
      <c r="V516" s="741"/>
      <c r="W516" s="741"/>
      <c r="X516" s="741"/>
      <c r="Y516" s="741"/>
      <c r="Z516" s="741"/>
      <c r="AA516" s="741"/>
      <c r="AB516" s="741"/>
      <c r="AC516" s="741"/>
      <c r="AD516" s="741"/>
      <c r="AE516" s="741"/>
      <c r="AF516" s="741"/>
      <c r="AG516" s="741"/>
      <c r="AH516" s="741"/>
      <c r="AI516" s="741"/>
    </row>
    <row r="517">
      <c r="A517" s="741"/>
      <c r="B517" s="741"/>
      <c r="C517" s="741"/>
      <c r="D517" s="741"/>
      <c r="E517" s="741"/>
      <c r="F517" s="741"/>
      <c r="G517" s="741"/>
      <c r="H517" s="741"/>
      <c r="I517" s="741"/>
      <c r="J517" s="741"/>
      <c r="K517" s="741"/>
      <c r="L517" s="741"/>
      <c r="M517" s="741"/>
      <c r="N517" s="741"/>
      <c r="O517" s="741"/>
      <c r="P517" s="741"/>
      <c r="Q517" s="741"/>
      <c r="R517" s="741"/>
      <c r="S517" s="741"/>
      <c r="T517" s="741"/>
      <c r="U517" s="741"/>
      <c r="V517" s="741"/>
      <c r="W517" s="741"/>
      <c r="X517" s="741"/>
      <c r="Y517" s="741"/>
      <c r="Z517" s="741"/>
      <c r="AA517" s="741"/>
      <c r="AB517" s="741"/>
      <c r="AC517" s="741"/>
      <c r="AD517" s="741"/>
      <c r="AE517" s="741"/>
      <c r="AF517" s="741"/>
      <c r="AG517" s="741"/>
      <c r="AH517" s="741"/>
      <c r="AI517" s="741"/>
    </row>
    <row r="518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1"/>
      <c r="P518" s="741"/>
      <c r="Q518" s="741"/>
      <c r="R518" s="741"/>
      <c r="S518" s="741"/>
      <c r="T518" s="741"/>
      <c r="U518" s="741"/>
      <c r="V518" s="741"/>
      <c r="W518" s="741"/>
      <c r="X518" s="741"/>
      <c r="Y518" s="741"/>
      <c r="Z518" s="741"/>
      <c r="AA518" s="741"/>
      <c r="AB518" s="741"/>
      <c r="AC518" s="741"/>
      <c r="AD518" s="741"/>
      <c r="AE518" s="741"/>
      <c r="AF518" s="741"/>
      <c r="AG518" s="741"/>
      <c r="AH518" s="741"/>
      <c r="AI518" s="741"/>
    </row>
    <row r="519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1"/>
      <c r="P519" s="741"/>
      <c r="Q519" s="741"/>
      <c r="R519" s="741"/>
      <c r="S519" s="741"/>
      <c r="T519" s="741"/>
      <c r="U519" s="741"/>
      <c r="V519" s="741"/>
      <c r="W519" s="741"/>
      <c r="X519" s="741"/>
      <c r="Y519" s="741"/>
      <c r="Z519" s="741"/>
      <c r="AA519" s="741"/>
      <c r="AB519" s="741"/>
      <c r="AC519" s="741"/>
      <c r="AD519" s="741"/>
      <c r="AE519" s="741"/>
      <c r="AF519" s="741"/>
      <c r="AG519" s="741"/>
      <c r="AH519" s="741"/>
      <c r="AI519" s="741"/>
    </row>
    <row r="520">
      <c r="A520" s="741"/>
      <c r="B520" s="741"/>
      <c r="C520" s="741"/>
      <c r="D520" s="741"/>
      <c r="E520" s="741"/>
      <c r="F520" s="741"/>
      <c r="G520" s="741"/>
      <c r="H520" s="741"/>
      <c r="I520" s="741"/>
      <c r="J520" s="741"/>
      <c r="K520" s="741"/>
      <c r="L520" s="741"/>
      <c r="M520" s="741"/>
      <c r="N520" s="741"/>
      <c r="O520" s="741"/>
      <c r="P520" s="741"/>
      <c r="Q520" s="741"/>
      <c r="R520" s="741"/>
      <c r="S520" s="741"/>
      <c r="T520" s="741"/>
      <c r="U520" s="741"/>
      <c r="V520" s="741"/>
      <c r="W520" s="741"/>
      <c r="X520" s="741"/>
      <c r="Y520" s="741"/>
      <c r="Z520" s="741"/>
      <c r="AA520" s="741"/>
      <c r="AB520" s="741"/>
      <c r="AC520" s="741"/>
      <c r="AD520" s="741"/>
      <c r="AE520" s="741"/>
      <c r="AF520" s="741"/>
      <c r="AG520" s="741"/>
      <c r="AH520" s="741"/>
      <c r="AI520" s="741"/>
    </row>
    <row r="521">
      <c r="A521" s="741"/>
      <c r="B521" s="741"/>
      <c r="C521" s="741"/>
      <c r="D521" s="741"/>
      <c r="E521" s="741"/>
      <c r="F521" s="741"/>
      <c r="G521" s="741"/>
      <c r="H521" s="741"/>
      <c r="I521" s="741"/>
      <c r="J521" s="741"/>
      <c r="K521" s="741"/>
      <c r="L521" s="741"/>
      <c r="M521" s="741"/>
      <c r="N521" s="741"/>
      <c r="O521" s="741"/>
      <c r="P521" s="741"/>
      <c r="Q521" s="741"/>
      <c r="R521" s="741"/>
      <c r="S521" s="741"/>
      <c r="T521" s="741"/>
      <c r="U521" s="741"/>
      <c r="V521" s="741"/>
      <c r="W521" s="741"/>
      <c r="X521" s="741"/>
      <c r="Y521" s="741"/>
      <c r="Z521" s="741"/>
      <c r="AA521" s="741"/>
      <c r="AB521" s="741"/>
      <c r="AC521" s="741"/>
      <c r="AD521" s="741"/>
      <c r="AE521" s="741"/>
      <c r="AF521" s="741"/>
      <c r="AG521" s="741"/>
      <c r="AH521" s="741"/>
      <c r="AI521" s="741"/>
    </row>
    <row r="522">
      <c r="A522" s="741"/>
      <c r="B522" s="741"/>
      <c r="C522" s="741"/>
      <c r="D522" s="741"/>
      <c r="E522" s="741"/>
      <c r="F522" s="741"/>
      <c r="G522" s="741"/>
      <c r="H522" s="741"/>
      <c r="I522" s="741"/>
      <c r="J522" s="741"/>
      <c r="K522" s="741"/>
      <c r="L522" s="741"/>
      <c r="M522" s="741"/>
      <c r="N522" s="741"/>
      <c r="O522" s="741"/>
      <c r="P522" s="741"/>
      <c r="Q522" s="741"/>
      <c r="R522" s="741"/>
      <c r="S522" s="741"/>
      <c r="T522" s="741"/>
      <c r="U522" s="741"/>
      <c r="V522" s="741"/>
      <c r="W522" s="741"/>
      <c r="X522" s="741"/>
      <c r="Y522" s="741"/>
      <c r="Z522" s="741"/>
      <c r="AA522" s="741"/>
      <c r="AB522" s="741"/>
      <c r="AC522" s="741"/>
      <c r="AD522" s="741"/>
      <c r="AE522" s="741"/>
      <c r="AF522" s="741"/>
      <c r="AG522" s="741"/>
      <c r="AH522" s="741"/>
      <c r="AI522" s="741"/>
    </row>
    <row r="523">
      <c r="A523" s="741"/>
      <c r="B523" s="741"/>
      <c r="C523" s="741"/>
      <c r="D523" s="741"/>
      <c r="E523" s="741"/>
      <c r="F523" s="741"/>
      <c r="G523" s="741"/>
      <c r="H523" s="741"/>
      <c r="I523" s="741"/>
      <c r="J523" s="741"/>
      <c r="K523" s="741"/>
      <c r="L523" s="741"/>
      <c r="M523" s="741"/>
      <c r="N523" s="741"/>
      <c r="O523" s="741"/>
      <c r="P523" s="741"/>
      <c r="Q523" s="741"/>
      <c r="R523" s="741"/>
      <c r="S523" s="741"/>
      <c r="T523" s="741"/>
      <c r="U523" s="741"/>
      <c r="V523" s="741"/>
      <c r="W523" s="741"/>
      <c r="X523" s="741"/>
      <c r="Y523" s="741"/>
      <c r="Z523" s="741"/>
      <c r="AA523" s="741"/>
      <c r="AB523" s="741"/>
      <c r="AC523" s="741"/>
      <c r="AD523" s="741"/>
      <c r="AE523" s="741"/>
      <c r="AF523" s="741"/>
      <c r="AG523" s="741"/>
      <c r="AH523" s="741"/>
      <c r="AI523" s="741"/>
    </row>
    <row r="524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1"/>
      <c r="P524" s="741"/>
      <c r="Q524" s="741"/>
      <c r="R524" s="741"/>
      <c r="S524" s="741"/>
      <c r="T524" s="741"/>
      <c r="U524" s="741"/>
      <c r="V524" s="741"/>
      <c r="W524" s="741"/>
      <c r="X524" s="741"/>
      <c r="Y524" s="741"/>
      <c r="Z524" s="741"/>
      <c r="AA524" s="741"/>
      <c r="AB524" s="741"/>
      <c r="AC524" s="741"/>
      <c r="AD524" s="741"/>
      <c r="AE524" s="741"/>
      <c r="AF524" s="741"/>
      <c r="AG524" s="741"/>
      <c r="AH524" s="741"/>
      <c r="AI524" s="741"/>
    </row>
    <row r="525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1"/>
      <c r="P525" s="741"/>
      <c r="Q525" s="741"/>
      <c r="R525" s="741"/>
      <c r="S525" s="741"/>
      <c r="T525" s="741"/>
      <c r="U525" s="741"/>
      <c r="V525" s="741"/>
      <c r="W525" s="741"/>
      <c r="X525" s="741"/>
      <c r="Y525" s="741"/>
      <c r="Z525" s="741"/>
      <c r="AA525" s="741"/>
      <c r="AB525" s="741"/>
      <c r="AC525" s="741"/>
      <c r="AD525" s="741"/>
      <c r="AE525" s="741"/>
      <c r="AF525" s="741"/>
      <c r="AG525" s="741"/>
      <c r="AH525" s="741"/>
      <c r="AI525" s="741"/>
    </row>
    <row r="526">
      <c r="A526" s="741"/>
      <c r="B526" s="741"/>
      <c r="C526" s="741"/>
      <c r="D526" s="741"/>
      <c r="E526" s="741"/>
      <c r="F526" s="741"/>
      <c r="G526" s="741"/>
      <c r="H526" s="741"/>
      <c r="I526" s="741"/>
      <c r="J526" s="741"/>
      <c r="K526" s="741"/>
      <c r="L526" s="741"/>
      <c r="M526" s="741"/>
      <c r="N526" s="741"/>
      <c r="O526" s="741"/>
      <c r="P526" s="741"/>
      <c r="Q526" s="741"/>
      <c r="R526" s="741"/>
      <c r="S526" s="741"/>
      <c r="T526" s="741"/>
      <c r="U526" s="741"/>
      <c r="V526" s="741"/>
      <c r="W526" s="741"/>
      <c r="X526" s="741"/>
      <c r="Y526" s="741"/>
      <c r="Z526" s="741"/>
      <c r="AA526" s="741"/>
      <c r="AB526" s="741"/>
      <c r="AC526" s="741"/>
      <c r="AD526" s="741"/>
      <c r="AE526" s="741"/>
      <c r="AF526" s="741"/>
      <c r="AG526" s="741"/>
      <c r="AH526" s="741"/>
      <c r="AI526" s="741"/>
    </row>
    <row r="527">
      <c r="A527" s="741"/>
      <c r="B527" s="741"/>
      <c r="C527" s="741"/>
      <c r="D527" s="741"/>
      <c r="E527" s="741"/>
      <c r="F527" s="741"/>
      <c r="G527" s="741"/>
      <c r="H527" s="741"/>
      <c r="I527" s="741"/>
      <c r="J527" s="741"/>
      <c r="K527" s="741"/>
      <c r="L527" s="741"/>
      <c r="M527" s="741"/>
      <c r="N527" s="741"/>
      <c r="O527" s="741"/>
      <c r="P527" s="741"/>
      <c r="Q527" s="741"/>
      <c r="R527" s="741"/>
      <c r="S527" s="741"/>
      <c r="T527" s="741"/>
      <c r="U527" s="741"/>
      <c r="V527" s="741"/>
      <c r="W527" s="741"/>
      <c r="X527" s="741"/>
      <c r="Y527" s="741"/>
      <c r="Z527" s="741"/>
      <c r="AA527" s="741"/>
      <c r="AB527" s="741"/>
      <c r="AC527" s="741"/>
      <c r="AD527" s="741"/>
      <c r="AE527" s="741"/>
      <c r="AF527" s="741"/>
      <c r="AG527" s="741"/>
      <c r="AH527" s="741"/>
      <c r="AI527" s="741"/>
    </row>
    <row r="528">
      <c r="A528" s="741"/>
      <c r="B528" s="741"/>
      <c r="C528" s="741"/>
      <c r="D528" s="741"/>
      <c r="E528" s="741"/>
      <c r="F528" s="741"/>
      <c r="G528" s="741"/>
      <c r="H528" s="741"/>
      <c r="I528" s="741"/>
      <c r="J528" s="741"/>
      <c r="K528" s="741"/>
      <c r="L528" s="741"/>
      <c r="M528" s="741"/>
      <c r="N528" s="741"/>
      <c r="O528" s="741"/>
      <c r="P528" s="741"/>
      <c r="Q528" s="741"/>
      <c r="R528" s="741"/>
      <c r="S528" s="741"/>
      <c r="T528" s="741"/>
      <c r="U528" s="741"/>
      <c r="V528" s="741"/>
      <c r="W528" s="741"/>
      <c r="X528" s="741"/>
      <c r="Y528" s="741"/>
      <c r="Z528" s="741"/>
      <c r="AA528" s="741"/>
      <c r="AB528" s="741"/>
      <c r="AC528" s="741"/>
      <c r="AD528" s="741"/>
      <c r="AE528" s="741"/>
      <c r="AF528" s="741"/>
      <c r="AG528" s="741"/>
      <c r="AH528" s="741"/>
      <c r="AI528" s="741"/>
    </row>
    <row r="529">
      <c r="A529" s="741"/>
      <c r="B529" s="741"/>
      <c r="C529" s="741"/>
      <c r="D529" s="741"/>
      <c r="E529" s="741"/>
      <c r="F529" s="741"/>
      <c r="G529" s="741"/>
      <c r="H529" s="741"/>
      <c r="I529" s="741"/>
      <c r="J529" s="741"/>
      <c r="K529" s="741"/>
      <c r="L529" s="741"/>
      <c r="M529" s="741"/>
      <c r="N529" s="741"/>
      <c r="O529" s="741"/>
      <c r="P529" s="741"/>
      <c r="Q529" s="741"/>
      <c r="R529" s="741"/>
      <c r="S529" s="741"/>
      <c r="T529" s="741"/>
      <c r="U529" s="741"/>
      <c r="V529" s="741"/>
      <c r="W529" s="741"/>
      <c r="X529" s="741"/>
      <c r="Y529" s="741"/>
      <c r="Z529" s="741"/>
      <c r="AA529" s="741"/>
      <c r="AB529" s="741"/>
      <c r="AC529" s="741"/>
      <c r="AD529" s="741"/>
      <c r="AE529" s="741"/>
      <c r="AF529" s="741"/>
      <c r="AG529" s="741"/>
      <c r="AH529" s="741"/>
      <c r="AI529" s="741"/>
    </row>
    <row r="530">
      <c r="A530" s="741"/>
      <c r="B530" s="741"/>
      <c r="C530" s="741"/>
      <c r="D530" s="741"/>
      <c r="E530" s="741"/>
      <c r="F530" s="741"/>
      <c r="G530" s="741"/>
      <c r="H530" s="741"/>
      <c r="I530" s="741"/>
      <c r="J530" s="741"/>
      <c r="K530" s="741"/>
      <c r="L530" s="741"/>
      <c r="M530" s="741"/>
      <c r="N530" s="741"/>
      <c r="O530" s="741"/>
      <c r="P530" s="741"/>
      <c r="Q530" s="741"/>
      <c r="R530" s="741"/>
      <c r="S530" s="741"/>
      <c r="T530" s="741"/>
      <c r="U530" s="741"/>
      <c r="V530" s="741"/>
      <c r="W530" s="741"/>
      <c r="X530" s="741"/>
      <c r="Y530" s="741"/>
      <c r="Z530" s="741"/>
      <c r="AA530" s="741"/>
      <c r="AB530" s="741"/>
      <c r="AC530" s="741"/>
      <c r="AD530" s="741"/>
      <c r="AE530" s="741"/>
      <c r="AF530" s="741"/>
      <c r="AG530" s="741"/>
      <c r="AH530" s="741"/>
      <c r="AI530" s="741"/>
    </row>
    <row r="531">
      <c r="A531" s="741"/>
      <c r="B531" s="741"/>
      <c r="C531" s="741"/>
      <c r="D531" s="741"/>
      <c r="E531" s="741"/>
      <c r="F531" s="741"/>
      <c r="G531" s="741"/>
      <c r="H531" s="741"/>
      <c r="I531" s="741"/>
      <c r="J531" s="741"/>
      <c r="K531" s="741"/>
      <c r="L531" s="741"/>
      <c r="M531" s="741"/>
      <c r="N531" s="741"/>
      <c r="O531" s="741"/>
      <c r="P531" s="741"/>
      <c r="Q531" s="741"/>
      <c r="R531" s="741"/>
      <c r="S531" s="741"/>
      <c r="T531" s="741"/>
      <c r="U531" s="741"/>
      <c r="V531" s="741"/>
      <c r="W531" s="741"/>
      <c r="X531" s="741"/>
      <c r="Y531" s="741"/>
      <c r="Z531" s="741"/>
      <c r="AA531" s="741"/>
      <c r="AB531" s="741"/>
      <c r="AC531" s="741"/>
      <c r="AD531" s="741"/>
      <c r="AE531" s="741"/>
      <c r="AF531" s="741"/>
      <c r="AG531" s="741"/>
      <c r="AH531" s="741"/>
      <c r="AI531" s="741"/>
    </row>
    <row r="532">
      <c r="A532" s="741"/>
      <c r="B532" s="741"/>
      <c r="C532" s="741"/>
      <c r="D532" s="741"/>
      <c r="E532" s="741"/>
      <c r="F532" s="741"/>
      <c r="G532" s="741"/>
      <c r="H532" s="741"/>
      <c r="I532" s="741"/>
      <c r="J532" s="741"/>
      <c r="K532" s="741"/>
      <c r="L532" s="741"/>
      <c r="M532" s="741"/>
      <c r="N532" s="741"/>
      <c r="O532" s="741"/>
      <c r="P532" s="741"/>
      <c r="Q532" s="741"/>
      <c r="R532" s="741"/>
      <c r="S532" s="741"/>
      <c r="T532" s="741"/>
      <c r="U532" s="741"/>
      <c r="V532" s="741"/>
      <c r="W532" s="741"/>
      <c r="X532" s="741"/>
      <c r="Y532" s="741"/>
      <c r="Z532" s="741"/>
      <c r="AA532" s="741"/>
      <c r="AB532" s="741"/>
      <c r="AC532" s="741"/>
      <c r="AD532" s="741"/>
      <c r="AE532" s="741"/>
      <c r="AF532" s="741"/>
      <c r="AG532" s="741"/>
      <c r="AH532" s="741"/>
      <c r="AI532" s="741"/>
    </row>
    <row r="533">
      <c r="A533" s="741"/>
      <c r="B533" s="741"/>
      <c r="C533" s="741"/>
      <c r="D533" s="741"/>
      <c r="E533" s="741"/>
      <c r="F533" s="741"/>
      <c r="G533" s="741"/>
      <c r="H533" s="741"/>
      <c r="I533" s="741"/>
      <c r="J533" s="741"/>
      <c r="K533" s="741"/>
      <c r="L533" s="741"/>
      <c r="M533" s="741"/>
      <c r="N533" s="741"/>
      <c r="O533" s="741"/>
      <c r="P533" s="741"/>
      <c r="Q533" s="741"/>
      <c r="R533" s="741"/>
      <c r="S533" s="741"/>
      <c r="T533" s="741"/>
      <c r="U533" s="741"/>
      <c r="V533" s="741"/>
      <c r="W533" s="741"/>
      <c r="X533" s="741"/>
      <c r="Y533" s="741"/>
      <c r="Z533" s="741"/>
      <c r="AA533" s="741"/>
      <c r="AB533" s="741"/>
      <c r="AC533" s="741"/>
      <c r="AD533" s="741"/>
      <c r="AE533" s="741"/>
      <c r="AF533" s="741"/>
      <c r="AG533" s="741"/>
      <c r="AH533" s="741"/>
      <c r="AI533" s="741"/>
    </row>
    <row r="534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1"/>
      <c r="P534" s="741"/>
      <c r="Q534" s="741"/>
      <c r="R534" s="741"/>
      <c r="S534" s="741"/>
      <c r="T534" s="741"/>
      <c r="U534" s="741"/>
      <c r="V534" s="741"/>
      <c r="W534" s="741"/>
      <c r="X534" s="741"/>
      <c r="Y534" s="741"/>
      <c r="Z534" s="741"/>
      <c r="AA534" s="741"/>
      <c r="AB534" s="741"/>
      <c r="AC534" s="741"/>
      <c r="AD534" s="741"/>
      <c r="AE534" s="741"/>
      <c r="AF534" s="741"/>
      <c r="AG534" s="741"/>
      <c r="AH534" s="741"/>
      <c r="AI534" s="741"/>
    </row>
    <row r="535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1"/>
      <c r="P535" s="741"/>
      <c r="Q535" s="741"/>
      <c r="R535" s="741"/>
      <c r="S535" s="741"/>
      <c r="T535" s="741"/>
      <c r="U535" s="741"/>
      <c r="V535" s="741"/>
      <c r="W535" s="741"/>
      <c r="X535" s="741"/>
      <c r="Y535" s="741"/>
      <c r="Z535" s="741"/>
      <c r="AA535" s="741"/>
      <c r="AB535" s="741"/>
      <c r="AC535" s="741"/>
      <c r="AD535" s="741"/>
      <c r="AE535" s="741"/>
      <c r="AF535" s="741"/>
      <c r="AG535" s="741"/>
      <c r="AH535" s="741"/>
      <c r="AI535" s="741"/>
    </row>
    <row r="536">
      <c r="A536" s="741"/>
      <c r="B536" s="741"/>
      <c r="C536" s="741"/>
      <c r="D536" s="741"/>
      <c r="E536" s="741"/>
      <c r="F536" s="741"/>
      <c r="G536" s="741"/>
      <c r="H536" s="741"/>
      <c r="I536" s="741"/>
      <c r="J536" s="741"/>
      <c r="K536" s="741"/>
      <c r="L536" s="741"/>
      <c r="M536" s="741"/>
      <c r="N536" s="741"/>
      <c r="O536" s="741"/>
      <c r="P536" s="741"/>
      <c r="Q536" s="741"/>
      <c r="R536" s="741"/>
      <c r="S536" s="741"/>
      <c r="T536" s="741"/>
      <c r="U536" s="741"/>
      <c r="V536" s="741"/>
      <c r="W536" s="741"/>
      <c r="X536" s="741"/>
      <c r="Y536" s="741"/>
      <c r="Z536" s="741"/>
      <c r="AA536" s="741"/>
      <c r="AB536" s="741"/>
      <c r="AC536" s="741"/>
      <c r="AD536" s="741"/>
      <c r="AE536" s="741"/>
      <c r="AF536" s="741"/>
      <c r="AG536" s="741"/>
      <c r="AH536" s="741"/>
      <c r="AI536" s="741"/>
    </row>
    <row r="537">
      <c r="A537" s="741"/>
      <c r="B537" s="741"/>
      <c r="C537" s="741"/>
      <c r="D537" s="741"/>
      <c r="E537" s="741"/>
      <c r="F537" s="741"/>
      <c r="G537" s="741"/>
      <c r="H537" s="741"/>
      <c r="I537" s="741"/>
      <c r="J537" s="741"/>
      <c r="K537" s="741"/>
      <c r="L537" s="741"/>
      <c r="M537" s="741"/>
      <c r="N537" s="741"/>
      <c r="O537" s="741"/>
      <c r="P537" s="741"/>
      <c r="Q537" s="741"/>
      <c r="R537" s="741"/>
      <c r="S537" s="741"/>
      <c r="T537" s="741"/>
      <c r="U537" s="741"/>
      <c r="V537" s="741"/>
      <c r="W537" s="741"/>
      <c r="X537" s="741"/>
      <c r="Y537" s="741"/>
      <c r="Z537" s="741"/>
      <c r="AA537" s="741"/>
      <c r="AB537" s="741"/>
      <c r="AC537" s="741"/>
      <c r="AD537" s="741"/>
      <c r="AE537" s="741"/>
      <c r="AF537" s="741"/>
      <c r="AG537" s="741"/>
      <c r="AH537" s="741"/>
      <c r="AI537" s="741"/>
    </row>
    <row r="538">
      <c r="A538" s="741"/>
      <c r="B538" s="741"/>
      <c r="C538" s="741"/>
      <c r="D538" s="741"/>
      <c r="E538" s="741"/>
      <c r="F538" s="741"/>
      <c r="G538" s="741"/>
      <c r="H538" s="741"/>
      <c r="I538" s="741"/>
      <c r="J538" s="741"/>
      <c r="K538" s="741"/>
      <c r="L538" s="741"/>
      <c r="M538" s="741"/>
      <c r="N538" s="741"/>
      <c r="O538" s="741"/>
      <c r="P538" s="741"/>
      <c r="Q538" s="741"/>
      <c r="R538" s="741"/>
      <c r="S538" s="741"/>
      <c r="T538" s="741"/>
      <c r="U538" s="741"/>
      <c r="V538" s="741"/>
      <c r="W538" s="741"/>
      <c r="X538" s="741"/>
      <c r="Y538" s="741"/>
      <c r="Z538" s="741"/>
      <c r="AA538" s="741"/>
      <c r="AB538" s="741"/>
      <c r="AC538" s="741"/>
      <c r="AD538" s="741"/>
      <c r="AE538" s="741"/>
      <c r="AF538" s="741"/>
      <c r="AG538" s="741"/>
      <c r="AH538" s="741"/>
      <c r="AI538" s="741"/>
    </row>
    <row r="539">
      <c r="A539" s="741"/>
      <c r="B539" s="741"/>
      <c r="C539" s="741"/>
      <c r="D539" s="741"/>
      <c r="E539" s="741"/>
      <c r="F539" s="741"/>
      <c r="G539" s="741"/>
      <c r="H539" s="741"/>
      <c r="I539" s="741"/>
      <c r="J539" s="741"/>
      <c r="K539" s="741"/>
      <c r="L539" s="741"/>
      <c r="M539" s="741"/>
      <c r="N539" s="741"/>
      <c r="O539" s="741"/>
      <c r="P539" s="741"/>
      <c r="Q539" s="741"/>
      <c r="R539" s="741"/>
      <c r="S539" s="741"/>
      <c r="T539" s="741"/>
      <c r="U539" s="741"/>
      <c r="V539" s="741"/>
      <c r="W539" s="741"/>
      <c r="X539" s="741"/>
      <c r="Y539" s="741"/>
      <c r="Z539" s="741"/>
      <c r="AA539" s="741"/>
      <c r="AB539" s="741"/>
      <c r="AC539" s="741"/>
      <c r="AD539" s="741"/>
      <c r="AE539" s="741"/>
      <c r="AF539" s="741"/>
      <c r="AG539" s="741"/>
      <c r="AH539" s="741"/>
      <c r="AI539" s="741"/>
    </row>
    <row r="540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1"/>
      <c r="P540" s="741"/>
      <c r="Q540" s="741"/>
      <c r="R540" s="741"/>
      <c r="S540" s="741"/>
      <c r="T540" s="741"/>
      <c r="U540" s="741"/>
      <c r="V540" s="741"/>
      <c r="W540" s="741"/>
      <c r="X540" s="741"/>
      <c r="Y540" s="741"/>
      <c r="Z540" s="741"/>
      <c r="AA540" s="741"/>
      <c r="AB540" s="741"/>
      <c r="AC540" s="741"/>
      <c r="AD540" s="741"/>
      <c r="AE540" s="741"/>
      <c r="AF540" s="741"/>
      <c r="AG540" s="741"/>
      <c r="AH540" s="741"/>
      <c r="AI540" s="741"/>
    </row>
    <row r="541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1"/>
      <c r="P541" s="741"/>
      <c r="Q541" s="741"/>
      <c r="R541" s="741"/>
      <c r="S541" s="741"/>
      <c r="T541" s="741"/>
      <c r="U541" s="741"/>
      <c r="V541" s="741"/>
      <c r="W541" s="741"/>
      <c r="X541" s="741"/>
      <c r="Y541" s="741"/>
      <c r="Z541" s="741"/>
      <c r="AA541" s="741"/>
      <c r="AB541" s="741"/>
      <c r="AC541" s="741"/>
      <c r="AD541" s="741"/>
      <c r="AE541" s="741"/>
      <c r="AF541" s="741"/>
      <c r="AG541" s="741"/>
      <c r="AH541" s="741"/>
      <c r="AI541" s="741"/>
    </row>
    <row r="542">
      <c r="A542" s="741"/>
      <c r="B542" s="741"/>
      <c r="C542" s="741"/>
      <c r="D542" s="741"/>
      <c r="E542" s="741"/>
      <c r="F542" s="741"/>
      <c r="G542" s="741"/>
      <c r="H542" s="741"/>
      <c r="I542" s="741"/>
      <c r="J542" s="741"/>
      <c r="K542" s="741"/>
      <c r="L542" s="741"/>
      <c r="M542" s="741"/>
      <c r="N542" s="741"/>
      <c r="O542" s="741"/>
      <c r="P542" s="741"/>
      <c r="Q542" s="741"/>
      <c r="R542" s="741"/>
      <c r="S542" s="741"/>
      <c r="T542" s="741"/>
      <c r="U542" s="741"/>
      <c r="V542" s="741"/>
      <c r="W542" s="741"/>
      <c r="X542" s="741"/>
      <c r="Y542" s="741"/>
      <c r="Z542" s="741"/>
      <c r="AA542" s="741"/>
      <c r="AB542" s="741"/>
      <c r="AC542" s="741"/>
      <c r="AD542" s="741"/>
      <c r="AE542" s="741"/>
      <c r="AF542" s="741"/>
      <c r="AG542" s="741"/>
      <c r="AH542" s="741"/>
      <c r="AI542" s="741"/>
    </row>
    <row r="543">
      <c r="A543" s="741"/>
      <c r="B543" s="741"/>
      <c r="C543" s="741"/>
      <c r="D543" s="741"/>
      <c r="E543" s="741"/>
      <c r="F543" s="741"/>
      <c r="G543" s="741"/>
      <c r="H543" s="741"/>
      <c r="I543" s="741"/>
      <c r="J543" s="741"/>
      <c r="K543" s="741"/>
      <c r="L543" s="741"/>
      <c r="M543" s="741"/>
      <c r="N543" s="741"/>
      <c r="O543" s="741"/>
      <c r="P543" s="741"/>
      <c r="Q543" s="741"/>
      <c r="R543" s="741"/>
      <c r="S543" s="741"/>
      <c r="T543" s="741"/>
      <c r="U543" s="741"/>
      <c r="V543" s="741"/>
      <c r="W543" s="741"/>
      <c r="X543" s="741"/>
      <c r="Y543" s="741"/>
      <c r="Z543" s="741"/>
      <c r="AA543" s="741"/>
      <c r="AB543" s="741"/>
      <c r="AC543" s="741"/>
      <c r="AD543" s="741"/>
      <c r="AE543" s="741"/>
      <c r="AF543" s="741"/>
      <c r="AG543" s="741"/>
      <c r="AH543" s="741"/>
      <c r="AI543" s="741"/>
    </row>
    <row r="544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1"/>
      <c r="P544" s="741"/>
      <c r="Q544" s="741"/>
      <c r="R544" s="741"/>
      <c r="S544" s="741"/>
      <c r="T544" s="741"/>
      <c r="U544" s="741"/>
      <c r="V544" s="741"/>
      <c r="W544" s="741"/>
      <c r="X544" s="741"/>
      <c r="Y544" s="741"/>
      <c r="Z544" s="741"/>
      <c r="AA544" s="741"/>
      <c r="AB544" s="741"/>
      <c r="AC544" s="741"/>
      <c r="AD544" s="741"/>
      <c r="AE544" s="741"/>
      <c r="AF544" s="741"/>
      <c r="AG544" s="741"/>
      <c r="AH544" s="741"/>
      <c r="AI544" s="741"/>
    </row>
    <row r="545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1"/>
      <c r="P545" s="741"/>
      <c r="Q545" s="741"/>
      <c r="R545" s="741"/>
      <c r="S545" s="741"/>
      <c r="T545" s="741"/>
      <c r="U545" s="741"/>
      <c r="V545" s="741"/>
      <c r="W545" s="741"/>
      <c r="X545" s="741"/>
      <c r="Y545" s="741"/>
      <c r="Z545" s="741"/>
      <c r="AA545" s="741"/>
      <c r="AB545" s="741"/>
      <c r="AC545" s="741"/>
      <c r="AD545" s="741"/>
      <c r="AE545" s="741"/>
      <c r="AF545" s="741"/>
      <c r="AG545" s="741"/>
      <c r="AH545" s="741"/>
      <c r="AI545" s="741"/>
    </row>
    <row r="546">
      <c r="A546" s="741"/>
      <c r="B546" s="741"/>
      <c r="C546" s="741"/>
      <c r="D546" s="741"/>
      <c r="E546" s="741"/>
      <c r="F546" s="741"/>
      <c r="G546" s="741"/>
      <c r="H546" s="741"/>
      <c r="I546" s="741"/>
      <c r="J546" s="741"/>
      <c r="K546" s="741"/>
      <c r="L546" s="741"/>
      <c r="M546" s="741"/>
      <c r="N546" s="741"/>
      <c r="O546" s="741"/>
      <c r="P546" s="741"/>
      <c r="Q546" s="741"/>
      <c r="R546" s="741"/>
      <c r="S546" s="741"/>
      <c r="T546" s="741"/>
      <c r="U546" s="741"/>
      <c r="V546" s="741"/>
      <c r="W546" s="741"/>
      <c r="X546" s="741"/>
      <c r="Y546" s="741"/>
      <c r="Z546" s="741"/>
      <c r="AA546" s="741"/>
      <c r="AB546" s="741"/>
      <c r="AC546" s="741"/>
      <c r="AD546" s="741"/>
      <c r="AE546" s="741"/>
      <c r="AF546" s="741"/>
      <c r="AG546" s="741"/>
      <c r="AH546" s="741"/>
      <c r="AI546" s="741"/>
    </row>
    <row r="547">
      <c r="A547" s="741"/>
      <c r="B547" s="741"/>
      <c r="C547" s="741"/>
      <c r="D547" s="741"/>
      <c r="E547" s="741"/>
      <c r="F547" s="741"/>
      <c r="G547" s="741"/>
      <c r="H547" s="741"/>
      <c r="I547" s="741"/>
      <c r="J547" s="741"/>
      <c r="K547" s="741"/>
      <c r="L547" s="741"/>
      <c r="M547" s="741"/>
      <c r="N547" s="741"/>
      <c r="O547" s="741"/>
      <c r="P547" s="741"/>
      <c r="Q547" s="741"/>
      <c r="R547" s="741"/>
      <c r="S547" s="741"/>
      <c r="T547" s="741"/>
      <c r="U547" s="741"/>
      <c r="V547" s="741"/>
      <c r="W547" s="741"/>
      <c r="X547" s="741"/>
      <c r="Y547" s="741"/>
      <c r="Z547" s="741"/>
      <c r="AA547" s="741"/>
      <c r="AB547" s="741"/>
      <c r="AC547" s="741"/>
      <c r="AD547" s="741"/>
      <c r="AE547" s="741"/>
      <c r="AF547" s="741"/>
      <c r="AG547" s="741"/>
      <c r="AH547" s="741"/>
      <c r="AI547" s="741"/>
    </row>
    <row r="548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1"/>
      <c r="P548" s="741"/>
      <c r="Q548" s="741"/>
      <c r="R548" s="741"/>
      <c r="S548" s="741"/>
      <c r="T548" s="741"/>
      <c r="U548" s="741"/>
      <c r="V548" s="741"/>
      <c r="W548" s="741"/>
      <c r="X548" s="741"/>
      <c r="Y548" s="741"/>
      <c r="Z548" s="741"/>
      <c r="AA548" s="741"/>
      <c r="AB548" s="741"/>
      <c r="AC548" s="741"/>
      <c r="AD548" s="741"/>
      <c r="AE548" s="741"/>
      <c r="AF548" s="741"/>
      <c r="AG548" s="741"/>
      <c r="AH548" s="741"/>
      <c r="AI548" s="741"/>
    </row>
    <row r="549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1"/>
      <c r="P549" s="741"/>
      <c r="Q549" s="741"/>
      <c r="R549" s="741"/>
      <c r="S549" s="741"/>
      <c r="T549" s="741"/>
      <c r="U549" s="741"/>
      <c r="V549" s="741"/>
      <c r="W549" s="741"/>
      <c r="X549" s="741"/>
      <c r="Y549" s="741"/>
      <c r="Z549" s="741"/>
      <c r="AA549" s="741"/>
      <c r="AB549" s="741"/>
      <c r="AC549" s="741"/>
      <c r="AD549" s="741"/>
      <c r="AE549" s="741"/>
      <c r="AF549" s="741"/>
      <c r="AG549" s="741"/>
      <c r="AH549" s="741"/>
      <c r="AI549" s="741"/>
    </row>
    <row r="550">
      <c r="A550" s="741"/>
      <c r="B550" s="741"/>
      <c r="C550" s="741"/>
      <c r="D550" s="741"/>
      <c r="E550" s="741"/>
      <c r="F550" s="741"/>
      <c r="G550" s="741"/>
      <c r="H550" s="741"/>
      <c r="I550" s="741"/>
      <c r="J550" s="741"/>
      <c r="K550" s="741"/>
      <c r="L550" s="741"/>
      <c r="M550" s="741"/>
      <c r="N550" s="741"/>
      <c r="O550" s="741"/>
      <c r="P550" s="741"/>
      <c r="Q550" s="741"/>
      <c r="R550" s="741"/>
      <c r="S550" s="741"/>
      <c r="T550" s="741"/>
      <c r="U550" s="741"/>
      <c r="V550" s="741"/>
      <c r="W550" s="741"/>
      <c r="X550" s="741"/>
      <c r="Y550" s="741"/>
      <c r="Z550" s="741"/>
      <c r="AA550" s="741"/>
      <c r="AB550" s="741"/>
      <c r="AC550" s="741"/>
      <c r="AD550" s="741"/>
      <c r="AE550" s="741"/>
      <c r="AF550" s="741"/>
      <c r="AG550" s="741"/>
      <c r="AH550" s="741"/>
      <c r="AI550" s="741"/>
    </row>
    <row r="551">
      <c r="A551" s="741"/>
      <c r="B551" s="741"/>
      <c r="C551" s="741"/>
      <c r="D551" s="741"/>
      <c r="E551" s="741"/>
      <c r="F551" s="741"/>
      <c r="G551" s="741"/>
      <c r="H551" s="741"/>
      <c r="I551" s="741"/>
      <c r="J551" s="741"/>
      <c r="K551" s="741"/>
      <c r="L551" s="741"/>
      <c r="M551" s="741"/>
      <c r="N551" s="741"/>
      <c r="O551" s="741"/>
      <c r="P551" s="741"/>
      <c r="Q551" s="741"/>
      <c r="R551" s="741"/>
      <c r="S551" s="741"/>
      <c r="T551" s="741"/>
      <c r="U551" s="741"/>
      <c r="V551" s="741"/>
      <c r="W551" s="741"/>
      <c r="X551" s="741"/>
      <c r="Y551" s="741"/>
      <c r="Z551" s="741"/>
      <c r="AA551" s="741"/>
      <c r="AB551" s="741"/>
      <c r="AC551" s="741"/>
      <c r="AD551" s="741"/>
      <c r="AE551" s="741"/>
      <c r="AF551" s="741"/>
      <c r="AG551" s="741"/>
      <c r="AH551" s="741"/>
      <c r="AI551" s="741"/>
    </row>
    <row r="55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1"/>
      <c r="P552" s="741"/>
      <c r="Q552" s="741"/>
      <c r="R552" s="741"/>
      <c r="S552" s="741"/>
      <c r="T552" s="741"/>
      <c r="U552" s="741"/>
      <c r="V552" s="741"/>
      <c r="W552" s="741"/>
      <c r="X552" s="741"/>
      <c r="Y552" s="741"/>
      <c r="Z552" s="741"/>
      <c r="AA552" s="741"/>
      <c r="AB552" s="741"/>
      <c r="AC552" s="741"/>
      <c r="AD552" s="741"/>
      <c r="AE552" s="741"/>
      <c r="AF552" s="741"/>
      <c r="AG552" s="741"/>
      <c r="AH552" s="741"/>
      <c r="AI552" s="741"/>
    </row>
    <row r="553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1"/>
      <c r="P553" s="741"/>
      <c r="Q553" s="741"/>
      <c r="R553" s="741"/>
      <c r="S553" s="741"/>
      <c r="T553" s="741"/>
      <c r="U553" s="741"/>
      <c r="V553" s="741"/>
      <c r="W553" s="741"/>
      <c r="X553" s="741"/>
      <c r="Y553" s="741"/>
      <c r="Z553" s="741"/>
      <c r="AA553" s="741"/>
      <c r="AB553" s="741"/>
      <c r="AC553" s="741"/>
      <c r="AD553" s="741"/>
      <c r="AE553" s="741"/>
      <c r="AF553" s="741"/>
      <c r="AG553" s="741"/>
      <c r="AH553" s="741"/>
      <c r="AI553" s="741"/>
    </row>
    <row r="554">
      <c r="A554" s="741"/>
      <c r="B554" s="741"/>
      <c r="C554" s="741"/>
      <c r="D554" s="741"/>
      <c r="E554" s="741"/>
      <c r="F554" s="741"/>
      <c r="G554" s="741"/>
      <c r="H554" s="741"/>
      <c r="I554" s="741"/>
      <c r="J554" s="741"/>
      <c r="K554" s="741"/>
      <c r="L554" s="741"/>
      <c r="M554" s="741"/>
      <c r="N554" s="741"/>
      <c r="O554" s="741"/>
      <c r="P554" s="741"/>
      <c r="Q554" s="741"/>
      <c r="R554" s="741"/>
      <c r="S554" s="741"/>
      <c r="T554" s="741"/>
      <c r="U554" s="741"/>
      <c r="V554" s="741"/>
      <c r="W554" s="741"/>
      <c r="X554" s="741"/>
      <c r="Y554" s="741"/>
      <c r="Z554" s="741"/>
      <c r="AA554" s="741"/>
      <c r="AB554" s="741"/>
      <c r="AC554" s="741"/>
      <c r="AD554" s="741"/>
      <c r="AE554" s="741"/>
      <c r="AF554" s="741"/>
      <c r="AG554" s="741"/>
      <c r="AH554" s="741"/>
      <c r="AI554" s="741"/>
    </row>
    <row r="555">
      <c r="A555" s="741"/>
      <c r="B555" s="741"/>
      <c r="C555" s="741"/>
      <c r="D555" s="741"/>
      <c r="E555" s="741"/>
      <c r="F555" s="741"/>
      <c r="G555" s="741"/>
      <c r="H555" s="741"/>
      <c r="I555" s="741"/>
      <c r="J555" s="741"/>
      <c r="K555" s="741"/>
      <c r="L555" s="741"/>
      <c r="M555" s="741"/>
      <c r="N555" s="741"/>
      <c r="O555" s="741"/>
      <c r="P555" s="741"/>
      <c r="Q555" s="741"/>
      <c r="R555" s="741"/>
      <c r="S555" s="741"/>
      <c r="T555" s="741"/>
      <c r="U555" s="741"/>
      <c r="V555" s="741"/>
      <c r="W555" s="741"/>
      <c r="X555" s="741"/>
      <c r="Y555" s="741"/>
      <c r="Z555" s="741"/>
      <c r="AA555" s="741"/>
      <c r="AB555" s="741"/>
      <c r="AC555" s="741"/>
      <c r="AD555" s="741"/>
      <c r="AE555" s="741"/>
      <c r="AF555" s="741"/>
      <c r="AG555" s="741"/>
      <c r="AH555" s="741"/>
      <c r="AI555" s="741"/>
    </row>
    <row r="556">
      <c r="A556" s="741"/>
      <c r="B556" s="741"/>
      <c r="C556" s="741"/>
      <c r="D556" s="741"/>
      <c r="E556" s="741"/>
      <c r="F556" s="741"/>
      <c r="G556" s="741"/>
      <c r="H556" s="741"/>
      <c r="I556" s="741"/>
      <c r="J556" s="741"/>
      <c r="K556" s="741"/>
      <c r="L556" s="741"/>
      <c r="M556" s="741"/>
      <c r="N556" s="741"/>
      <c r="O556" s="741"/>
      <c r="P556" s="741"/>
      <c r="Q556" s="741"/>
      <c r="R556" s="741"/>
      <c r="S556" s="741"/>
      <c r="T556" s="741"/>
      <c r="U556" s="741"/>
      <c r="V556" s="741"/>
      <c r="W556" s="741"/>
      <c r="X556" s="741"/>
      <c r="Y556" s="741"/>
      <c r="Z556" s="741"/>
      <c r="AA556" s="741"/>
      <c r="AB556" s="741"/>
      <c r="AC556" s="741"/>
      <c r="AD556" s="741"/>
      <c r="AE556" s="741"/>
      <c r="AF556" s="741"/>
      <c r="AG556" s="741"/>
      <c r="AH556" s="741"/>
      <c r="AI556" s="741"/>
    </row>
    <row r="557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1"/>
      <c r="P557" s="741"/>
      <c r="Q557" s="741"/>
      <c r="R557" s="741"/>
      <c r="S557" s="741"/>
      <c r="T557" s="741"/>
      <c r="U557" s="741"/>
      <c r="V557" s="741"/>
      <c r="W557" s="741"/>
      <c r="X557" s="741"/>
      <c r="Y557" s="741"/>
      <c r="Z557" s="741"/>
      <c r="AA557" s="741"/>
      <c r="AB557" s="741"/>
      <c r="AC557" s="741"/>
      <c r="AD557" s="741"/>
      <c r="AE557" s="741"/>
      <c r="AF557" s="741"/>
      <c r="AG557" s="741"/>
      <c r="AH557" s="741"/>
      <c r="AI557" s="741"/>
    </row>
    <row r="558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1"/>
      <c r="P558" s="741"/>
      <c r="Q558" s="741"/>
      <c r="R558" s="741"/>
      <c r="S558" s="741"/>
      <c r="T558" s="741"/>
      <c r="U558" s="741"/>
      <c r="V558" s="741"/>
      <c r="W558" s="741"/>
      <c r="X558" s="741"/>
      <c r="Y558" s="741"/>
      <c r="Z558" s="741"/>
      <c r="AA558" s="741"/>
      <c r="AB558" s="741"/>
      <c r="AC558" s="741"/>
      <c r="AD558" s="741"/>
      <c r="AE558" s="741"/>
      <c r="AF558" s="741"/>
      <c r="AG558" s="741"/>
      <c r="AH558" s="741"/>
      <c r="AI558" s="741"/>
    </row>
    <row r="559">
      <c r="A559" s="741"/>
      <c r="B559" s="741"/>
      <c r="C559" s="741"/>
      <c r="D559" s="741"/>
      <c r="E559" s="741"/>
      <c r="F559" s="741"/>
      <c r="G559" s="741"/>
      <c r="H559" s="741"/>
      <c r="I559" s="741"/>
      <c r="J559" s="741"/>
      <c r="K559" s="741"/>
      <c r="L559" s="741"/>
      <c r="M559" s="741"/>
      <c r="N559" s="741"/>
      <c r="O559" s="741"/>
      <c r="P559" s="741"/>
      <c r="Q559" s="741"/>
      <c r="R559" s="741"/>
      <c r="S559" s="741"/>
      <c r="T559" s="741"/>
      <c r="U559" s="741"/>
      <c r="V559" s="741"/>
      <c r="W559" s="741"/>
      <c r="X559" s="741"/>
      <c r="Y559" s="741"/>
      <c r="Z559" s="741"/>
      <c r="AA559" s="741"/>
      <c r="AB559" s="741"/>
      <c r="AC559" s="741"/>
      <c r="AD559" s="741"/>
      <c r="AE559" s="741"/>
      <c r="AF559" s="741"/>
      <c r="AG559" s="741"/>
      <c r="AH559" s="741"/>
      <c r="AI559" s="741"/>
    </row>
    <row r="560">
      <c r="A560" s="741"/>
      <c r="B560" s="741"/>
      <c r="C560" s="741"/>
      <c r="D560" s="741"/>
      <c r="E560" s="741"/>
      <c r="F560" s="741"/>
      <c r="G560" s="741"/>
      <c r="H560" s="741"/>
      <c r="I560" s="741"/>
      <c r="J560" s="741"/>
      <c r="K560" s="741"/>
      <c r="L560" s="741"/>
      <c r="M560" s="741"/>
      <c r="N560" s="741"/>
      <c r="O560" s="741"/>
      <c r="P560" s="741"/>
      <c r="Q560" s="741"/>
      <c r="R560" s="741"/>
      <c r="S560" s="741"/>
      <c r="T560" s="741"/>
      <c r="U560" s="741"/>
      <c r="V560" s="741"/>
      <c r="W560" s="741"/>
      <c r="X560" s="741"/>
      <c r="Y560" s="741"/>
      <c r="Z560" s="741"/>
      <c r="AA560" s="741"/>
      <c r="AB560" s="741"/>
      <c r="AC560" s="741"/>
      <c r="AD560" s="741"/>
      <c r="AE560" s="741"/>
      <c r="AF560" s="741"/>
      <c r="AG560" s="741"/>
      <c r="AH560" s="741"/>
      <c r="AI560" s="741"/>
    </row>
    <row r="561">
      <c r="A561" s="741"/>
      <c r="B561" s="741"/>
      <c r="C561" s="741"/>
      <c r="D561" s="741"/>
      <c r="E561" s="741"/>
      <c r="F561" s="741"/>
      <c r="G561" s="741"/>
      <c r="H561" s="741"/>
      <c r="I561" s="741"/>
      <c r="J561" s="741"/>
      <c r="K561" s="741"/>
      <c r="L561" s="741"/>
      <c r="M561" s="741"/>
      <c r="N561" s="741"/>
      <c r="O561" s="741"/>
      <c r="P561" s="741"/>
      <c r="Q561" s="741"/>
      <c r="R561" s="741"/>
      <c r="S561" s="741"/>
      <c r="T561" s="741"/>
      <c r="U561" s="741"/>
      <c r="V561" s="741"/>
      <c r="W561" s="741"/>
      <c r="X561" s="741"/>
      <c r="Y561" s="741"/>
      <c r="Z561" s="741"/>
      <c r="AA561" s="741"/>
      <c r="AB561" s="741"/>
      <c r="AC561" s="741"/>
      <c r="AD561" s="741"/>
      <c r="AE561" s="741"/>
      <c r="AF561" s="741"/>
      <c r="AG561" s="741"/>
      <c r="AH561" s="741"/>
      <c r="AI561" s="741"/>
    </row>
    <row r="56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1"/>
      <c r="P562" s="741"/>
      <c r="Q562" s="741"/>
      <c r="R562" s="741"/>
      <c r="S562" s="741"/>
      <c r="T562" s="741"/>
      <c r="U562" s="741"/>
      <c r="V562" s="741"/>
      <c r="W562" s="741"/>
      <c r="X562" s="741"/>
      <c r="Y562" s="741"/>
      <c r="Z562" s="741"/>
      <c r="AA562" s="741"/>
      <c r="AB562" s="741"/>
      <c r="AC562" s="741"/>
      <c r="AD562" s="741"/>
      <c r="AE562" s="741"/>
      <c r="AF562" s="741"/>
      <c r="AG562" s="741"/>
      <c r="AH562" s="741"/>
      <c r="AI562" s="741"/>
    </row>
    <row r="563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1"/>
      <c r="P563" s="741"/>
      <c r="Q563" s="741"/>
      <c r="R563" s="741"/>
      <c r="S563" s="741"/>
      <c r="T563" s="741"/>
      <c r="U563" s="741"/>
      <c r="V563" s="741"/>
      <c r="W563" s="741"/>
      <c r="X563" s="741"/>
      <c r="Y563" s="741"/>
      <c r="Z563" s="741"/>
      <c r="AA563" s="741"/>
      <c r="AB563" s="741"/>
      <c r="AC563" s="741"/>
      <c r="AD563" s="741"/>
      <c r="AE563" s="741"/>
      <c r="AF563" s="741"/>
      <c r="AG563" s="741"/>
      <c r="AH563" s="741"/>
      <c r="AI563" s="741"/>
    </row>
    <row r="564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741"/>
      <c r="P564" s="741"/>
      <c r="Q564" s="741"/>
      <c r="R564" s="741"/>
      <c r="S564" s="741"/>
      <c r="T564" s="741"/>
      <c r="U564" s="741"/>
      <c r="V564" s="741"/>
      <c r="W564" s="741"/>
      <c r="X564" s="741"/>
      <c r="Y564" s="741"/>
      <c r="Z564" s="741"/>
      <c r="AA564" s="741"/>
      <c r="AB564" s="741"/>
      <c r="AC564" s="741"/>
      <c r="AD564" s="741"/>
      <c r="AE564" s="741"/>
      <c r="AF564" s="741"/>
      <c r="AG564" s="741"/>
      <c r="AH564" s="741"/>
      <c r="AI564" s="741"/>
    </row>
    <row r="565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741"/>
      <c r="P565" s="741"/>
      <c r="Q565" s="741"/>
      <c r="R565" s="741"/>
      <c r="S565" s="741"/>
      <c r="T565" s="741"/>
      <c r="U565" s="741"/>
      <c r="V565" s="741"/>
      <c r="W565" s="741"/>
      <c r="X565" s="741"/>
      <c r="Y565" s="741"/>
      <c r="Z565" s="741"/>
      <c r="AA565" s="741"/>
      <c r="AB565" s="741"/>
      <c r="AC565" s="741"/>
      <c r="AD565" s="741"/>
      <c r="AE565" s="741"/>
      <c r="AF565" s="741"/>
      <c r="AG565" s="741"/>
      <c r="AH565" s="741"/>
      <c r="AI565" s="741"/>
    </row>
    <row r="566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741"/>
      <c r="P566" s="741"/>
      <c r="Q566" s="741"/>
      <c r="R566" s="741"/>
      <c r="S566" s="741"/>
      <c r="T566" s="741"/>
      <c r="U566" s="741"/>
      <c r="V566" s="741"/>
      <c r="W566" s="741"/>
      <c r="X566" s="741"/>
      <c r="Y566" s="741"/>
      <c r="Z566" s="741"/>
      <c r="AA566" s="741"/>
      <c r="AB566" s="741"/>
      <c r="AC566" s="741"/>
      <c r="AD566" s="741"/>
      <c r="AE566" s="741"/>
      <c r="AF566" s="741"/>
      <c r="AG566" s="741"/>
      <c r="AH566" s="741"/>
      <c r="AI566" s="741"/>
    </row>
    <row r="567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741"/>
      <c r="P567" s="741"/>
      <c r="Q567" s="741"/>
      <c r="R567" s="741"/>
      <c r="S567" s="741"/>
      <c r="T567" s="741"/>
      <c r="U567" s="741"/>
      <c r="V567" s="741"/>
      <c r="W567" s="741"/>
      <c r="X567" s="741"/>
      <c r="Y567" s="741"/>
      <c r="Z567" s="741"/>
      <c r="AA567" s="741"/>
      <c r="AB567" s="741"/>
      <c r="AC567" s="741"/>
      <c r="AD567" s="741"/>
      <c r="AE567" s="741"/>
      <c r="AF567" s="741"/>
      <c r="AG567" s="741"/>
      <c r="AH567" s="741"/>
      <c r="AI567" s="741"/>
    </row>
    <row r="568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741"/>
      <c r="P568" s="741"/>
      <c r="Q568" s="741"/>
      <c r="R568" s="741"/>
      <c r="S568" s="741"/>
      <c r="T568" s="741"/>
      <c r="U568" s="741"/>
      <c r="V568" s="741"/>
      <c r="W568" s="741"/>
      <c r="X568" s="741"/>
      <c r="Y568" s="741"/>
      <c r="Z568" s="741"/>
      <c r="AA568" s="741"/>
      <c r="AB568" s="741"/>
      <c r="AC568" s="741"/>
      <c r="AD568" s="741"/>
      <c r="AE568" s="741"/>
      <c r="AF568" s="741"/>
      <c r="AG568" s="741"/>
      <c r="AH568" s="741"/>
      <c r="AI568" s="741"/>
    </row>
    <row r="569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741"/>
      <c r="P569" s="741"/>
      <c r="Q569" s="741"/>
      <c r="R569" s="741"/>
      <c r="S569" s="741"/>
      <c r="T569" s="741"/>
      <c r="U569" s="741"/>
      <c r="V569" s="741"/>
      <c r="W569" s="741"/>
      <c r="X569" s="741"/>
      <c r="Y569" s="741"/>
      <c r="Z569" s="741"/>
      <c r="AA569" s="741"/>
      <c r="AB569" s="741"/>
      <c r="AC569" s="741"/>
      <c r="AD569" s="741"/>
      <c r="AE569" s="741"/>
      <c r="AF569" s="741"/>
      <c r="AG569" s="741"/>
      <c r="AH569" s="741"/>
      <c r="AI569" s="741"/>
    </row>
    <row r="570">
      <c r="A570" s="741"/>
      <c r="B570" s="741"/>
      <c r="C570" s="741"/>
      <c r="D570" s="741"/>
      <c r="E570" s="741"/>
      <c r="F570" s="741"/>
      <c r="G570" s="741"/>
      <c r="H570" s="741"/>
      <c r="I570" s="741"/>
      <c r="J570" s="741"/>
      <c r="K570" s="741"/>
      <c r="L570" s="741"/>
      <c r="M570" s="741"/>
      <c r="N570" s="741"/>
      <c r="O570" s="741"/>
      <c r="P570" s="741"/>
      <c r="Q570" s="741"/>
      <c r="R570" s="741"/>
      <c r="S570" s="741"/>
      <c r="T570" s="741"/>
      <c r="U570" s="741"/>
      <c r="V570" s="741"/>
      <c r="W570" s="741"/>
      <c r="X570" s="741"/>
      <c r="Y570" s="741"/>
      <c r="Z570" s="741"/>
      <c r="AA570" s="741"/>
      <c r="AB570" s="741"/>
      <c r="AC570" s="741"/>
      <c r="AD570" s="741"/>
      <c r="AE570" s="741"/>
      <c r="AF570" s="741"/>
      <c r="AG570" s="741"/>
      <c r="AH570" s="741"/>
      <c r="AI570" s="741"/>
    </row>
    <row r="571">
      <c r="A571" s="741"/>
      <c r="B571" s="741"/>
      <c r="C571" s="741"/>
      <c r="D571" s="741"/>
      <c r="E571" s="741"/>
      <c r="F571" s="741"/>
      <c r="G571" s="741"/>
      <c r="H571" s="741"/>
      <c r="I571" s="741"/>
      <c r="J571" s="741"/>
      <c r="K571" s="741"/>
      <c r="L571" s="741"/>
      <c r="M571" s="741"/>
      <c r="N571" s="741"/>
      <c r="O571" s="741"/>
      <c r="P571" s="741"/>
      <c r="Q571" s="741"/>
      <c r="R571" s="741"/>
      <c r="S571" s="741"/>
      <c r="T571" s="741"/>
      <c r="U571" s="741"/>
      <c r="V571" s="741"/>
      <c r="W571" s="741"/>
      <c r="X571" s="741"/>
      <c r="Y571" s="741"/>
      <c r="Z571" s="741"/>
      <c r="AA571" s="741"/>
      <c r="AB571" s="741"/>
      <c r="AC571" s="741"/>
      <c r="AD571" s="741"/>
      <c r="AE571" s="741"/>
      <c r="AF571" s="741"/>
      <c r="AG571" s="741"/>
      <c r="AH571" s="741"/>
      <c r="AI571" s="741"/>
    </row>
    <row r="572">
      <c r="A572" s="741"/>
      <c r="B572" s="741"/>
      <c r="C572" s="741"/>
      <c r="D572" s="741"/>
      <c r="E572" s="741"/>
      <c r="F572" s="741"/>
      <c r="G572" s="741"/>
      <c r="H572" s="741"/>
      <c r="I572" s="741"/>
      <c r="J572" s="741"/>
      <c r="K572" s="741"/>
      <c r="L572" s="741"/>
      <c r="M572" s="741"/>
      <c r="N572" s="741"/>
      <c r="O572" s="741"/>
      <c r="P572" s="741"/>
      <c r="Q572" s="741"/>
      <c r="R572" s="741"/>
      <c r="S572" s="741"/>
      <c r="T572" s="741"/>
      <c r="U572" s="741"/>
      <c r="V572" s="741"/>
      <c r="W572" s="741"/>
      <c r="X572" s="741"/>
      <c r="Y572" s="741"/>
      <c r="Z572" s="741"/>
      <c r="AA572" s="741"/>
      <c r="AB572" s="741"/>
      <c r="AC572" s="741"/>
      <c r="AD572" s="741"/>
      <c r="AE572" s="741"/>
      <c r="AF572" s="741"/>
      <c r="AG572" s="741"/>
      <c r="AH572" s="741"/>
      <c r="AI572" s="741"/>
    </row>
    <row r="573">
      <c r="A573" s="741"/>
      <c r="B573" s="741"/>
      <c r="C573" s="741"/>
      <c r="D573" s="741"/>
      <c r="E573" s="741"/>
      <c r="F573" s="741"/>
      <c r="G573" s="741"/>
      <c r="H573" s="741"/>
      <c r="I573" s="741"/>
      <c r="J573" s="741"/>
      <c r="K573" s="741"/>
      <c r="L573" s="741"/>
      <c r="M573" s="741"/>
      <c r="N573" s="741"/>
      <c r="O573" s="741"/>
      <c r="P573" s="741"/>
      <c r="Q573" s="741"/>
      <c r="R573" s="741"/>
      <c r="S573" s="741"/>
      <c r="T573" s="741"/>
      <c r="U573" s="741"/>
      <c r="V573" s="741"/>
      <c r="W573" s="741"/>
      <c r="X573" s="741"/>
      <c r="Y573" s="741"/>
      <c r="Z573" s="741"/>
      <c r="AA573" s="741"/>
      <c r="AB573" s="741"/>
      <c r="AC573" s="741"/>
      <c r="AD573" s="741"/>
      <c r="AE573" s="741"/>
      <c r="AF573" s="741"/>
      <c r="AG573" s="741"/>
      <c r="AH573" s="741"/>
      <c r="AI573" s="741"/>
    </row>
    <row r="574">
      <c r="A574" s="741"/>
      <c r="B574" s="741"/>
      <c r="C574" s="741"/>
      <c r="D574" s="741"/>
      <c r="E574" s="741"/>
      <c r="F574" s="741"/>
      <c r="G574" s="741"/>
      <c r="H574" s="741"/>
      <c r="I574" s="741"/>
      <c r="J574" s="741"/>
      <c r="K574" s="741"/>
      <c r="L574" s="741"/>
      <c r="M574" s="741"/>
      <c r="N574" s="741"/>
      <c r="O574" s="741"/>
      <c r="P574" s="741"/>
      <c r="Q574" s="741"/>
      <c r="R574" s="741"/>
      <c r="S574" s="741"/>
      <c r="T574" s="741"/>
      <c r="U574" s="741"/>
      <c r="V574" s="741"/>
      <c r="W574" s="741"/>
      <c r="X574" s="741"/>
      <c r="Y574" s="741"/>
      <c r="Z574" s="741"/>
      <c r="AA574" s="741"/>
      <c r="AB574" s="741"/>
      <c r="AC574" s="741"/>
      <c r="AD574" s="741"/>
      <c r="AE574" s="741"/>
      <c r="AF574" s="741"/>
      <c r="AG574" s="741"/>
      <c r="AH574" s="741"/>
      <c r="AI574" s="741"/>
    </row>
    <row r="575">
      <c r="A575" s="741"/>
      <c r="B575" s="741"/>
      <c r="C575" s="741"/>
      <c r="D575" s="741"/>
      <c r="E575" s="741"/>
      <c r="F575" s="741"/>
      <c r="G575" s="741"/>
      <c r="H575" s="741"/>
      <c r="I575" s="741"/>
      <c r="J575" s="741"/>
      <c r="K575" s="741"/>
      <c r="L575" s="741"/>
      <c r="M575" s="741"/>
      <c r="N575" s="741"/>
      <c r="O575" s="741"/>
      <c r="P575" s="741"/>
      <c r="Q575" s="741"/>
      <c r="R575" s="741"/>
      <c r="S575" s="741"/>
      <c r="T575" s="741"/>
      <c r="U575" s="741"/>
      <c r="V575" s="741"/>
      <c r="W575" s="741"/>
      <c r="X575" s="741"/>
      <c r="Y575" s="741"/>
      <c r="Z575" s="741"/>
      <c r="AA575" s="741"/>
      <c r="AB575" s="741"/>
      <c r="AC575" s="741"/>
      <c r="AD575" s="741"/>
      <c r="AE575" s="741"/>
      <c r="AF575" s="741"/>
      <c r="AG575" s="741"/>
      <c r="AH575" s="741"/>
      <c r="AI575" s="741"/>
    </row>
    <row r="576">
      <c r="A576" s="741"/>
      <c r="B576" s="741"/>
      <c r="C576" s="741"/>
      <c r="D576" s="741"/>
      <c r="E576" s="741"/>
      <c r="F576" s="741"/>
      <c r="G576" s="741"/>
      <c r="H576" s="741"/>
      <c r="I576" s="741"/>
      <c r="J576" s="741"/>
      <c r="K576" s="741"/>
      <c r="L576" s="741"/>
      <c r="M576" s="741"/>
      <c r="N576" s="741"/>
      <c r="O576" s="741"/>
      <c r="P576" s="741"/>
      <c r="Q576" s="741"/>
      <c r="R576" s="741"/>
      <c r="S576" s="741"/>
      <c r="T576" s="741"/>
      <c r="U576" s="741"/>
      <c r="V576" s="741"/>
      <c r="W576" s="741"/>
      <c r="X576" s="741"/>
      <c r="Y576" s="741"/>
      <c r="Z576" s="741"/>
      <c r="AA576" s="741"/>
      <c r="AB576" s="741"/>
      <c r="AC576" s="741"/>
      <c r="AD576" s="741"/>
      <c r="AE576" s="741"/>
      <c r="AF576" s="741"/>
      <c r="AG576" s="741"/>
      <c r="AH576" s="741"/>
      <c r="AI576" s="741"/>
    </row>
    <row r="577">
      <c r="A577" s="741"/>
      <c r="B577" s="741"/>
      <c r="C577" s="741"/>
      <c r="D577" s="741"/>
      <c r="E577" s="741"/>
      <c r="F577" s="741"/>
      <c r="G577" s="741"/>
      <c r="H577" s="741"/>
      <c r="I577" s="741"/>
      <c r="J577" s="741"/>
      <c r="K577" s="741"/>
      <c r="L577" s="741"/>
      <c r="M577" s="741"/>
      <c r="N577" s="741"/>
      <c r="O577" s="741"/>
      <c r="P577" s="741"/>
      <c r="Q577" s="741"/>
      <c r="R577" s="741"/>
      <c r="S577" s="741"/>
      <c r="T577" s="741"/>
      <c r="U577" s="741"/>
      <c r="V577" s="741"/>
      <c r="W577" s="741"/>
      <c r="X577" s="741"/>
      <c r="Y577" s="741"/>
      <c r="Z577" s="741"/>
      <c r="AA577" s="741"/>
      <c r="AB577" s="741"/>
      <c r="AC577" s="741"/>
      <c r="AD577" s="741"/>
      <c r="AE577" s="741"/>
      <c r="AF577" s="741"/>
      <c r="AG577" s="741"/>
      <c r="AH577" s="741"/>
      <c r="AI577" s="741"/>
    </row>
    <row r="578">
      <c r="A578" s="741"/>
      <c r="B578" s="741"/>
      <c r="C578" s="741"/>
      <c r="D578" s="741"/>
      <c r="E578" s="741"/>
      <c r="F578" s="741"/>
      <c r="G578" s="741"/>
      <c r="H578" s="741"/>
      <c r="I578" s="741"/>
      <c r="J578" s="741"/>
      <c r="K578" s="741"/>
      <c r="L578" s="741"/>
      <c r="M578" s="741"/>
      <c r="N578" s="741"/>
      <c r="O578" s="741"/>
      <c r="P578" s="741"/>
      <c r="Q578" s="741"/>
      <c r="R578" s="741"/>
      <c r="S578" s="741"/>
      <c r="T578" s="741"/>
      <c r="U578" s="741"/>
      <c r="V578" s="741"/>
      <c r="W578" s="741"/>
      <c r="X578" s="741"/>
      <c r="Y578" s="741"/>
      <c r="Z578" s="741"/>
      <c r="AA578" s="741"/>
      <c r="AB578" s="741"/>
      <c r="AC578" s="741"/>
      <c r="AD578" s="741"/>
      <c r="AE578" s="741"/>
      <c r="AF578" s="741"/>
      <c r="AG578" s="741"/>
      <c r="AH578" s="741"/>
      <c r="AI578" s="741"/>
    </row>
    <row r="579">
      <c r="A579" s="741"/>
      <c r="B579" s="741"/>
      <c r="C579" s="741"/>
      <c r="D579" s="741"/>
      <c r="E579" s="741"/>
      <c r="F579" s="741"/>
      <c r="G579" s="741"/>
      <c r="H579" s="741"/>
      <c r="I579" s="741"/>
      <c r="J579" s="741"/>
      <c r="K579" s="741"/>
      <c r="L579" s="741"/>
      <c r="M579" s="741"/>
      <c r="N579" s="741"/>
      <c r="O579" s="741"/>
      <c r="P579" s="741"/>
      <c r="Q579" s="741"/>
      <c r="R579" s="741"/>
      <c r="S579" s="741"/>
      <c r="T579" s="741"/>
      <c r="U579" s="741"/>
      <c r="V579" s="741"/>
      <c r="W579" s="741"/>
      <c r="X579" s="741"/>
      <c r="Y579" s="741"/>
      <c r="Z579" s="741"/>
      <c r="AA579" s="741"/>
      <c r="AB579" s="741"/>
      <c r="AC579" s="741"/>
      <c r="AD579" s="741"/>
      <c r="AE579" s="741"/>
      <c r="AF579" s="741"/>
      <c r="AG579" s="741"/>
      <c r="AH579" s="741"/>
      <c r="AI579" s="741"/>
    </row>
    <row r="580">
      <c r="A580" s="741"/>
      <c r="B580" s="741"/>
      <c r="C580" s="741"/>
      <c r="D580" s="741"/>
      <c r="E580" s="741"/>
      <c r="F580" s="741"/>
      <c r="G580" s="741"/>
      <c r="H580" s="741"/>
      <c r="I580" s="741"/>
      <c r="J580" s="741"/>
      <c r="K580" s="741"/>
      <c r="L580" s="741"/>
      <c r="M580" s="741"/>
      <c r="N580" s="741"/>
      <c r="O580" s="741"/>
      <c r="P580" s="741"/>
      <c r="Q580" s="741"/>
      <c r="R580" s="741"/>
      <c r="S580" s="741"/>
      <c r="T580" s="741"/>
      <c r="U580" s="741"/>
      <c r="V580" s="741"/>
      <c r="W580" s="741"/>
      <c r="X580" s="741"/>
      <c r="Y580" s="741"/>
      <c r="Z580" s="741"/>
      <c r="AA580" s="741"/>
      <c r="AB580" s="741"/>
      <c r="AC580" s="741"/>
      <c r="AD580" s="741"/>
      <c r="AE580" s="741"/>
      <c r="AF580" s="741"/>
      <c r="AG580" s="741"/>
      <c r="AH580" s="741"/>
      <c r="AI580" s="741"/>
    </row>
    <row r="581">
      <c r="A581" s="741"/>
      <c r="B581" s="741"/>
      <c r="C581" s="741"/>
      <c r="D581" s="741"/>
      <c r="E581" s="741"/>
      <c r="F581" s="741"/>
      <c r="G581" s="741"/>
      <c r="H581" s="741"/>
      <c r="I581" s="741"/>
      <c r="J581" s="741"/>
      <c r="K581" s="741"/>
      <c r="L581" s="741"/>
      <c r="M581" s="741"/>
      <c r="N581" s="741"/>
      <c r="O581" s="741"/>
      <c r="P581" s="741"/>
      <c r="Q581" s="741"/>
      <c r="R581" s="741"/>
      <c r="S581" s="741"/>
      <c r="T581" s="741"/>
      <c r="U581" s="741"/>
      <c r="V581" s="741"/>
      <c r="W581" s="741"/>
      <c r="X581" s="741"/>
      <c r="Y581" s="741"/>
      <c r="Z581" s="741"/>
      <c r="AA581" s="741"/>
      <c r="AB581" s="741"/>
      <c r="AC581" s="741"/>
      <c r="AD581" s="741"/>
      <c r="AE581" s="741"/>
      <c r="AF581" s="741"/>
      <c r="AG581" s="741"/>
      <c r="AH581" s="741"/>
      <c r="AI581" s="741"/>
    </row>
    <row r="582">
      <c r="A582" s="741"/>
      <c r="B582" s="741"/>
      <c r="C582" s="741"/>
      <c r="D582" s="741"/>
      <c r="E582" s="741"/>
      <c r="F582" s="741"/>
      <c r="G582" s="741"/>
      <c r="H582" s="741"/>
      <c r="I582" s="741"/>
      <c r="J582" s="741"/>
      <c r="K582" s="741"/>
      <c r="L582" s="741"/>
      <c r="M582" s="741"/>
      <c r="N582" s="741"/>
      <c r="O582" s="741"/>
      <c r="P582" s="741"/>
      <c r="Q582" s="741"/>
      <c r="R582" s="741"/>
      <c r="S582" s="741"/>
      <c r="T582" s="741"/>
      <c r="U582" s="741"/>
      <c r="V582" s="741"/>
      <c r="W582" s="741"/>
      <c r="X582" s="741"/>
      <c r="Y582" s="741"/>
      <c r="Z582" s="741"/>
      <c r="AA582" s="741"/>
      <c r="AB582" s="741"/>
      <c r="AC582" s="741"/>
      <c r="AD582" s="741"/>
      <c r="AE582" s="741"/>
      <c r="AF582" s="741"/>
      <c r="AG582" s="741"/>
      <c r="AH582" s="741"/>
      <c r="AI582" s="741"/>
    </row>
    <row r="583">
      <c r="A583" s="741"/>
      <c r="B583" s="741"/>
      <c r="C583" s="741"/>
      <c r="D583" s="741"/>
      <c r="E583" s="741"/>
      <c r="F583" s="741"/>
      <c r="G583" s="741"/>
      <c r="H583" s="741"/>
      <c r="I583" s="741"/>
      <c r="J583" s="741"/>
      <c r="K583" s="741"/>
      <c r="L583" s="741"/>
      <c r="M583" s="741"/>
      <c r="N583" s="741"/>
      <c r="O583" s="741"/>
      <c r="P583" s="741"/>
      <c r="Q583" s="741"/>
      <c r="R583" s="741"/>
      <c r="S583" s="741"/>
      <c r="T583" s="741"/>
      <c r="U583" s="741"/>
      <c r="V583" s="741"/>
      <c r="W583" s="741"/>
      <c r="X583" s="741"/>
      <c r="Y583" s="741"/>
      <c r="Z583" s="741"/>
      <c r="AA583" s="741"/>
      <c r="AB583" s="741"/>
      <c r="AC583" s="741"/>
      <c r="AD583" s="741"/>
      <c r="AE583" s="741"/>
      <c r="AF583" s="741"/>
      <c r="AG583" s="741"/>
      <c r="AH583" s="741"/>
      <c r="AI583" s="741"/>
    </row>
    <row r="584">
      <c r="A584" s="741"/>
      <c r="B584" s="741"/>
      <c r="C584" s="741"/>
      <c r="D584" s="741"/>
      <c r="E584" s="741"/>
      <c r="F584" s="741"/>
      <c r="G584" s="741"/>
      <c r="H584" s="741"/>
      <c r="I584" s="741"/>
      <c r="J584" s="741"/>
      <c r="K584" s="741"/>
      <c r="L584" s="741"/>
      <c r="M584" s="741"/>
      <c r="N584" s="741"/>
      <c r="O584" s="741"/>
      <c r="P584" s="741"/>
      <c r="Q584" s="741"/>
      <c r="R584" s="741"/>
      <c r="S584" s="741"/>
      <c r="T584" s="741"/>
      <c r="U584" s="741"/>
      <c r="V584" s="741"/>
      <c r="W584" s="741"/>
      <c r="X584" s="741"/>
      <c r="Y584" s="741"/>
      <c r="Z584" s="741"/>
      <c r="AA584" s="741"/>
      <c r="AB584" s="741"/>
      <c r="AC584" s="741"/>
      <c r="AD584" s="741"/>
      <c r="AE584" s="741"/>
      <c r="AF584" s="741"/>
      <c r="AG584" s="741"/>
      <c r="AH584" s="741"/>
      <c r="AI584" s="741"/>
    </row>
    <row r="585">
      <c r="A585" s="741"/>
      <c r="B585" s="741"/>
      <c r="C585" s="741"/>
      <c r="D585" s="741"/>
      <c r="E585" s="741"/>
      <c r="F585" s="741"/>
      <c r="G585" s="741"/>
      <c r="H585" s="741"/>
      <c r="I585" s="741"/>
      <c r="J585" s="741"/>
      <c r="K585" s="741"/>
      <c r="L585" s="741"/>
      <c r="M585" s="741"/>
      <c r="N585" s="741"/>
      <c r="O585" s="741"/>
      <c r="P585" s="741"/>
      <c r="Q585" s="741"/>
      <c r="R585" s="741"/>
      <c r="S585" s="741"/>
      <c r="T585" s="741"/>
      <c r="U585" s="741"/>
      <c r="V585" s="741"/>
      <c r="W585" s="741"/>
      <c r="X585" s="741"/>
      <c r="Y585" s="741"/>
      <c r="Z585" s="741"/>
      <c r="AA585" s="741"/>
      <c r="AB585" s="741"/>
      <c r="AC585" s="741"/>
      <c r="AD585" s="741"/>
      <c r="AE585" s="741"/>
      <c r="AF585" s="741"/>
      <c r="AG585" s="741"/>
      <c r="AH585" s="741"/>
      <c r="AI585" s="741"/>
    </row>
    <row r="586">
      <c r="A586" s="741"/>
      <c r="B586" s="741"/>
      <c r="C586" s="741"/>
      <c r="D586" s="741"/>
      <c r="E586" s="741"/>
      <c r="F586" s="741"/>
      <c r="G586" s="741"/>
      <c r="H586" s="741"/>
      <c r="I586" s="741"/>
      <c r="J586" s="741"/>
      <c r="K586" s="741"/>
      <c r="L586" s="741"/>
      <c r="M586" s="741"/>
      <c r="N586" s="741"/>
      <c r="O586" s="741"/>
      <c r="P586" s="741"/>
      <c r="Q586" s="741"/>
      <c r="R586" s="741"/>
      <c r="S586" s="741"/>
      <c r="T586" s="741"/>
      <c r="U586" s="741"/>
      <c r="V586" s="741"/>
      <c r="W586" s="741"/>
      <c r="X586" s="741"/>
      <c r="Y586" s="741"/>
      <c r="Z586" s="741"/>
      <c r="AA586" s="741"/>
      <c r="AB586" s="741"/>
      <c r="AC586" s="741"/>
      <c r="AD586" s="741"/>
      <c r="AE586" s="741"/>
      <c r="AF586" s="741"/>
      <c r="AG586" s="741"/>
      <c r="AH586" s="741"/>
      <c r="AI586" s="741"/>
    </row>
    <row r="587">
      <c r="A587" s="741"/>
      <c r="B587" s="741"/>
      <c r="C587" s="741"/>
      <c r="D587" s="741"/>
      <c r="E587" s="741"/>
      <c r="F587" s="741"/>
      <c r="G587" s="741"/>
      <c r="H587" s="741"/>
      <c r="I587" s="741"/>
      <c r="J587" s="741"/>
      <c r="K587" s="741"/>
      <c r="L587" s="741"/>
      <c r="M587" s="741"/>
      <c r="N587" s="741"/>
      <c r="O587" s="741"/>
      <c r="P587" s="741"/>
      <c r="Q587" s="741"/>
      <c r="R587" s="741"/>
      <c r="S587" s="741"/>
      <c r="T587" s="741"/>
      <c r="U587" s="741"/>
      <c r="V587" s="741"/>
      <c r="W587" s="741"/>
      <c r="X587" s="741"/>
      <c r="Y587" s="741"/>
      <c r="Z587" s="741"/>
      <c r="AA587" s="741"/>
      <c r="AB587" s="741"/>
      <c r="AC587" s="741"/>
      <c r="AD587" s="741"/>
      <c r="AE587" s="741"/>
      <c r="AF587" s="741"/>
      <c r="AG587" s="741"/>
      <c r="AH587" s="741"/>
      <c r="AI587" s="741"/>
    </row>
    <row r="588">
      <c r="A588" s="741"/>
      <c r="B588" s="741"/>
      <c r="C588" s="741"/>
      <c r="D588" s="741"/>
      <c r="E588" s="741"/>
      <c r="F588" s="741"/>
      <c r="G588" s="741"/>
      <c r="H588" s="741"/>
      <c r="I588" s="741"/>
      <c r="J588" s="741"/>
      <c r="K588" s="741"/>
      <c r="L588" s="741"/>
      <c r="M588" s="741"/>
      <c r="N588" s="741"/>
      <c r="O588" s="741"/>
      <c r="P588" s="741"/>
      <c r="Q588" s="741"/>
      <c r="R588" s="741"/>
      <c r="S588" s="741"/>
      <c r="T588" s="741"/>
      <c r="U588" s="741"/>
      <c r="V588" s="741"/>
      <c r="W588" s="741"/>
      <c r="X588" s="741"/>
      <c r="Y588" s="741"/>
      <c r="Z588" s="741"/>
      <c r="AA588" s="741"/>
      <c r="AB588" s="741"/>
      <c r="AC588" s="741"/>
      <c r="AD588" s="741"/>
      <c r="AE588" s="741"/>
      <c r="AF588" s="741"/>
      <c r="AG588" s="741"/>
      <c r="AH588" s="741"/>
      <c r="AI588" s="741"/>
    </row>
    <row r="589">
      <c r="A589" s="741"/>
      <c r="B589" s="741"/>
      <c r="C589" s="741"/>
      <c r="D589" s="741"/>
      <c r="E589" s="741"/>
      <c r="F589" s="741"/>
      <c r="G589" s="741"/>
      <c r="H589" s="741"/>
      <c r="I589" s="741"/>
      <c r="J589" s="741"/>
      <c r="K589" s="741"/>
      <c r="L589" s="741"/>
      <c r="M589" s="741"/>
      <c r="N589" s="741"/>
      <c r="O589" s="741"/>
      <c r="P589" s="741"/>
      <c r="Q589" s="741"/>
      <c r="R589" s="741"/>
      <c r="S589" s="741"/>
      <c r="T589" s="741"/>
      <c r="U589" s="741"/>
      <c r="V589" s="741"/>
      <c r="W589" s="741"/>
      <c r="X589" s="741"/>
      <c r="Y589" s="741"/>
      <c r="Z589" s="741"/>
      <c r="AA589" s="741"/>
      <c r="AB589" s="741"/>
      <c r="AC589" s="741"/>
      <c r="AD589" s="741"/>
      <c r="AE589" s="741"/>
      <c r="AF589" s="741"/>
      <c r="AG589" s="741"/>
      <c r="AH589" s="741"/>
      <c r="AI589" s="741"/>
    </row>
    <row r="590">
      <c r="A590" s="741"/>
      <c r="B590" s="741"/>
      <c r="C590" s="741"/>
      <c r="D590" s="741"/>
      <c r="E590" s="741"/>
      <c r="F590" s="741"/>
      <c r="G590" s="741"/>
      <c r="H590" s="741"/>
      <c r="I590" s="741"/>
      <c r="J590" s="741"/>
      <c r="K590" s="741"/>
      <c r="L590" s="741"/>
      <c r="M590" s="741"/>
      <c r="N590" s="741"/>
      <c r="O590" s="741"/>
      <c r="P590" s="741"/>
      <c r="Q590" s="741"/>
      <c r="R590" s="741"/>
      <c r="S590" s="741"/>
      <c r="T590" s="741"/>
      <c r="U590" s="741"/>
      <c r="V590" s="741"/>
      <c r="W590" s="741"/>
      <c r="X590" s="741"/>
      <c r="Y590" s="741"/>
      <c r="Z590" s="741"/>
      <c r="AA590" s="741"/>
      <c r="AB590" s="741"/>
      <c r="AC590" s="741"/>
      <c r="AD590" s="741"/>
      <c r="AE590" s="741"/>
      <c r="AF590" s="741"/>
      <c r="AG590" s="741"/>
      <c r="AH590" s="741"/>
      <c r="AI590" s="741"/>
    </row>
    <row r="591">
      <c r="A591" s="741"/>
      <c r="B591" s="741"/>
      <c r="C591" s="741"/>
      <c r="D591" s="741"/>
      <c r="E591" s="741"/>
      <c r="F591" s="741"/>
      <c r="G591" s="741"/>
      <c r="H591" s="741"/>
      <c r="I591" s="741"/>
      <c r="J591" s="741"/>
      <c r="K591" s="741"/>
      <c r="L591" s="741"/>
      <c r="M591" s="741"/>
      <c r="N591" s="741"/>
      <c r="O591" s="741"/>
      <c r="P591" s="741"/>
      <c r="Q591" s="741"/>
      <c r="R591" s="741"/>
      <c r="S591" s="741"/>
      <c r="T591" s="741"/>
      <c r="U591" s="741"/>
      <c r="V591" s="741"/>
      <c r="W591" s="741"/>
      <c r="X591" s="741"/>
      <c r="Y591" s="741"/>
      <c r="Z591" s="741"/>
      <c r="AA591" s="741"/>
      <c r="AB591" s="741"/>
      <c r="AC591" s="741"/>
      <c r="AD591" s="741"/>
      <c r="AE591" s="741"/>
      <c r="AF591" s="741"/>
      <c r="AG591" s="741"/>
      <c r="AH591" s="741"/>
      <c r="AI591" s="741"/>
    </row>
    <row r="592">
      <c r="A592" s="741"/>
      <c r="B592" s="741"/>
      <c r="C592" s="741"/>
      <c r="D592" s="741"/>
      <c r="E592" s="741"/>
      <c r="F592" s="741"/>
      <c r="G592" s="741"/>
      <c r="H592" s="741"/>
      <c r="I592" s="741"/>
      <c r="J592" s="741"/>
      <c r="K592" s="741"/>
      <c r="L592" s="741"/>
      <c r="M592" s="741"/>
      <c r="N592" s="741"/>
      <c r="O592" s="741"/>
      <c r="P592" s="741"/>
      <c r="Q592" s="741"/>
      <c r="R592" s="741"/>
      <c r="S592" s="741"/>
      <c r="T592" s="741"/>
      <c r="U592" s="741"/>
      <c r="V592" s="741"/>
      <c r="W592" s="741"/>
      <c r="X592" s="741"/>
      <c r="Y592" s="741"/>
      <c r="Z592" s="741"/>
      <c r="AA592" s="741"/>
      <c r="AB592" s="741"/>
      <c r="AC592" s="741"/>
      <c r="AD592" s="741"/>
      <c r="AE592" s="741"/>
      <c r="AF592" s="741"/>
      <c r="AG592" s="741"/>
      <c r="AH592" s="741"/>
      <c r="AI592" s="741"/>
    </row>
    <row r="593">
      <c r="A593" s="741"/>
      <c r="B593" s="741"/>
      <c r="C593" s="741"/>
      <c r="D593" s="741"/>
      <c r="E593" s="741"/>
      <c r="F593" s="741"/>
      <c r="G593" s="741"/>
      <c r="H593" s="741"/>
      <c r="I593" s="741"/>
      <c r="J593" s="741"/>
      <c r="K593" s="741"/>
      <c r="L593" s="741"/>
      <c r="M593" s="741"/>
      <c r="N593" s="741"/>
      <c r="O593" s="741"/>
      <c r="P593" s="741"/>
      <c r="Q593" s="741"/>
      <c r="R593" s="741"/>
      <c r="S593" s="741"/>
      <c r="T593" s="741"/>
      <c r="U593" s="741"/>
      <c r="V593" s="741"/>
      <c r="W593" s="741"/>
      <c r="X593" s="741"/>
      <c r="Y593" s="741"/>
      <c r="Z593" s="741"/>
      <c r="AA593" s="741"/>
      <c r="AB593" s="741"/>
      <c r="AC593" s="741"/>
      <c r="AD593" s="741"/>
      <c r="AE593" s="741"/>
      <c r="AF593" s="741"/>
      <c r="AG593" s="741"/>
      <c r="AH593" s="741"/>
      <c r="AI593" s="741"/>
    </row>
    <row r="594">
      <c r="A594" s="741"/>
      <c r="B594" s="741"/>
      <c r="C594" s="741"/>
      <c r="D594" s="741"/>
      <c r="E594" s="741"/>
      <c r="F594" s="741"/>
      <c r="G594" s="741"/>
      <c r="H594" s="741"/>
      <c r="I594" s="741"/>
      <c r="J594" s="741"/>
      <c r="K594" s="741"/>
      <c r="L594" s="741"/>
      <c r="M594" s="741"/>
      <c r="N594" s="741"/>
      <c r="O594" s="741"/>
      <c r="P594" s="741"/>
      <c r="Q594" s="741"/>
      <c r="R594" s="741"/>
      <c r="S594" s="741"/>
      <c r="T594" s="741"/>
      <c r="U594" s="741"/>
      <c r="V594" s="741"/>
      <c r="W594" s="741"/>
      <c r="X594" s="741"/>
      <c r="Y594" s="741"/>
      <c r="Z594" s="741"/>
      <c r="AA594" s="741"/>
      <c r="AB594" s="741"/>
      <c r="AC594" s="741"/>
      <c r="AD594" s="741"/>
      <c r="AE594" s="741"/>
      <c r="AF594" s="741"/>
      <c r="AG594" s="741"/>
      <c r="AH594" s="741"/>
      <c r="AI594" s="741"/>
    </row>
    <row r="595">
      <c r="A595" s="741"/>
      <c r="B595" s="741"/>
      <c r="C595" s="741"/>
      <c r="D595" s="741"/>
      <c r="E595" s="741"/>
      <c r="F595" s="741"/>
      <c r="G595" s="741"/>
      <c r="H595" s="741"/>
      <c r="I595" s="741"/>
      <c r="J595" s="741"/>
      <c r="K595" s="741"/>
      <c r="L595" s="741"/>
      <c r="M595" s="741"/>
      <c r="N595" s="741"/>
      <c r="O595" s="741"/>
      <c r="P595" s="741"/>
      <c r="Q595" s="741"/>
      <c r="R595" s="741"/>
      <c r="S595" s="741"/>
      <c r="T595" s="741"/>
      <c r="U595" s="741"/>
      <c r="V595" s="741"/>
      <c r="W595" s="741"/>
      <c r="X595" s="741"/>
      <c r="Y595" s="741"/>
      <c r="Z595" s="741"/>
      <c r="AA595" s="741"/>
      <c r="AB595" s="741"/>
      <c r="AC595" s="741"/>
      <c r="AD595" s="741"/>
      <c r="AE595" s="741"/>
      <c r="AF595" s="741"/>
      <c r="AG595" s="741"/>
      <c r="AH595" s="741"/>
      <c r="AI595" s="741"/>
    </row>
    <row r="596">
      <c r="A596" s="741"/>
      <c r="B596" s="741"/>
      <c r="C596" s="741"/>
      <c r="D596" s="741"/>
      <c r="E596" s="741"/>
      <c r="F596" s="741"/>
      <c r="G596" s="741"/>
      <c r="H596" s="741"/>
      <c r="I596" s="741"/>
      <c r="J596" s="741"/>
      <c r="K596" s="741"/>
      <c r="L596" s="741"/>
      <c r="M596" s="741"/>
      <c r="N596" s="741"/>
      <c r="O596" s="741"/>
      <c r="P596" s="741"/>
      <c r="Q596" s="741"/>
      <c r="R596" s="741"/>
      <c r="S596" s="741"/>
      <c r="T596" s="741"/>
      <c r="U596" s="741"/>
      <c r="V596" s="741"/>
      <c r="W596" s="741"/>
      <c r="X596" s="741"/>
      <c r="Y596" s="741"/>
      <c r="Z596" s="741"/>
      <c r="AA596" s="741"/>
      <c r="AB596" s="741"/>
      <c r="AC596" s="741"/>
      <c r="AD596" s="741"/>
      <c r="AE596" s="741"/>
      <c r="AF596" s="741"/>
      <c r="AG596" s="741"/>
      <c r="AH596" s="741"/>
      <c r="AI596" s="741"/>
    </row>
    <row r="597">
      <c r="A597" s="741"/>
      <c r="B597" s="741"/>
      <c r="C597" s="741"/>
      <c r="D597" s="741"/>
      <c r="E597" s="741"/>
      <c r="F597" s="741"/>
      <c r="G597" s="741"/>
      <c r="H597" s="741"/>
      <c r="I597" s="741"/>
      <c r="J597" s="741"/>
      <c r="K597" s="741"/>
      <c r="L597" s="741"/>
      <c r="M597" s="741"/>
      <c r="N597" s="741"/>
      <c r="O597" s="741"/>
      <c r="P597" s="741"/>
      <c r="Q597" s="741"/>
      <c r="R597" s="741"/>
      <c r="S597" s="741"/>
      <c r="T597" s="741"/>
      <c r="U597" s="741"/>
      <c r="V597" s="741"/>
      <c r="W597" s="741"/>
      <c r="X597" s="741"/>
      <c r="Y597" s="741"/>
      <c r="Z597" s="741"/>
      <c r="AA597" s="741"/>
      <c r="AB597" s="741"/>
      <c r="AC597" s="741"/>
      <c r="AD597" s="741"/>
      <c r="AE597" s="741"/>
      <c r="AF597" s="741"/>
      <c r="AG597" s="741"/>
      <c r="AH597" s="741"/>
      <c r="AI597" s="741"/>
    </row>
    <row r="598">
      <c r="A598" s="741"/>
      <c r="B598" s="741"/>
      <c r="C598" s="741"/>
      <c r="D598" s="741"/>
      <c r="E598" s="741"/>
      <c r="F598" s="741"/>
      <c r="G598" s="741"/>
      <c r="H598" s="741"/>
      <c r="I598" s="741"/>
      <c r="J598" s="741"/>
      <c r="K598" s="741"/>
      <c r="L598" s="741"/>
      <c r="M598" s="741"/>
      <c r="N598" s="741"/>
      <c r="O598" s="741"/>
      <c r="P598" s="741"/>
      <c r="Q598" s="741"/>
      <c r="R598" s="741"/>
      <c r="S598" s="741"/>
      <c r="T598" s="741"/>
      <c r="U598" s="741"/>
      <c r="V598" s="741"/>
      <c r="W598" s="741"/>
      <c r="X598" s="741"/>
      <c r="Y598" s="741"/>
      <c r="Z598" s="741"/>
      <c r="AA598" s="741"/>
      <c r="AB598" s="741"/>
      <c r="AC598" s="741"/>
      <c r="AD598" s="741"/>
      <c r="AE598" s="741"/>
      <c r="AF598" s="741"/>
      <c r="AG598" s="741"/>
      <c r="AH598" s="741"/>
      <c r="AI598" s="741"/>
    </row>
    <row r="599">
      <c r="A599" s="741"/>
      <c r="B599" s="741"/>
      <c r="C599" s="741"/>
      <c r="D599" s="741"/>
      <c r="E599" s="741"/>
      <c r="F599" s="741"/>
      <c r="G599" s="741"/>
      <c r="H599" s="741"/>
      <c r="I599" s="741"/>
      <c r="J599" s="741"/>
      <c r="K599" s="741"/>
      <c r="L599" s="741"/>
      <c r="M599" s="741"/>
      <c r="N599" s="741"/>
      <c r="O599" s="741"/>
      <c r="P599" s="741"/>
      <c r="Q599" s="741"/>
      <c r="R599" s="741"/>
      <c r="S599" s="741"/>
      <c r="T599" s="741"/>
      <c r="U599" s="741"/>
      <c r="V599" s="741"/>
      <c r="W599" s="741"/>
      <c r="X599" s="741"/>
      <c r="Y599" s="741"/>
      <c r="Z599" s="741"/>
      <c r="AA599" s="741"/>
      <c r="AB599" s="741"/>
      <c r="AC599" s="741"/>
      <c r="AD599" s="741"/>
      <c r="AE599" s="741"/>
      <c r="AF599" s="741"/>
      <c r="AG599" s="741"/>
      <c r="AH599" s="741"/>
      <c r="AI599" s="741"/>
    </row>
    <row r="600">
      <c r="A600" s="741"/>
      <c r="B600" s="741"/>
      <c r="C600" s="741"/>
      <c r="D600" s="741"/>
      <c r="E600" s="741"/>
      <c r="F600" s="741"/>
      <c r="G600" s="741"/>
      <c r="H600" s="741"/>
      <c r="I600" s="741"/>
      <c r="J600" s="741"/>
      <c r="K600" s="741"/>
      <c r="L600" s="741"/>
      <c r="M600" s="741"/>
      <c r="N600" s="741"/>
      <c r="O600" s="741"/>
      <c r="P600" s="741"/>
      <c r="Q600" s="741"/>
      <c r="R600" s="741"/>
      <c r="S600" s="741"/>
      <c r="T600" s="741"/>
      <c r="U600" s="741"/>
      <c r="V600" s="741"/>
      <c r="W600" s="741"/>
      <c r="X600" s="741"/>
      <c r="Y600" s="741"/>
      <c r="Z600" s="741"/>
      <c r="AA600" s="741"/>
      <c r="AB600" s="741"/>
      <c r="AC600" s="741"/>
      <c r="AD600" s="741"/>
      <c r="AE600" s="741"/>
      <c r="AF600" s="741"/>
      <c r="AG600" s="741"/>
      <c r="AH600" s="741"/>
      <c r="AI600" s="741"/>
    </row>
    <row r="601">
      <c r="A601" s="741"/>
      <c r="B601" s="741"/>
      <c r="C601" s="741"/>
      <c r="D601" s="741"/>
      <c r="E601" s="741"/>
      <c r="F601" s="741"/>
      <c r="G601" s="741"/>
      <c r="H601" s="741"/>
      <c r="I601" s="741"/>
      <c r="J601" s="741"/>
      <c r="K601" s="741"/>
      <c r="L601" s="741"/>
      <c r="M601" s="741"/>
      <c r="N601" s="741"/>
      <c r="O601" s="741"/>
      <c r="P601" s="741"/>
      <c r="Q601" s="741"/>
      <c r="R601" s="741"/>
      <c r="S601" s="741"/>
      <c r="T601" s="741"/>
      <c r="U601" s="741"/>
      <c r="V601" s="741"/>
      <c r="W601" s="741"/>
      <c r="X601" s="741"/>
      <c r="Y601" s="741"/>
      <c r="Z601" s="741"/>
      <c r="AA601" s="741"/>
      <c r="AB601" s="741"/>
      <c r="AC601" s="741"/>
      <c r="AD601" s="741"/>
      <c r="AE601" s="741"/>
      <c r="AF601" s="741"/>
      <c r="AG601" s="741"/>
      <c r="AH601" s="741"/>
      <c r="AI601" s="741"/>
    </row>
    <row r="602">
      <c r="A602" s="741"/>
      <c r="B602" s="741"/>
      <c r="C602" s="741"/>
      <c r="D602" s="741"/>
      <c r="E602" s="741"/>
      <c r="F602" s="741"/>
      <c r="G602" s="741"/>
      <c r="H602" s="741"/>
      <c r="I602" s="741"/>
      <c r="J602" s="741"/>
      <c r="K602" s="741"/>
      <c r="L602" s="741"/>
      <c r="M602" s="741"/>
      <c r="N602" s="741"/>
      <c r="O602" s="741"/>
      <c r="P602" s="741"/>
      <c r="Q602" s="741"/>
      <c r="R602" s="741"/>
      <c r="S602" s="741"/>
      <c r="T602" s="741"/>
      <c r="U602" s="741"/>
      <c r="V602" s="741"/>
      <c r="W602" s="741"/>
      <c r="X602" s="741"/>
      <c r="Y602" s="741"/>
      <c r="Z602" s="741"/>
      <c r="AA602" s="741"/>
      <c r="AB602" s="741"/>
      <c r="AC602" s="741"/>
      <c r="AD602" s="741"/>
      <c r="AE602" s="741"/>
      <c r="AF602" s="741"/>
      <c r="AG602" s="741"/>
      <c r="AH602" s="741"/>
      <c r="AI602" s="741"/>
    </row>
    <row r="603">
      <c r="A603" s="741"/>
      <c r="B603" s="741"/>
      <c r="C603" s="741"/>
      <c r="D603" s="741"/>
      <c r="E603" s="741"/>
      <c r="F603" s="741"/>
      <c r="G603" s="741"/>
      <c r="H603" s="741"/>
      <c r="I603" s="741"/>
      <c r="J603" s="741"/>
      <c r="K603" s="741"/>
      <c r="L603" s="741"/>
      <c r="M603" s="741"/>
      <c r="N603" s="741"/>
      <c r="O603" s="741"/>
      <c r="P603" s="741"/>
      <c r="Q603" s="741"/>
      <c r="R603" s="741"/>
      <c r="S603" s="741"/>
      <c r="T603" s="741"/>
      <c r="U603" s="741"/>
      <c r="V603" s="741"/>
      <c r="W603" s="741"/>
      <c r="X603" s="741"/>
      <c r="Y603" s="741"/>
      <c r="Z603" s="741"/>
      <c r="AA603" s="741"/>
      <c r="AB603" s="741"/>
      <c r="AC603" s="741"/>
      <c r="AD603" s="741"/>
      <c r="AE603" s="741"/>
      <c r="AF603" s="741"/>
      <c r="AG603" s="741"/>
      <c r="AH603" s="741"/>
      <c r="AI603" s="741"/>
    </row>
    <row r="604">
      <c r="A604" s="741"/>
      <c r="B604" s="741"/>
      <c r="C604" s="741"/>
      <c r="D604" s="741"/>
      <c r="E604" s="741"/>
      <c r="F604" s="741"/>
      <c r="G604" s="741"/>
      <c r="H604" s="741"/>
      <c r="I604" s="741"/>
      <c r="J604" s="741"/>
      <c r="K604" s="741"/>
      <c r="L604" s="741"/>
      <c r="M604" s="741"/>
      <c r="N604" s="741"/>
      <c r="O604" s="741"/>
      <c r="P604" s="741"/>
      <c r="Q604" s="741"/>
      <c r="R604" s="741"/>
      <c r="S604" s="741"/>
      <c r="T604" s="741"/>
      <c r="U604" s="741"/>
      <c r="V604" s="741"/>
      <c r="W604" s="741"/>
      <c r="X604" s="741"/>
      <c r="Y604" s="741"/>
      <c r="Z604" s="741"/>
      <c r="AA604" s="741"/>
      <c r="AB604" s="741"/>
      <c r="AC604" s="741"/>
      <c r="AD604" s="741"/>
      <c r="AE604" s="741"/>
      <c r="AF604" s="741"/>
      <c r="AG604" s="741"/>
      <c r="AH604" s="741"/>
      <c r="AI604" s="741"/>
    </row>
    <row r="605">
      <c r="A605" s="741"/>
      <c r="B605" s="741"/>
      <c r="C605" s="741"/>
      <c r="D605" s="741"/>
      <c r="E605" s="741"/>
      <c r="F605" s="741"/>
      <c r="G605" s="741"/>
      <c r="H605" s="741"/>
      <c r="I605" s="741"/>
      <c r="J605" s="741"/>
      <c r="K605" s="741"/>
      <c r="L605" s="741"/>
      <c r="M605" s="741"/>
      <c r="N605" s="741"/>
      <c r="O605" s="741"/>
      <c r="P605" s="741"/>
      <c r="Q605" s="741"/>
      <c r="R605" s="741"/>
      <c r="S605" s="741"/>
      <c r="T605" s="741"/>
      <c r="U605" s="741"/>
      <c r="V605" s="741"/>
      <c r="W605" s="741"/>
      <c r="X605" s="741"/>
      <c r="Y605" s="741"/>
      <c r="Z605" s="741"/>
      <c r="AA605" s="741"/>
      <c r="AB605" s="741"/>
      <c r="AC605" s="741"/>
      <c r="AD605" s="741"/>
      <c r="AE605" s="741"/>
      <c r="AF605" s="741"/>
      <c r="AG605" s="741"/>
      <c r="AH605" s="741"/>
      <c r="AI605" s="741"/>
    </row>
    <row r="606">
      <c r="A606" s="741"/>
      <c r="B606" s="741"/>
      <c r="C606" s="741"/>
      <c r="D606" s="741"/>
      <c r="E606" s="741"/>
      <c r="F606" s="741"/>
      <c r="G606" s="741"/>
      <c r="H606" s="741"/>
      <c r="I606" s="741"/>
      <c r="J606" s="741"/>
      <c r="K606" s="741"/>
      <c r="L606" s="741"/>
      <c r="M606" s="741"/>
      <c r="N606" s="741"/>
      <c r="O606" s="741"/>
      <c r="P606" s="741"/>
      <c r="Q606" s="741"/>
      <c r="R606" s="741"/>
      <c r="S606" s="741"/>
      <c r="T606" s="741"/>
      <c r="U606" s="741"/>
      <c r="V606" s="741"/>
      <c r="W606" s="741"/>
      <c r="X606" s="741"/>
      <c r="Y606" s="741"/>
      <c r="Z606" s="741"/>
      <c r="AA606" s="741"/>
      <c r="AB606" s="741"/>
      <c r="AC606" s="741"/>
      <c r="AD606" s="741"/>
      <c r="AE606" s="741"/>
      <c r="AF606" s="741"/>
      <c r="AG606" s="741"/>
      <c r="AH606" s="741"/>
      <c r="AI606" s="741"/>
    </row>
    <row r="607">
      <c r="A607" s="741"/>
      <c r="B607" s="741"/>
      <c r="C607" s="741"/>
      <c r="D607" s="741"/>
      <c r="E607" s="741"/>
      <c r="F607" s="741"/>
      <c r="G607" s="741"/>
      <c r="H607" s="741"/>
      <c r="I607" s="741"/>
      <c r="J607" s="741"/>
      <c r="K607" s="741"/>
      <c r="L607" s="741"/>
      <c r="M607" s="741"/>
      <c r="N607" s="741"/>
      <c r="O607" s="741"/>
      <c r="P607" s="741"/>
      <c r="Q607" s="741"/>
      <c r="R607" s="741"/>
      <c r="S607" s="741"/>
      <c r="T607" s="741"/>
      <c r="U607" s="741"/>
      <c r="V607" s="741"/>
      <c r="W607" s="741"/>
      <c r="X607" s="741"/>
      <c r="Y607" s="741"/>
      <c r="Z607" s="741"/>
      <c r="AA607" s="741"/>
      <c r="AB607" s="741"/>
      <c r="AC607" s="741"/>
      <c r="AD607" s="741"/>
      <c r="AE607" s="741"/>
      <c r="AF607" s="741"/>
      <c r="AG607" s="741"/>
      <c r="AH607" s="741"/>
      <c r="AI607" s="741"/>
    </row>
    <row r="608">
      <c r="A608" s="741"/>
      <c r="B608" s="741"/>
      <c r="C608" s="741"/>
      <c r="D608" s="741"/>
      <c r="E608" s="741"/>
      <c r="F608" s="741"/>
      <c r="G608" s="741"/>
      <c r="H608" s="741"/>
      <c r="I608" s="741"/>
      <c r="J608" s="741"/>
      <c r="K608" s="741"/>
      <c r="L608" s="741"/>
      <c r="M608" s="741"/>
      <c r="N608" s="741"/>
      <c r="O608" s="741"/>
      <c r="P608" s="741"/>
      <c r="Q608" s="741"/>
      <c r="R608" s="741"/>
      <c r="S608" s="741"/>
      <c r="T608" s="741"/>
      <c r="U608" s="741"/>
      <c r="V608" s="741"/>
      <c r="W608" s="741"/>
      <c r="X608" s="741"/>
      <c r="Y608" s="741"/>
      <c r="Z608" s="741"/>
      <c r="AA608" s="741"/>
      <c r="AB608" s="741"/>
      <c r="AC608" s="741"/>
      <c r="AD608" s="741"/>
      <c r="AE608" s="741"/>
      <c r="AF608" s="741"/>
      <c r="AG608" s="741"/>
      <c r="AH608" s="741"/>
      <c r="AI608" s="741"/>
    </row>
    <row r="609">
      <c r="A609" s="741"/>
      <c r="B609" s="741"/>
      <c r="C609" s="741"/>
      <c r="D609" s="741"/>
      <c r="E609" s="741"/>
      <c r="F609" s="741"/>
      <c r="G609" s="741"/>
      <c r="H609" s="741"/>
      <c r="I609" s="741"/>
      <c r="J609" s="741"/>
      <c r="K609" s="741"/>
      <c r="L609" s="741"/>
      <c r="M609" s="741"/>
      <c r="N609" s="741"/>
      <c r="O609" s="741"/>
      <c r="P609" s="741"/>
      <c r="Q609" s="741"/>
      <c r="R609" s="741"/>
      <c r="S609" s="741"/>
      <c r="T609" s="741"/>
      <c r="U609" s="741"/>
      <c r="V609" s="741"/>
      <c r="W609" s="741"/>
      <c r="X609" s="741"/>
      <c r="Y609" s="741"/>
      <c r="Z609" s="741"/>
      <c r="AA609" s="741"/>
      <c r="AB609" s="741"/>
      <c r="AC609" s="741"/>
      <c r="AD609" s="741"/>
      <c r="AE609" s="741"/>
      <c r="AF609" s="741"/>
      <c r="AG609" s="741"/>
      <c r="AH609" s="741"/>
      <c r="AI609" s="741"/>
    </row>
    <row r="610">
      <c r="A610" s="741"/>
      <c r="B610" s="741"/>
      <c r="C610" s="741"/>
      <c r="D610" s="741"/>
      <c r="E610" s="741"/>
      <c r="F610" s="741"/>
      <c r="G610" s="741"/>
      <c r="H610" s="741"/>
      <c r="I610" s="741"/>
      <c r="J610" s="741"/>
      <c r="K610" s="741"/>
      <c r="L610" s="741"/>
      <c r="M610" s="741"/>
      <c r="N610" s="741"/>
      <c r="O610" s="741"/>
      <c r="P610" s="741"/>
      <c r="Q610" s="741"/>
      <c r="R610" s="741"/>
      <c r="S610" s="741"/>
      <c r="T610" s="741"/>
      <c r="U610" s="741"/>
      <c r="V610" s="741"/>
      <c r="W610" s="741"/>
      <c r="X610" s="741"/>
      <c r="Y610" s="741"/>
      <c r="Z610" s="741"/>
      <c r="AA610" s="741"/>
      <c r="AB610" s="741"/>
      <c r="AC610" s="741"/>
      <c r="AD610" s="741"/>
      <c r="AE610" s="741"/>
      <c r="AF610" s="741"/>
      <c r="AG610" s="741"/>
      <c r="AH610" s="741"/>
      <c r="AI610" s="741"/>
    </row>
    <row r="611">
      <c r="A611" s="741"/>
      <c r="B611" s="741"/>
      <c r="C611" s="741"/>
      <c r="D611" s="741"/>
      <c r="E611" s="741"/>
      <c r="F611" s="741"/>
      <c r="G611" s="741"/>
      <c r="H611" s="741"/>
      <c r="I611" s="741"/>
      <c r="J611" s="741"/>
      <c r="K611" s="741"/>
      <c r="L611" s="741"/>
      <c r="M611" s="741"/>
      <c r="N611" s="741"/>
      <c r="O611" s="741"/>
      <c r="P611" s="741"/>
      <c r="Q611" s="741"/>
      <c r="R611" s="741"/>
      <c r="S611" s="741"/>
      <c r="T611" s="741"/>
      <c r="U611" s="741"/>
      <c r="V611" s="741"/>
      <c r="W611" s="741"/>
      <c r="X611" s="741"/>
      <c r="Y611" s="741"/>
      <c r="Z611" s="741"/>
      <c r="AA611" s="741"/>
      <c r="AB611" s="741"/>
      <c r="AC611" s="741"/>
      <c r="AD611" s="741"/>
      <c r="AE611" s="741"/>
      <c r="AF611" s="741"/>
      <c r="AG611" s="741"/>
      <c r="AH611" s="741"/>
      <c r="AI611" s="741"/>
    </row>
    <row r="612">
      <c r="A612" s="741"/>
      <c r="B612" s="741"/>
      <c r="C612" s="741"/>
      <c r="D612" s="741"/>
      <c r="E612" s="741"/>
      <c r="F612" s="741"/>
      <c r="G612" s="741"/>
      <c r="H612" s="741"/>
      <c r="I612" s="741"/>
      <c r="J612" s="741"/>
      <c r="K612" s="741"/>
      <c r="L612" s="741"/>
      <c r="M612" s="741"/>
      <c r="N612" s="741"/>
      <c r="O612" s="741"/>
      <c r="P612" s="741"/>
      <c r="Q612" s="741"/>
      <c r="R612" s="741"/>
      <c r="S612" s="741"/>
      <c r="T612" s="741"/>
      <c r="U612" s="741"/>
      <c r="V612" s="741"/>
      <c r="W612" s="741"/>
      <c r="X612" s="741"/>
      <c r="Y612" s="741"/>
      <c r="Z612" s="741"/>
      <c r="AA612" s="741"/>
      <c r="AB612" s="741"/>
      <c r="AC612" s="741"/>
      <c r="AD612" s="741"/>
      <c r="AE612" s="741"/>
      <c r="AF612" s="741"/>
      <c r="AG612" s="741"/>
      <c r="AH612" s="741"/>
      <c r="AI612" s="741"/>
    </row>
    <row r="613">
      <c r="A613" s="741"/>
      <c r="B613" s="741"/>
      <c r="C613" s="741"/>
      <c r="D613" s="741"/>
      <c r="E613" s="741"/>
      <c r="F613" s="741"/>
      <c r="G613" s="741"/>
      <c r="H613" s="741"/>
      <c r="I613" s="741"/>
      <c r="J613" s="741"/>
      <c r="K613" s="741"/>
      <c r="L613" s="741"/>
      <c r="M613" s="741"/>
      <c r="N613" s="741"/>
      <c r="O613" s="741"/>
      <c r="P613" s="741"/>
      <c r="Q613" s="741"/>
      <c r="R613" s="741"/>
      <c r="S613" s="741"/>
      <c r="T613" s="741"/>
      <c r="U613" s="741"/>
      <c r="V613" s="741"/>
      <c r="W613" s="741"/>
      <c r="X613" s="741"/>
      <c r="Y613" s="741"/>
      <c r="Z613" s="741"/>
      <c r="AA613" s="741"/>
      <c r="AB613" s="741"/>
      <c r="AC613" s="741"/>
      <c r="AD613" s="741"/>
      <c r="AE613" s="741"/>
      <c r="AF613" s="741"/>
      <c r="AG613" s="741"/>
      <c r="AH613" s="741"/>
      <c r="AI613" s="741"/>
    </row>
    <row r="614">
      <c r="A614" s="741"/>
      <c r="B614" s="741"/>
      <c r="C614" s="741"/>
      <c r="D614" s="741"/>
      <c r="E614" s="741"/>
      <c r="F614" s="741"/>
      <c r="G614" s="741"/>
      <c r="H614" s="741"/>
      <c r="I614" s="741"/>
      <c r="J614" s="741"/>
      <c r="K614" s="741"/>
      <c r="L614" s="741"/>
      <c r="M614" s="741"/>
      <c r="N614" s="741"/>
      <c r="O614" s="741"/>
      <c r="P614" s="741"/>
      <c r="Q614" s="741"/>
      <c r="R614" s="741"/>
      <c r="S614" s="741"/>
      <c r="T614" s="741"/>
      <c r="U614" s="741"/>
      <c r="V614" s="741"/>
      <c r="W614" s="741"/>
      <c r="X614" s="741"/>
      <c r="Y614" s="741"/>
      <c r="Z614" s="741"/>
      <c r="AA614" s="741"/>
      <c r="AB614" s="741"/>
      <c r="AC614" s="741"/>
      <c r="AD614" s="741"/>
      <c r="AE614" s="741"/>
      <c r="AF614" s="741"/>
      <c r="AG614" s="741"/>
      <c r="AH614" s="741"/>
      <c r="AI614" s="741"/>
    </row>
    <row r="615">
      <c r="A615" s="741"/>
      <c r="B615" s="741"/>
      <c r="C615" s="741"/>
      <c r="D615" s="741"/>
      <c r="E615" s="741"/>
      <c r="F615" s="741"/>
      <c r="G615" s="741"/>
      <c r="H615" s="741"/>
      <c r="I615" s="741"/>
      <c r="J615" s="741"/>
      <c r="K615" s="741"/>
      <c r="L615" s="741"/>
      <c r="M615" s="741"/>
      <c r="N615" s="741"/>
      <c r="O615" s="741"/>
      <c r="P615" s="741"/>
      <c r="Q615" s="741"/>
      <c r="R615" s="741"/>
      <c r="S615" s="741"/>
      <c r="T615" s="741"/>
      <c r="U615" s="741"/>
      <c r="V615" s="741"/>
      <c r="W615" s="741"/>
      <c r="X615" s="741"/>
      <c r="Y615" s="741"/>
      <c r="Z615" s="741"/>
      <c r="AA615" s="741"/>
      <c r="AB615" s="741"/>
      <c r="AC615" s="741"/>
      <c r="AD615" s="741"/>
      <c r="AE615" s="741"/>
      <c r="AF615" s="741"/>
      <c r="AG615" s="741"/>
      <c r="AH615" s="741"/>
      <c r="AI615" s="741"/>
    </row>
    <row r="616">
      <c r="A616" s="741"/>
      <c r="B616" s="741"/>
      <c r="C616" s="741"/>
      <c r="D616" s="741"/>
      <c r="E616" s="741"/>
      <c r="F616" s="741"/>
      <c r="G616" s="741"/>
      <c r="H616" s="741"/>
      <c r="I616" s="741"/>
      <c r="J616" s="741"/>
      <c r="K616" s="741"/>
      <c r="L616" s="741"/>
      <c r="M616" s="741"/>
      <c r="N616" s="741"/>
      <c r="O616" s="741"/>
      <c r="P616" s="741"/>
      <c r="Q616" s="741"/>
      <c r="R616" s="741"/>
      <c r="S616" s="741"/>
      <c r="T616" s="741"/>
      <c r="U616" s="741"/>
      <c r="V616" s="741"/>
      <c r="W616" s="741"/>
      <c r="X616" s="741"/>
      <c r="Y616" s="741"/>
      <c r="Z616" s="741"/>
      <c r="AA616" s="741"/>
      <c r="AB616" s="741"/>
      <c r="AC616" s="741"/>
      <c r="AD616" s="741"/>
      <c r="AE616" s="741"/>
      <c r="AF616" s="741"/>
      <c r="AG616" s="741"/>
      <c r="AH616" s="741"/>
      <c r="AI616" s="741"/>
    </row>
    <row r="617">
      <c r="A617" s="741"/>
      <c r="B617" s="741"/>
      <c r="C617" s="741"/>
      <c r="D617" s="741"/>
      <c r="E617" s="741"/>
      <c r="F617" s="741"/>
      <c r="G617" s="741"/>
      <c r="H617" s="741"/>
      <c r="I617" s="741"/>
      <c r="J617" s="741"/>
      <c r="K617" s="741"/>
      <c r="L617" s="741"/>
      <c r="M617" s="741"/>
      <c r="N617" s="741"/>
      <c r="O617" s="741"/>
      <c r="P617" s="741"/>
      <c r="Q617" s="741"/>
      <c r="R617" s="741"/>
      <c r="S617" s="741"/>
      <c r="T617" s="741"/>
      <c r="U617" s="741"/>
      <c r="V617" s="741"/>
      <c r="W617" s="741"/>
      <c r="X617" s="741"/>
      <c r="Y617" s="741"/>
      <c r="Z617" s="741"/>
      <c r="AA617" s="741"/>
      <c r="AB617" s="741"/>
      <c r="AC617" s="741"/>
      <c r="AD617" s="741"/>
      <c r="AE617" s="741"/>
      <c r="AF617" s="741"/>
      <c r="AG617" s="741"/>
      <c r="AH617" s="741"/>
      <c r="AI617" s="741"/>
    </row>
    <row r="618">
      <c r="A618" s="741"/>
      <c r="B618" s="741"/>
      <c r="C618" s="741"/>
      <c r="D618" s="741"/>
      <c r="E618" s="741"/>
      <c r="F618" s="741"/>
      <c r="G618" s="741"/>
      <c r="H618" s="741"/>
      <c r="I618" s="741"/>
      <c r="J618" s="741"/>
      <c r="K618" s="741"/>
      <c r="L618" s="741"/>
      <c r="M618" s="741"/>
      <c r="N618" s="741"/>
      <c r="O618" s="741"/>
      <c r="P618" s="741"/>
      <c r="Q618" s="741"/>
      <c r="R618" s="741"/>
      <c r="S618" s="741"/>
      <c r="T618" s="741"/>
      <c r="U618" s="741"/>
      <c r="V618" s="741"/>
      <c r="W618" s="741"/>
      <c r="X618" s="741"/>
      <c r="Y618" s="741"/>
      <c r="Z618" s="741"/>
      <c r="AA618" s="741"/>
      <c r="AB618" s="741"/>
      <c r="AC618" s="741"/>
      <c r="AD618" s="741"/>
      <c r="AE618" s="741"/>
      <c r="AF618" s="741"/>
      <c r="AG618" s="741"/>
      <c r="AH618" s="741"/>
      <c r="AI618" s="741"/>
    </row>
    <row r="619">
      <c r="A619" s="741"/>
      <c r="B619" s="741"/>
      <c r="C619" s="741"/>
      <c r="D619" s="741"/>
      <c r="E619" s="741"/>
      <c r="F619" s="741"/>
      <c r="G619" s="741"/>
      <c r="H619" s="741"/>
      <c r="I619" s="741"/>
      <c r="J619" s="741"/>
      <c r="K619" s="741"/>
      <c r="L619" s="741"/>
      <c r="M619" s="741"/>
      <c r="N619" s="741"/>
      <c r="O619" s="741"/>
      <c r="P619" s="741"/>
      <c r="Q619" s="741"/>
      <c r="R619" s="741"/>
      <c r="S619" s="741"/>
      <c r="T619" s="741"/>
      <c r="U619" s="741"/>
      <c r="V619" s="741"/>
      <c r="W619" s="741"/>
      <c r="X619" s="741"/>
      <c r="Y619" s="741"/>
      <c r="Z619" s="741"/>
      <c r="AA619" s="741"/>
      <c r="AB619" s="741"/>
      <c r="AC619" s="741"/>
      <c r="AD619" s="741"/>
      <c r="AE619" s="741"/>
      <c r="AF619" s="741"/>
      <c r="AG619" s="741"/>
      <c r="AH619" s="741"/>
      <c r="AI619" s="741"/>
    </row>
    <row r="620">
      <c r="A620" s="741"/>
      <c r="B620" s="741"/>
      <c r="C620" s="741"/>
      <c r="D620" s="741"/>
      <c r="E620" s="741"/>
      <c r="F620" s="741"/>
      <c r="G620" s="741"/>
      <c r="H620" s="741"/>
      <c r="I620" s="741"/>
      <c r="J620" s="741"/>
      <c r="K620" s="741"/>
      <c r="L620" s="741"/>
      <c r="M620" s="741"/>
      <c r="N620" s="741"/>
      <c r="O620" s="741"/>
      <c r="P620" s="741"/>
      <c r="Q620" s="741"/>
      <c r="R620" s="741"/>
      <c r="S620" s="741"/>
      <c r="T620" s="741"/>
      <c r="U620" s="741"/>
      <c r="V620" s="741"/>
      <c r="W620" s="741"/>
      <c r="X620" s="741"/>
      <c r="Y620" s="741"/>
      <c r="Z620" s="741"/>
      <c r="AA620" s="741"/>
      <c r="AB620" s="741"/>
      <c r="AC620" s="741"/>
      <c r="AD620" s="741"/>
      <c r="AE620" s="741"/>
      <c r="AF620" s="741"/>
      <c r="AG620" s="741"/>
      <c r="AH620" s="741"/>
      <c r="AI620" s="741"/>
    </row>
    <row r="621">
      <c r="A621" s="741"/>
      <c r="B621" s="741"/>
      <c r="C621" s="741"/>
      <c r="D621" s="741"/>
      <c r="E621" s="741"/>
      <c r="F621" s="741"/>
      <c r="G621" s="741"/>
      <c r="H621" s="741"/>
      <c r="I621" s="741"/>
      <c r="J621" s="741"/>
      <c r="K621" s="741"/>
      <c r="L621" s="741"/>
      <c r="M621" s="741"/>
      <c r="N621" s="741"/>
      <c r="O621" s="741"/>
      <c r="P621" s="741"/>
      <c r="Q621" s="741"/>
      <c r="R621" s="741"/>
      <c r="S621" s="741"/>
      <c r="T621" s="741"/>
      <c r="U621" s="741"/>
      <c r="V621" s="741"/>
      <c r="W621" s="741"/>
      <c r="X621" s="741"/>
      <c r="Y621" s="741"/>
      <c r="Z621" s="741"/>
      <c r="AA621" s="741"/>
      <c r="AB621" s="741"/>
      <c r="AC621" s="741"/>
      <c r="AD621" s="741"/>
      <c r="AE621" s="741"/>
      <c r="AF621" s="741"/>
      <c r="AG621" s="741"/>
      <c r="AH621" s="741"/>
      <c r="AI621" s="741"/>
    </row>
    <row r="622">
      <c r="A622" s="741"/>
      <c r="B622" s="741"/>
      <c r="C622" s="741"/>
      <c r="D622" s="741"/>
      <c r="E622" s="741"/>
      <c r="F622" s="741"/>
      <c r="G622" s="741"/>
      <c r="H622" s="741"/>
      <c r="I622" s="741"/>
      <c r="J622" s="741"/>
      <c r="K622" s="741"/>
      <c r="L622" s="741"/>
      <c r="M622" s="741"/>
      <c r="N622" s="741"/>
      <c r="O622" s="741"/>
      <c r="P622" s="741"/>
      <c r="Q622" s="741"/>
      <c r="R622" s="741"/>
      <c r="S622" s="741"/>
      <c r="T622" s="741"/>
      <c r="U622" s="741"/>
      <c r="V622" s="741"/>
      <c r="W622" s="741"/>
      <c r="X622" s="741"/>
      <c r="Y622" s="741"/>
      <c r="Z622" s="741"/>
      <c r="AA622" s="741"/>
      <c r="AB622" s="741"/>
      <c r="AC622" s="741"/>
      <c r="AD622" s="741"/>
      <c r="AE622" s="741"/>
      <c r="AF622" s="741"/>
      <c r="AG622" s="741"/>
      <c r="AH622" s="741"/>
      <c r="AI622" s="741"/>
    </row>
    <row r="623">
      <c r="A623" s="741"/>
      <c r="B623" s="741"/>
      <c r="C623" s="741"/>
      <c r="D623" s="741"/>
      <c r="E623" s="741"/>
      <c r="F623" s="741"/>
      <c r="G623" s="741"/>
      <c r="H623" s="741"/>
      <c r="I623" s="741"/>
      <c r="J623" s="741"/>
      <c r="K623" s="741"/>
      <c r="L623" s="741"/>
      <c r="M623" s="741"/>
      <c r="N623" s="741"/>
      <c r="O623" s="741"/>
      <c r="P623" s="741"/>
      <c r="Q623" s="741"/>
      <c r="R623" s="741"/>
      <c r="S623" s="741"/>
      <c r="T623" s="741"/>
      <c r="U623" s="741"/>
      <c r="V623" s="741"/>
      <c r="W623" s="741"/>
      <c r="X623" s="741"/>
      <c r="Y623" s="741"/>
      <c r="Z623" s="741"/>
      <c r="AA623" s="741"/>
      <c r="AB623" s="741"/>
      <c r="AC623" s="741"/>
      <c r="AD623" s="741"/>
      <c r="AE623" s="741"/>
      <c r="AF623" s="741"/>
      <c r="AG623" s="741"/>
      <c r="AH623" s="741"/>
      <c r="AI623" s="741"/>
    </row>
    <row r="624">
      <c r="A624" s="741"/>
      <c r="B624" s="741"/>
      <c r="C624" s="741"/>
      <c r="D624" s="741"/>
      <c r="E624" s="741"/>
      <c r="F624" s="741"/>
      <c r="G624" s="741"/>
      <c r="H624" s="741"/>
      <c r="I624" s="741"/>
      <c r="J624" s="741"/>
      <c r="K624" s="741"/>
      <c r="L624" s="741"/>
      <c r="M624" s="741"/>
      <c r="N624" s="741"/>
      <c r="O624" s="741"/>
      <c r="P624" s="741"/>
      <c r="Q624" s="741"/>
      <c r="R624" s="741"/>
      <c r="S624" s="741"/>
      <c r="T624" s="741"/>
      <c r="U624" s="741"/>
      <c r="V624" s="741"/>
      <c r="W624" s="741"/>
      <c r="X624" s="741"/>
      <c r="Y624" s="741"/>
      <c r="Z624" s="741"/>
      <c r="AA624" s="741"/>
      <c r="AB624" s="741"/>
      <c r="AC624" s="741"/>
      <c r="AD624" s="741"/>
      <c r="AE624" s="741"/>
      <c r="AF624" s="741"/>
      <c r="AG624" s="741"/>
      <c r="AH624" s="741"/>
      <c r="AI624" s="741"/>
    </row>
    <row r="625">
      <c r="A625" s="741"/>
      <c r="B625" s="741"/>
      <c r="C625" s="741"/>
      <c r="D625" s="741"/>
      <c r="E625" s="741"/>
      <c r="F625" s="741"/>
      <c r="G625" s="741"/>
      <c r="H625" s="741"/>
      <c r="I625" s="741"/>
      <c r="J625" s="741"/>
      <c r="K625" s="741"/>
      <c r="L625" s="741"/>
      <c r="M625" s="741"/>
      <c r="N625" s="741"/>
      <c r="O625" s="741"/>
      <c r="P625" s="741"/>
      <c r="Q625" s="741"/>
      <c r="R625" s="741"/>
      <c r="S625" s="741"/>
      <c r="T625" s="741"/>
      <c r="U625" s="741"/>
      <c r="V625" s="741"/>
      <c r="W625" s="741"/>
      <c r="X625" s="741"/>
      <c r="Y625" s="741"/>
      <c r="Z625" s="741"/>
      <c r="AA625" s="741"/>
      <c r="AB625" s="741"/>
      <c r="AC625" s="741"/>
      <c r="AD625" s="741"/>
      <c r="AE625" s="741"/>
      <c r="AF625" s="741"/>
      <c r="AG625" s="741"/>
      <c r="AH625" s="741"/>
      <c r="AI625" s="741"/>
    </row>
    <row r="626">
      <c r="A626" s="741"/>
      <c r="B626" s="741"/>
      <c r="C626" s="741"/>
      <c r="D626" s="741"/>
      <c r="E626" s="741"/>
      <c r="F626" s="741"/>
      <c r="G626" s="741"/>
      <c r="H626" s="741"/>
      <c r="I626" s="741"/>
      <c r="J626" s="741"/>
      <c r="K626" s="741"/>
      <c r="L626" s="741"/>
      <c r="M626" s="741"/>
      <c r="N626" s="741"/>
      <c r="O626" s="741"/>
      <c r="P626" s="741"/>
      <c r="Q626" s="741"/>
      <c r="R626" s="741"/>
      <c r="S626" s="741"/>
      <c r="T626" s="741"/>
      <c r="U626" s="741"/>
      <c r="V626" s="741"/>
      <c r="W626" s="741"/>
      <c r="X626" s="741"/>
      <c r="Y626" s="741"/>
      <c r="Z626" s="741"/>
      <c r="AA626" s="741"/>
      <c r="AB626" s="741"/>
      <c r="AC626" s="741"/>
      <c r="AD626" s="741"/>
      <c r="AE626" s="741"/>
      <c r="AF626" s="741"/>
      <c r="AG626" s="741"/>
      <c r="AH626" s="741"/>
      <c r="AI626" s="741"/>
    </row>
    <row r="627">
      <c r="A627" s="741"/>
      <c r="B627" s="741"/>
      <c r="C627" s="741"/>
      <c r="D627" s="741"/>
      <c r="E627" s="741"/>
      <c r="F627" s="741"/>
      <c r="G627" s="741"/>
      <c r="H627" s="741"/>
      <c r="I627" s="741"/>
      <c r="J627" s="741"/>
      <c r="K627" s="741"/>
      <c r="L627" s="741"/>
      <c r="M627" s="741"/>
      <c r="N627" s="741"/>
      <c r="O627" s="741"/>
      <c r="P627" s="741"/>
      <c r="Q627" s="741"/>
      <c r="R627" s="741"/>
      <c r="S627" s="741"/>
      <c r="T627" s="741"/>
      <c r="U627" s="741"/>
      <c r="V627" s="741"/>
      <c r="W627" s="741"/>
      <c r="X627" s="741"/>
      <c r="Y627" s="741"/>
      <c r="Z627" s="741"/>
      <c r="AA627" s="741"/>
      <c r="AB627" s="741"/>
      <c r="AC627" s="741"/>
      <c r="AD627" s="741"/>
      <c r="AE627" s="741"/>
      <c r="AF627" s="741"/>
      <c r="AG627" s="741"/>
      <c r="AH627" s="741"/>
      <c r="AI627" s="741"/>
    </row>
    <row r="628">
      <c r="A628" s="741"/>
      <c r="B628" s="741"/>
      <c r="C628" s="741"/>
      <c r="D628" s="741"/>
      <c r="E628" s="741"/>
      <c r="F628" s="741"/>
      <c r="G628" s="741"/>
      <c r="H628" s="741"/>
      <c r="I628" s="741"/>
      <c r="J628" s="741"/>
      <c r="K628" s="741"/>
      <c r="L628" s="741"/>
      <c r="M628" s="741"/>
      <c r="N628" s="741"/>
      <c r="O628" s="741"/>
      <c r="P628" s="741"/>
      <c r="Q628" s="741"/>
      <c r="R628" s="741"/>
      <c r="S628" s="741"/>
      <c r="T628" s="741"/>
      <c r="U628" s="741"/>
      <c r="V628" s="741"/>
      <c r="W628" s="741"/>
      <c r="X628" s="741"/>
      <c r="Y628" s="741"/>
      <c r="Z628" s="741"/>
      <c r="AA628" s="741"/>
      <c r="AB628" s="741"/>
      <c r="AC628" s="741"/>
      <c r="AD628" s="741"/>
      <c r="AE628" s="741"/>
      <c r="AF628" s="741"/>
      <c r="AG628" s="741"/>
      <c r="AH628" s="741"/>
      <c r="AI628" s="741"/>
    </row>
    <row r="629">
      <c r="A629" s="741"/>
      <c r="B629" s="741"/>
      <c r="C629" s="741"/>
      <c r="D629" s="741"/>
      <c r="E629" s="741"/>
      <c r="F629" s="741"/>
      <c r="G629" s="741"/>
      <c r="H629" s="741"/>
      <c r="I629" s="741"/>
      <c r="J629" s="741"/>
      <c r="K629" s="741"/>
      <c r="L629" s="741"/>
      <c r="M629" s="741"/>
      <c r="N629" s="741"/>
      <c r="O629" s="741"/>
      <c r="P629" s="741"/>
      <c r="Q629" s="741"/>
      <c r="R629" s="741"/>
      <c r="S629" s="741"/>
      <c r="T629" s="741"/>
      <c r="U629" s="741"/>
      <c r="V629" s="741"/>
      <c r="W629" s="741"/>
      <c r="X629" s="741"/>
      <c r="Y629" s="741"/>
      <c r="Z629" s="741"/>
      <c r="AA629" s="741"/>
      <c r="AB629" s="741"/>
      <c r="AC629" s="741"/>
      <c r="AD629" s="741"/>
      <c r="AE629" s="741"/>
      <c r="AF629" s="741"/>
      <c r="AG629" s="741"/>
      <c r="AH629" s="741"/>
      <c r="AI629" s="741"/>
    </row>
    <row r="630">
      <c r="A630" s="741"/>
      <c r="B630" s="741"/>
      <c r="C630" s="741"/>
      <c r="D630" s="741"/>
      <c r="E630" s="741"/>
      <c r="F630" s="741"/>
      <c r="G630" s="741"/>
      <c r="H630" s="741"/>
      <c r="I630" s="741"/>
      <c r="J630" s="741"/>
      <c r="K630" s="741"/>
      <c r="L630" s="741"/>
      <c r="M630" s="741"/>
      <c r="N630" s="741"/>
      <c r="O630" s="741"/>
      <c r="P630" s="741"/>
      <c r="Q630" s="741"/>
      <c r="R630" s="741"/>
      <c r="S630" s="741"/>
      <c r="T630" s="741"/>
      <c r="U630" s="741"/>
      <c r="V630" s="741"/>
      <c r="W630" s="741"/>
      <c r="X630" s="741"/>
      <c r="Y630" s="741"/>
      <c r="Z630" s="741"/>
      <c r="AA630" s="741"/>
      <c r="AB630" s="741"/>
      <c r="AC630" s="741"/>
      <c r="AD630" s="741"/>
      <c r="AE630" s="741"/>
      <c r="AF630" s="741"/>
      <c r="AG630" s="741"/>
      <c r="AH630" s="741"/>
      <c r="AI630" s="741"/>
    </row>
    <row r="631">
      <c r="A631" s="741"/>
      <c r="B631" s="741"/>
      <c r="C631" s="741"/>
      <c r="D631" s="741"/>
      <c r="E631" s="741"/>
      <c r="F631" s="741"/>
      <c r="G631" s="741"/>
      <c r="H631" s="741"/>
      <c r="I631" s="741"/>
      <c r="J631" s="741"/>
      <c r="K631" s="741"/>
      <c r="L631" s="741"/>
      <c r="M631" s="741"/>
      <c r="N631" s="741"/>
      <c r="O631" s="741"/>
      <c r="P631" s="741"/>
      <c r="Q631" s="741"/>
      <c r="R631" s="741"/>
      <c r="S631" s="741"/>
      <c r="T631" s="741"/>
      <c r="U631" s="741"/>
      <c r="V631" s="741"/>
      <c r="W631" s="741"/>
      <c r="X631" s="741"/>
      <c r="Y631" s="741"/>
      <c r="Z631" s="741"/>
      <c r="AA631" s="741"/>
      <c r="AB631" s="741"/>
      <c r="AC631" s="741"/>
      <c r="AD631" s="741"/>
      <c r="AE631" s="741"/>
      <c r="AF631" s="741"/>
      <c r="AG631" s="741"/>
      <c r="AH631" s="741"/>
      <c r="AI631" s="741"/>
    </row>
    <row r="632">
      <c r="A632" s="741"/>
      <c r="B632" s="741"/>
      <c r="C632" s="741"/>
      <c r="D632" s="741"/>
      <c r="E632" s="741"/>
      <c r="F632" s="741"/>
      <c r="G632" s="741"/>
      <c r="H632" s="741"/>
      <c r="I632" s="741"/>
      <c r="J632" s="741"/>
      <c r="K632" s="741"/>
      <c r="L632" s="741"/>
      <c r="M632" s="741"/>
      <c r="N632" s="741"/>
      <c r="O632" s="741"/>
      <c r="P632" s="741"/>
      <c r="Q632" s="741"/>
      <c r="R632" s="741"/>
      <c r="S632" s="741"/>
      <c r="T632" s="741"/>
      <c r="U632" s="741"/>
      <c r="V632" s="741"/>
      <c r="W632" s="741"/>
      <c r="X632" s="741"/>
      <c r="Y632" s="741"/>
      <c r="Z632" s="741"/>
      <c r="AA632" s="741"/>
      <c r="AB632" s="741"/>
      <c r="AC632" s="741"/>
      <c r="AD632" s="741"/>
      <c r="AE632" s="741"/>
      <c r="AF632" s="741"/>
      <c r="AG632" s="741"/>
      <c r="AH632" s="741"/>
      <c r="AI632" s="741"/>
    </row>
    <row r="633">
      <c r="A633" s="741"/>
      <c r="B633" s="741"/>
      <c r="C633" s="741"/>
      <c r="D633" s="741"/>
      <c r="E633" s="741"/>
      <c r="F633" s="741"/>
      <c r="G633" s="741"/>
      <c r="H633" s="741"/>
      <c r="I633" s="741"/>
      <c r="J633" s="741"/>
      <c r="K633" s="741"/>
      <c r="L633" s="741"/>
      <c r="M633" s="741"/>
      <c r="N633" s="741"/>
      <c r="O633" s="741"/>
      <c r="P633" s="741"/>
      <c r="Q633" s="741"/>
      <c r="R633" s="741"/>
      <c r="S633" s="741"/>
      <c r="T633" s="741"/>
      <c r="U633" s="741"/>
      <c r="V633" s="741"/>
      <c r="W633" s="741"/>
      <c r="X633" s="741"/>
      <c r="Y633" s="741"/>
      <c r="Z633" s="741"/>
      <c r="AA633" s="741"/>
      <c r="AB633" s="741"/>
      <c r="AC633" s="741"/>
      <c r="AD633" s="741"/>
      <c r="AE633" s="741"/>
      <c r="AF633" s="741"/>
      <c r="AG633" s="741"/>
      <c r="AH633" s="741"/>
      <c r="AI633" s="741"/>
    </row>
    <row r="634">
      <c r="A634" s="741"/>
      <c r="B634" s="741"/>
      <c r="C634" s="741"/>
      <c r="D634" s="741"/>
      <c r="E634" s="741"/>
      <c r="F634" s="741"/>
      <c r="G634" s="741"/>
      <c r="H634" s="741"/>
      <c r="I634" s="741"/>
      <c r="J634" s="741"/>
      <c r="K634" s="741"/>
      <c r="L634" s="741"/>
      <c r="M634" s="741"/>
      <c r="N634" s="741"/>
      <c r="O634" s="741"/>
      <c r="P634" s="741"/>
      <c r="Q634" s="741"/>
      <c r="R634" s="741"/>
      <c r="S634" s="741"/>
      <c r="T634" s="741"/>
      <c r="U634" s="741"/>
      <c r="V634" s="741"/>
      <c r="W634" s="741"/>
      <c r="X634" s="741"/>
      <c r="Y634" s="741"/>
      <c r="Z634" s="741"/>
      <c r="AA634" s="741"/>
      <c r="AB634" s="741"/>
      <c r="AC634" s="741"/>
      <c r="AD634" s="741"/>
      <c r="AE634" s="741"/>
      <c r="AF634" s="741"/>
      <c r="AG634" s="741"/>
      <c r="AH634" s="741"/>
      <c r="AI634" s="741"/>
    </row>
    <row r="635">
      <c r="A635" s="741"/>
      <c r="B635" s="741"/>
      <c r="C635" s="741"/>
      <c r="D635" s="741"/>
      <c r="E635" s="741"/>
      <c r="F635" s="741"/>
      <c r="G635" s="741"/>
      <c r="H635" s="741"/>
      <c r="I635" s="741"/>
      <c r="J635" s="741"/>
      <c r="K635" s="741"/>
      <c r="L635" s="741"/>
      <c r="M635" s="741"/>
      <c r="N635" s="741"/>
      <c r="O635" s="741"/>
      <c r="P635" s="741"/>
      <c r="Q635" s="741"/>
      <c r="R635" s="741"/>
      <c r="S635" s="741"/>
      <c r="T635" s="741"/>
      <c r="U635" s="741"/>
      <c r="V635" s="741"/>
      <c r="W635" s="741"/>
      <c r="X635" s="741"/>
      <c r="Y635" s="741"/>
      <c r="Z635" s="741"/>
      <c r="AA635" s="741"/>
      <c r="AB635" s="741"/>
      <c r="AC635" s="741"/>
      <c r="AD635" s="741"/>
      <c r="AE635" s="741"/>
      <c r="AF635" s="741"/>
      <c r="AG635" s="741"/>
      <c r="AH635" s="741"/>
      <c r="AI635" s="741"/>
    </row>
    <row r="636">
      <c r="A636" s="741"/>
      <c r="B636" s="741"/>
      <c r="C636" s="741"/>
      <c r="D636" s="741"/>
      <c r="E636" s="741"/>
      <c r="F636" s="741"/>
      <c r="G636" s="741"/>
      <c r="H636" s="741"/>
      <c r="I636" s="741"/>
      <c r="J636" s="741"/>
      <c r="K636" s="741"/>
      <c r="L636" s="741"/>
      <c r="M636" s="741"/>
      <c r="N636" s="741"/>
      <c r="O636" s="741"/>
      <c r="P636" s="741"/>
      <c r="Q636" s="741"/>
      <c r="R636" s="741"/>
      <c r="S636" s="741"/>
      <c r="T636" s="741"/>
      <c r="U636" s="741"/>
      <c r="V636" s="741"/>
      <c r="W636" s="741"/>
      <c r="X636" s="741"/>
      <c r="Y636" s="741"/>
      <c r="Z636" s="741"/>
      <c r="AA636" s="741"/>
      <c r="AB636" s="741"/>
      <c r="AC636" s="741"/>
      <c r="AD636" s="741"/>
      <c r="AE636" s="741"/>
      <c r="AF636" s="741"/>
      <c r="AG636" s="741"/>
      <c r="AH636" s="741"/>
      <c r="AI636" s="741"/>
    </row>
    <row r="637">
      <c r="A637" s="741"/>
      <c r="B637" s="741"/>
      <c r="C637" s="741"/>
      <c r="D637" s="741"/>
      <c r="E637" s="741"/>
      <c r="F637" s="741"/>
      <c r="G637" s="741"/>
      <c r="H637" s="741"/>
      <c r="I637" s="741"/>
      <c r="J637" s="741"/>
      <c r="K637" s="741"/>
      <c r="L637" s="741"/>
      <c r="M637" s="741"/>
      <c r="N637" s="741"/>
      <c r="O637" s="741"/>
      <c r="P637" s="741"/>
      <c r="Q637" s="741"/>
      <c r="R637" s="741"/>
      <c r="S637" s="741"/>
      <c r="T637" s="741"/>
      <c r="U637" s="741"/>
      <c r="V637" s="741"/>
      <c r="W637" s="741"/>
      <c r="X637" s="741"/>
      <c r="Y637" s="741"/>
      <c r="Z637" s="741"/>
      <c r="AA637" s="741"/>
      <c r="AB637" s="741"/>
      <c r="AC637" s="741"/>
      <c r="AD637" s="741"/>
      <c r="AE637" s="741"/>
      <c r="AF637" s="741"/>
      <c r="AG637" s="741"/>
      <c r="AH637" s="741"/>
      <c r="AI637" s="741"/>
    </row>
    <row r="638">
      <c r="A638" s="741"/>
      <c r="B638" s="741"/>
      <c r="C638" s="741"/>
      <c r="D638" s="741"/>
      <c r="E638" s="741"/>
      <c r="F638" s="741"/>
      <c r="G638" s="741"/>
      <c r="H638" s="741"/>
      <c r="I638" s="741"/>
      <c r="J638" s="741"/>
      <c r="K638" s="741"/>
      <c r="L638" s="741"/>
      <c r="M638" s="741"/>
      <c r="N638" s="741"/>
      <c r="O638" s="741"/>
      <c r="P638" s="741"/>
      <c r="Q638" s="741"/>
      <c r="R638" s="741"/>
      <c r="S638" s="741"/>
      <c r="T638" s="741"/>
      <c r="U638" s="741"/>
      <c r="V638" s="741"/>
      <c r="W638" s="741"/>
      <c r="X638" s="741"/>
      <c r="Y638" s="741"/>
      <c r="Z638" s="741"/>
      <c r="AA638" s="741"/>
      <c r="AB638" s="741"/>
      <c r="AC638" s="741"/>
      <c r="AD638" s="741"/>
      <c r="AE638" s="741"/>
      <c r="AF638" s="741"/>
      <c r="AG638" s="741"/>
      <c r="AH638" s="741"/>
      <c r="AI638" s="741"/>
    </row>
    <row r="639">
      <c r="A639" s="741"/>
      <c r="B639" s="741"/>
      <c r="C639" s="741"/>
      <c r="D639" s="741"/>
      <c r="E639" s="741"/>
      <c r="F639" s="741"/>
      <c r="G639" s="741"/>
      <c r="H639" s="741"/>
      <c r="I639" s="741"/>
      <c r="J639" s="741"/>
      <c r="K639" s="741"/>
      <c r="L639" s="741"/>
      <c r="M639" s="741"/>
      <c r="N639" s="741"/>
      <c r="O639" s="741"/>
      <c r="P639" s="741"/>
      <c r="Q639" s="741"/>
      <c r="R639" s="741"/>
      <c r="S639" s="741"/>
      <c r="T639" s="741"/>
      <c r="U639" s="741"/>
      <c r="V639" s="741"/>
      <c r="W639" s="741"/>
      <c r="X639" s="741"/>
      <c r="Y639" s="741"/>
      <c r="Z639" s="741"/>
      <c r="AA639" s="741"/>
      <c r="AB639" s="741"/>
      <c r="AC639" s="741"/>
      <c r="AD639" s="741"/>
      <c r="AE639" s="741"/>
      <c r="AF639" s="741"/>
      <c r="AG639" s="741"/>
      <c r="AH639" s="741"/>
      <c r="AI639" s="741"/>
    </row>
    <row r="640">
      <c r="A640" s="741"/>
      <c r="B640" s="741"/>
      <c r="C640" s="741"/>
      <c r="D640" s="741"/>
      <c r="E640" s="741"/>
      <c r="F640" s="741"/>
      <c r="G640" s="741"/>
      <c r="H640" s="741"/>
      <c r="I640" s="741"/>
      <c r="J640" s="741"/>
      <c r="K640" s="741"/>
      <c r="L640" s="741"/>
      <c r="M640" s="741"/>
      <c r="N640" s="741"/>
      <c r="O640" s="741"/>
      <c r="P640" s="741"/>
      <c r="Q640" s="741"/>
      <c r="R640" s="741"/>
      <c r="S640" s="741"/>
      <c r="T640" s="741"/>
      <c r="U640" s="741"/>
      <c r="V640" s="741"/>
      <c r="W640" s="741"/>
      <c r="X640" s="741"/>
      <c r="Y640" s="741"/>
      <c r="Z640" s="741"/>
      <c r="AA640" s="741"/>
      <c r="AB640" s="741"/>
      <c r="AC640" s="741"/>
      <c r="AD640" s="741"/>
      <c r="AE640" s="741"/>
      <c r="AF640" s="741"/>
      <c r="AG640" s="741"/>
      <c r="AH640" s="741"/>
      <c r="AI640" s="741"/>
    </row>
    <row r="641">
      <c r="A641" s="741"/>
      <c r="B641" s="741"/>
      <c r="C641" s="741"/>
      <c r="D641" s="741"/>
      <c r="E641" s="741"/>
      <c r="F641" s="741"/>
      <c r="G641" s="741"/>
      <c r="H641" s="741"/>
      <c r="I641" s="741"/>
      <c r="J641" s="741"/>
      <c r="K641" s="741"/>
      <c r="L641" s="741"/>
      <c r="M641" s="741"/>
      <c r="N641" s="741"/>
      <c r="O641" s="741"/>
      <c r="P641" s="741"/>
      <c r="Q641" s="741"/>
      <c r="R641" s="741"/>
      <c r="S641" s="741"/>
      <c r="T641" s="741"/>
      <c r="U641" s="741"/>
      <c r="V641" s="741"/>
      <c r="W641" s="741"/>
      <c r="X641" s="741"/>
      <c r="Y641" s="741"/>
      <c r="Z641" s="741"/>
      <c r="AA641" s="741"/>
      <c r="AB641" s="741"/>
      <c r="AC641" s="741"/>
      <c r="AD641" s="741"/>
      <c r="AE641" s="741"/>
      <c r="AF641" s="741"/>
      <c r="AG641" s="741"/>
      <c r="AH641" s="741"/>
      <c r="AI641" s="741"/>
    </row>
    <row r="642">
      <c r="A642" s="741"/>
      <c r="B642" s="741"/>
      <c r="C642" s="741"/>
      <c r="D642" s="741"/>
      <c r="E642" s="741"/>
      <c r="F642" s="741"/>
      <c r="G642" s="741"/>
      <c r="H642" s="741"/>
      <c r="I642" s="741"/>
      <c r="J642" s="741"/>
      <c r="K642" s="741"/>
      <c r="L642" s="741"/>
      <c r="M642" s="741"/>
      <c r="N642" s="741"/>
      <c r="O642" s="741"/>
      <c r="P642" s="741"/>
      <c r="Q642" s="741"/>
      <c r="R642" s="741"/>
      <c r="S642" s="741"/>
      <c r="T642" s="741"/>
      <c r="U642" s="741"/>
      <c r="V642" s="741"/>
      <c r="W642" s="741"/>
      <c r="X642" s="741"/>
      <c r="Y642" s="741"/>
      <c r="Z642" s="741"/>
      <c r="AA642" s="741"/>
      <c r="AB642" s="741"/>
      <c r="AC642" s="741"/>
      <c r="AD642" s="741"/>
      <c r="AE642" s="741"/>
      <c r="AF642" s="741"/>
      <c r="AG642" s="741"/>
      <c r="AH642" s="741"/>
      <c r="AI642" s="741"/>
    </row>
    <row r="643">
      <c r="A643" s="741"/>
      <c r="B643" s="741"/>
      <c r="C643" s="741"/>
      <c r="D643" s="741"/>
      <c r="E643" s="741"/>
      <c r="F643" s="741"/>
      <c r="G643" s="741"/>
      <c r="H643" s="741"/>
      <c r="I643" s="741"/>
      <c r="J643" s="741"/>
      <c r="K643" s="741"/>
      <c r="L643" s="741"/>
      <c r="M643" s="741"/>
      <c r="N643" s="741"/>
      <c r="O643" s="741"/>
      <c r="P643" s="741"/>
      <c r="Q643" s="741"/>
      <c r="R643" s="741"/>
      <c r="S643" s="741"/>
      <c r="T643" s="741"/>
      <c r="U643" s="741"/>
      <c r="V643" s="741"/>
      <c r="W643" s="741"/>
      <c r="X643" s="741"/>
      <c r="Y643" s="741"/>
      <c r="Z643" s="741"/>
      <c r="AA643" s="741"/>
      <c r="AB643" s="741"/>
      <c r="AC643" s="741"/>
      <c r="AD643" s="741"/>
      <c r="AE643" s="741"/>
      <c r="AF643" s="741"/>
      <c r="AG643" s="741"/>
      <c r="AH643" s="741"/>
      <c r="AI643" s="741"/>
    </row>
    <row r="644">
      <c r="A644" s="741"/>
      <c r="B644" s="741"/>
      <c r="C644" s="741"/>
      <c r="D644" s="741"/>
      <c r="E644" s="741"/>
      <c r="F644" s="741"/>
      <c r="G644" s="741"/>
      <c r="H644" s="741"/>
      <c r="I644" s="741"/>
      <c r="J644" s="741"/>
      <c r="K644" s="741"/>
      <c r="L644" s="741"/>
      <c r="M644" s="741"/>
      <c r="N644" s="741"/>
      <c r="O644" s="741"/>
      <c r="P644" s="741"/>
      <c r="Q644" s="741"/>
      <c r="R644" s="741"/>
      <c r="S644" s="741"/>
      <c r="T644" s="741"/>
      <c r="U644" s="741"/>
      <c r="V644" s="741"/>
      <c r="W644" s="741"/>
      <c r="X644" s="741"/>
      <c r="Y644" s="741"/>
      <c r="Z644" s="741"/>
      <c r="AA644" s="741"/>
      <c r="AB644" s="741"/>
      <c r="AC644" s="741"/>
      <c r="AD644" s="741"/>
      <c r="AE644" s="741"/>
      <c r="AF644" s="741"/>
      <c r="AG644" s="741"/>
      <c r="AH644" s="741"/>
      <c r="AI644" s="741"/>
    </row>
    <row r="645">
      <c r="A645" s="741"/>
      <c r="B645" s="741"/>
      <c r="C645" s="741"/>
      <c r="D645" s="741"/>
      <c r="E645" s="741"/>
      <c r="F645" s="741"/>
      <c r="G645" s="741"/>
      <c r="H645" s="741"/>
      <c r="I645" s="741"/>
      <c r="J645" s="741"/>
      <c r="K645" s="741"/>
      <c r="L645" s="741"/>
      <c r="M645" s="741"/>
      <c r="N645" s="741"/>
      <c r="O645" s="741"/>
      <c r="P645" s="741"/>
      <c r="Q645" s="741"/>
      <c r="R645" s="741"/>
      <c r="S645" s="741"/>
      <c r="T645" s="741"/>
      <c r="U645" s="741"/>
      <c r="V645" s="741"/>
      <c r="W645" s="741"/>
      <c r="X645" s="741"/>
      <c r="Y645" s="741"/>
      <c r="Z645" s="741"/>
      <c r="AA645" s="741"/>
      <c r="AB645" s="741"/>
      <c r="AC645" s="741"/>
      <c r="AD645" s="741"/>
      <c r="AE645" s="741"/>
      <c r="AF645" s="741"/>
      <c r="AG645" s="741"/>
      <c r="AH645" s="741"/>
      <c r="AI645" s="741"/>
    </row>
    <row r="646">
      <c r="A646" s="741"/>
      <c r="B646" s="741"/>
      <c r="C646" s="741"/>
      <c r="D646" s="741"/>
      <c r="E646" s="741"/>
      <c r="F646" s="741"/>
      <c r="G646" s="741"/>
      <c r="H646" s="741"/>
      <c r="I646" s="741"/>
      <c r="J646" s="741"/>
      <c r="K646" s="741"/>
      <c r="L646" s="741"/>
      <c r="M646" s="741"/>
      <c r="N646" s="741"/>
      <c r="O646" s="741"/>
      <c r="P646" s="741"/>
      <c r="Q646" s="741"/>
      <c r="R646" s="741"/>
      <c r="S646" s="741"/>
      <c r="T646" s="741"/>
      <c r="U646" s="741"/>
      <c r="V646" s="741"/>
      <c r="W646" s="741"/>
      <c r="X646" s="741"/>
      <c r="Y646" s="741"/>
      <c r="Z646" s="741"/>
      <c r="AA646" s="741"/>
      <c r="AB646" s="741"/>
      <c r="AC646" s="741"/>
      <c r="AD646" s="741"/>
      <c r="AE646" s="741"/>
      <c r="AF646" s="741"/>
      <c r="AG646" s="741"/>
      <c r="AH646" s="741"/>
      <c r="AI646" s="741"/>
    </row>
    <row r="647">
      <c r="A647" s="741"/>
      <c r="B647" s="741"/>
      <c r="C647" s="741"/>
      <c r="D647" s="741"/>
      <c r="E647" s="741"/>
      <c r="F647" s="741"/>
      <c r="G647" s="741"/>
      <c r="H647" s="741"/>
      <c r="I647" s="741"/>
      <c r="J647" s="741"/>
      <c r="K647" s="741"/>
      <c r="L647" s="741"/>
      <c r="M647" s="741"/>
      <c r="N647" s="741"/>
      <c r="O647" s="741"/>
      <c r="P647" s="741"/>
      <c r="Q647" s="741"/>
      <c r="R647" s="741"/>
      <c r="S647" s="741"/>
      <c r="T647" s="741"/>
      <c r="U647" s="741"/>
      <c r="V647" s="741"/>
      <c r="W647" s="741"/>
      <c r="X647" s="741"/>
      <c r="Y647" s="741"/>
      <c r="Z647" s="741"/>
      <c r="AA647" s="741"/>
      <c r="AB647" s="741"/>
      <c r="AC647" s="741"/>
      <c r="AD647" s="741"/>
      <c r="AE647" s="741"/>
      <c r="AF647" s="741"/>
      <c r="AG647" s="741"/>
      <c r="AH647" s="741"/>
      <c r="AI647" s="741"/>
    </row>
    <row r="648">
      <c r="A648" s="741"/>
      <c r="B648" s="741"/>
      <c r="C648" s="741"/>
      <c r="D648" s="741"/>
      <c r="E648" s="741"/>
      <c r="F648" s="741"/>
      <c r="G648" s="741"/>
      <c r="H648" s="741"/>
      <c r="I648" s="741"/>
      <c r="J648" s="741"/>
      <c r="K648" s="741"/>
      <c r="L648" s="741"/>
      <c r="M648" s="741"/>
      <c r="N648" s="741"/>
      <c r="O648" s="741"/>
      <c r="P648" s="741"/>
      <c r="Q648" s="741"/>
      <c r="R648" s="741"/>
      <c r="S648" s="741"/>
      <c r="T648" s="741"/>
      <c r="U648" s="741"/>
      <c r="V648" s="741"/>
      <c r="W648" s="741"/>
      <c r="X648" s="741"/>
      <c r="Y648" s="741"/>
      <c r="Z648" s="741"/>
      <c r="AA648" s="741"/>
      <c r="AB648" s="741"/>
      <c r="AC648" s="741"/>
      <c r="AD648" s="741"/>
      <c r="AE648" s="741"/>
      <c r="AF648" s="741"/>
      <c r="AG648" s="741"/>
      <c r="AH648" s="741"/>
      <c r="AI648" s="741"/>
    </row>
    <row r="649">
      <c r="A649" s="741"/>
      <c r="B649" s="741"/>
      <c r="C649" s="741"/>
      <c r="D649" s="741"/>
      <c r="E649" s="741"/>
      <c r="F649" s="741"/>
      <c r="G649" s="741"/>
      <c r="H649" s="741"/>
      <c r="I649" s="741"/>
      <c r="J649" s="741"/>
      <c r="K649" s="741"/>
      <c r="L649" s="741"/>
      <c r="M649" s="741"/>
      <c r="N649" s="741"/>
      <c r="O649" s="741"/>
      <c r="P649" s="741"/>
      <c r="Q649" s="741"/>
      <c r="R649" s="741"/>
      <c r="S649" s="741"/>
      <c r="T649" s="741"/>
      <c r="U649" s="741"/>
      <c r="V649" s="741"/>
      <c r="W649" s="741"/>
      <c r="X649" s="741"/>
      <c r="Y649" s="741"/>
      <c r="Z649" s="741"/>
      <c r="AA649" s="741"/>
      <c r="AB649" s="741"/>
      <c r="AC649" s="741"/>
      <c r="AD649" s="741"/>
      <c r="AE649" s="741"/>
      <c r="AF649" s="741"/>
      <c r="AG649" s="741"/>
      <c r="AH649" s="741"/>
      <c r="AI649" s="741"/>
    </row>
    <row r="650">
      <c r="A650" s="741"/>
      <c r="B650" s="741"/>
      <c r="C650" s="741"/>
      <c r="D650" s="741"/>
      <c r="E650" s="741"/>
      <c r="F650" s="741"/>
      <c r="G650" s="741"/>
      <c r="H650" s="741"/>
      <c r="I650" s="741"/>
      <c r="J650" s="741"/>
      <c r="K650" s="741"/>
      <c r="L650" s="741"/>
      <c r="M650" s="741"/>
      <c r="N650" s="741"/>
      <c r="O650" s="741"/>
      <c r="P650" s="741"/>
      <c r="Q650" s="741"/>
      <c r="R650" s="741"/>
      <c r="S650" s="741"/>
      <c r="T650" s="741"/>
      <c r="U650" s="741"/>
      <c r="V650" s="741"/>
      <c r="W650" s="741"/>
      <c r="X650" s="741"/>
      <c r="Y650" s="741"/>
      <c r="Z650" s="741"/>
      <c r="AA650" s="741"/>
      <c r="AB650" s="741"/>
      <c r="AC650" s="741"/>
      <c r="AD650" s="741"/>
      <c r="AE650" s="741"/>
      <c r="AF650" s="741"/>
      <c r="AG650" s="741"/>
      <c r="AH650" s="741"/>
      <c r="AI650" s="741"/>
    </row>
    <row r="651">
      <c r="A651" s="741"/>
      <c r="B651" s="741"/>
      <c r="C651" s="741"/>
      <c r="D651" s="741"/>
      <c r="E651" s="741"/>
      <c r="F651" s="741"/>
      <c r="G651" s="741"/>
      <c r="H651" s="741"/>
      <c r="I651" s="741"/>
      <c r="J651" s="741"/>
      <c r="K651" s="741"/>
      <c r="L651" s="741"/>
      <c r="M651" s="741"/>
      <c r="N651" s="741"/>
      <c r="O651" s="741"/>
      <c r="P651" s="741"/>
      <c r="Q651" s="741"/>
      <c r="R651" s="741"/>
      <c r="S651" s="741"/>
      <c r="T651" s="741"/>
      <c r="U651" s="741"/>
      <c r="V651" s="741"/>
      <c r="W651" s="741"/>
      <c r="X651" s="741"/>
      <c r="Y651" s="741"/>
      <c r="Z651" s="741"/>
      <c r="AA651" s="741"/>
      <c r="AB651" s="741"/>
      <c r="AC651" s="741"/>
      <c r="AD651" s="741"/>
      <c r="AE651" s="741"/>
      <c r="AF651" s="741"/>
      <c r="AG651" s="741"/>
      <c r="AH651" s="741"/>
      <c r="AI651" s="741"/>
    </row>
    <row r="652">
      <c r="A652" s="741"/>
      <c r="B652" s="741"/>
      <c r="C652" s="741"/>
      <c r="D652" s="741"/>
      <c r="E652" s="741"/>
      <c r="F652" s="741"/>
      <c r="G652" s="741"/>
      <c r="H652" s="741"/>
      <c r="I652" s="741"/>
      <c r="J652" s="741"/>
      <c r="K652" s="741"/>
      <c r="L652" s="741"/>
      <c r="M652" s="741"/>
      <c r="N652" s="741"/>
      <c r="O652" s="741"/>
      <c r="P652" s="741"/>
      <c r="Q652" s="741"/>
      <c r="R652" s="741"/>
      <c r="S652" s="741"/>
      <c r="T652" s="741"/>
      <c r="U652" s="741"/>
      <c r="V652" s="741"/>
      <c r="W652" s="741"/>
      <c r="X652" s="741"/>
      <c r="Y652" s="741"/>
      <c r="Z652" s="741"/>
      <c r="AA652" s="741"/>
      <c r="AB652" s="741"/>
      <c r="AC652" s="741"/>
      <c r="AD652" s="741"/>
      <c r="AE652" s="741"/>
      <c r="AF652" s="741"/>
      <c r="AG652" s="741"/>
      <c r="AH652" s="741"/>
      <c r="AI652" s="741"/>
    </row>
    <row r="653">
      <c r="A653" s="741"/>
      <c r="B653" s="741"/>
      <c r="C653" s="741"/>
      <c r="D653" s="741"/>
      <c r="E653" s="741"/>
      <c r="F653" s="741"/>
      <c r="G653" s="741"/>
      <c r="H653" s="741"/>
      <c r="I653" s="741"/>
      <c r="J653" s="741"/>
      <c r="K653" s="741"/>
      <c r="L653" s="741"/>
      <c r="M653" s="741"/>
      <c r="N653" s="741"/>
      <c r="O653" s="741"/>
      <c r="P653" s="741"/>
      <c r="Q653" s="741"/>
      <c r="R653" s="741"/>
      <c r="S653" s="741"/>
      <c r="T653" s="741"/>
      <c r="U653" s="741"/>
      <c r="V653" s="741"/>
      <c r="W653" s="741"/>
      <c r="X653" s="741"/>
      <c r="Y653" s="741"/>
      <c r="Z653" s="741"/>
      <c r="AA653" s="741"/>
      <c r="AB653" s="741"/>
      <c r="AC653" s="741"/>
      <c r="AD653" s="741"/>
      <c r="AE653" s="741"/>
      <c r="AF653" s="741"/>
      <c r="AG653" s="741"/>
      <c r="AH653" s="741"/>
      <c r="AI653" s="741"/>
    </row>
    <row r="654">
      <c r="A654" s="741"/>
      <c r="B654" s="741"/>
      <c r="C654" s="741"/>
      <c r="D654" s="741"/>
      <c r="E654" s="741"/>
      <c r="F654" s="741"/>
      <c r="G654" s="741"/>
      <c r="H654" s="741"/>
      <c r="I654" s="741"/>
      <c r="J654" s="741"/>
      <c r="K654" s="741"/>
      <c r="L654" s="741"/>
      <c r="M654" s="741"/>
      <c r="N654" s="741"/>
      <c r="O654" s="741"/>
      <c r="P654" s="741"/>
      <c r="Q654" s="741"/>
      <c r="R654" s="741"/>
      <c r="S654" s="741"/>
      <c r="T654" s="741"/>
      <c r="U654" s="741"/>
      <c r="V654" s="741"/>
      <c r="W654" s="741"/>
      <c r="X654" s="741"/>
      <c r="Y654" s="741"/>
      <c r="Z654" s="741"/>
      <c r="AA654" s="741"/>
      <c r="AB654" s="741"/>
      <c r="AC654" s="741"/>
      <c r="AD654" s="741"/>
      <c r="AE654" s="741"/>
      <c r="AF654" s="741"/>
      <c r="AG654" s="741"/>
      <c r="AH654" s="741"/>
      <c r="AI654" s="741"/>
    </row>
    <row r="655">
      <c r="A655" s="741"/>
      <c r="B655" s="741"/>
      <c r="C655" s="741"/>
      <c r="D655" s="741"/>
      <c r="E655" s="741"/>
      <c r="F655" s="741"/>
      <c r="G655" s="741"/>
      <c r="H655" s="741"/>
      <c r="I655" s="741"/>
      <c r="J655" s="741"/>
      <c r="K655" s="741"/>
      <c r="L655" s="741"/>
      <c r="M655" s="741"/>
      <c r="N655" s="741"/>
      <c r="O655" s="741"/>
      <c r="P655" s="741"/>
      <c r="Q655" s="741"/>
      <c r="R655" s="741"/>
      <c r="S655" s="741"/>
      <c r="T655" s="741"/>
      <c r="U655" s="741"/>
      <c r="V655" s="741"/>
      <c r="W655" s="741"/>
      <c r="X655" s="741"/>
      <c r="Y655" s="741"/>
      <c r="Z655" s="741"/>
      <c r="AA655" s="741"/>
      <c r="AB655" s="741"/>
      <c r="AC655" s="741"/>
      <c r="AD655" s="741"/>
      <c r="AE655" s="741"/>
      <c r="AF655" s="741"/>
      <c r="AG655" s="741"/>
      <c r="AH655" s="741"/>
      <c r="AI655" s="741"/>
    </row>
    <row r="656">
      <c r="A656" s="741"/>
      <c r="B656" s="741"/>
      <c r="C656" s="741"/>
      <c r="D656" s="741"/>
      <c r="E656" s="741"/>
      <c r="F656" s="741"/>
      <c r="G656" s="741"/>
      <c r="H656" s="741"/>
      <c r="I656" s="741"/>
      <c r="J656" s="741"/>
      <c r="K656" s="741"/>
      <c r="L656" s="741"/>
      <c r="M656" s="741"/>
      <c r="N656" s="741"/>
      <c r="O656" s="741"/>
      <c r="P656" s="741"/>
      <c r="Q656" s="741"/>
      <c r="R656" s="741"/>
      <c r="S656" s="741"/>
      <c r="T656" s="741"/>
      <c r="U656" s="741"/>
      <c r="V656" s="741"/>
      <c r="W656" s="741"/>
      <c r="X656" s="741"/>
      <c r="Y656" s="741"/>
      <c r="Z656" s="741"/>
      <c r="AA656" s="741"/>
      <c r="AB656" s="741"/>
      <c r="AC656" s="741"/>
      <c r="AD656" s="741"/>
      <c r="AE656" s="741"/>
      <c r="AF656" s="741"/>
      <c r="AG656" s="741"/>
      <c r="AH656" s="741"/>
      <c r="AI656" s="741"/>
    </row>
    <row r="657">
      <c r="A657" s="741"/>
      <c r="B657" s="741"/>
      <c r="C657" s="741"/>
      <c r="D657" s="741"/>
      <c r="E657" s="741"/>
      <c r="F657" s="741"/>
      <c r="G657" s="741"/>
      <c r="H657" s="741"/>
      <c r="I657" s="741"/>
      <c r="J657" s="741"/>
      <c r="K657" s="741"/>
      <c r="L657" s="741"/>
      <c r="M657" s="741"/>
      <c r="N657" s="741"/>
      <c r="O657" s="741"/>
      <c r="P657" s="741"/>
      <c r="Q657" s="741"/>
      <c r="R657" s="741"/>
      <c r="S657" s="741"/>
      <c r="T657" s="741"/>
      <c r="U657" s="741"/>
      <c r="V657" s="741"/>
      <c r="W657" s="741"/>
      <c r="X657" s="741"/>
      <c r="Y657" s="741"/>
      <c r="Z657" s="741"/>
      <c r="AA657" s="741"/>
      <c r="AB657" s="741"/>
      <c r="AC657" s="741"/>
      <c r="AD657" s="741"/>
      <c r="AE657" s="741"/>
      <c r="AF657" s="741"/>
      <c r="AG657" s="741"/>
      <c r="AH657" s="741"/>
      <c r="AI657" s="741"/>
    </row>
    <row r="658">
      <c r="A658" s="741"/>
      <c r="B658" s="741"/>
      <c r="C658" s="741"/>
      <c r="D658" s="741"/>
      <c r="E658" s="741"/>
      <c r="F658" s="741"/>
      <c r="G658" s="741"/>
      <c r="H658" s="741"/>
      <c r="I658" s="741"/>
      <c r="J658" s="741"/>
      <c r="K658" s="741"/>
      <c r="L658" s="741"/>
      <c r="M658" s="741"/>
      <c r="N658" s="741"/>
      <c r="O658" s="741"/>
      <c r="P658" s="741"/>
      <c r="Q658" s="741"/>
      <c r="R658" s="741"/>
      <c r="S658" s="741"/>
      <c r="T658" s="741"/>
      <c r="U658" s="741"/>
      <c r="V658" s="741"/>
      <c r="W658" s="741"/>
      <c r="X658" s="741"/>
      <c r="Y658" s="741"/>
      <c r="Z658" s="741"/>
      <c r="AA658" s="741"/>
      <c r="AB658" s="741"/>
      <c r="AC658" s="741"/>
      <c r="AD658" s="741"/>
      <c r="AE658" s="741"/>
      <c r="AF658" s="741"/>
      <c r="AG658" s="741"/>
      <c r="AH658" s="741"/>
      <c r="AI658" s="741"/>
    </row>
    <row r="659">
      <c r="A659" s="741"/>
      <c r="B659" s="741"/>
      <c r="C659" s="741"/>
      <c r="D659" s="741"/>
      <c r="E659" s="741"/>
      <c r="F659" s="741"/>
      <c r="G659" s="741"/>
      <c r="H659" s="741"/>
      <c r="I659" s="741"/>
      <c r="J659" s="741"/>
      <c r="K659" s="741"/>
      <c r="L659" s="741"/>
      <c r="M659" s="741"/>
      <c r="N659" s="741"/>
      <c r="O659" s="741"/>
      <c r="P659" s="741"/>
      <c r="Q659" s="741"/>
      <c r="R659" s="741"/>
      <c r="S659" s="741"/>
      <c r="T659" s="741"/>
      <c r="U659" s="741"/>
      <c r="V659" s="741"/>
      <c r="W659" s="741"/>
      <c r="X659" s="741"/>
      <c r="Y659" s="741"/>
      <c r="Z659" s="741"/>
      <c r="AA659" s="741"/>
      <c r="AB659" s="741"/>
      <c r="AC659" s="741"/>
      <c r="AD659" s="741"/>
      <c r="AE659" s="741"/>
      <c r="AF659" s="741"/>
      <c r="AG659" s="741"/>
      <c r="AH659" s="741"/>
      <c r="AI659" s="741"/>
    </row>
    <row r="660">
      <c r="A660" s="741"/>
      <c r="B660" s="741"/>
      <c r="C660" s="741"/>
      <c r="D660" s="741"/>
      <c r="E660" s="741"/>
      <c r="F660" s="741"/>
      <c r="G660" s="741"/>
      <c r="H660" s="741"/>
      <c r="I660" s="741"/>
      <c r="J660" s="741"/>
      <c r="K660" s="741"/>
      <c r="L660" s="741"/>
      <c r="M660" s="741"/>
      <c r="N660" s="741"/>
      <c r="O660" s="741"/>
      <c r="P660" s="741"/>
      <c r="Q660" s="741"/>
      <c r="R660" s="741"/>
      <c r="S660" s="741"/>
      <c r="T660" s="741"/>
      <c r="U660" s="741"/>
      <c r="V660" s="741"/>
      <c r="W660" s="741"/>
      <c r="X660" s="741"/>
      <c r="Y660" s="741"/>
      <c r="Z660" s="741"/>
      <c r="AA660" s="741"/>
      <c r="AB660" s="741"/>
      <c r="AC660" s="741"/>
      <c r="AD660" s="741"/>
      <c r="AE660" s="741"/>
      <c r="AF660" s="741"/>
      <c r="AG660" s="741"/>
      <c r="AH660" s="741"/>
      <c r="AI660" s="741"/>
    </row>
    <row r="661">
      <c r="A661" s="741"/>
      <c r="B661" s="741"/>
      <c r="C661" s="741"/>
      <c r="D661" s="741"/>
      <c r="E661" s="741"/>
      <c r="F661" s="741"/>
      <c r="G661" s="741"/>
      <c r="H661" s="741"/>
      <c r="I661" s="741"/>
      <c r="J661" s="741"/>
      <c r="K661" s="741"/>
      <c r="L661" s="741"/>
      <c r="M661" s="741"/>
      <c r="N661" s="741"/>
      <c r="O661" s="741"/>
      <c r="P661" s="741"/>
      <c r="Q661" s="741"/>
      <c r="R661" s="741"/>
      <c r="S661" s="741"/>
      <c r="T661" s="741"/>
      <c r="U661" s="741"/>
      <c r="V661" s="741"/>
      <c r="W661" s="741"/>
      <c r="X661" s="741"/>
      <c r="Y661" s="741"/>
      <c r="Z661" s="741"/>
      <c r="AA661" s="741"/>
      <c r="AB661" s="741"/>
      <c r="AC661" s="741"/>
      <c r="AD661" s="741"/>
      <c r="AE661" s="741"/>
      <c r="AF661" s="741"/>
      <c r="AG661" s="741"/>
      <c r="AH661" s="741"/>
      <c r="AI661" s="741"/>
    </row>
    <row r="662">
      <c r="A662" s="741"/>
      <c r="B662" s="741"/>
      <c r="C662" s="741"/>
      <c r="D662" s="741"/>
      <c r="E662" s="741"/>
      <c r="F662" s="741"/>
      <c r="G662" s="741"/>
      <c r="H662" s="741"/>
      <c r="I662" s="741"/>
      <c r="J662" s="741"/>
      <c r="K662" s="741"/>
      <c r="L662" s="741"/>
      <c r="M662" s="741"/>
      <c r="N662" s="741"/>
      <c r="O662" s="741"/>
      <c r="P662" s="741"/>
      <c r="Q662" s="741"/>
      <c r="R662" s="741"/>
      <c r="S662" s="741"/>
      <c r="T662" s="741"/>
      <c r="U662" s="741"/>
      <c r="V662" s="741"/>
      <c r="W662" s="741"/>
      <c r="X662" s="741"/>
      <c r="Y662" s="741"/>
      <c r="Z662" s="741"/>
      <c r="AA662" s="741"/>
      <c r="AB662" s="741"/>
      <c r="AC662" s="741"/>
      <c r="AD662" s="741"/>
      <c r="AE662" s="741"/>
      <c r="AF662" s="741"/>
      <c r="AG662" s="741"/>
      <c r="AH662" s="741"/>
      <c r="AI662" s="741"/>
    </row>
    <row r="663">
      <c r="A663" s="741"/>
      <c r="B663" s="741"/>
      <c r="C663" s="741"/>
      <c r="D663" s="741"/>
      <c r="E663" s="741"/>
      <c r="F663" s="741"/>
      <c r="G663" s="741"/>
      <c r="H663" s="741"/>
      <c r="I663" s="741"/>
      <c r="J663" s="741"/>
      <c r="K663" s="741"/>
      <c r="L663" s="741"/>
      <c r="M663" s="741"/>
      <c r="N663" s="741"/>
      <c r="O663" s="741"/>
      <c r="P663" s="741"/>
      <c r="Q663" s="741"/>
      <c r="R663" s="741"/>
      <c r="S663" s="741"/>
      <c r="T663" s="741"/>
      <c r="U663" s="741"/>
      <c r="V663" s="741"/>
      <c r="W663" s="741"/>
      <c r="X663" s="741"/>
      <c r="Y663" s="741"/>
      <c r="Z663" s="741"/>
      <c r="AA663" s="741"/>
      <c r="AB663" s="741"/>
      <c r="AC663" s="741"/>
      <c r="AD663" s="741"/>
      <c r="AE663" s="741"/>
      <c r="AF663" s="741"/>
      <c r="AG663" s="741"/>
      <c r="AH663" s="741"/>
      <c r="AI663" s="741"/>
    </row>
    <row r="664">
      <c r="A664" s="741"/>
      <c r="B664" s="741"/>
      <c r="C664" s="741"/>
      <c r="D664" s="741"/>
      <c r="E664" s="741"/>
      <c r="F664" s="741"/>
      <c r="G664" s="741"/>
      <c r="H664" s="741"/>
      <c r="I664" s="741"/>
      <c r="J664" s="741"/>
      <c r="K664" s="741"/>
      <c r="L664" s="741"/>
      <c r="M664" s="741"/>
      <c r="N664" s="741"/>
      <c r="O664" s="741"/>
      <c r="P664" s="741"/>
      <c r="Q664" s="741"/>
      <c r="R664" s="741"/>
      <c r="S664" s="741"/>
      <c r="T664" s="741"/>
      <c r="U664" s="741"/>
      <c r="V664" s="741"/>
      <c r="W664" s="741"/>
      <c r="X664" s="741"/>
      <c r="Y664" s="741"/>
      <c r="Z664" s="741"/>
      <c r="AA664" s="741"/>
      <c r="AB664" s="741"/>
      <c r="AC664" s="741"/>
      <c r="AD664" s="741"/>
      <c r="AE664" s="741"/>
      <c r="AF664" s="741"/>
      <c r="AG664" s="741"/>
      <c r="AH664" s="741"/>
      <c r="AI664" s="741"/>
    </row>
    <row r="665">
      <c r="A665" s="741"/>
      <c r="B665" s="741"/>
      <c r="C665" s="741"/>
      <c r="D665" s="741"/>
      <c r="E665" s="741"/>
      <c r="F665" s="741"/>
      <c r="G665" s="741"/>
      <c r="H665" s="741"/>
      <c r="I665" s="741"/>
      <c r="J665" s="741"/>
      <c r="K665" s="741"/>
      <c r="L665" s="741"/>
      <c r="M665" s="741"/>
      <c r="N665" s="741"/>
      <c r="O665" s="741"/>
      <c r="P665" s="741"/>
      <c r="Q665" s="741"/>
      <c r="R665" s="741"/>
      <c r="S665" s="741"/>
      <c r="T665" s="741"/>
      <c r="U665" s="741"/>
      <c r="V665" s="741"/>
      <c r="W665" s="741"/>
      <c r="X665" s="741"/>
      <c r="Y665" s="741"/>
      <c r="Z665" s="741"/>
      <c r="AA665" s="741"/>
      <c r="AB665" s="741"/>
      <c r="AC665" s="741"/>
      <c r="AD665" s="741"/>
      <c r="AE665" s="741"/>
      <c r="AF665" s="741"/>
      <c r="AG665" s="741"/>
      <c r="AH665" s="741"/>
      <c r="AI665" s="741"/>
    </row>
    <row r="666">
      <c r="A666" s="741"/>
      <c r="B666" s="741"/>
      <c r="C666" s="741"/>
      <c r="D666" s="741"/>
      <c r="E666" s="741"/>
      <c r="F666" s="741"/>
      <c r="G666" s="741"/>
      <c r="H666" s="741"/>
      <c r="I666" s="741"/>
      <c r="J666" s="741"/>
      <c r="K666" s="741"/>
      <c r="L666" s="741"/>
      <c r="M666" s="741"/>
      <c r="N666" s="741"/>
      <c r="O666" s="741"/>
      <c r="P666" s="741"/>
      <c r="Q666" s="741"/>
      <c r="R666" s="741"/>
      <c r="S666" s="741"/>
      <c r="T666" s="741"/>
      <c r="U666" s="741"/>
      <c r="V666" s="741"/>
      <c r="W666" s="741"/>
      <c r="X666" s="741"/>
      <c r="Y666" s="741"/>
      <c r="Z666" s="741"/>
      <c r="AA666" s="741"/>
      <c r="AB666" s="741"/>
      <c r="AC666" s="741"/>
      <c r="AD666" s="741"/>
      <c r="AE666" s="741"/>
      <c r="AF666" s="741"/>
      <c r="AG666" s="741"/>
      <c r="AH666" s="741"/>
      <c r="AI666" s="741"/>
    </row>
    <row r="667">
      <c r="A667" s="741"/>
      <c r="B667" s="741"/>
      <c r="C667" s="741"/>
      <c r="D667" s="741"/>
      <c r="E667" s="741"/>
      <c r="F667" s="741"/>
      <c r="G667" s="741"/>
      <c r="H667" s="741"/>
      <c r="I667" s="741"/>
      <c r="J667" s="741"/>
      <c r="K667" s="741"/>
      <c r="L667" s="741"/>
      <c r="M667" s="741"/>
      <c r="N667" s="741"/>
      <c r="O667" s="741"/>
      <c r="P667" s="741"/>
      <c r="Q667" s="741"/>
      <c r="R667" s="741"/>
      <c r="S667" s="741"/>
      <c r="T667" s="741"/>
      <c r="U667" s="741"/>
      <c r="V667" s="741"/>
      <c r="W667" s="741"/>
      <c r="X667" s="741"/>
      <c r="Y667" s="741"/>
      <c r="Z667" s="741"/>
      <c r="AA667" s="741"/>
      <c r="AB667" s="741"/>
      <c r="AC667" s="741"/>
      <c r="AD667" s="741"/>
      <c r="AE667" s="741"/>
      <c r="AF667" s="741"/>
      <c r="AG667" s="741"/>
      <c r="AH667" s="741"/>
      <c r="AI667" s="741"/>
    </row>
    <row r="668">
      <c r="A668" s="741"/>
      <c r="B668" s="741"/>
      <c r="C668" s="741"/>
      <c r="D668" s="741"/>
      <c r="E668" s="741"/>
      <c r="F668" s="741"/>
      <c r="G668" s="741"/>
      <c r="H668" s="741"/>
      <c r="I668" s="741"/>
      <c r="J668" s="741"/>
      <c r="K668" s="741"/>
      <c r="L668" s="741"/>
      <c r="M668" s="741"/>
      <c r="N668" s="741"/>
      <c r="O668" s="741"/>
      <c r="P668" s="741"/>
      <c r="Q668" s="741"/>
      <c r="R668" s="741"/>
      <c r="S668" s="741"/>
      <c r="T668" s="741"/>
      <c r="U668" s="741"/>
      <c r="V668" s="741"/>
      <c r="W668" s="741"/>
      <c r="X668" s="741"/>
      <c r="Y668" s="741"/>
      <c r="Z668" s="741"/>
      <c r="AA668" s="741"/>
      <c r="AB668" s="741"/>
      <c r="AC668" s="741"/>
      <c r="AD668" s="741"/>
      <c r="AE668" s="741"/>
      <c r="AF668" s="741"/>
      <c r="AG668" s="741"/>
      <c r="AH668" s="741"/>
      <c r="AI668" s="741"/>
    </row>
    <row r="669">
      <c r="A669" s="741"/>
      <c r="B669" s="741"/>
      <c r="C669" s="741"/>
      <c r="D669" s="741"/>
      <c r="E669" s="741"/>
      <c r="F669" s="741"/>
      <c r="G669" s="741"/>
      <c r="H669" s="741"/>
      <c r="I669" s="741"/>
      <c r="J669" s="741"/>
      <c r="K669" s="741"/>
      <c r="L669" s="741"/>
      <c r="M669" s="741"/>
      <c r="N669" s="741"/>
      <c r="O669" s="741"/>
      <c r="P669" s="741"/>
      <c r="Q669" s="741"/>
      <c r="R669" s="741"/>
      <c r="S669" s="741"/>
      <c r="T669" s="741"/>
      <c r="U669" s="741"/>
      <c r="V669" s="741"/>
      <c r="W669" s="741"/>
      <c r="X669" s="741"/>
      <c r="Y669" s="741"/>
      <c r="Z669" s="741"/>
      <c r="AA669" s="741"/>
      <c r="AB669" s="741"/>
      <c r="AC669" s="741"/>
      <c r="AD669" s="741"/>
      <c r="AE669" s="741"/>
      <c r="AF669" s="741"/>
      <c r="AG669" s="741"/>
      <c r="AH669" s="741"/>
      <c r="AI669" s="741"/>
    </row>
    <row r="670">
      <c r="A670" s="741"/>
      <c r="B670" s="741"/>
      <c r="C670" s="741"/>
      <c r="D670" s="741"/>
      <c r="E670" s="741"/>
      <c r="F670" s="741"/>
      <c r="G670" s="741"/>
      <c r="H670" s="741"/>
      <c r="I670" s="741"/>
      <c r="J670" s="741"/>
      <c r="K670" s="741"/>
      <c r="L670" s="741"/>
      <c r="M670" s="741"/>
      <c r="N670" s="741"/>
      <c r="O670" s="741"/>
      <c r="P670" s="741"/>
      <c r="Q670" s="741"/>
      <c r="R670" s="741"/>
      <c r="S670" s="741"/>
      <c r="T670" s="741"/>
      <c r="U670" s="741"/>
      <c r="V670" s="741"/>
      <c r="W670" s="741"/>
      <c r="X670" s="741"/>
      <c r="Y670" s="741"/>
      <c r="Z670" s="741"/>
      <c r="AA670" s="741"/>
      <c r="AB670" s="741"/>
      <c r="AC670" s="741"/>
      <c r="AD670" s="741"/>
      <c r="AE670" s="741"/>
      <c r="AF670" s="741"/>
      <c r="AG670" s="741"/>
      <c r="AH670" s="741"/>
      <c r="AI670" s="741"/>
    </row>
    <row r="671">
      <c r="A671" s="741"/>
      <c r="B671" s="741"/>
      <c r="C671" s="741"/>
      <c r="D671" s="741"/>
      <c r="E671" s="741"/>
      <c r="F671" s="741"/>
      <c r="G671" s="741"/>
      <c r="H671" s="741"/>
      <c r="I671" s="741"/>
      <c r="J671" s="741"/>
      <c r="K671" s="741"/>
      <c r="L671" s="741"/>
      <c r="M671" s="741"/>
      <c r="N671" s="741"/>
      <c r="O671" s="741"/>
      <c r="P671" s="741"/>
      <c r="Q671" s="741"/>
      <c r="R671" s="741"/>
      <c r="S671" s="741"/>
      <c r="T671" s="741"/>
      <c r="U671" s="741"/>
      <c r="V671" s="741"/>
      <c r="W671" s="741"/>
      <c r="X671" s="741"/>
      <c r="Y671" s="741"/>
      <c r="Z671" s="741"/>
      <c r="AA671" s="741"/>
      <c r="AB671" s="741"/>
      <c r="AC671" s="741"/>
      <c r="AD671" s="741"/>
      <c r="AE671" s="741"/>
      <c r="AF671" s="741"/>
      <c r="AG671" s="741"/>
      <c r="AH671" s="741"/>
      <c r="AI671" s="741"/>
    </row>
    <row r="672">
      <c r="A672" s="741"/>
      <c r="B672" s="741"/>
      <c r="C672" s="741"/>
      <c r="D672" s="741"/>
      <c r="E672" s="741"/>
      <c r="F672" s="741"/>
      <c r="G672" s="741"/>
      <c r="H672" s="741"/>
      <c r="I672" s="741"/>
      <c r="J672" s="741"/>
      <c r="K672" s="741"/>
      <c r="L672" s="741"/>
      <c r="M672" s="741"/>
      <c r="N672" s="741"/>
      <c r="O672" s="741"/>
      <c r="P672" s="741"/>
      <c r="Q672" s="741"/>
      <c r="R672" s="741"/>
      <c r="S672" s="741"/>
      <c r="T672" s="741"/>
      <c r="U672" s="741"/>
      <c r="V672" s="741"/>
      <c r="W672" s="741"/>
      <c r="X672" s="741"/>
      <c r="Y672" s="741"/>
      <c r="Z672" s="741"/>
      <c r="AA672" s="741"/>
      <c r="AB672" s="741"/>
      <c r="AC672" s="741"/>
      <c r="AD672" s="741"/>
      <c r="AE672" s="741"/>
      <c r="AF672" s="741"/>
      <c r="AG672" s="741"/>
      <c r="AH672" s="741"/>
      <c r="AI672" s="741"/>
    </row>
    <row r="673">
      <c r="A673" s="741"/>
      <c r="B673" s="741"/>
      <c r="C673" s="741"/>
      <c r="D673" s="741"/>
      <c r="E673" s="741"/>
      <c r="F673" s="741"/>
      <c r="G673" s="741"/>
      <c r="H673" s="741"/>
      <c r="I673" s="741"/>
      <c r="J673" s="741"/>
      <c r="K673" s="741"/>
      <c r="L673" s="741"/>
      <c r="M673" s="741"/>
      <c r="N673" s="741"/>
      <c r="O673" s="741"/>
      <c r="P673" s="741"/>
      <c r="Q673" s="741"/>
      <c r="R673" s="741"/>
      <c r="S673" s="741"/>
      <c r="T673" s="741"/>
      <c r="U673" s="741"/>
      <c r="V673" s="741"/>
      <c r="W673" s="741"/>
      <c r="X673" s="741"/>
      <c r="Y673" s="741"/>
      <c r="Z673" s="741"/>
      <c r="AA673" s="741"/>
      <c r="AB673" s="741"/>
      <c r="AC673" s="741"/>
      <c r="AD673" s="741"/>
      <c r="AE673" s="741"/>
      <c r="AF673" s="741"/>
      <c r="AG673" s="741"/>
      <c r="AH673" s="741"/>
      <c r="AI673" s="741"/>
    </row>
    <row r="674">
      <c r="A674" s="741"/>
      <c r="B674" s="741"/>
      <c r="C674" s="741"/>
      <c r="D674" s="741"/>
      <c r="E674" s="741"/>
      <c r="F674" s="741"/>
      <c r="G674" s="741"/>
      <c r="H674" s="741"/>
      <c r="I674" s="741"/>
      <c r="J674" s="741"/>
      <c r="K674" s="741"/>
      <c r="L674" s="741"/>
      <c r="M674" s="741"/>
      <c r="N674" s="741"/>
      <c r="O674" s="741"/>
      <c r="P674" s="741"/>
      <c r="Q674" s="741"/>
      <c r="R674" s="741"/>
      <c r="S674" s="741"/>
      <c r="T674" s="741"/>
      <c r="U674" s="741"/>
      <c r="V674" s="741"/>
      <c r="W674" s="741"/>
      <c r="X674" s="741"/>
      <c r="Y674" s="741"/>
      <c r="Z674" s="741"/>
      <c r="AA674" s="741"/>
      <c r="AB674" s="741"/>
      <c r="AC674" s="741"/>
      <c r="AD674" s="741"/>
      <c r="AE674" s="741"/>
      <c r="AF674" s="741"/>
      <c r="AG674" s="741"/>
      <c r="AH674" s="741"/>
      <c r="AI674" s="741"/>
    </row>
    <row r="675">
      <c r="A675" s="741"/>
      <c r="B675" s="741"/>
      <c r="C675" s="741"/>
      <c r="D675" s="741"/>
      <c r="E675" s="741"/>
      <c r="F675" s="741"/>
      <c r="G675" s="741"/>
      <c r="H675" s="741"/>
      <c r="I675" s="741"/>
      <c r="J675" s="741"/>
      <c r="K675" s="741"/>
      <c r="L675" s="741"/>
      <c r="M675" s="741"/>
      <c r="N675" s="741"/>
      <c r="O675" s="741"/>
      <c r="P675" s="741"/>
      <c r="Q675" s="741"/>
      <c r="R675" s="741"/>
      <c r="S675" s="741"/>
      <c r="T675" s="741"/>
      <c r="U675" s="741"/>
      <c r="V675" s="741"/>
      <c r="W675" s="741"/>
      <c r="X675" s="741"/>
      <c r="Y675" s="741"/>
      <c r="Z675" s="741"/>
      <c r="AA675" s="741"/>
      <c r="AB675" s="741"/>
      <c r="AC675" s="741"/>
      <c r="AD675" s="741"/>
      <c r="AE675" s="741"/>
      <c r="AF675" s="741"/>
      <c r="AG675" s="741"/>
      <c r="AH675" s="741"/>
      <c r="AI675" s="741"/>
    </row>
    <row r="676">
      <c r="A676" s="741"/>
      <c r="B676" s="741"/>
      <c r="C676" s="741"/>
      <c r="D676" s="741"/>
      <c r="E676" s="741"/>
      <c r="F676" s="741"/>
      <c r="G676" s="741"/>
      <c r="H676" s="741"/>
      <c r="I676" s="741"/>
      <c r="J676" s="741"/>
      <c r="K676" s="741"/>
      <c r="L676" s="741"/>
      <c r="M676" s="741"/>
      <c r="N676" s="741"/>
      <c r="O676" s="741"/>
      <c r="P676" s="741"/>
      <c r="Q676" s="741"/>
      <c r="R676" s="741"/>
      <c r="S676" s="741"/>
      <c r="T676" s="741"/>
      <c r="U676" s="741"/>
      <c r="V676" s="741"/>
      <c r="W676" s="741"/>
      <c r="X676" s="741"/>
      <c r="Y676" s="741"/>
      <c r="Z676" s="741"/>
      <c r="AA676" s="741"/>
      <c r="AB676" s="741"/>
      <c r="AC676" s="741"/>
      <c r="AD676" s="741"/>
      <c r="AE676" s="741"/>
      <c r="AF676" s="741"/>
      <c r="AG676" s="741"/>
      <c r="AH676" s="741"/>
      <c r="AI676" s="741"/>
    </row>
    <row r="677">
      <c r="A677" s="741"/>
      <c r="B677" s="741"/>
      <c r="C677" s="741"/>
      <c r="D677" s="741"/>
      <c r="E677" s="741"/>
      <c r="F677" s="741"/>
      <c r="G677" s="741"/>
      <c r="H677" s="741"/>
      <c r="I677" s="741"/>
      <c r="J677" s="741"/>
      <c r="K677" s="741"/>
      <c r="L677" s="741"/>
      <c r="M677" s="741"/>
      <c r="N677" s="741"/>
      <c r="O677" s="741"/>
      <c r="P677" s="741"/>
      <c r="Q677" s="741"/>
      <c r="R677" s="741"/>
      <c r="S677" s="741"/>
      <c r="T677" s="741"/>
      <c r="U677" s="741"/>
      <c r="V677" s="741"/>
      <c r="W677" s="741"/>
      <c r="X677" s="741"/>
      <c r="Y677" s="741"/>
      <c r="Z677" s="741"/>
      <c r="AA677" s="741"/>
      <c r="AB677" s="741"/>
      <c r="AC677" s="741"/>
      <c r="AD677" s="741"/>
      <c r="AE677" s="741"/>
      <c r="AF677" s="741"/>
      <c r="AG677" s="741"/>
      <c r="AH677" s="741"/>
      <c r="AI677" s="741"/>
    </row>
    <row r="678">
      <c r="A678" s="741"/>
      <c r="B678" s="741"/>
      <c r="C678" s="741"/>
      <c r="D678" s="741"/>
      <c r="E678" s="741"/>
      <c r="F678" s="741"/>
      <c r="G678" s="741"/>
      <c r="H678" s="741"/>
      <c r="I678" s="741"/>
      <c r="J678" s="741"/>
      <c r="K678" s="741"/>
      <c r="L678" s="741"/>
      <c r="M678" s="741"/>
      <c r="N678" s="741"/>
      <c r="O678" s="741"/>
      <c r="P678" s="741"/>
      <c r="Q678" s="741"/>
      <c r="R678" s="741"/>
      <c r="S678" s="741"/>
      <c r="T678" s="741"/>
      <c r="U678" s="741"/>
      <c r="V678" s="741"/>
      <c r="W678" s="741"/>
      <c r="X678" s="741"/>
      <c r="Y678" s="741"/>
      <c r="Z678" s="741"/>
      <c r="AA678" s="741"/>
      <c r="AB678" s="741"/>
      <c r="AC678" s="741"/>
      <c r="AD678" s="741"/>
      <c r="AE678" s="741"/>
      <c r="AF678" s="741"/>
      <c r="AG678" s="741"/>
      <c r="AH678" s="741"/>
      <c r="AI678" s="741"/>
    </row>
    <row r="679">
      <c r="A679" s="741"/>
      <c r="B679" s="741"/>
      <c r="C679" s="741"/>
      <c r="D679" s="741"/>
      <c r="E679" s="741"/>
      <c r="F679" s="741"/>
      <c r="G679" s="741"/>
      <c r="H679" s="741"/>
      <c r="I679" s="741"/>
      <c r="J679" s="741"/>
      <c r="K679" s="741"/>
      <c r="L679" s="741"/>
      <c r="M679" s="741"/>
      <c r="N679" s="741"/>
      <c r="O679" s="741"/>
      <c r="P679" s="741"/>
      <c r="Q679" s="741"/>
      <c r="R679" s="741"/>
      <c r="S679" s="741"/>
      <c r="T679" s="741"/>
      <c r="U679" s="741"/>
      <c r="V679" s="741"/>
      <c r="W679" s="741"/>
      <c r="X679" s="741"/>
      <c r="Y679" s="741"/>
      <c r="Z679" s="741"/>
      <c r="AA679" s="741"/>
      <c r="AB679" s="741"/>
      <c r="AC679" s="741"/>
      <c r="AD679" s="741"/>
      <c r="AE679" s="741"/>
      <c r="AF679" s="741"/>
      <c r="AG679" s="741"/>
      <c r="AH679" s="741"/>
      <c r="AI679" s="741"/>
    </row>
    <row r="680">
      <c r="A680" s="741"/>
      <c r="B680" s="741"/>
      <c r="C680" s="741"/>
      <c r="D680" s="741"/>
      <c r="E680" s="741"/>
      <c r="F680" s="741"/>
      <c r="G680" s="741"/>
      <c r="H680" s="741"/>
      <c r="I680" s="741"/>
      <c r="J680" s="741"/>
      <c r="K680" s="741"/>
      <c r="L680" s="741"/>
      <c r="M680" s="741"/>
      <c r="N680" s="741"/>
      <c r="O680" s="741"/>
      <c r="P680" s="741"/>
      <c r="Q680" s="741"/>
      <c r="R680" s="741"/>
      <c r="S680" s="741"/>
      <c r="T680" s="741"/>
      <c r="U680" s="741"/>
      <c r="V680" s="741"/>
      <c r="W680" s="741"/>
      <c r="X680" s="741"/>
      <c r="Y680" s="741"/>
      <c r="Z680" s="741"/>
      <c r="AA680" s="741"/>
      <c r="AB680" s="741"/>
      <c r="AC680" s="741"/>
      <c r="AD680" s="741"/>
      <c r="AE680" s="741"/>
      <c r="AF680" s="741"/>
      <c r="AG680" s="741"/>
      <c r="AH680" s="741"/>
      <c r="AI680" s="741"/>
    </row>
    <row r="681">
      <c r="A681" s="741"/>
      <c r="B681" s="741"/>
      <c r="C681" s="741"/>
      <c r="D681" s="741"/>
      <c r="E681" s="741"/>
      <c r="F681" s="741"/>
      <c r="G681" s="741"/>
      <c r="H681" s="741"/>
      <c r="I681" s="741"/>
      <c r="J681" s="741"/>
      <c r="K681" s="741"/>
      <c r="L681" s="741"/>
      <c r="M681" s="741"/>
      <c r="N681" s="741"/>
      <c r="O681" s="741"/>
      <c r="P681" s="741"/>
      <c r="Q681" s="741"/>
      <c r="R681" s="741"/>
      <c r="S681" s="741"/>
      <c r="T681" s="741"/>
      <c r="U681" s="741"/>
      <c r="V681" s="741"/>
      <c r="W681" s="741"/>
      <c r="X681" s="741"/>
      <c r="Y681" s="741"/>
      <c r="Z681" s="741"/>
      <c r="AA681" s="741"/>
      <c r="AB681" s="741"/>
      <c r="AC681" s="741"/>
      <c r="AD681" s="741"/>
      <c r="AE681" s="741"/>
      <c r="AF681" s="741"/>
      <c r="AG681" s="741"/>
      <c r="AH681" s="741"/>
      <c r="AI681" s="741"/>
    </row>
    <row r="682">
      <c r="A682" s="741"/>
      <c r="B682" s="741"/>
      <c r="C682" s="741"/>
      <c r="D682" s="741"/>
      <c r="E682" s="741"/>
      <c r="F682" s="741"/>
      <c r="G682" s="741"/>
      <c r="H682" s="741"/>
      <c r="I682" s="741"/>
      <c r="J682" s="741"/>
      <c r="K682" s="741"/>
      <c r="L682" s="741"/>
      <c r="M682" s="741"/>
      <c r="N682" s="741"/>
      <c r="O682" s="741"/>
      <c r="P682" s="741"/>
      <c r="Q682" s="741"/>
      <c r="R682" s="741"/>
      <c r="S682" s="741"/>
      <c r="T682" s="741"/>
      <c r="U682" s="741"/>
      <c r="V682" s="741"/>
      <c r="W682" s="741"/>
      <c r="X682" s="741"/>
      <c r="Y682" s="741"/>
      <c r="Z682" s="741"/>
      <c r="AA682" s="741"/>
      <c r="AB682" s="741"/>
      <c r="AC682" s="741"/>
      <c r="AD682" s="741"/>
      <c r="AE682" s="741"/>
      <c r="AF682" s="741"/>
      <c r="AG682" s="741"/>
      <c r="AH682" s="741"/>
      <c r="AI682" s="741"/>
    </row>
    <row r="683">
      <c r="A683" s="741"/>
      <c r="B683" s="741"/>
      <c r="C683" s="741"/>
      <c r="D683" s="741"/>
      <c r="E683" s="741"/>
      <c r="F683" s="741"/>
      <c r="G683" s="741"/>
      <c r="H683" s="741"/>
      <c r="I683" s="741"/>
      <c r="J683" s="741"/>
      <c r="K683" s="741"/>
      <c r="L683" s="741"/>
      <c r="M683" s="741"/>
      <c r="N683" s="741"/>
      <c r="O683" s="741"/>
      <c r="P683" s="741"/>
      <c r="Q683" s="741"/>
      <c r="R683" s="741"/>
      <c r="S683" s="741"/>
      <c r="T683" s="741"/>
      <c r="U683" s="741"/>
      <c r="V683" s="741"/>
      <c r="W683" s="741"/>
      <c r="X683" s="741"/>
      <c r="Y683" s="741"/>
      <c r="Z683" s="741"/>
      <c r="AA683" s="741"/>
      <c r="AB683" s="741"/>
      <c r="AC683" s="741"/>
      <c r="AD683" s="741"/>
      <c r="AE683" s="741"/>
      <c r="AF683" s="741"/>
      <c r="AG683" s="741"/>
      <c r="AH683" s="741"/>
      <c r="AI683" s="741"/>
    </row>
    <row r="684">
      <c r="A684" s="741"/>
      <c r="B684" s="741"/>
      <c r="C684" s="741"/>
      <c r="D684" s="741"/>
      <c r="E684" s="741"/>
      <c r="F684" s="741"/>
      <c r="G684" s="741"/>
      <c r="H684" s="741"/>
      <c r="I684" s="741"/>
      <c r="J684" s="741"/>
      <c r="K684" s="741"/>
      <c r="L684" s="741"/>
      <c r="M684" s="741"/>
      <c r="N684" s="741"/>
      <c r="O684" s="741"/>
      <c r="P684" s="741"/>
      <c r="Q684" s="741"/>
      <c r="R684" s="741"/>
      <c r="S684" s="741"/>
      <c r="T684" s="741"/>
      <c r="U684" s="741"/>
      <c r="V684" s="741"/>
      <c r="W684" s="741"/>
      <c r="X684" s="741"/>
      <c r="Y684" s="741"/>
      <c r="Z684" s="741"/>
      <c r="AA684" s="741"/>
      <c r="AB684" s="741"/>
      <c r="AC684" s="741"/>
      <c r="AD684" s="741"/>
      <c r="AE684" s="741"/>
      <c r="AF684" s="741"/>
      <c r="AG684" s="741"/>
      <c r="AH684" s="741"/>
      <c r="AI684" s="741"/>
    </row>
    <row r="685">
      <c r="A685" s="741"/>
      <c r="B685" s="741"/>
      <c r="C685" s="741"/>
      <c r="D685" s="741"/>
      <c r="E685" s="741"/>
      <c r="F685" s="741"/>
      <c r="G685" s="741"/>
      <c r="H685" s="741"/>
      <c r="I685" s="741"/>
      <c r="J685" s="741"/>
      <c r="K685" s="741"/>
      <c r="L685" s="741"/>
      <c r="M685" s="741"/>
      <c r="N685" s="741"/>
      <c r="O685" s="741"/>
      <c r="P685" s="741"/>
      <c r="Q685" s="741"/>
      <c r="R685" s="741"/>
      <c r="S685" s="741"/>
      <c r="T685" s="741"/>
      <c r="U685" s="741"/>
      <c r="V685" s="741"/>
      <c r="W685" s="741"/>
      <c r="X685" s="741"/>
      <c r="Y685" s="741"/>
      <c r="Z685" s="741"/>
      <c r="AA685" s="741"/>
      <c r="AB685" s="741"/>
      <c r="AC685" s="741"/>
      <c r="AD685" s="741"/>
      <c r="AE685" s="741"/>
      <c r="AF685" s="741"/>
      <c r="AG685" s="741"/>
      <c r="AH685" s="741"/>
      <c r="AI685" s="741"/>
    </row>
    <row r="686">
      <c r="A686" s="741"/>
      <c r="B686" s="741"/>
      <c r="C686" s="741"/>
      <c r="D686" s="741"/>
      <c r="E686" s="741"/>
      <c r="F686" s="741"/>
      <c r="G686" s="741"/>
      <c r="H686" s="741"/>
      <c r="I686" s="741"/>
      <c r="J686" s="741"/>
      <c r="K686" s="741"/>
      <c r="L686" s="741"/>
      <c r="M686" s="741"/>
      <c r="N686" s="741"/>
      <c r="O686" s="741"/>
      <c r="P686" s="741"/>
      <c r="Q686" s="741"/>
      <c r="R686" s="741"/>
      <c r="S686" s="741"/>
      <c r="T686" s="741"/>
      <c r="U686" s="741"/>
      <c r="V686" s="741"/>
      <c r="W686" s="741"/>
      <c r="X686" s="741"/>
      <c r="Y686" s="741"/>
      <c r="Z686" s="741"/>
      <c r="AA686" s="741"/>
      <c r="AB686" s="741"/>
      <c r="AC686" s="741"/>
      <c r="AD686" s="741"/>
      <c r="AE686" s="741"/>
      <c r="AF686" s="741"/>
      <c r="AG686" s="741"/>
      <c r="AH686" s="741"/>
      <c r="AI686" s="741"/>
    </row>
    <row r="687">
      <c r="A687" s="741"/>
      <c r="B687" s="741"/>
      <c r="C687" s="741"/>
      <c r="D687" s="741"/>
      <c r="E687" s="741"/>
      <c r="F687" s="741"/>
      <c r="G687" s="741"/>
      <c r="H687" s="741"/>
      <c r="I687" s="741"/>
      <c r="J687" s="741"/>
      <c r="K687" s="741"/>
      <c r="L687" s="741"/>
      <c r="M687" s="741"/>
      <c r="N687" s="741"/>
      <c r="O687" s="741"/>
      <c r="P687" s="741"/>
      <c r="Q687" s="741"/>
      <c r="R687" s="741"/>
      <c r="S687" s="741"/>
      <c r="T687" s="741"/>
      <c r="U687" s="741"/>
      <c r="V687" s="741"/>
      <c r="W687" s="741"/>
      <c r="X687" s="741"/>
      <c r="Y687" s="741"/>
      <c r="Z687" s="741"/>
      <c r="AA687" s="741"/>
      <c r="AB687" s="741"/>
      <c r="AC687" s="741"/>
      <c r="AD687" s="741"/>
      <c r="AE687" s="741"/>
      <c r="AF687" s="741"/>
      <c r="AG687" s="741"/>
      <c r="AH687" s="741"/>
      <c r="AI687" s="741"/>
    </row>
    <row r="688">
      <c r="A688" s="741"/>
      <c r="B688" s="741"/>
      <c r="C688" s="741"/>
      <c r="D688" s="741"/>
      <c r="E688" s="741"/>
      <c r="F688" s="741"/>
      <c r="G688" s="741"/>
      <c r="H688" s="741"/>
      <c r="I688" s="741"/>
      <c r="J688" s="741"/>
      <c r="K688" s="741"/>
      <c r="L688" s="741"/>
      <c r="M688" s="741"/>
      <c r="N688" s="741"/>
      <c r="O688" s="741"/>
      <c r="P688" s="741"/>
      <c r="Q688" s="741"/>
      <c r="R688" s="741"/>
      <c r="S688" s="741"/>
      <c r="T688" s="741"/>
      <c r="U688" s="741"/>
      <c r="V688" s="741"/>
      <c r="W688" s="741"/>
      <c r="X688" s="741"/>
      <c r="Y688" s="741"/>
      <c r="Z688" s="741"/>
      <c r="AA688" s="741"/>
      <c r="AB688" s="741"/>
      <c r="AC688" s="741"/>
      <c r="AD688" s="741"/>
      <c r="AE688" s="741"/>
      <c r="AF688" s="741"/>
      <c r="AG688" s="741"/>
      <c r="AH688" s="741"/>
      <c r="AI688" s="741"/>
    </row>
    <row r="689">
      <c r="A689" s="741"/>
      <c r="B689" s="741"/>
      <c r="C689" s="741"/>
      <c r="D689" s="741"/>
      <c r="E689" s="741"/>
      <c r="F689" s="741"/>
      <c r="G689" s="741"/>
      <c r="H689" s="741"/>
      <c r="I689" s="741"/>
      <c r="J689" s="741"/>
      <c r="K689" s="741"/>
      <c r="L689" s="741"/>
      <c r="M689" s="741"/>
      <c r="N689" s="741"/>
      <c r="O689" s="741"/>
      <c r="P689" s="741"/>
      <c r="Q689" s="741"/>
      <c r="R689" s="741"/>
      <c r="S689" s="741"/>
      <c r="T689" s="741"/>
      <c r="U689" s="741"/>
      <c r="V689" s="741"/>
      <c r="W689" s="741"/>
      <c r="X689" s="741"/>
      <c r="Y689" s="741"/>
      <c r="Z689" s="741"/>
      <c r="AA689" s="741"/>
      <c r="AB689" s="741"/>
      <c r="AC689" s="741"/>
      <c r="AD689" s="741"/>
      <c r="AE689" s="741"/>
      <c r="AF689" s="741"/>
      <c r="AG689" s="741"/>
      <c r="AH689" s="741"/>
      <c r="AI689" s="741"/>
    </row>
    <row r="690">
      <c r="A690" s="741"/>
      <c r="B690" s="741"/>
      <c r="C690" s="741"/>
      <c r="D690" s="741"/>
      <c r="E690" s="741"/>
      <c r="F690" s="741"/>
      <c r="G690" s="741"/>
      <c r="H690" s="741"/>
      <c r="I690" s="741"/>
      <c r="J690" s="741"/>
      <c r="K690" s="741"/>
      <c r="L690" s="741"/>
      <c r="M690" s="741"/>
      <c r="N690" s="741"/>
      <c r="O690" s="741"/>
      <c r="P690" s="741"/>
      <c r="Q690" s="741"/>
      <c r="R690" s="741"/>
      <c r="S690" s="741"/>
      <c r="T690" s="741"/>
      <c r="U690" s="741"/>
      <c r="V690" s="741"/>
      <c r="W690" s="741"/>
      <c r="X690" s="741"/>
      <c r="Y690" s="741"/>
      <c r="Z690" s="741"/>
      <c r="AA690" s="741"/>
      <c r="AB690" s="741"/>
      <c r="AC690" s="741"/>
      <c r="AD690" s="741"/>
      <c r="AE690" s="741"/>
      <c r="AF690" s="741"/>
      <c r="AG690" s="741"/>
      <c r="AH690" s="741"/>
      <c r="AI690" s="741"/>
    </row>
    <row r="691">
      <c r="A691" s="741"/>
      <c r="B691" s="741"/>
      <c r="C691" s="741"/>
      <c r="D691" s="741"/>
      <c r="E691" s="741"/>
      <c r="F691" s="741"/>
      <c r="G691" s="741"/>
      <c r="H691" s="741"/>
      <c r="I691" s="741"/>
      <c r="J691" s="741"/>
      <c r="K691" s="741"/>
      <c r="L691" s="741"/>
      <c r="M691" s="741"/>
      <c r="N691" s="741"/>
      <c r="O691" s="741"/>
      <c r="P691" s="741"/>
      <c r="Q691" s="741"/>
      <c r="R691" s="741"/>
      <c r="S691" s="741"/>
      <c r="T691" s="741"/>
      <c r="U691" s="741"/>
      <c r="V691" s="741"/>
      <c r="W691" s="741"/>
      <c r="X691" s="741"/>
      <c r="Y691" s="741"/>
      <c r="Z691" s="741"/>
      <c r="AA691" s="741"/>
      <c r="AB691" s="741"/>
      <c r="AC691" s="741"/>
      <c r="AD691" s="741"/>
      <c r="AE691" s="741"/>
      <c r="AF691" s="741"/>
      <c r="AG691" s="741"/>
      <c r="AH691" s="741"/>
      <c r="AI691" s="741"/>
    </row>
    <row r="692">
      <c r="A692" s="741"/>
      <c r="B692" s="741"/>
      <c r="C692" s="741"/>
      <c r="D692" s="741"/>
      <c r="E692" s="741"/>
      <c r="F692" s="741"/>
      <c r="G692" s="741"/>
      <c r="H692" s="741"/>
      <c r="I692" s="741"/>
      <c r="J692" s="741"/>
      <c r="K692" s="741"/>
      <c r="L692" s="741"/>
      <c r="M692" s="741"/>
      <c r="N692" s="741"/>
      <c r="O692" s="741"/>
      <c r="P692" s="741"/>
      <c r="Q692" s="741"/>
      <c r="R692" s="741"/>
      <c r="S692" s="741"/>
      <c r="T692" s="741"/>
      <c r="U692" s="741"/>
      <c r="V692" s="741"/>
      <c r="W692" s="741"/>
      <c r="X692" s="741"/>
      <c r="Y692" s="741"/>
      <c r="Z692" s="741"/>
      <c r="AA692" s="741"/>
      <c r="AB692" s="741"/>
      <c r="AC692" s="741"/>
      <c r="AD692" s="741"/>
      <c r="AE692" s="741"/>
      <c r="AF692" s="741"/>
      <c r="AG692" s="741"/>
      <c r="AH692" s="741"/>
      <c r="AI692" s="741"/>
    </row>
    <row r="693">
      <c r="A693" s="741"/>
      <c r="B693" s="741"/>
      <c r="C693" s="741"/>
      <c r="D693" s="741"/>
      <c r="E693" s="741"/>
      <c r="F693" s="741"/>
      <c r="G693" s="741"/>
      <c r="H693" s="741"/>
      <c r="I693" s="741"/>
      <c r="J693" s="741"/>
      <c r="K693" s="741"/>
      <c r="L693" s="741"/>
      <c r="M693" s="741"/>
      <c r="N693" s="741"/>
      <c r="O693" s="741"/>
      <c r="P693" s="741"/>
      <c r="Q693" s="741"/>
      <c r="R693" s="741"/>
      <c r="S693" s="741"/>
      <c r="T693" s="741"/>
      <c r="U693" s="741"/>
      <c r="V693" s="741"/>
      <c r="W693" s="741"/>
      <c r="X693" s="741"/>
      <c r="Y693" s="741"/>
      <c r="Z693" s="741"/>
      <c r="AA693" s="741"/>
      <c r="AB693" s="741"/>
      <c r="AC693" s="741"/>
      <c r="AD693" s="741"/>
      <c r="AE693" s="741"/>
      <c r="AF693" s="741"/>
      <c r="AG693" s="741"/>
      <c r="AH693" s="741"/>
      <c r="AI693" s="741"/>
    </row>
    <row r="694">
      <c r="A694" s="741"/>
      <c r="B694" s="741"/>
      <c r="C694" s="741"/>
      <c r="D694" s="741"/>
      <c r="E694" s="741"/>
      <c r="F694" s="741"/>
      <c r="G694" s="741"/>
      <c r="H694" s="741"/>
      <c r="I694" s="741"/>
      <c r="J694" s="741"/>
      <c r="K694" s="741"/>
      <c r="L694" s="741"/>
      <c r="M694" s="741"/>
      <c r="N694" s="741"/>
      <c r="O694" s="741"/>
      <c r="P694" s="741"/>
      <c r="Q694" s="741"/>
      <c r="R694" s="741"/>
      <c r="S694" s="741"/>
      <c r="T694" s="741"/>
      <c r="U694" s="741"/>
      <c r="V694" s="741"/>
      <c r="W694" s="741"/>
      <c r="X694" s="741"/>
      <c r="Y694" s="741"/>
      <c r="Z694" s="741"/>
      <c r="AA694" s="741"/>
      <c r="AB694" s="741"/>
      <c r="AC694" s="741"/>
      <c r="AD694" s="741"/>
      <c r="AE694" s="741"/>
      <c r="AF694" s="741"/>
      <c r="AG694" s="741"/>
      <c r="AH694" s="741"/>
      <c r="AI694" s="741"/>
    </row>
    <row r="695">
      <c r="A695" s="741"/>
      <c r="B695" s="741"/>
      <c r="C695" s="741"/>
      <c r="D695" s="741"/>
      <c r="E695" s="741"/>
      <c r="F695" s="741"/>
      <c r="G695" s="741"/>
      <c r="H695" s="741"/>
      <c r="I695" s="741"/>
      <c r="J695" s="741"/>
      <c r="K695" s="741"/>
      <c r="L695" s="741"/>
      <c r="M695" s="741"/>
      <c r="N695" s="741"/>
      <c r="O695" s="741"/>
      <c r="P695" s="741"/>
      <c r="Q695" s="741"/>
      <c r="R695" s="741"/>
      <c r="S695" s="741"/>
      <c r="T695" s="741"/>
      <c r="U695" s="741"/>
      <c r="V695" s="741"/>
      <c r="W695" s="741"/>
      <c r="X695" s="741"/>
      <c r="Y695" s="741"/>
      <c r="Z695" s="741"/>
      <c r="AA695" s="741"/>
      <c r="AB695" s="741"/>
      <c r="AC695" s="741"/>
      <c r="AD695" s="741"/>
      <c r="AE695" s="741"/>
      <c r="AF695" s="741"/>
      <c r="AG695" s="741"/>
      <c r="AH695" s="741"/>
      <c r="AI695" s="741"/>
    </row>
    <row r="696">
      <c r="A696" s="741"/>
      <c r="B696" s="741"/>
      <c r="C696" s="741"/>
      <c r="D696" s="741"/>
      <c r="E696" s="741"/>
      <c r="F696" s="741"/>
      <c r="G696" s="741"/>
      <c r="H696" s="741"/>
      <c r="I696" s="741"/>
      <c r="J696" s="741"/>
      <c r="K696" s="741"/>
      <c r="L696" s="741"/>
      <c r="M696" s="741"/>
      <c r="N696" s="741"/>
      <c r="O696" s="741"/>
      <c r="P696" s="741"/>
      <c r="Q696" s="741"/>
      <c r="R696" s="741"/>
      <c r="S696" s="741"/>
      <c r="T696" s="741"/>
      <c r="U696" s="741"/>
      <c r="V696" s="741"/>
      <c r="W696" s="741"/>
      <c r="X696" s="741"/>
      <c r="Y696" s="741"/>
      <c r="Z696" s="741"/>
      <c r="AA696" s="741"/>
      <c r="AB696" s="741"/>
      <c r="AC696" s="741"/>
      <c r="AD696" s="741"/>
      <c r="AE696" s="741"/>
      <c r="AF696" s="741"/>
      <c r="AG696" s="741"/>
      <c r="AH696" s="741"/>
      <c r="AI696" s="741"/>
    </row>
    <row r="697">
      <c r="A697" s="741"/>
      <c r="B697" s="741"/>
      <c r="C697" s="741"/>
      <c r="D697" s="741"/>
      <c r="E697" s="741"/>
      <c r="F697" s="741"/>
      <c r="G697" s="741"/>
      <c r="H697" s="741"/>
      <c r="I697" s="741"/>
      <c r="J697" s="741"/>
      <c r="K697" s="741"/>
      <c r="L697" s="741"/>
      <c r="M697" s="741"/>
      <c r="N697" s="741"/>
      <c r="O697" s="741"/>
      <c r="P697" s="741"/>
      <c r="Q697" s="741"/>
      <c r="R697" s="741"/>
      <c r="S697" s="741"/>
      <c r="T697" s="741"/>
      <c r="U697" s="741"/>
      <c r="V697" s="741"/>
      <c r="W697" s="741"/>
      <c r="X697" s="741"/>
      <c r="Y697" s="741"/>
      <c r="Z697" s="741"/>
      <c r="AA697" s="741"/>
      <c r="AB697" s="741"/>
      <c r="AC697" s="741"/>
      <c r="AD697" s="741"/>
      <c r="AE697" s="741"/>
      <c r="AF697" s="741"/>
      <c r="AG697" s="741"/>
      <c r="AH697" s="741"/>
      <c r="AI697" s="741"/>
    </row>
    <row r="698">
      <c r="A698" s="741"/>
      <c r="B698" s="741"/>
      <c r="C698" s="741"/>
      <c r="D698" s="741"/>
      <c r="E698" s="741"/>
      <c r="F698" s="741"/>
      <c r="G698" s="741"/>
      <c r="H698" s="741"/>
      <c r="I698" s="741"/>
      <c r="J698" s="741"/>
      <c r="K698" s="741"/>
      <c r="L698" s="741"/>
      <c r="M698" s="741"/>
      <c r="N698" s="741"/>
      <c r="O698" s="741"/>
      <c r="P698" s="741"/>
      <c r="Q698" s="741"/>
      <c r="R698" s="741"/>
      <c r="S698" s="741"/>
      <c r="T698" s="741"/>
      <c r="U698" s="741"/>
      <c r="V698" s="741"/>
      <c r="W698" s="741"/>
      <c r="X698" s="741"/>
      <c r="Y698" s="741"/>
      <c r="Z698" s="741"/>
      <c r="AA698" s="741"/>
      <c r="AB698" s="741"/>
      <c r="AC698" s="741"/>
      <c r="AD698" s="741"/>
      <c r="AE698" s="741"/>
      <c r="AF698" s="741"/>
      <c r="AG698" s="741"/>
      <c r="AH698" s="741"/>
      <c r="AI698" s="741"/>
    </row>
    <row r="699">
      <c r="A699" s="741"/>
      <c r="B699" s="741"/>
      <c r="C699" s="741"/>
      <c r="D699" s="741"/>
      <c r="E699" s="741"/>
      <c r="F699" s="741"/>
      <c r="G699" s="741"/>
      <c r="H699" s="741"/>
      <c r="I699" s="741"/>
      <c r="J699" s="741"/>
      <c r="K699" s="741"/>
      <c r="L699" s="741"/>
      <c r="M699" s="741"/>
      <c r="N699" s="741"/>
      <c r="O699" s="741"/>
      <c r="P699" s="741"/>
      <c r="Q699" s="741"/>
      <c r="R699" s="741"/>
      <c r="S699" s="741"/>
      <c r="T699" s="741"/>
      <c r="U699" s="741"/>
      <c r="V699" s="741"/>
      <c r="W699" s="741"/>
      <c r="X699" s="741"/>
      <c r="Y699" s="741"/>
      <c r="Z699" s="741"/>
      <c r="AA699" s="741"/>
      <c r="AB699" s="741"/>
      <c r="AC699" s="741"/>
      <c r="AD699" s="741"/>
      <c r="AE699" s="741"/>
      <c r="AF699" s="741"/>
      <c r="AG699" s="741"/>
      <c r="AH699" s="741"/>
      <c r="AI699" s="741"/>
    </row>
    <row r="700">
      <c r="A700" s="741"/>
      <c r="B700" s="741"/>
      <c r="C700" s="741"/>
      <c r="D700" s="741"/>
      <c r="E700" s="741"/>
      <c r="F700" s="741"/>
      <c r="G700" s="741"/>
      <c r="H700" s="741"/>
      <c r="I700" s="741"/>
      <c r="J700" s="741"/>
      <c r="K700" s="741"/>
      <c r="L700" s="741"/>
      <c r="M700" s="741"/>
      <c r="N700" s="741"/>
      <c r="O700" s="741"/>
      <c r="P700" s="741"/>
      <c r="Q700" s="741"/>
      <c r="R700" s="741"/>
      <c r="S700" s="741"/>
      <c r="T700" s="741"/>
      <c r="U700" s="741"/>
      <c r="V700" s="741"/>
      <c r="W700" s="741"/>
      <c r="X700" s="741"/>
      <c r="Y700" s="741"/>
      <c r="Z700" s="741"/>
      <c r="AA700" s="741"/>
      <c r="AB700" s="741"/>
      <c r="AC700" s="741"/>
      <c r="AD700" s="741"/>
      <c r="AE700" s="741"/>
      <c r="AF700" s="741"/>
      <c r="AG700" s="741"/>
      <c r="AH700" s="741"/>
      <c r="AI700" s="741"/>
    </row>
    <row r="701">
      <c r="A701" s="741"/>
      <c r="B701" s="741"/>
      <c r="C701" s="741"/>
      <c r="D701" s="741"/>
      <c r="E701" s="741"/>
      <c r="F701" s="741"/>
      <c r="G701" s="741"/>
      <c r="H701" s="741"/>
      <c r="I701" s="741"/>
      <c r="J701" s="741"/>
      <c r="K701" s="741"/>
      <c r="L701" s="741"/>
      <c r="M701" s="741"/>
      <c r="N701" s="741"/>
      <c r="O701" s="741"/>
      <c r="P701" s="741"/>
      <c r="Q701" s="741"/>
      <c r="R701" s="741"/>
      <c r="S701" s="741"/>
      <c r="T701" s="741"/>
      <c r="U701" s="741"/>
      <c r="V701" s="741"/>
      <c r="W701" s="741"/>
      <c r="X701" s="741"/>
      <c r="Y701" s="741"/>
      <c r="Z701" s="741"/>
      <c r="AA701" s="741"/>
      <c r="AB701" s="741"/>
      <c r="AC701" s="741"/>
      <c r="AD701" s="741"/>
      <c r="AE701" s="741"/>
      <c r="AF701" s="741"/>
      <c r="AG701" s="741"/>
      <c r="AH701" s="741"/>
      <c r="AI701" s="741"/>
    </row>
    <row r="702">
      <c r="A702" s="741"/>
      <c r="B702" s="741"/>
      <c r="C702" s="741"/>
      <c r="D702" s="741"/>
      <c r="E702" s="741"/>
      <c r="F702" s="741"/>
      <c r="G702" s="741"/>
      <c r="H702" s="741"/>
      <c r="I702" s="741"/>
      <c r="J702" s="741"/>
      <c r="K702" s="741"/>
      <c r="L702" s="741"/>
      <c r="M702" s="741"/>
      <c r="N702" s="741"/>
      <c r="O702" s="741"/>
      <c r="P702" s="741"/>
      <c r="Q702" s="741"/>
      <c r="R702" s="741"/>
      <c r="S702" s="741"/>
      <c r="T702" s="741"/>
      <c r="U702" s="741"/>
      <c r="V702" s="741"/>
      <c r="W702" s="741"/>
      <c r="X702" s="741"/>
      <c r="Y702" s="741"/>
      <c r="Z702" s="741"/>
      <c r="AA702" s="741"/>
      <c r="AB702" s="741"/>
      <c r="AC702" s="741"/>
      <c r="AD702" s="741"/>
      <c r="AE702" s="741"/>
      <c r="AF702" s="741"/>
      <c r="AG702" s="741"/>
      <c r="AH702" s="741"/>
      <c r="AI702" s="741"/>
    </row>
    <row r="703">
      <c r="A703" s="741"/>
      <c r="B703" s="741"/>
      <c r="C703" s="741"/>
      <c r="D703" s="741"/>
      <c r="E703" s="741"/>
      <c r="F703" s="741"/>
      <c r="G703" s="741"/>
      <c r="H703" s="741"/>
      <c r="I703" s="741"/>
      <c r="J703" s="741"/>
      <c r="K703" s="741"/>
      <c r="L703" s="741"/>
      <c r="M703" s="741"/>
      <c r="N703" s="741"/>
      <c r="O703" s="741"/>
      <c r="P703" s="741"/>
      <c r="Q703" s="741"/>
      <c r="R703" s="741"/>
      <c r="S703" s="741"/>
      <c r="T703" s="741"/>
      <c r="U703" s="741"/>
      <c r="V703" s="741"/>
      <c r="W703" s="741"/>
      <c r="X703" s="741"/>
      <c r="Y703" s="741"/>
      <c r="Z703" s="741"/>
      <c r="AA703" s="741"/>
      <c r="AB703" s="741"/>
      <c r="AC703" s="741"/>
      <c r="AD703" s="741"/>
      <c r="AE703" s="741"/>
      <c r="AF703" s="741"/>
      <c r="AG703" s="741"/>
      <c r="AH703" s="741"/>
      <c r="AI703" s="741"/>
    </row>
    <row r="704">
      <c r="A704" s="741"/>
      <c r="B704" s="741"/>
      <c r="C704" s="741"/>
      <c r="D704" s="741"/>
      <c r="E704" s="741"/>
      <c r="F704" s="741"/>
      <c r="G704" s="741"/>
      <c r="H704" s="741"/>
      <c r="I704" s="741"/>
      <c r="J704" s="741"/>
      <c r="K704" s="741"/>
      <c r="L704" s="741"/>
      <c r="M704" s="741"/>
      <c r="N704" s="741"/>
      <c r="O704" s="741"/>
      <c r="P704" s="741"/>
      <c r="Q704" s="741"/>
      <c r="R704" s="741"/>
      <c r="S704" s="741"/>
      <c r="T704" s="741"/>
      <c r="U704" s="741"/>
      <c r="V704" s="741"/>
      <c r="W704" s="741"/>
      <c r="X704" s="741"/>
      <c r="Y704" s="741"/>
      <c r="Z704" s="741"/>
      <c r="AA704" s="741"/>
      <c r="AB704" s="741"/>
      <c r="AC704" s="741"/>
      <c r="AD704" s="741"/>
      <c r="AE704" s="741"/>
      <c r="AF704" s="741"/>
      <c r="AG704" s="741"/>
      <c r="AH704" s="741"/>
      <c r="AI704" s="741"/>
    </row>
    <row r="705">
      <c r="A705" s="741"/>
      <c r="B705" s="741"/>
      <c r="C705" s="741"/>
      <c r="D705" s="741"/>
      <c r="E705" s="741"/>
      <c r="F705" s="741"/>
      <c r="G705" s="741"/>
      <c r="H705" s="741"/>
      <c r="I705" s="741"/>
      <c r="J705" s="741"/>
      <c r="K705" s="741"/>
      <c r="L705" s="741"/>
      <c r="M705" s="741"/>
      <c r="N705" s="741"/>
      <c r="O705" s="741"/>
      <c r="P705" s="741"/>
      <c r="Q705" s="741"/>
      <c r="R705" s="741"/>
      <c r="S705" s="741"/>
      <c r="T705" s="741"/>
      <c r="U705" s="741"/>
      <c r="V705" s="741"/>
      <c r="W705" s="741"/>
      <c r="X705" s="741"/>
      <c r="Y705" s="741"/>
      <c r="Z705" s="741"/>
      <c r="AA705" s="741"/>
      <c r="AB705" s="741"/>
      <c r="AC705" s="741"/>
      <c r="AD705" s="741"/>
      <c r="AE705" s="741"/>
      <c r="AF705" s="741"/>
      <c r="AG705" s="741"/>
      <c r="AH705" s="741"/>
      <c r="AI705" s="741"/>
    </row>
    <row r="706">
      <c r="A706" s="741"/>
      <c r="B706" s="741"/>
      <c r="C706" s="741"/>
      <c r="D706" s="741"/>
      <c r="E706" s="741"/>
      <c r="F706" s="741"/>
      <c r="G706" s="741"/>
      <c r="H706" s="741"/>
      <c r="I706" s="741"/>
      <c r="J706" s="741"/>
      <c r="K706" s="741"/>
      <c r="L706" s="741"/>
      <c r="M706" s="741"/>
      <c r="N706" s="741"/>
      <c r="O706" s="741"/>
      <c r="P706" s="741"/>
      <c r="Q706" s="741"/>
      <c r="R706" s="741"/>
      <c r="S706" s="741"/>
      <c r="T706" s="741"/>
      <c r="U706" s="741"/>
      <c r="V706" s="741"/>
      <c r="W706" s="741"/>
      <c r="X706" s="741"/>
      <c r="Y706" s="741"/>
      <c r="Z706" s="741"/>
      <c r="AA706" s="741"/>
      <c r="AB706" s="741"/>
      <c r="AC706" s="741"/>
      <c r="AD706" s="741"/>
      <c r="AE706" s="741"/>
      <c r="AF706" s="741"/>
      <c r="AG706" s="741"/>
      <c r="AH706" s="741"/>
      <c r="AI706" s="741"/>
    </row>
    <row r="707">
      <c r="A707" s="741"/>
      <c r="B707" s="741"/>
      <c r="C707" s="741"/>
      <c r="D707" s="741"/>
      <c r="E707" s="741"/>
      <c r="F707" s="741"/>
      <c r="G707" s="741"/>
      <c r="H707" s="741"/>
      <c r="I707" s="741"/>
      <c r="J707" s="741"/>
      <c r="K707" s="741"/>
      <c r="L707" s="741"/>
      <c r="M707" s="741"/>
      <c r="N707" s="741"/>
      <c r="O707" s="741"/>
      <c r="P707" s="741"/>
      <c r="Q707" s="741"/>
      <c r="R707" s="741"/>
      <c r="S707" s="741"/>
      <c r="T707" s="741"/>
      <c r="U707" s="741"/>
      <c r="V707" s="741"/>
      <c r="W707" s="741"/>
      <c r="X707" s="741"/>
      <c r="Y707" s="741"/>
      <c r="Z707" s="741"/>
      <c r="AA707" s="741"/>
      <c r="AB707" s="741"/>
      <c r="AC707" s="741"/>
      <c r="AD707" s="741"/>
      <c r="AE707" s="741"/>
      <c r="AF707" s="741"/>
      <c r="AG707" s="741"/>
      <c r="AH707" s="741"/>
      <c r="AI707" s="741"/>
    </row>
    <row r="708">
      <c r="A708" s="741"/>
      <c r="B708" s="741"/>
      <c r="C708" s="741"/>
      <c r="D708" s="741"/>
      <c r="E708" s="741"/>
      <c r="F708" s="741"/>
      <c r="G708" s="741"/>
      <c r="H708" s="741"/>
      <c r="I708" s="741"/>
      <c r="J708" s="741"/>
      <c r="K708" s="741"/>
      <c r="L708" s="741"/>
      <c r="M708" s="741"/>
      <c r="N708" s="741"/>
      <c r="O708" s="741"/>
      <c r="P708" s="741"/>
      <c r="Q708" s="741"/>
      <c r="R708" s="741"/>
      <c r="S708" s="741"/>
      <c r="T708" s="741"/>
      <c r="U708" s="741"/>
      <c r="V708" s="741"/>
      <c r="W708" s="741"/>
      <c r="X708" s="741"/>
      <c r="Y708" s="741"/>
      <c r="Z708" s="741"/>
      <c r="AA708" s="741"/>
      <c r="AB708" s="741"/>
      <c r="AC708" s="741"/>
      <c r="AD708" s="741"/>
      <c r="AE708" s="741"/>
      <c r="AF708" s="741"/>
      <c r="AG708" s="741"/>
      <c r="AH708" s="741"/>
      <c r="AI708" s="741"/>
    </row>
    <row r="709">
      <c r="A709" s="741"/>
      <c r="B709" s="741"/>
      <c r="C709" s="741"/>
      <c r="D709" s="741"/>
      <c r="E709" s="741"/>
      <c r="F709" s="741"/>
      <c r="G709" s="741"/>
      <c r="H709" s="741"/>
      <c r="I709" s="741"/>
      <c r="J709" s="741"/>
      <c r="K709" s="741"/>
      <c r="L709" s="741"/>
      <c r="M709" s="741"/>
      <c r="N709" s="741"/>
      <c r="O709" s="741"/>
      <c r="P709" s="741"/>
      <c r="Q709" s="741"/>
      <c r="R709" s="741"/>
      <c r="S709" s="741"/>
      <c r="T709" s="741"/>
      <c r="U709" s="741"/>
      <c r="V709" s="741"/>
      <c r="W709" s="741"/>
      <c r="X709" s="741"/>
      <c r="Y709" s="741"/>
      <c r="Z709" s="741"/>
      <c r="AA709" s="741"/>
      <c r="AB709" s="741"/>
      <c r="AC709" s="741"/>
      <c r="AD709" s="741"/>
      <c r="AE709" s="741"/>
      <c r="AF709" s="741"/>
      <c r="AG709" s="741"/>
      <c r="AH709" s="741"/>
      <c r="AI709" s="741"/>
    </row>
    <row r="710">
      <c r="A710" s="741"/>
      <c r="B710" s="741"/>
      <c r="C710" s="741"/>
      <c r="D710" s="741"/>
      <c r="E710" s="741"/>
      <c r="F710" s="741"/>
      <c r="G710" s="741"/>
      <c r="H710" s="741"/>
      <c r="I710" s="741"/>
      <c r="J710" s="741"/>
      <c r="K710" s="741"/>
      <c r="L710" s="741"/>
      <c r="M710" s="741"/>
      <c r="N710" s="741"/>
      <c r="O710" s="741"/>
      <c r="P710" s="741"/>
      <c r="Q710" s="741"/>
      <c r="R710" s="741"/>
      <c r="S710" s="741"/>
      <c r="T710" s="741"/>
      <c r="U710" s="741"/>
      <c r="V710" s="741"/>
      <c r="W710" s="741"/>
      <c r="X710" s="741"/>
      <c r="Y710" s="741"/>
      <c r="Z710" s="741"/>
      <c r="AA710" s="741"/>
      <c r="AB710" s="741"/>
      <c r="AC710" s="741"/>
      <c r="AD710" s="741"/>
      <c r="AE710" s="741"/>
      <c r="AF710" s="741"/>
      <c r="AG710" s="741"/>
      <c r="AH710" s="741"/>
      <c r="AI710" s="741"/>
    </row>
    <row r="711">
      <c r="A711" s="741"/>
      <c r="B711" s="741"/>
      <c r="C711" s="741"/>
      <c r="D711" s="741"/>
      <c r="E711" s="741"/>
      <c r="F711" s="741"/>
      <c r="G711" s="741"/>
      <c r="H711" s="741"/>
      <c r="I711" s="741"/>
      <c r="J711" s="741"/>
      <c r="K711" s="741"/>
      <c r="L711" s="741"/>
      <c r="M711" s="741"/>
      <c r="N711" s="741"/>
      <c r="O711" s="741"/>
      <c r="P711" s="741"/>
      <c r="Q711" s="741"/>
      <c r="R711" s="741"/>
      <c r="S711" s="741"/>
      <c r="T711" s="741"/>
      <c r="U711" s="741"/>
      <c r="V711" s="741"/>
      <c r="W711" s="741"/>
      <c r="X711" s="741"/>
      <c r="Y711" s="741"/>
      <c r="Z711" s="741"/>
      <c r="AA711" s="741"/>
      <c r="AB711" s="741"/>
      <c r="AC711" s="741"/>
      <c r="AD711" s="741"/>
      <c r="AE711" s="741"/>
      <c r="AF711" s="741"/>
      <c r="AG711" s="741"/>
      <c r="AH711" s="741"/>
      <c r="AI711" s="741"/>
    </row>
    <row r="712">
      <c r="A712" s="741"/>
      <c r="B712" s="741"/>
      <c r="C712" s="741"/>
      <c r="D712" s="741"/>
      <c r="E712" s="741"/>
      <c r="F712" s="741"/>
      <c r="G712" s="741"/>
      <c r="H712" s="741"/>
      <c r="I712" s="741"/>
      <c r="J712" s="741"/>
      <c r="K712" s="741"/>
      <c r="L712" s="741"/>
      <c r="M712" s="741"/>
      <c r="N712" s="741"/>
      <c r="O712" s="741"/>
      <c r="P712" s="741"/>
      <c r="Q712" s="741"/>
      <c r="R712" s="741"/>
      <c r="S712" s="741"/>
      <c r="T712" s="741"/>
      <c r="U712" s="741"/>
      <c r="V712" s="741"/>
      <c r="W712" s="741"/>
      <c r="X712" s="741"/>
      <c r="Y712" s="741"/>
      <c r="Z712" s="741"/>
      <c r="AA712" s="741"/>
      <c r="AB712" s="741"/>
      <c r="AC712" s="741"/>
      <c r="AD712" s="741"/>
      <c r="AE712" s="741"/>
      <c r="AF712" s="741"/>
      <c r="AG712" s="741"/>
      <c r="AH712" s="741"/>
      <c r="AI712" s="741"/>
    </row>
    <row r="713">
      <c r="A713" s="741"/>
      <c r="B713" s="741"/>
      <c r="C713" s="741"/>
      <c r="D713" s="741"/>
      <c r="E713" s="741"/>
      <c r="F713" s="741"/>
      <c r="G713" s="741"/>
      <c r="H713" s="741"/>
      <c r="I713" s="741"/>
      <c r="J713" s="741"/>
      <c r="K713" s="741"/>
      <c r="L713" s="741"/>
      <c r="M713" s="741"/>
      <c r="N713" s="741"/>
      <c r="O713" s="741"/>
      <c r="P713" s="741"/>
      <c r="Q713" s="741"/>
      <c r="R713" s="741"/>
      <c r="S713" s="741"/>
      <c r="T713" s="741"/>
      <c r="U713" s="741"/>
      <c r="V713" s="741"/>
      <c r="W713" s="741"/>
      <c r="X713" s="741"/>
      <c r="Y713" s="741"/>
      <c r="Z713" s="741"/>
      <c r="AA713" s="741"/>
      <c r="AB713" s="741"/>
      <c r="AC713" s="741"/>
      <c r="AD713" s="741"/>
      <c r="AE713" s="741"/>
      <c r="AF713" s="741"/>
      <c r="AG713" s="741"/>
      <c r="AH713" s="741"/>
      <c r="AI713" s="741"/>
    </row>
    <row r="714">
      <c r="A714" s="741"/>
      <c r="B714" s="741"/>
      <c r="C714" s="741"/>
      <c r="D714" s="741"/>
      <c r="E714" s="741"/>
      <c r="F714" s="741"/>
      <c r="G714" s="741"/>
      <c r="H714" s="741"/>
      <c r="I714" s="741"/>
      <c r="J714" s="741"/>
      <c r="K714" s="741"/>
      <c r="L714" s="741"/>
      <c r="M714" s="741"/>
      <c r="N714" s="741"/>
      <c r="O714" s="741"/>
      <c r="P714" s="741"/>
      <c r="Q714" s="741"/>
      <c r="R714" s="741"/>
      <c r="S714" s="741"/>
      <c r="T714" s="741"/>
      <c r="U714" s="741"/>
      <c r="V714" s="741"/>
      <c r="W714" s="741"/>
      <c r="X714" s="741"/>
      <c r="Y714" s="741"/>
      <c r="Z714" s="741"/>
      <c r="AA714" s="741"/>
      <c r="AB714" s="741"/>
      <c r="AC714" s="741"/>
      <c r="AD714" s="741"/>
      <c r="AE714" s="741"/>
      <c r="AF714" s="741"/>
      <c r="AG714" s="741"/>
      <c r="AH714" s="741"/>
      <c r="AI714" s="741"/>
    </row>
    <row r="715">
      <c r="A715" s="741"/>
      <c r="B715" s="741"/>
      <c r="C715" s="741"/>
      <c r="D715" s="741"/>
      <c r="E715" s="741"/>
      <c r="F715" s="741"/>
      <c r="G715" s="741"/>
      <c r="H715" s="741"/>
      <c r="I715" s="741"/>
      <c r="J715" s="741"/>
      <c r="K715" s="741"/>
      <c r="L715" s="741"/>
      <c r="M715" s="741"/>
      <c r="N715" s="741"/>
      <c r="O715" s="741"/>
      <c r="P715" s="741"/>
      <c r="Q715" s="741"/>
      <c r="R715" s="741"/>
      <c r="S715" s="741"/>
      <c r="T715" s="741"/>
      <c r="U715" s="741"/>
      <c r="V715" s="741"/>
      <c r="W715" s="741"/>
      <c r="X715" s="741"/>
      <c r="Y715" s="741"/>
      <c r="Z715" s="741"/>
      <c r="AA715" s="741"/>
      <c r="AB715" s="741"/>
      <c r="AC715" s="741"/>
      <c r="AD715" s="741"/>
      <c r="AE715" s="741"/>
      <c r="AF715" s="741"/>
      <c r="AG715" s="741"/>
      <c r="AH715" s="741"/>
      <c r="AI715" s="741"/>
    </row>
    <row r="716">
      <c r="A716" s="741"/>
      <c r="B716" s="741"/>
      <c r="C716" s="741"/>
      <c r="D716" s="741"/>
      <c r="E716" s="741"/>
      <c r="F716" s="741"/>
      <c r="G716" s="741"/>
      <c r="H716" s="741"/>
      <c r="I716" s="741"/>
      <c r="J716" s="741"/>
      <c r="K716" s="741"/>
      <c r="L716" s="741"/>
      <c r="M716" s="741"/>
      <c r="N716" s="741"/>
      <c r="O716" s="741"/>
      <c r="P716" s="741"/>
      <c r="Q716" s="741"/>
      <c r="R716" s="741"/>
      <c r="S716" s="741"/>
      <c r="T716" s="741"/>
      <c r="U716" s="741"/>
      <c r="V716" s="741"/>
      <c r="W716" s="741"/>
      <c r="X716" s="741"/>
      <c r="Y716" s="741"/>
      <c r="Z716" s="741"/>
      <c r="AA716" s="741"/>
      <c r="AB716" s="741"/>
      <c r="AC716" s="741"/>
      <c r="AD716" s="741"/>
      <c r="AE716" s="741"/>
      <c r="AF716" s="741"/>
      <c r="AG716" s="741"/>
      <c r="AH716" s="741"/>
      <c r="AI716" s="741"/>
    </row>
    <row r="717">
      <c r="A717" s="741"/>
      <c r="B717" s="741"/>
      <c r="C717" s="741"/>
      <c r="D717" s="741"/>
      <c r="E717" s="741"/>
      <c r="F717" s="741"/>
      <c r="G717" s="741"/>
      <c r="H717" s="741"/>
      <c r="I717" s="741"/>
      <c r="J717" s="741"/>
      <c r="K717" s="741"/>
      <c r="L717" s="741"/>
      <c r="M717" s="741"/>
      <c r="N717" s="741"/>
      <c r="O717" s="741"/>
      <c r="P717" s="741"/>
      <c r="Q717" s="741"/>
      <c r="R717" s="741"/>
      <c r="S717" s="741"/>
      <c r="T717" s="741"/>
      <c r="U717" s="741"/>
      <c r="V717" s="741"/>
      <c r="W717" s="741"/>
      <c r="X717" s="741"/>
      <c r="Y717" s="741"/>
      <c r="Z717" s="741"/>
      <c r="AA717" s="741"/>
      <c r="AB717" s="741"/>
      <c r="AC717" s="741"/>
      <c r="AD717" s="741"/>
      <c r="AE717" s="741"/>
      <c r="AF717" s="741"/>
      <c r="AG717" s="741"/>
      <c r="AH717" s="741"/>
      <c r="AI717" s="741"/>
    </row>
    <row r="718">
      <c r="A718" s="741"/>
      <c r="B718" s="741"/>
      <c r="C718" s="741"/>
      <c r="D718" s="741"/>
      <c r="E718" s="741"/>
      <c r="F718" s="741"/>
      <c r="G718" s="741"/>
      <c r="H718" s="741"/>
      <c r="I718" s="741"/>
      <c r="J718" s="741"/>
      <c r="K718" s="741"/>
      <c r="L718" s="741"/>
      <c r="M718" s="741"/>
      <c r="N718" s="741"/>
      <c r="O718" s="741"/>
      <c r="P718" s="741"/>
      <c r="Q718" s="741"/>
      <c r="R718" s="741"/>
      <c r="S718" s="741"/>
      <c r="T718" s="741"/>
      <c r="U718" s="741"/>
      <c r="V718" s="741"/>
      <c r="W718" s="741"/>
      <c r="X718" s="741"/>
      <c r="Y718" s="741"/>
      <c r="Z718" s="741"/>
      <c r="AA718" s="741"/>
      <c r="AB718" s="741"/>
      <c r="AC718" s="741"/>
      <c r="AD718" s="741"/>
      <c r="AE718" s="741"/>
      <c r="AF718" s="741"/>
      <c r="AG718" s="741"/>
      <c r="AH718" s="741"/>
      <c r="AI718" s="741"/>
    </row>
    <row r="719">
      <c r="A719" s="741"/>
      <c r="B719" s="741"/>
      <c r="C719" s="741"/>
      <c r="D719" s="741"/>
      <c r="E719" s="741"/>
      <c r="F719" s="741"/>
      <c r="G719" s="741"/>
      <c r="H719" s="741"/>
      <c r="I719" s="741"/>
      <c r="J719" s="741"/>
      <c r="K719" s="741"/>
      <c r="L719" s="741"/>
      <c r="M719" s="741"/>
      <c r="N719" s="741"/>
      <c r="O719" s="741"/>
      <c r="P719" s="741"/>
      <c r="Q719" s="741"/>
      <c r="R719" s="741"/>
      <c r="S719" s="741"/>
      <c r="T719" s="741"/>
      <c r="U719" s="741"/>
      <c r="V719" s="741"/>
      <c r="W719" s="741"/>
      <c r="X719" s="741"/>
      <c r="Y719" s="741"/>
      <c r="Z719" s="741"/>
      <c r="AA719" s="741"/>
      <c r="AB719" s="741"/>
      <c r="AC719" s="741"/>
      <c r="AD719" s="741"/>
      <c r="AE719" s="741"/>
      <c r="AF719" s="741"/>
      <c r="AG719" s="741"/>
      <c r="AH719" s="741"/>
      <c r="AI719" s="741"/>
    </row>
    <row r="720">
      <c r="A720" s="741"/>
      <c r="B720" s="741"/>
      <c r="C720" s="741"/>
      <c r="D720" s="741"/>
      <c r="E720" s="741"/>
      <c r="F720" s="741"/>
      <c r="G720" s="741"/>
      <c r="H720" s="741"/>
      <c r="I720" s="741"/>
      <c r="J720" s="741"/>
      <c r="K720" s="741"/>
      <c r="L720" s="741"/>
      <c r="M720" s="741"/>
      <c r="N720" s="741"/>
      <c r="O720" s="741"/>
      <c r="P720" s="741"/>
      <c r="Q720" s="741"/>
      <c r="R720" s="741"/>
      <c r="S720" s="741"/>
      <c r="T720" s="741"/>
      <c r="U720" s="741"/>
      <c r="V720" s="741"/>
      <c r="W720" s="741"/>
      <c r="X720" s="741"/>
      <c r="Y720" s="741"/>
      <c r="Z720" s="741"/>
      <c r="AA720" s="741"/>
      <c r="AB720" s="741"/>
      <c r="AC720" s="741"/>
      <c r="AD720" s="741"/>
      <c r="AE720" s="741"/>
      <c r="AF720" s="741"/>
      <c r="AG720" s="741"/>
      <c r="AH720" s="741"/>
      <c r="AI720" s="741"/>
    </row>
    <row r="721">
      <c r="A721" s="741"/>
      <c r="B721" s="741"/>
      <c r="C721" s="741"/>
      <c r="D721" s="741"/>
      <c r="E721" s="741"/>
      <c r="F721" s="741"/>
      <c r="G721" s="741"/>
      <c r="H721" s="741"/>
      <c r="I721" s="741"/>
      <c r="J721" s="741"/>
      <c r="K721" s="741"/>
      <c r="L721" s="741"/>
      <c r="M721" s="741"/>
      <c r="N721" s="741"/>
      <c r="O721" s="741"/>
      <c r="P721" s="741"/>
      <c r="Q721" s="741"/>
      <c r="R721" s="741"/>
      <c r="S721" s="741"/>
      <c r="T721" s="741"/>
      <c r="U721" s="741"/>
      <c r="V721" s="741"/>
      <c r="W721" s="741"/>
      <c r="X721" s="741"/>
      <c r="Y721" s="741"/>
      <c r="Z721" s="741"/>
      <c r="AA721" s="741"/>
      <c r="AB721" s="741"/>
      <c r="AC721" s="741"/>
      <c r="AD721" s="741"/>
      <c r="AE721" s="741"/>
      <c r="AF721" s="741"/>
      <c r="AG721" s="741"/>
      <c r="AH721" s="741"/>
      <c r="AI721" s="741"/>
    </row>
    <row r="722">
      <c r="A722" s="741"/>
      <c r="B722" s="741"/>
      <c r="C722" s="741"/>
      <c r="D722" s="741"/>
      <c r="E722" s="741"/>
      <c r="F722" s="741"/>
      <c r="G722" s="741"/>
      <c r="H722" s="741"/>
      <c r="I722" s="741"/>
      <c r="J722" s="741"/>
      <c r="K722" s="741"/>
      <c r="L722" s="741"/>
      <c r="M722" s="741"/>
      <c r="N722" s="741"/>
      <c r="O722" s="741"/>
      <c r="P722" s="741"/>
      <c r="Q722" s="741"/>
      <c r="R722" s="741"/>
      <c r="S722" s="741"/>
      <c r="T722" s="741"/>
      <c r="U722" s="741"/>
      <c r="V722" s="741"/>
      <c r="W722" s="741"/>
      <c r="X722" s="741"/>
      <c r="Y722" s="741"/>
      <c r="Z722" s="741"/>
      <c r="AA722" s="741"/>
      <c r="AB722" s="741"/>
      <c r="AC722" s="741"/>
      <c r="AD722" s="741"/>
      <c r="AE722" s="741"/>
      <c r="AF722" s="741"/>
      <c r="AG722" s="741"/>
      <c r="AH722" s="741"/>
      <c r="AI722" s="741"/>
    </row>
    <row r="723">
      <c r="A723" s="741"/>
      <c r="B723" s="741"/>
      <c r="C723" s="741"/>
      <c r="D723" s="741"/>
      <c r="E723" s="741"/>
      <c r="F723" s="741"/>
      <c r="G723" s="741"/>
      <c r="H723" s="741"/>
      <c r="I723" s="741"/>
      <c r="J723" s="741"/>
      <c r="K723" s="741"/>
      <c r="L723" s="741"/>
      <c r="M723" s="741"/>
      <c r="N723" s="741"/>
      <c r="O723" s="741"/>
      <c r="P723" s="741"/>
      <c r="Q723" s="741"/>
      <c r="R723" s="741"/>
      <c r="S723" s="741"/>
      <c r="T723" s="741"/>
      <c r="U723" s="741"/>
      <c r="V723" s="741"/>
      <c r="W723" s="741"/>
      <c r="X723" s="741"/>
      <c r="Y723" s="741"/>
      <c r="Z723" s="741"/>
      <c r="AA723" s="741"/>
      <c r="AB723" s="741"/>
      <c r="AC723" s="741"/>
      <c r="AD723" s="741"/>
      <c r="AE723" s="741"/>
      <c r="AF723" s="741"/>
      <c r="AG723" s="741"/>
      <c r="AH723" s="741"/>
      <c r="AI723" s="741"/>
    </row>
    <row r="724">
      <c r="A724" s="741"/>
      <c r="B724" s="741"/>
      <c r="C724" s="741"/>
      <c r="D724" s="741"/>
      <c r="E724" s="741"/>
      <c r="F724" s="741"/>
      <c r="G724" s="741"/>
      <c r="H724" s="741"/>
      <c r="I724" s="741"/>
      <c r="J724" s="741"/>
      <c r="K724" s="741"/>
      <c r="L724" s="741"/>
      <c r="M724" s="741"/>
      <c r="N724" s="741"/>
      <c r="O724" s="741"/>
      <c r="P724" s="741"/>
      <c r="Q724" s="741"/>
      <c r="R724" s="741"/>
      <c r="S724" s="741"/>
      <c r="T724" s="741"/>
      <c r="U724" s="741"/>
      <c r="V724" s="741"/>
      <c r="W724" s="741"/>
      <c r="X724" s="741"/>
      <c r="Y724" s="741"/>
      <c r="Z724" s="741"/>
      <c r="AA724" s="741"/>
      <c r="AB724" s="741"/>
      <c r="AC724" s="741"/>
      <c r="AD724" s="741"/>
      <c r="AE724" s="741"/>
      <c r="AF724" s="741"/>
      <c r="AG724" s="741"/>
      <c r="AH724" s="741"/>
      <c r="AI724" s="741"/>
    </row>
    <row r="725">
      <c r="A725" s="741"/>
      <c r="B725" s="741"/>
      <c r="C725" s="741"/>
      <c r="D725" s="741"/>
      <c r="E725" s="741"/>
      <c r="F725" s="741"/>
      <c r="G725" s="741"/>
      <c r="H725" s="741"/>
      <c r="I725" s="741"/>
      <c r="J725" s="741"/>
      <c r="K725" s="741"/>
      <c r="L725" s="741"/>
      <c r="M725" s="741"/>
      <c r="N725" s="741"/>
      <c r="O725" s="741"/>
      <c r="P725" s="741"/>
      <c r="Q725" s="741"/>
      <c r="R725" s="741"/>
      <c r="S725" s="741"/>
      <c r="T725" s="741"/>
      <c r="U725" s="741"/>
      <c r="V725" s="741"/>
      <c r="W725" s="741"/>
      <c r="X725" s="741"/>
      <c r="Y725" s="741"/>
      <c r="Z725" s="741"/>
      <c r="AA725" s="741"/>
      <c r="AB725" s="741"/>
      <c r="AC725" s="741"/>
      <c r="AD725" s="741"/>
      <c r="AE725" s="741"/>
      <c r="AF725" s="741"/>
      <c r="AG725" s="741"/>
      <c r="AH725" s="741"/>
      <c r="AI725" s="741"/>
    </row>
    <row r="726">
      <c r="A726" s="741"/>
      <c r="B726" s="741"/>
      <c r="C726" s="741"/>
      <c r="D726" s="741"/>
      <c r="E726" s="741"/>
      <c r="F726" s="741"/>
      <c r="G726" s="741"/>
      <c r="H726" s="741"/>
      <c r="I726" s="741"/>
      <c r="J726" s="741"/>
      <c r="K726" s="741"/>
      <c r="L726" s="741"/>
      <c r="M726" s="741"/>
      <c r="N726" s="741"/>
      <c r="O726" s="741"/>
      <c r="P726" s="741"/>
      <c r="Q726" s="741"/>
      <c r="R726" s="741"/>
      <c r="S726" s="741"/>
      <c r="T726" s="741"/>
      <c r="U726" s="741"/>
      <c r="V726" s="741"/>
      <c r="W726" s="741"/>
      <c r="X726" s="741"/>
      <c r="Y726" s="741"/>
      <c r="Z726" s="741"/>
      <c r="AA726" s="741"/>
      <c r="AB726" s="741"/>
      <c r="AC726" s="741"/>
      <c r="AD726" s="741"/>
      <c r="AE726" s="741"/>
      <c r="AF726" s="741"/>
      <c r="AG726" s="741"/>
      <c r="AH726" s="741"/>
      <c r="AI726" s="741"/>
    </row>
    <row r="727">
      <c r="A727" s="741"/>
      <c r="B727" s="741"/>
      <c r="C727" s="741"/>
      <c r="D727" s="741"/>
      <c r="E727" s="741"/>
      <c r="F727" s="741"/>
      <c r="G727" s="741"/>
      <c r="H727" s="741"/>
      <c r="I727" s="741"/>
      <c r="J727" s="741"/>
      <c r="K727" s="741"/>
      <c r="L727" s="741"/>
      <c r="M727" s="741"/>
      <c r="N727" s="741"/>
      <c r="O727" s="741"/>
      <c r="P727" s="741"/>
      <c r="Q727" s="741"/>
      <c r="R727" s="741"/>
      <c r="S727" s="741"/>
      <c r="T727" s="741"/>
      <c r="U727" s="741"/>
      <c r="V727" s="741"/>
      <c r="W727" s="741"/>
      <c r="X727" s="741"/>
      <c r="Y727" s="741"/>
      <c r="Z727" s="741"/>
      <c r="AA727" s="741"/>
      <c r="AB727" s="741"/>
      <c r="AC727" s="741"/>
      <c r="AD727" s="741"/>
      <c r="AE727" s="741"/>
      <c r="AF727" s="741"/>
      <c r="AG727" s="741"/>
      <c r="AH727" s="741"/>
      <c r="AI727" s="741"/>
    </row>
    <row r="728">
      <c r="A728" s="741"/>
      <c r="B728" s="741"/>
      <c r="C728" s="741"/>
      <c r="D728" s="741"/>
      <c r="E728" s="741"/>
      <c r="F728" s="741"/>
      <c r="G728" s="741"/>
      <c r="H728" s="741"/>
      <c r="I728" s="741"/>
      <c r="J728" s="741"/>
      <c r="K728" s="741"/>
      <c r="L728" s="741"/>
      <c r="M728" s="741"/>
      <c r="N728" s="741"/>
      <c r="O728" s="741"/>
      <c r="P728" s="741"/>
      <c r="Q728" s="741"/>
      <c r="R728" s="741"/>
      <c r="S728" s="741"/>
      <c r="T728" s="741"/>
      <c r="U728" s="741"/>
      <c r="V728" s="741"/>
      <c r="W728" s="741"/>
      <c r="X728" s="741"/>
      <c r="Y728" s="741"/>
      <c r="Z728" s="741"/>
      <c r="AA728" s="741"/>
      <c r="AB728" s="741"/>
      <c r="AC728" s="741"/>
      <c r="AD728" s="741"/>
      <c r="AE728" s="741"/>
      <c r="AF728" s="741"/>
      <c r="AG728" s="741"/>
      <c r="AH728" s="741"/>
      <c r="AI728" s="741"/>
    </row>
    <row r="729">
      <c r="A729" s="741"/>
      <c r="B729" s="741"/>
      <c r="C729" s="741"/>
      <c r="D729" s="741"/>
      <c r="E729" s="741"/>
      <c r="F729" s="741"/>
      <c r="G729" s="741"/>
      <c r="H729" s="741"/>
      <c r="I729" s="741"/>
      <c r="J729" s="741"/>
      <c r="K729" s="741"/>
      <c r="L729" s="741"/>
      <c r="M729" s="741"/>
      <c r="N729" s="741"/>
      <c r="O729" s="741"/>
      <c r="P729" s="741"/>
      <c r="Q729" s="741"/>
      <c r="R729" s="741"/>
      <c r="S729" s="741"/>
      <c r="T729" s="741"/>
      <c r="U729" s="741"/>
      <c r="V729" s="741"/>
      <c r="W729" s="741"/>
      <c r="X729" s="741"/>
      <c r="Y729" s="741"/>
      <c r="Z729" s="741"/>
      <c r="AA729" s="741"/>
      <c r="AB729" s="741"/>
      <c r="AC729" s="741"/>
      <c r="AD729" s="741"/>
      <c r="AE729" s="741"/>
      <c r="AF729" s="741"/>
      <c r="AG729" s="741"/>
      <c r="AH729" s="741"/>
      <c r="AI729" s="741"/>
    </row>
    <row r="730">
      <c r="A730" s="741"/>
      <c r="B730" s="741"/>
      <c r="C730" s="741"/>
      <c r="D730" s="741"/>
      <c r="E730" s="741"/>
      <c r="F730" s="741"/>
      <c r="G730" s="741"/>
      <c r="H730" s="741"/>
      <c r="I730" s="741"/>
      <c r="J730" s="741"/>
      <c r="K730" s="741"/>
      <c r="L730" s="741"/>
      <c r="M730" s="741"/>
      <c r="N730" s="741"/>
      <c r="O730" s="741"/>
      <c r="P730" s="741"/>
      <c r="Q730" s="741"/>
      <c r="R730" s="741"/>
      <c r="S730" s="741"/>
      <c r="T730" s="741"/>
      <c r="U730" s="741"/>
      <c r="V730" s="741"/>
      <c r="W730" s="741"/>
      <c r="X730" s="741"/>
      <c r="Y730" s="741"/>
      <c r="Z730" s="741"/>
      <c r="AA730" s="741"/>
      <c r="AB730" s="741"/>
      <c r="AC730" s="741"/>
      <c r="AD730" s="741"/>
      <c r="AE730" s="741"/>
      <c r="AF730" s="741"/>
      <c r="AG730" s="741"/>
      <c r="AH730" s="741"/>
      <c r="AI730" s="741"/>
    </row>
    <row r="731">
      <c r="A731" s="741"/>
      <c r="B731" s="741"/>
      <c r="C731" s="741"/>
      <c r="D731" s="741"/>
      <c r="E731" s="741"/>
      <c r="F731" s="741"/>
      <c r="G731" s="741"/>
      <c r="H731" s="741"/>
      <c r="I731" s="741"/>
      <c r="J731" s="741"/>
      <c r="K731" s="741"/>
      <c r="L731" s="741"/>
      <c r="M731" s="741"/>
      <c r="N731" s="741"/>
      <c r="O731" s="741"/>
      <c r="P731" s="741"/>
      <c r="Q731" s="741"/>
      <c r="R731" s="741"/>
      <c r="S731" s="741"/>
      <c r="T731" s="741"/>
      <c r="U731" s="741"/>
      <c r="V731" s="741"/>
      <c r="W731" s="741"/>
      <c r="X731" s="741"/>
      <c r="Y731" s="741"/>
      <c r="Z731" s="741"/>
      <c r="AA731" s="741"/>
      <c r="AB731" s="741"/>
      <c r="AC731" s="741"/>
      <c r="AD731" s="741"/>
      <c r="AE731" s="741"/>
      <c r="AF731" s="741"/>
      <c r="AG731" s="741"/>
      <c r="AH731" s="741"/>
      <c r="AI731" s="741"/>
    </row>
    <row r="732">
      <c r="A732" s="741"/>
      <c r="B732" s="741"/>
      <c r="C732" s="741"/>
      <c r="D732" s="741"/>
      <c r="E732" s="741"/>
      <c r="F732" s="741"/>
      <c r="G732" s="741"/>
      <c r="H732" s="741"/>
      <c r="I732" s="741"/>
      <c r="J732" s="741"/>
      <c r="K732" s="741"/>
      <c r="L732" s="741"/>
      <c r="M732" s="741"/>
      <c r="N732" s="741"/>
      <c r="O732" s="741"/>
      <c r="P732" s="741"/>
      <c r="Q732" s="741"/>
      <c r="R732" s="741"/>
      <c r="S732" s="741"/>
      <c r="T732" s="741"/>
      <c r="U732" s="741"/>
      <c r="V732" s="741"/>
      <c r="W732" s="741"/>
      <c r="X732" s="741"/>
      <c r="Y732" s="741"/>
      <c r="Z732" s="741"/>
      <c r="AA732" s="741"/>
      <c r="AB732" s="741"/>
      <c r="AC732" s="741"/>
      <c r="AD732" s="741"/>
      <c r="AE732" s="741"/>
      <c r="AF732" s="741"/>
      <c r="AG732" s="741"/>
      <c r="AH732" s="741"/>
      <c r="AI732" s="741"/>
    </row>
    <row r="733">
      <c r="A733" s="741"/>
      <c r="B733" s="741"/>
      <c r="C733" s="741"/>
      <c r="D733" s="741"/>
      <c r="E733" s="741"/>
      <c r="F733" s="741"/>
      <c r="G733" s="741"/>
      <c r="H733" s="741"/>
      <c r="I733" s="741"/>
      <c r="J733" s="741"/>
      <c r="K733" s="741"/>
      <c r="L733" s="741"/>
      <c r="M733" s="741"/>
      <c r="N733" s="741"/>
      <c r="O733" s="741"/>
      <c r="P733" s="741"/>
      <c r="Q733" s="741"/>
      <c r="R733" s="741"/>
      <c r="S733" s="741"/>
      <c r="T733" s="741"/>
      <c r="U733" s="741"/>
      <c r="V733" s="741"/>
      <c r="W733" s="741"/>
      <c r="X733" s="741"/>
      <c r="Y733" s="741"/>
      <c r="Z733" s="741"/>
      <c r="AA733" s="741"/>
      <c r="AB733" s="741"/>
      <c r="AC733" s="741"/>
      <c r="AD733" s="741"/>
      <c r="AE733" s="741"/>
      <c r="AF733" s="741"/>
      <c r="AG733" s="741"/>
      <c r="AH733" s="741"/>
      <c r="AI733" s="741"/>
    </row>
    <row r="734">
      <c r="A734" s="741"/>
      <c r="B734" s="741"/>
      <c r="C734" s="741"/>
      <c r="D734" s="741"/>
      <c r="E734" s="741"/>
      <c r="F734" s="741"/>
      <c r="G734" s="741"/>
      <c r="H734" s="741"/>
      <c r="I734" s="741"/>
      <c r="J734" s="741"/>
      <c r="K734" s="741"/>
      <c r="L734" s="741"/>
      <c r="M734" s="741"/>
      <c r="N734" s="741"/>
      <c r="O734" s="741"/>
      <c r="P734" s="741"/>
      <c r="Q734" s="741"/>
      <c r="R734" s="741"/>
      <c r="S734" s="741"/>
      <c r="T734" s="741"/>
      <c r="U734" s="741"/>
      <c r="V734" s="741"/>
      <c r="W734" s="741"/>
      <c r="X734" s="741"/>
      <c r="Y734" s="741"/>
      <c r="Z734" s="741"/>
      <c r="AA734" s="741"/>
      <c r="AB734" s="741"/>
      <c r="AC734" s="741"/>
      <c r="AD734" s="741"/>
      <c r="AE734" s="741"/>
      <c r="AF734" s="741"/>
      <c r="AG734" s="741"/>
      <c r="AH734" s="741"/>
      <c r="AI734" s="741"/>
    </row>
    <row r="735">
      <c r="A735" s="741"/>
      <c r="B735" s="741"/>
      <c r="C735" s="741"/>
      <c r="D735" s="741"/>
      <c r="E735" s="741"/>
      <c r="F735" s="741"/>
      <c r="G735" s="741"/>
      <c r="H735" s="741"/>
      <c r="I735" s="741"/>
      <c r="J735" s="741"/>
      <c r="K735" s="741"/>
      <c r="L735" s="741"/>
      <c r="M735" s="741"/>
      <c r="N735" s="741"/>
      <c r="O735" s="741"/>
      <c r="P735" s="741"/>
      <c r="Q735" s="741"/>
      <c r="R735" s="741"/>
      <c r="S735" s="741"/>
      <c r="T735" s="741"/>
      <c r="U735" s="741"/>
      <c r="V735" s="741"/>
      <c r="W735" s="741"/>
      <c r="X735" s="741"/>
      <c r="Y735" s="741"/>
      <c r="Z735" s="741"/>
      <c r="AA735" s="741"/>
      <c r="AB735" s="741"/>
      <c r="AC735" s="741"/>
      <c r="AD735" s="741"/>
      <c r="AE735" s="741"/>
      <c r="AF735" s="741"/>
      <c r="AG735" s="741"/>
      <c r="AH735" s="741"/>
      <c r="AI735" s="741"/>
    </row>
    <row r="736">
      <c r="A736" s="741"/>
      <c r="B736" s="741"/>
      <c r="C736" s="741"/>
      <c r="D736" s="741"/>
      <c r="E736" s="741"/>
      <c r="F736" s="741"/>
      <c r="G736" s="741"/>
      <c r="H736" s="741"/>
      <c r="I736" s="741"/>
      <c r="J736" s="741"/>
      <c r="K736" s="741"/>
      <c r="L736" s="741"/>
      <c r="M736" s="741"/>
      <c r="N736" s="741"/>
      <c r="O736" s="741"/>
      <c r="P736" s="741"/>
      <c r="Q736" s="741"/>
      <c r="R736" s="741"/>
      <c r="S736" s="741"/>
      <c r="T736" s="741"/>
      <c r="U736" s="741"/>
      <c r="V736" s="741"/>
      <c r="W736" s="741"/>
      <c r="X736" s="741"/>
      <c r="Y736" s="741"/>
      <c r="Z736" s="741"/>
      <c r="AA736" s="741"/>
      <c r="AB736" s="741"/>
      <c r="AC736" s="741"/>
      <c r="AD736" s="741"/>
      <c r="AE736" s="741"/>
      <c r="AF736" s="741"/>
      <c r="AG736" s="741"/>
      <c r="AH736" s="741"/>
      <c r="AI736" s="741"/>
    </row>
    <row r="737">
      <c r="A737" s="741"/>
      <c r="B737" s="741"/>
      <c r="C737" s="741"/>
      <c r="D737" s="741"/>
      <c r="E737" s="741"/>
      <c r="F737" s="741"/>
      <c r="G737" s="741"/>
      <c r="H737" s="741"/>
      <c r="I737" s="741"/>
      <c r="J737" s="741"/>
      <c r="K737" s="741"/>
      <c r="L737" s="741"/>
      <c r="M737" s="741"/>
      <c r="N737" s="741"/>
      <c r="O737" s="741"/>
      <c r="P737" s="741"/>
      <c r="Q737" s="741"/>
      <c r="R737" s="741"/>
      <c r="S737" s="741"/>
      <c r="T737" s="741"/>
      <c r="U737" s="741"/>
      <c r="V737" s="741"/>
      <c r="W737" s="741"/>
      <c r="X737" s="741"/>
      <c r="Y737" s="741"/>
      <c r="Z737" s="741"/>
      <c r="AA737" s="741"/>
      <c r="AB737" s="741"/>
      <c r="AC737" s="741"/>
      <c r="AD737" s="741"/>
      <c r="AE737" s="741"/>
      <c r="AF737" s="741"/>
      <c r="AG737" s="741"/>
      <c r="AH737" s="741"/>
      <c r="AI737" s="741"/>
    </row>
    <row r="738">
      <c r="A738" s="741"/>
      <c r="B738" s="741"/>
      <c r="C738" s="741"/>
      <c r="D738" s="741"/>
      <c r="E738" s="741"/>
      <c r="F738" s="741"/>
      <c r="G738" s="741"/>
      <c r="H738" s="741"/>
      <c r="I738" s="741"/>
      <c r="J738" s="741"/>
      <c r="K738" s="741"/>
      <c r="L738" s="741"/>
      <c r="M738" s="741"/>
      <c r="N738" s="741"/>
      <c r="O738" s="741"/>
      <c r="P738" s="741"/>
      <c r="Q738" s="741"/>
      <c r="R738" s="741"/>
      <c r="S738" s="741"/>
      <c r="T738" s="741"/>
      <c r="U738" s="741"/>
      <c r="V738" s="741"/>
      <c r="W738" s="741"/>
      <c r="X738" s="741"/>
      <c r="Y738" s="741"/>
      <c r="Z738" s="741"/>
      <c r="AA738" s="741"/>
      <c r="AB738" s="741"/>
      <c r="AC738" s="741"/>
      <c r="AD738" s="741"/>
      <c r="AE738" s="741"/>
      <c r="AF738" s="741"/>
      <c r="AG738" s="741"/>
      <c r="AH738" s="741"/>
      <c r="AI738" s="741"/>
    </row>
    <row r="739">
      <c r="A739" s="741"/>
      <c r="B739" s="741"/>
      <c r="C739" s="741"/>
      <c r="D739" s="741"/>
      <c r="E739" s="741"/>
      <c r="F739" s="741"/>
      <c r="G739" s="741"/>
      <c r="H739" s="741"/>
      <c r="I739" s="741"/>
      <c r="J739" s="741"/>
      <c r="K739" s="741"/>
      <c r="L739" s="741"/>
      <c r="M739" s="741"/>
      <c r="N739" s="741"/>
      <c r="O739" s="741"/>
      <c r="P739" s="741"/>
      <c r="Q739" s="741"/>
      <c r="R739" s="741"/>
      <c r="S739" s="741"/>
      <c r="T739" s="741"/>
      <c r="U739" s="741"/>
      <c r="V739" s="741"/>
      <c r="W739" s="741"/>
      <c r="X739" s="741"/>
      <c r="Y739" s="741"/>
      <c r="Z739" s="741"/>
      <c r="AA739" s="741"/>
      <c r="AB739" s="741"/>
      <c r="AC739" s="741"/>
      <c r="AD739" s="741"/>
      <c r="AE739" s="741"/>
      <c r="AF739" s="741"/>
      <c r="AG739" s="741"/>
      <c r="AH739" s="741"/>
      <c r="AI739" s="741"/>
    </row>
    <row r="740">
      <c r="A740" s="741"/>
      <c r="B740" s="741"/>
      <c r="C740" s="741"/>
      <c r="D740" s="741"/>
      <c r="E740" s="741"/>
      <c r="F740" s="741"/>
      <c r="G740" s="741"/>
      <c r="H740" s="741"/>
      <c r="I740" s="741"/>
      <c r="J740" s="741"/>
      <c r="K740" s="741"/>
      <c r="L740" s="741"/>
      <c r="M740" s="741"/>
      <c r="N740" s="741"/>
      <c r="O740" s="741"/>
      <c r="P740" s="741"/>
      <c r="Q740" s="741"/>
      <c r="R740" s="741"/>
      <c r="S740" s="741"/>
      <c r="T740" s="741"/>
      <c r="U740" s="741"/>
      <c r="V740" s="741"/>
      <c r="W740" s="741"/>
      <c r="X740" s="741"/>
      <c r="Y740" s="741"/>
      <c r="Z740" s="741"/>
      <c r="AA740" s="741"/>
      <c r="AB740" s="741"/>
      <c r="AC740" s="741"/>
      <c r="AD740" s="741"/>
      <c r="AE740" s="741"/>
      <c r="AF740" s="741"/>
      <c r="AG740" s="741"/>
      <c r="AH740" s="741"/>
      <c r="AI740" s="741"/>
    </row>
    <row r="741">
      <c r="A741" s="741"/>
      <c r="B741" s="741"/>
      <c r="C741" s="741"/>
      <c r="D741" s="741"/>
      <c r="E741" s="741"/>
      <c r="F741" s="741"/>
      <c r="G741" s="741"/>
      <c r="H741" s="741"/>
      <c r="I741" s="741"/>
      <c r="J741" s="741"/>
      <c r="K741" s="741"/>
      <c r="L741" s="741"/>
      <c r="M741" s="741"/>
      <c r="N741" s="741"/>
      <c r="O741" s="741"/>
      <c r="P741" s="741"/>
      <c r="Q741" s="741"/>
      <c r="R741" s="741"/>
      <c r="S741" s="741"/>
      <c r="T741" s="741"/>
      <c r="U741" s="741"/>
      <c r="V741" s="741"/>
      <c r="W741" s="741"/>
      <c r="X741" s="741"/>
      <c r="Y741" s="741"/>
      <c r="Z741" s="741"/>
      <c r="AA741" s="741"/>
      <c r="AB741" s="741"/>
      <c r="AC741" s="741"/>
      <c r="AD741" s="741"/>
      <c r="AE741" s="741"/>
      <c r="AF741" s="741"/>
      <c r="AG741" s="741"/>
      <c r="AH741" s="741"/>
      <c r="AI741" s="741"/>
    </row>
    <row r="742">
      <c r="A742" s="741"/>
      <c r="B742" s="741"/>
      <c r="C742" s="741"/>
      <c r="D742" s="741"/>
      <c r="E742" s="741"/>
      <c r="F742" s="741"/>
      <c r="G742" s="741"/>
      <c r="H742" s="741"/>
      <c r="I742" s="741"/>
      <c r="J742" s="741"/>
      <c r="K742" s="741"/>
      <c r="L742" s="741"/>
      <c r="M742" s="741"/>
      <c r="N742" s="741"/>
      <c r="O742" s="741"/>
      <c r="P742" s="741"/>
      <c r="Q742" s="741"/>
      <c r="R742" s="741"/>
      <c r="S742" s="741"/>
      <c r="T742" s="741"/>
      <c r="U742" s="741"/>
      <c r="V742" s="741"/>
      <c r="W742" s="741"/>
      <c r="X742" s="741"/>
      <c r="Y742" s="741"/>
      <c r="Z742" s="741"/>
      <c r="AA742" s="741"/>
      <c r="AB742" s="741"/>
      <c r="AC742" s="741"/>
      <c r="AD742" s="741"/>
      <c r="AE742" s="741"/>
      <c r="AF742" s="741"/>
      <c r="AG742" s="741"/>
      <c r="AH742" s="741"/>
      <c r="AI742" s="741"/>
    </row>
    <row r="743">
      <c r="A743" s="741"/>
      <c r="B743" s="741"/>
      <c r="C743" s="741"/>
      <c r="D743" s="741"/>
      <c r="E743" s="741"/>
      <c r="F743" s="741"/>
      <c r="G743" s="741"/>
      <c r="H743" s="741"/>
      <c r="I743" s="741"/>
      <c r="J743" s="741"/>
      <c r="K743" s="741"/>
      <c r="L743" s="741"/>
      <c r="M743" s="741"/>
      <c r="N743" s="741"/>
      <c r="O743" s="741"/>
      <c r="P743" s="741"/>
      <c r="Q743" s="741"/>
      <c r="R743" s="741"/>
      <c r="S743" s="741"/>
      <c r="T743" s="741"/>
      <c r="U743" s="741"/>
      <c r="V743" s="741"/>
      <c r="W743" s="741"/>
      <c r="X743" s="741"/>
      <c r="Y743" s="741"/>
      <c r="Z743" s="741"/>
      <c r="AA743" s="741"/>
      <c r="AB743" s="741"/>
      <c r="AC743" s="741"/>
      <c r="AD743" s="741"/>
      <c r="AE743" s="741"/>
      <c r="AF743" s="741"/>
      <c r="AG743" s="741"/>
      <c r="AH743" s="741"/>
      <c r="AI743" s="741"/>
    </row>
    <row r="744">
      <c r="A744" s="741"/>
      <c r="B744" s="741"/>
      <c r="C744" s="741"/>
      <c r="D744" s="741"/>
      <c r="E744" s="741"/>
      <c r="F744" s="741"/>
      <c r="G744" s="741"/>
      <c r="H744" s="741"/>
      <c r="I744" s="741"/>
      <c r="J744" s="741"/>
      <c r="K744" s="741"/>
      <c r="L744" s="741"/>
      <c r="M744" s="741"/>
      <c r="N744" s="741"/>
      <c r="O744" s="741"/>
      <c r="P744" s="741"/>
      <c r="Q744" s="741"/>
      <c r="R744" s="741"/>
      <c r="S744" s="741"/>
      <c r="T744" s="741"/>
      <c r="U744" s="741"/>
      <c r="V744" s="741"/>
      <c r="W744" s="741"/>
      <c r="X744" s="741"/>
      <c r="Y744" s="741"/>
      <c r="Z744" s="741"/>
      <c r="AA744" s="741"/>
      <c r="AB744" s="741"/>
      <c r="AC744" s="741"/>
      <c r="AD744" s="741"/>
      <c r="AE744" s="741"/>
      <c r="AF744" s="741"/>
      <c r="AG744" s="741"/>
      <c r="AH744" s="741"/>
      <c r="AI744" s="741"/>
    </row>
    <row r="745">
      <c r="A745" s="741"/>
      <c r="B745" s="741"/>
      <c r="C745" s="741"/>
      <c r="D745" s="741"/>
      <c r="E745" s="741"/>
      <c r="F745" s="741"/>
      <c r="G745" s="741"/>
      <c r="H745" s="741"/>
      <c r="I745" s="741"/>
      <c r="J745" s="741"/>
      <c r="K745" s="741"/>
      <c r="L745" s="741"/>
      <c r="M745" s="741"/>
      <c r="N745" s="741"/>
      <c r="O745" s="741"/>
      <c r="P745" s="741"/>
      <c r="Q745" s="741"/>
      <c r="R745" s="741"/>
      <c r="S745" s="741"/>
      <c r="T745" s="741"/>
      <c r="U745" s="741"/>
      <c r="V745" s="741"/>
      <c r="W745" s="741"/>
      <c r="X745" s="741"/>
      <c r="Y745" s="741"/>
      <c r="Z745" s="741"/>
      <c r="AA745" s="741"/>
      <c r="AB745" s="741"/>
      <c r="AC745" s="741"/>
      <c r="AD745" s="741"/>
      <c r="AE745" s="741"/>
      <c r="AF745" s="741"/>
      <c r="AG745" s="741"/>
      <c r="AH745" s="741"/>
      <c r="AI745" s="741"/>
    </row>
    <row r="746">
      <c r="A746" s="741"/>
      <c r="B746" s="741"/>
      <c r="C746" s="741"/>
      <c r="D746" s="741"/>
      <c r="E746" s="741"/>
      <c r="F746" s="741"/>
      <c r="G746" s="741"/>
      <c r="H746" s="741"/>
      <c r="I746" s="741"/>
      <c r="J746" s="741"/>
      <c r="K746" s="741"/>
      <c r="L746" s="741"/>
      <c r="M746" s="741"/>
      <c r="N746" s="741"/>
      <c r="O746" s="741"/>
      <c r="P746" s="741"/>
      <c r="Q746" s="741"/>
      <c r="R746" s="741"/>
      <c r="S746" s="741"/>
      <c r="T746" s="741"/>
      <c r="U746" s="741"/>
      <c r="V746" s="741"/>
      <c r="W746" s="741"/>
      <c r="X746" s="741"/>
      <c r="Y746" s="741"/>
      <c r="Z746" s="741"/>
      <c r="AA746" s="741"/>
      <c r="AB746" s="741"/>
      <c r="AC746" s="741"/>
      <c r="AD746" s="741"/>
      <c r="AE746" s="741"/>
      <c r="AF746" s="741"/>
      <c r="AG746" s="741"/>
      <c r="AH746" s="741"/>
      <c r="AI746" s="741"/>
    </row>
    <row r="747">
      <c r="A747" s="741"/>
      <c r="B747" s="741"/>
      <c r="C747" s="741"/>
      <c r="D747" s="741"/>
      <c r="E747" s="741"/>
      <c r="F747" s="741"/>
      <c r="G747" s="741"/>
      <c r="H747" s="741"/>
      <c r="I747" s="741"/>
      <c r="J747" s="741"/>
      <c r="K747" s="741"/>
      <c r="L747" s="741"/>
      <c r="M747" s="741"/>
      <c r="N747" s="741"/>
      <c r="O747" s="741"/>
      <c r="P747" s="741"/>
      <c r="Q747" s="741"/>
      <c r="R747" s="741"/>
      <c r="S747" s="741"/>
      <c r="T747" s="741"/>
      <c r="U747" s="741"/>
      <c r="V747" s="741"/>
      <c r="W747" s="741"/>
      <c r="X747" s="741"/>
      <c r="Y747" s="741"/>
      <c r="Z747" s="741"/>
      <c r="AA747" s="741"/>
      <c r="AB747" s="741"/>
      <c r="AC747" s="741"/>
      <c r="AD747" s="741"/>
      <c r="AE747" s="741"/>
      <c r="AF747" s="741"/>
      <c r="AG747" s="741"/>
      <c r="AH747" s="741"/>
      <c r="AI747" s="741"/>
    </row>
    <row r="748">
      <c r="A748" s="741"/>
      <c r="B748" s="741"/>
      <c r="C748" s="741"/>
      <c r="D748" s="741"/>
      <c r="E748" s="741"/>
      <c r="F748" s="741"/>
      <c r="G748" s="741"/>
      <c r="H748" s="741"/>
      <c r="I748" s="741"/>
      <c r="J748" s="741"/>
      <c r="K748" s="741"/>
      <c r="L748" s="741"/>
      <c r="M748" s="741"/>
      <c r="N748" s="741"/>
      <c r="O748" s="741"/>
      <c r="P748" s="741"/>
      <c r="Q748" s="741"/>
      <c r="R748" s="741"/>
      <c r="S748" s="741"/>
      <c r="T748" s="741"/>
      <c r="U748" s="741"/>
      <c r="V748" s="741"/>
      <c r="W748" s="741"/>
      <c r="X748" s="741"/>
      <c r="Y748" s="741"/>
      <c r="Z748" s="741"/>
      <c r="AA748" s="741"/>
      <c r="AB748" s="741"/>
      <c r="AC748" s="741"/>
      <c r="AD748" s="741"/>
      <c r="AE748" s="741"/>
      <c r="AF748" s="741"/>
      <c r="AG748" s="741"/>
      <c r="AH748" s="741"/>
      <c r="AI748" s="741"/>
    </row>
    <row r="749">
      <c r="A749" s="741"/>
      <c r="B749" s="741"/>
      <c r="C749" s="741"/>
      <c r="D749" s="741"/>
      <c r="E749" s="741"/>
      <c r="F749" s="741"/>
      <c r="G749" s="741"/>
      <c r="H749" s="741"/>
      <c r="I749" s="741"/>
      <c r="J749" s="741"/>
      <c r="K749" s="741"/>
      <c r="L749" s="741"/>
      <c r="M749" s="741"/>
      <c r="N749" s="741"/>
      <c r="O749" s="741"/>
      <c r="P749" s="741"/>
      <c r="Q749" s="741"/>
      <c r="R749" s="741"/>
      <c r="S749" s="741"/>
      <c r="T749" s="741"/>
      <c r="U749" s="741"/>
      <c r="V749" s="741"/>
      <c r="W749" s="741"/>
      <c r="X749" s="741"/>
      <c r="Y749" s="741"/>
      <c r="Z749" s="741"/>
      <c r="AA749" s="741"/>
      <c r="AB749" s="741"/>
      <c r="AC749" s="741"/>
      <c r="AD749" s="741"/>
      <c r="AE749" s="741"/>
      <c r="AF749" s="741"/>
      <c r="AG749" s="741"/>
      <c r="AH749" s="741"/>
      <c r="AI749" s="741"/>
    </row>
    <row r="750">
      <c r="A750" s="741"/>
      <c r="B750" s="741"/>
      <c r="C750" s="741"/>
      <c r="D750" s="741"/>
      <c r="E750" s="741"/>
      <c r="F750" s="741"/>
      <c r="G750" s="741"/>
      <c r="H750" s="741"/>
      <c r="I750" s="741"/>
      <c r="J750" s="741"/>
      <c r="K750" s="741"/>
      <c r="L750" s="741"/>
      <c r="M750" s="741"/>
      <c r="N750" s="741"/>
      <c r="O750" s="741"/>
      <c r="P750" s="741"/>
      <c r="Q750" s="741"/>
      <c r="R750" s="741"/>
      <c r="S750" s="741"/>
      <c r="T750" s="741"/>
      <c r="U750" s="741"/>
      <c r="V750" s="741"/>
      <c r="W750" s="741"/>
      <c r="X750" s="741"/>
      <c r="Y750" s="741"/>
      <c r="Z750" s="741"/>
      <c r="AA750" s="741"/>
      <c r="AB750" s="741"/>
      <c r="AC750" s="741"/>
      <c r="AD750" s="741"/>
      <c r="AE750" s="741"/>
      <c r="AF750" s="741"/>
      <c r="AG750" s="741"/>
      <c r="AH750" s="741"/>
      <c r="AI750" s="741"/>
    </row>
    <row r="751">
      <c r="A751" s="741"/>
      <c r="B751" s="741"/>
      <c r="C751" s="741"/>
      <c r="D751" s="741"/>
      <c r="E751" s="741"/>
      <c r="F751" s="741"/>
      <c r="G751" s="741"/>
      <c r="H751" s="741"/>
      <c r="I751" s="741"/>
      <c r="J751" s="741"/>
      <c r="K751" s="741"/>
      <c r="L751" s="741"/>
      <c r="M751" s="741"/>
      <c r="N751" s="741"/>
      <c r="O751" s="741"/>
      <c r="P751" s="741"/>
      <c r="Q751" s="741"/>
      <c r="R751" s="741"/>
      <c r="S751" s="741"/>
      <c r="T751" s="741"/>
      <c r="U751" s="741"/>
      <c r="V751" s="741"/>
      <c r="W751" s="741"/>
      <c r="X751" s="741"/>
      <c r="Y751" s="741"/>
      <c r="Z751" s="741"/>
      <c r="AA751" s="741"/>
      <c r="AB751" s="741"/>
      <c r="AC751" s="741"/>
      <c r="AD751" s="741"/>
      <c r="AE751" s="741"/>
      <c r="AF751" s="741"/>
      <c r="AG751" s="741"/>
      <c r="AH751" s="741"/>
      <c r="AI751" s="741"/>
    </row>
    <row r="752">
      <c r="A752" s="741"/>
      <c r="B752" s="741"/>
      <c r="C752" s="741"/>
      <c r="D752" s="741"/>
      <c r="E752" s="741"/>
      <c r="F752" s="741"/>
      <c r="G752" s="741"/>
      <c r="H752" s="741"/>
      <c r="I752" s="741"/>
      <c r="J752" s="741"/>
      <c r="K752" s="741"/>
      <c r="L752" s="741"/>
      <c r="M752" s="741"/>
      <c r="N752" s="741"/>
      <c r="O752" s="741"/>
      <c r="P752" s="741"/>
      <c r="Q752" s="741"/>
      <c r="R752" s="741"/>
      <c r="S752" s="741"/>
      <c r="T752" s="741"/>
      <c r="U752" s="741"/>
      <c r="V752" s="741"/>
      <c r="W752" s="741"/>
      <c r="X752" s="741"/>
      <c r="Y752" s="741"/>
      <c r="Z752" s="741"/>
      <c r="AA752" s="741"/>
      <c r="AB752" s="741"/>
      <c r="AC752" s="741"/>
      <c r="AD752" s="741"/>
      <c r="AE752" s="741"/>
      <c r="AF752" s="741"/>
      <c r="AG752" s="741"/>
      <c r="AH752" s="741"/>
      <c r="AI752" s="741"/>
    </row>
    <row r="753">
      <c r="A753" s="741"/>
      <c r="B753" s="741"/>
      <c r="C753" s="741"/>
      <c r="D753" s="741"/>
      <c r="E753" s="741"/>
      <c r="F753" s="741"/>
      <c r="G753" s="741"/>
      <c r="H753" s="741"/>
      <c r="I753" s="741"/>
      <c r="J753" s="741"/>
      <c r="K753" s="741"/>
      <c r="L753" s="741"/>
      <c r="M753" s="741"/>
      <c r="N753" s="741"/>
      <c r="O753" s="741"/>
      <c r="P753" s="741"/>
      <c r="Q753" s="741"/>
      <c r="R753" s="741"/>
      <c r="S753" s="741"/>
      <c r="T753" s="741"/>
      <c r="U753" s="741"/>
      <c r="V753" s="741"/>
      <c r="W753" s="741"/>
      <c r="X753" s="741"/>
      <c r="Y753" s="741"/>
      <c r="Z753" s="741"/>
      <c r="AA753" s="741"/>
      <c r="AB753" s="741"/>
      <c r="AC753" s="741"/>
      <c r="AD753" s="741"/>
      <c r="AE753" s="741"/>
      <c r="AF753" s="741"/>
      <c r="AG753" s="741"/>
      <c r="AH753" s="741"/>
      <c r="AI753" s="741"/>
    </row>
    <row r="754">
      <c r="A754" s="741"/>
      <c r="B754" s="741"/>
      <c r="C754" s="741"/>
      <c r="D754" s="741"/>
      <c r="E754" s="741"/>
      <c r="F754" s="741"/>
      <c r="G754" s="741"/>
      <c r="H754" s="741"/>
      <c r="I754" s="741"/>
      <c r="J754" s="741"/>
      <c r="K754" s="741"/>
      <c r="L754" s="741"/>
      <c r="M754" s="741"/>
      <c r="N754" s="741"/>
      <c r="O754" s="741"/>
      <c r="P754" s="741"/>
      <c r="Q754" s="741"/>
      <c r="R754" s="741"/>
      <c r="S754" s="741"/>
      <c r="T754" s="741"/>
      <c r="U754" s="741"/>
      <c r="V754" s="741"/>
      <c r="W754" s="741"/>
      <c r="X754" s="741"/>
      <c r="Y754" s="741"/>
      <c r="Z754" s="741"/>
      <c r="AA754" s="741"/>
      <c r="AB754" s="741"/>
      <c r="AC754" s="741"/>
      <c r="AD754" s="741"/>
      <c r="AE754" s="741"/>
      <c r="AF754" s="741"/>
      <c r="AG754" s="741"/>
      <c r="AH754" s="741"/>
      <c r="AI754" s="741"/>
    </row>
    <row r="755">
      <c r="A755" s="741"/>
      <c r="B755" s="741"/>
      <c r="C755" s="741"/>
      <c r="D755" s="741"/>
      <c r="E755" s="741"/>
      <c r="F755" s="741"/>
      <c r="G755" s="741"/>
      <c r="H755" s="741"/>
      <c r="I755" s="741"/>
      <c r="J755" s="741"/>
      <c r="K755" s="741"/>
      <c r="L755" s="741"/>
      <c r="M755" s="741"/>
      <c r="N755" s="741"/>
      <c r="O755" s="741"/>
      <c r="P755" s="741"/>
      <c r="Q755" s="741"/>
      <c r="R755" s="741"/>
      <c r="S755" s="741"/>
      <c r="T755" s="741"/>
      <c r="U755" s="741"/>
      <c r="V755" s="741"/>
      <c r="W755" s="741"/>
      <c r="X755" s="741"/>
      <c r="Y755" s="741"/>
      <c r="Z755" s="741"/>
      <c r="AA755" s="741"/>
      <c r="AB755" s="741"/>
      <c r="AC755" s="741"/>
      <c r="AD755" s="741"/>
      <c r="AE755" s="741"/>
      <c r="AF755" s="741"/>
      <c r="AG755" s="741"/>
      <c r="AH755" s="741"/>
      <c r="AI755" s="741"/>
    </row>
    <row r="756">
      <c r="A756" s="741"/>
      <c r="B756" s="741"/>
      <c r="C756" s="741"/>
      <c r="D756" s="741"/>
      <c r="E756" s="741"/>
      <c r="F756" s="741"/>
      <c r="G756" s="741"/>
      <c r="H756" s="741"/>
      <c r="I756" s="741"/>
      <c r="J756" s="741"/>
      <c r="K756" s="741"/>
      <c r="L756" s="741"/>
      <c r="M756" s="741"/>
      <c r="N756" s="741"/>
      <c r="O756" s="741"/>
      <c r="P756" s="741"/>
      <c r="Q756" s="741"/>
      <c r="R756" s="741"/>
      <c r="S756" s="741"/>
      <c r="T756" s="741"/>
      <c r="U756" s="741"/>
      <c r="V756" s="741"/>
      <c r="W756" s="741"/>
      <c r="X756" s="741"/>
      <c r="Y756" s="741"/>
      <c r="Z756" s="741"/>
      <c r="AA756" s="741"/>
      <c r="AB756" s="741"/>
      <c r="AC756" s="741"/>
      <c r="AD756" s="741"/>
      <c r="AE756" s="741"/>
      <c r="AF756" s="741"/>
      <c r="AG756" s="741"/>
      <c r="AH756" s="741"/>
      <c r="AI756" s="741"/>
    </row>
    <row r="757">
      <c r="A757" s="741"/>
      <c r="B757" s="741"/>
      <c r="C757" s="741"/>
      <c r="D757" s="741"/>
      <c r="E757" s="741"/>
      <c r="F757" s="741"/>
      <c r="G757" s="741"/>
      <c r="H757" s="741"/>
      <c r="I757" s="741"/>
      <c r="J757" s="741"/>
      <c r="K757" s="741"/>
      <c r="L757" s="741"/>
      <c r="M757" s="741"/>
      <c r="N757" s="741"/>
      <c r="O757" s="741"/>
      <c r="P757" s="741"/>
      <c r="Q757" s="741"/>
      <c r="R757" s="741"/>
      <c r="S757" s="741"/>
      <c r="T757" s="741"/>
      <c r="U757" s="741"/>
      <c r="V757" s="741"/>
      <c r="W757" s="741"/>
      <c r="X757" s="741"/>
      <c r="Y757" s="741"/>
      <c r="Z757" s="741"/>
      <c r="AA757" s="741"/>
      <c r="AB757" s="741"/>
      <c r="AC757" s="741"/>
      <c r="AD757" s="741"/>
      <c r="AE757" s="741"/>
      <c r="AF757" s="741"/>
      <c r="AG757" s="741"/>
      <c r="AH757" s="741"/>
      <c r="AI757" s="741"/>
    </row>
    <row r="758">
      <c r="A758" s="741"/>
      <c r="B758" s="741"/>
      <c r="C758" s="741"/>
      <c r="D758" s="741"/>
      <c r="E758" s="741"/>
      <c r="F758" s="741"/>
      <c r="G758" s="741"/>
      <c r="H758" s="741"/>
      <c r="I758" s="741"/>
      <c r="J758" s="741"/>
      <c r="K758" s="741"/>
      <c r="L758" s="741"/>
      <c r="M758" s="741"/>
      <c r="N758" s="741"/>
      <c r="O758" s="741"/>
      <c r="P758" s="741"/>
      <c r="Q758" s="741"/>
      <c r="R758" s="741"/>
      <c r="S758" s="741"/>
      <c r="T758" s="741"/>
      <c r="U758" s="741"/>
      <c r="V758" s="741"/>
      <c r="W758" s="741"/>
      <c r="X758" s="741"/>
      <c r="Y758" s="741"/>
      <c r="Z758" s="741"/>
      <c r="AA758" s="741"/>
      <c r="AB758" s="741"/>
      <c r="AC758" s="741"/>
      <c r="AD758" s="741"/>
      <c r="AE758" s="741"/>
      <c r="AF758" s="741"/>
      <c r="AG758" s="741"/>
      <c r="AH758" s="741"/>
      <c r="AI758" s="741"/>
    </row>
    <row r="759">
      <c r="A759" s="741"/>
      <c r="B759" s="741"/>
      <c r="C759" s="741"/>
      <c r="D759" s="741"/>
      <c r="E759" s="741"/>
      <c r="F759" s="741"/>
      <c r="G759" s="741"/>
      <c r="H759" s="741"/>
      <c r="I759" s="741"/>
      <c r="J759" s="741"/>
      <c r="K759" s="741"/>
      <c r="L759" s="741"/>
      <c r="M759" s="741"/>
      <c r="N759" s="741"/>
      <c r="O759" s="741"/>
      <c r="P759" s="741"/>
      <c r="Q759" s="741"/>
      <c r="R759" s="741"/>
      <c r="S759" s="741"/>
      <c r="T759" s="741"/>
      <c r="U759" s="741"/>
      <c r="V759" s="741"/>
      <c r="W759" s="741"/>
      <c r="X759" s="741"/>
      <c r="Y759" s="741"/>
      <c r="Z759" s="741"/>
      <c r="AA759" s="741"/>
      <c r="AB759" s="741"/>
      <c r="AC759" s="741"/>
      <c r="AD759" s="741"/>
      <c r="AE759" s="741"/>
      <c r="AF759" s="741"/>
      <c r="AG759" s="741"/>
      <c r="AH759" s="741"/>
      <c r="AI759" s="741"/>
    </row>
    <row r="760">
      <c r="A760" s="741"/>
      <c r="B760" s="741"/>
      <c r="C760" s="741"/>
      <c r="D760" s="741"/>
      <c r="E760" s="741"/>
      <c r="F760" s="741"/>
      <c r="G760" s="741"/>
      <c r="H760" s="741"/>
      <c r="I760" s="741"/>
      <c r="J760" s="741"/>
      <c r="K760" s="741"/>
      <c r="L760" s="741"/>
      <c r="M760" s="741"/>
      <c r="N760" s="741"/>
      <c r="O760" s="741"/>
      <c r="P760" s="741"/>
      <c r="Q760" s="741"/>
      <c r="R760" s="741"/>
      <c r="S760" s="741"/>
      <c r="T760" s="741"/>
      <c r="U760" s="741"/>
      <c r="V760" s="741"/>
      <c r="W760" s="741"/>
      <c r="X760" s="741"/>
      <c r="Y760" s="741"/>
      <c r="Z760" s="741"/>
      <c r="AA760" s="741"/>
      <c r="AB760" s="741"/>
      <c r="AC760" s="741"/>
      <c r="AD760" s="741"/>
      <c r="AE760" s="741"/>
      <c r="AF760" s="741"/>
      <c r="AG760" s="741"/>
      <c r="AH760" s="741"/>
      <c r="AI760" s="741"/>
    </row>
    <row r="761">
      <c r="A761" s="741"/>
      <c r="B761" s="741"/>
      <c r="C761" s="741"/>
      <c r="D761" s="741"/>
      <c r="E761" s="741"/>
      <c r="F761" s="741"/>
      <c r="G761" s="741"/>
      <c r="H761" s="741"/>
      <c r="I761" s="741"/>
      <c r="J761" s="741"/>
      <c r="K761" s="741"/>
      <c r="L761" s="741"/>
      <c r="M761" s="741"/>
      <c r="N761" s="741"/>
      <c r="O761" s="741"/>
      <c r="P761" s="741"/>
      <c r="Q761" s="741"/>
      <c r="R761" s="741"/>
      <c r="S761" s="741"/>
      <c r="T761" s="741"/>
      <c r="U761" s="741"/>
      <c r="V761" s="741"/>
      <c r="W761" s="741"/>
      <c r="X761" s="741"/>
      <c r="Y761" s="741"/>
      <c r="Z761" s="741"/>
      <c r="AA761" s="741"/>
      <c r="AB761" s="741"/>
      <c r="AC761" s="741"/>
      <c r="AD761" s="741"/>
      <c r="AE761" s="741"/>
      <c r="AF761" s="741"/>
      <c r="AG761" s="741"/>
      <c r="AH761" s="741"/>
      <c r="AI761" s="741"/>
    </row>
    <row r="762">
      <c r="A762" s="741"/>
      <c r="B762" s="741"/>
      <c r="C762" s="741"/>
      <c r="D762" s="741"/>
      <c r="E762" s="741"/>
      <c r="F762" s="741"/>
      <c r="G762" s="741"/>
      <c r="H762" s="741"/>
      <c r="I762" s="741"/>
      <c r="J762" s="741"/>
      <c r="K762" s="741"/>
      <c r="L762" s="741"/>
      <c r="M762" s="741"/>
      <c r="N762" s="741"/>
      <c r="O762" s="741"/>
      <c r="P762" s="741"/>
      <c r="Q762" s="741"/>
      <c r="R762" s="741"/>
      <c r="S762" s="741"/>
      <c r="T762" s="741"/>
      <c r="U762" s="741"/>
      <c r="V762" s="741"/>
      <c r="W762" s="741"/>
      <c r="X762" s="741"/>
      <c r="Y762" s="741"/>
      <c r="Z762" s="741"/>
      <c r="AA762" s="741"/>
      <c r="AB762" s="741"/>
      <c r="AC762" s="741"/>
      <c r="AD762" s="741"/>
      <c r="AE762" s="741"/>
      <c r="AF762" s="741"/>
      <c r="AG762" s="741"/>
      <c r="AH762" s="741"/>
      <c r="AI762" s="741"/>
    </row>
    <row r="763">
      <c r="A763" s="741"/>
      <c r="B763" s="741"/>
      <c r="C763" s="741"/>
      <c r="D763" s="741"/>
      <c r="E763" s="741"/>
      <c r="F763" s="741"/>
      <c r="G763" s="741"/>
      <c r="H763" s="741"/>
      <c r="I763" s="741"/>
      <c r="J763" s="741"/>
      <c r="K763" s="741"/>
      <c r="L763" s="741"/>
      <c r="M763" s="741"/>
      <c r="N763" s="741"/>
      <c r="O763" s="741"/>
      <c r="P763" s="741"/>
      <c r="Q763" s="741"/>
      <c r="R763" s="741"/>
      <c r="S763" s="741"/>
      <c r="T763" s="741"/>
      <c r="U763" s="741"/>
      <c r="V763" s="741"/>
      <c r="W763" s="741"/>
      <c r="X763" s="741"/>
      <c r="Y763" s="741"/>
      <c r="Z763" s="741"/>
      <c r="AA763" s="741"/>
      <c r="AB763" s="741"/>
      <c r="AC763" s="741"/>
      <c r="AD763" s="741"/>
      <c r="AE763" s="741"/>
      <c r="AF763" s="741"/>
      <c r="AG763" s="741"/>
      <c r="AH763" s="741"/>
      <c r="AI763" s="741"/>
    </row>
    <row r="764">
      <c r="A764" s="741"/>
      <c r="B764" s="741"/>
      <c r="C764" s="741"/>
      <c r="D764" s="741"/>
      <c r="E764" s="741"/>
      <c r="F764" s="741"/>
      <c r="G764" s="741"/>
      <c r="H764" s="741"/>
      <c r="I764" s="741"/>
      <c r="J764" s="741"/>
      <c r="K764" s="741"/>
      <c r="L764" s="741"/>
      <c r="M764" s="741"/>
      <c r="N764" s="741"/>
      <c r="O764" s="741"/>
      <c r="P764" s="741"/>
      <c r="Q764" s="741"/>
      <c r="R764" s="741"/>
      <c r="S764" s="741"/>
      <c r="T764" s="741"/>
      <c r="U764" s="741"/>
      <c r="V764" s="741"/>
      <c r="W764" s="741"/>
      <c r="X764" s="741"/>
      <c r="Y764" s="741"/>
      <c r="Z764" s="741"/>
      <c r="AA764" s="741"/>
      <c r="AB764" s="741"/>
      <c r="AC764" s="741"/>
      <c r="AD764" s="741"/>
      <c r="AE764" s="741"/>
      <c r="AF764" s="741"/>
      <c r="AG764" s="741"/>
      <c r="AH764" s="741"/>
      <c r="AI764" s="741"/>
    </row>
    <row r="765">
      <c r="A765" s="741"/>
      <c r="B765" s="741"/>
      <c r="C765" s="741"/>
      <c r="D765" s="741"/>
      <c r="E765" s="741"/>
      <c r="F765" s="741"/>
      <c r="G765" s="741"/>
      <c r="H765" s="741"/>
      <c r="I765" s="741"/>
      <c r="J765" s="741"/>
      <c r="K765" s="741"/>
      <c r="L765" s="741"/>
      <c r="M765" s="741"/>
      <c r="N765" s="741"/>
      <c r="O765" s="741"/>
      <c r="P765" s="741"/>
      <c r="Q765" s="741"/>
      <c r="R765" s="741"/>
      <c r="S765" s="741"/>
      <c r="T765" s="741"/>
      <c r="U765" s="741"/>
      <c r="V765" s="741"/>
      <c r="W765" s="741"/>
      <c r="X765" s="741"/>
      <c r="Y765" s="741"/>
      <c r="Z765" s="741"/>
      <c r="AA765" s="741"/>
      <c r="AB765" s="741"/>
      <c r="AC765" s="741"/>
      <c r="AD765" s="741"/>
      <c r="AE765" s="741"/>
      <c r="AF765" s="741"/>
      <c r="AG765" s="741"/>
      <c r="AH765" s="741"/>
      <c r="AI765" s="741"/>
    </row>
    <row r="766">
      <c r="A766" s="741"/>
      <c r="B766" s="741"/>
      <c r="C766" s="741"/>
      <c r="D766" s="741"/>
      <c r="E766" s="741"/>
      <c r="F766" s="741"/>
      <c r="G766" s="741"/>
      <c r="H766" s="741"/>
      <c r="I766" s="741"/>
      <c r="J766" s="741"/>
      <c r="K766" s="741"/>
      <c r="L766" s="741"/>
      <c r="M766" s="741"/>
      <c r="N766" s="741"/>
      <c r="O766" s="741"/>
      <c r="P766" s="741"/>
      <c r="Q766" s="741"/>
      <c r="R766" s="741"/>
      <c r="S766" s="741"/>
      <c r="T766" s="741"/>
      <c r="U766" s="741"/>
      <c r="V766" s="741"/>
      <c r="W766" s="741"/>
      <c r="X766" s="741"/>
      <c r="Y766" s="741"/>
      <c r="Z766" s="741"/>
      <c r="AA766" s="741"/>
      <c r="AB766" s="741"/>
      <c r="AC766" s="741"/>
      <c r="AD766" s="741"/>
      <c r="AE766" s="741"/>
      <c r="AF766" s="741"/>
      <c r="AG766" s="741"/>
      <c r="AH766" s="741"/>
      <c r="AI766" s="741"/>
    </row>
    <row r="767">
      <c r="A767" s="741"/>
      <c r="B767" s="741"/>
      <c r="C767" s="741"/>
      <c r="D767" s="741"/>
      <c r="E767" s="741"/>
      <c r="F767" s="741"/>
      <c r="G767" s="741"/>
      <c r="H767" s="741"/>
      <c r="I767" s="741"/>
      <c r="J767" s="741"/>
      <c r="K767" s="741"/>
      <c r="L767" s="741"/>
      <c r="M767" s="741"/>
      <c r="N767" s="741"/>
      <c r="O767" s="741"/>
      <c r="P767" s="741"/>
      <c r="Q767" s="741"/>
      <c r="R767" s="741"/>
      <c r="S767" s="741"/>
      <c r="T767" s="741"/>
      <c r="U767" s="741"/>
      <c r="V767" s="741"/>
      <c r="W767" s="741"/>
      <c r="X767" s="741"/>
      <c r="Y767" s="741"/>
      <c r="Z767" s="741"/>
      <c r="AA767" s="741"/>
      <c r="AB767" s="741"/>
      <c r="AC767" s="741"/>
      <c r="AD767" s="741"/>
      <c r="AE767" s="741"/>
      <c r="AF767" s="741"/>
      <c r="AG767" s="741"/>
      <c r="AH767" s="741"/>
      <c r="AI767" s="741"/>
    </row>
    <row r="768">
      <c r="A768" s="741"/>
      <c r="B768" s="741"/>
      <c r="C768" s="741"/>
      <c r="D768" s="741"/>
      <c r="E768" s="741"/>
      <c r="F768" s="741"/>
      <c r="G768" s="741"/>
      <c r="H768" s="741"/>
      <c r="I768" s="741"/>
      <c r="J768" s="741"/>
      <c r="K768" s="741"/>
      <c r="L768" s="741"/>
      <c r="M768" s="741"/>
      <c r="N768" s="741"/>
      <c r="O768" s="741"/>
      <c r="P768" s="741"/>
      <c r="Q768" s="741"/>
      <c r="R768" s="741"/>
      <c r="S768" s="741"/>
      <c r="T768" s="741"/>
      <c r="U768" s="741"/>
      <c r="V768" s="741"/>
      <c r="W768" s="741"/>
      <c r="X768" s="741"/>
      <c r="Y768" s="741"/>
      <c r="Z768" s="741"/>
      <c r="AA768" s="741"/>
      <c r="AB768" s="741"/>
      <c r="AC768" s="741"/>
      <c r="AD768" s="741"/>
      <c r="AE768" s="741"/>
      <c r="AF768" s="741"/>
      <c r="AG768" s="741"/>
      <c r="AH768" s="741"/>
      <c r="AI768" s="741"/>
    </row>
    <row r="769">
      <c r="A769" s="741"/>
      <c r="B769" s="741"/>
      <c r="C769" s="741"/>
      <c r="D769" s="741"/>
      <c r="E769" s="741"/>
      <c r="F769" s="741"/>
      <c r="G769" s="741"/>
      <c r="H769" s="741"/>
      <c r="I769" s="741"/>
      <c r="J769" s="741"/>
      <c r="K769" s="741"/>
      <c r="L769" s="741"/>
      <c r="M769" s="741"/>
      <c r="N769" s="741"/>
      <c r="O769" s="741"/>
      <c r="P769" s="741"/>
      <c r="Q769" s="741"/>
      <c r="R769" s="741"/>
      <c r="S769" s="741"/>
      <c r="T769" s="741"/>
      <c r="U769" s="741"/>
      <c r="V769" s="741"/>
      <c r="W769" s="741"/>
      <c r="X769" s="741"/>
      <c r="Y769" s="741"/>
      <c r="Z769" s="741"/>
      <c r="AA769" s="741"/>
      <c r="AB769" s="741"/>
      <c r="AC769" s="741"/>
      <c r="AD769" s="741"/>
      <c r="AE769" s="741"/>
      <c r="AF769" s="741"/>
      <c r="AG769" s="741"/>
      <c r="AH769" s="741"/>
      <c r="AI769" s="741"/>
    </row>
  </sheetData>
  <mergeCells>
    <mergeCell ref="A410:A429"/>
    <mergeCell ref="B415:C415"/>
    <mergeCell ref="B418:C418"/>
    <mergeCell ref="B422:C422"/>
    <mergeCell ref="B428:C428"/>
    <mergeCell ref="B429:C429"/>
    <mergeCell ref="B360:C360"/>
    <mergeCell ref="A347:A366"/>
    <mergeCell ref="B365:C365"/>
    <mergeCell ref="B366:C366"/>
    <mergeCell ref="B354:C354"/>
    <mergeCell ref="B351:C351"/>
    <mergeCell ref="B344:C344"/>
    <mergeCell ref="B345:C345"/>
    <mergeCell ref="A335:A345"/>
    <mergeCell ref="T1:W1"/>
    <mergeCell ref="K1:S1"/>
    <mergeCell ref="D1:J1"/>
    <mergeCell ref="A1:C1"/>
    <mergeCell ref="A3:A12"/>
    <mergeCell ref="B7:C7"/>
    <mergeCell ref="B11:C11"/>
    <mergeCell ref="B12:C12"/>
    <mergeCell ref="T13:W13"/>
    <mergeCell ref="K13:S13"/>
    <mergeCell ref="D13:J13"/>
    <mergeCell ref="X13:Y13"/>
    <mergeCell ref="A13:C13"/>
    <mergeCell ref="A15:A25"/>
    <mergeCell ref="B19:C19"/>
    <mergeCell ref="B24:C24"/>
    <mergeCell ref="B25:C25"/>
    <mergeCell ref="D26:J26"/>
    <mergeCell ref="K26:S26"/>
    <mergeCell ref="T26:W26"/>
    <mergeCell ref="X26:Y26"/>
    <mergeCell ref="A26:C26"/>
    <mergeCell ref="A28:A38"/>
    <mergeCell ref="B32:C32"/>
    <mergeCell ref="B37:C37"/>
    <mergeCell ref="B38:C38"/>
    <mergeCell ref="D39:J39"/>
    <mergeCell ref="K39:S39"/>
    <mergeCell ref="T39:W39"/>
    <mergeCell ref="X39:Y39"/>
    <mergeCell ref="A39:C39"/>
    <mergeCell ref="A41:A51"/>
    <mergeCell ref="B45:C45"/>
    <mergeCell ref="B50:C50"/>
    <mergeCell ref="B51:C51"/>
    <mergeCell ref="D52:J52"/>
    <mergeCell ref="K52:S52"/>
    <mergeCell ref="T52:W52"/>
    <mergeCell ref="X52:Y52"/>
    <mergeCell ref="A52:C52"/>
    <mergeCell ref="A54:A64"/>
    <mergeCell ref="B58:C58"/>
    <mergeCell ref="B63:C63"/>
    <mergeCell ref="B64:C64"/>
    <mergeCell ref="D65:J65"/>
    <mergeCell ref="K65:S65"/>
    <mergeCell ref="T65:W65"/>
    <mergeCell ref="X65:Y65"/>
    <mergeCell ref="A65:C65"/>
    <mergeCell ref="A67:A77"/>
    <mergeCell ref="B71:C71"/>
    <mergeCell ref="B76:C76"/>
    <mergeCell ref="B77:C77"/>
    <mergeCell ref="D78:J78"/>
    <mergeCell ref="K78:S78"/>
    <mergeCell ref="T78:W78"/>
    <mergeCell ref="X78:Y78"/>
    <mergeCell ref="A78:C78"/>
    <mergeCell ref="A80:A98"/>
    <mergeCell ref="B85:C85"/>
    <mergeCell ref="B91:C91"/>
    <mergeCell ref="B97:C97"/>
    <mergeCell ref="B98:C98"/>
    <mergeCell ref="D99:J99"/>
    <mergeCell ref="K99:S99"/>
    <mergeCell ref="T99:W99"/>
    <mergeCell ref="X99:Y99"/>
    <mergeCell ref="A99:C99"/>
    <mergeCell ref="A101:A116"/>
    <mergeCell ref="B106:C106"/>
    <mergeCell ref="B112:C112"/>
    <mergeCell ref="B115:C115"/>
    <mergeCell ref="B116:C116"/>
    <mergeCell ref="D117:J117"/>
    <mergeCell ref="K117:S117"/>
    <mergeCell ref="T117:W117"/>
    <mergeCell ref="X117:Y117"/>
    <mergeCell ref="A117:C117"/>
    <mergeCell ref="A119:A131"/>
    <mergeCell ref="B124:C124"/>
    <mergeCell ref="B130:C130"/>
    <mergeCell ref="B131:C131"/>
    <mergeCell ref="D132:J132"/>
    <mergeCell ref="K132:S132"/>
    <mergeCell ref="T132:W132"/>
    <mergeCell ref="X132:Y132"/>
    <mergeCell ref="A132:C132"/>
    <mergeCell ref="A134:A152"/>
    <mergeCell ref="B139:C139"/>
    <mergeCell ref="B145:C145"/>
    <mergeCell ref="B151:C151"/>
    <mergeCell ref="B152:C152"/>
    <mergeCell ref="D153:J153"/>
    <mergeCell ref="K153:S153"/>
    <mergeCell ref="T153:W153"/>
    <mergeCell ref="X153:Y153"/>
    <mergeCell ref="A153:C153"/>
    <mergeCell ref="A155:A173"/>
    <mergeCell ref="B160:C160"/>
    <mergeCell ref="B166:C166"/>
    <mergeCell ref="B172:C172"/>
    <mergeCell ref="B173:C173"/>
    <mergeCell ref="A175:A193"/>
    <mergeCell ref="B180:C180"/>
    <mergeCell ref="B186:C186"/>
    <mergeCell ref="B192:C192"/>
    <mergeCell ref="B193:C193"/>
    <mergeCell ref="A195:A213"/>
    <mergeCell ref="B200:C200"/>
    <mergeCell ref="B206:C206"/>
    <mergeCell ref="B212:C212"/>
    <mergeCell ref="B213:C213"/>
    <mergeCell ref="A215:A233"/>
    <mergeCell ref="B220:C220"/>
    <mergeCell ref="B226:C226"/>
    <mergeCell ref="B232:C232"/>
    <mergeCell ref="B233:C233"/>
    <mergeCell ref="A235:A253"/>
    <mergeCell ref="B240:C240"/>
    <mergeCell ref="B245:C245"/>
    <mergeCell ref="B252:C252"/>
    <mergeCell ref="B253:C253"/>
    <mergeCell ref="A255:A273"/>
    <mergeCell ref="B260:C260"/>
    <mergeCell ref="B266:C266"/>
    <mergeCell ref="B272:C272"/>
    <mergeCell ref="B273:C273"/>
    <mergeCell ref="A275:A293"/>
    <mergeCell ref="B280:C280"/>
    <mergeCell ref="B286:C286"/>
    <mergeCell ref="B292:C292"/>
    <mergeCell ref="B293:C293"/>
    <mergeCell ref="A295:A313"/>
    <mergeCell ref="B300:C300"/>
    <mergeCell ref="B306:C306"/>
    <mergeCell ref="B312:C312"/>
    <mergeCell ref="B313:C313"/>
    <mergeCell ref="A315:A333"/>
    <mergeCell ref="B320:C320"/>
    <mergeCell ref="B326:C326"/>
    <mergeCell ref="B332:C332"/>
    <mergeCell ref="B333:C333"/>
    <mergeCell ref="B340:C340"/>
    <mergeCell ref="A368:A387"/>
    <mergeCell ref="B372:C372"/>
    <mergeCell ref="B375:C375"/>
    <mergeCell ref="B381:C381"/>
    <mergeCell ref="B386:C386"/>
    <mergeCell ref="B387:C387"/>
    <mergeCell ref="B393:C393"/>
    <mergeCell ref="B396:C396"/>
    <mergeCell ref="B400:C400"/>
    <mergeCell ref="B408:C408"/>
    <mergeCell ref="B407:C407"/>
    <mergeCell ref="A389:A408"/>
    <mergeCell ref="B436:C436"/>
    <mergeCell ref="B441:C441"/>
    <mergeCell ref="B444:C444"/>
    <mergeCell ref="B449:C449"/>
    <mergeCell ref="B450:C450"/>
    <mergeCell ref="A431:A450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742"/>
      <c r="B1" s="742"/>
      <c r="C1" s="742"/>
      <c r="D1" s="743" t="s">
        <v>366</v>
      </c>
      <c r="E1" s="743"/>
      <c r="F1" s="743"/>
      <c r="G1" s="743"/>
      <c r="H1" s="743"/>
      <c r="I1" s="743"/>
      <c r="J1" s="743"/>
      <c r="K1" s="743"/>
      <c r="L1" s="744" t="s">
        <v>367</v>
      </c>
      <c r="M1" s="744"/>
      <c r="N1" s="744"/>
      <c r="O1" s="744"/>
      <c r="P1" s="744"/>
      <c r="Q1" s="744"/>
      <c r="R1" s="744"/>
      <c r="S1" s="744"/>
      <c r="T1" s="744"/>
      <c r="U1" s="745" t="s">
        <v>368</v>
      </c>
      <c r="V1" s="745"/>
      <c r="W1" s="745"/>
      <c r="X1" s="745"/>
      <c r="Y1" s="746"/>
      <c r="Z1" s="746"/>
      <c r="AA1" s="747"/>
      <c r="AB1" s="747"/>
      <c r="AC1" s="747"/>
      <c r="AD1" s="747"/>
      <c r="AE1" s="747"/>
      <c r="AF1" s="747"/>
      <c r="AG1" s="747"/>
      <c r="AH1" s="747"/>
      <c r="AI1" s="748"/>
      <c r="AJ1" s="747"/>
      <c r="AK1" s="747"/>
    </row>
    <row r="2">
      <c r="A2" s="749" t="s">
        <v>369</v>
      </c>
      <c r="B2" s="742" t="s">
        <v>370</v>
      </c>
      <c r="C2" s="750" t="s">
        <v>371</v>
      </c>
      <c r="D2" s="751" t="s">
        <v>372</v>
      </c>
      <c r="E2" s="752" t="s">
        <v>373</v>
      </c>
      <c r="F2" s="753" t="s">
        <v>374</v>
      </c>
      <c r="G2" s="754" t="s">
        <v>375</v>
      </c>
      <c r="H2" s="755" t="s">
        <v>376</v>
      </c>
      <c r="I2" s="755" t="s">
        <v>377</v>
      </c>
      <c r="J2" s="755" t="s">
        <v>378</v>
      </c>
      <c r="K2" s="755" t="s">
        <v>379</v>
      </c>
      <c r="L2" s="744" t="s">
        <v>380</v>
      </c>
      <c r="M2" s="744" t="s">
        <v>381</v>
      </c>
      <c r="N2" s="744" t="s">
        <v>382</v>
      </c>
      <c r="O2" s="744" t="s">
        <v>383</v>
      </c>
      <c r="P2" s="744" t="s">
        <v>384</v>
      </c>
      <c r="Q2" s="744" t="s">
        <v>385</v>
      </c>
      <c r="R2" s="744" t="s">
        <v>386</v>
      </c>
      <c r="S2" s="744" t="s">
        <v>387</v>
      </c>
      <c r="T2" s="744" t="s">
        <v>388</v>
      </c>
      <c r="U2" s="756" t="s">
        <v>389</v>
      </c>
      <c r="V2" s="756" t="s">
        <v>390</v>
      </c>
      <c r="W2" s="756" t="s">
        <v>391</v>
      </c>
      <c r="X2" s="756" t="s">
        <v>392</v>
      </c>
      <c r="Y2" s="757" t="s">
        <v>393</v>
      </c>
      <c r="Z2" s="757" t="s">
        <v>394</v>
      </c>
      <c r="AA2" s="758" t="s">
        <v>395</v>
      </c>
      <c r="AB2" s="758" t="s">
        <v>396</v>
      </c>
      <c r="AC2" s="758" t="s">
        <v>397</v>
      </c>
      <c r="AD2" s="759" t="s">
        <v>398</v>
      </c>
      <c r="AE2" s="759" t="s">
        <v>399</v>
      </c>
      <c r="AF2" s="760" t="s">
        <v>400</v>
      </c>
      <c r="AG2" s="759" t="s">
        <v>401</v>
      </c>
      <c r="AH2" s="759" t="s">
        <v>402</v>
      </c>
      <c r="AI2" s="761" t="s">
        <v>403</v>
      </c>
      <c r="AJ2" s="759" t="s">
        <v>404</v>
      </c>
      <c r="AK2" s="759" t="s">
        <v>405</v>
      </c>
    </row>
    <row r="3">
      <c r="A3" s="762">
        <v>46189</v>
      </c>
      <c r="B3" s="763" t="s">
        <v>406</v>
      </c>
      <c r="C3" s="761" t="s">
        <v>407</v>
      </c>
      <c r="D3" s="764"/>
      <c r="E3" s="765"/>
      <c r="F3" s="766"/>
      <c r="G3" s="767">
        <f t="shared" ref="G3:G21" si="0">D3/AE3</f>
      </c>
      <c r="H3" s="768">
        <f t="shared" ref="H3:H21" si="6">F3/E3</f>
      </c>
      <c r="I3" s="769">
        <f t="shared" ref="I3:I21" si="11">D3/E3</f>
      </c>
      <c r="J3" s="770">
        <f t="shared" ref="J3:J21" si="14">F3/D3</f>
      </c>
      <c r="K3" s="770">
        <f t="shared" ref="K3:K21" si="16">F3/(D3+(AK3)*300)</f>
      </c>
      <c r="L3" s="771">
        <f t="shared" ref="L3:L9" si="18">D3/AC3</f>
      </c>
      <c r="M3" s="768">
        <f t="shared" ref="M3:M9" si="22">D3/AD3</f>
      </c>
      <c r="N3" s="768">
        <f t="shared" ref="N3:N9" si="26">D3/AE3</f>
      </c>
      <c r="O3" s="772">
        <f t="shared" ref="O3:O9" si="1">AD3/AC3</f>
      </c>
      <c r="P3" s="772">
        <f t="shared" ref="P3:P9" si="3">AE3/AD3</f>
      </c>
      <c r="Q3" s="772">
        <f t="shared" ref="Q3:Q21" si="7">AB3/AA3</f>
      </c>
      <c r="R3" s="772">
        <f t="shared" ref="R3:R9" si="12">AE3/AB3</f>
      </c>
      <c r="S3" s="768">
        <f t="shared" ref="S3:S21" si="15">D3/AA3*1000</f>
      </c>
      <c r="T3" s="770">
        <f t="shared" ref="T3:T21" si="17">D3/AB3</f>
      </c>
      <c r="U3" s="772">
        <f t="shared" ref="U3:U9" si="20">AF3/AC3</f>
      </c>
      <c r="V3" s="772">
        <f t="shared" ref="V3:V9" si="24">AG3/AC3</f>
      </c>
      <c r="W3" s="772">
        <f t="shared" ref="W3:W9" si="28">AH3/AC3</f>
      </c>
      <c r="X3" s="772">
        <f t="shared" ref="X3:X21" si="5">AI3/AC3</f>
      </c>
      <c r="Y3" s="763" t="s">
        <v>408</v>
      </c>
      <c r="Z3" s="773" t="s">
        <v>409</v>
      </c>
      <c r="AA3" s="774"/>
      <c r="AB3" s="774"/>
      <c r="AC3" s="774"/>
      <c r="AD3" s="775"/>
      <c r="AE3" s="775"/>
      <c r="AF3" s="774"/>
      <c r="AG3" s="775"/>
      <c r="AH3" s="775"/>
      <c r="AI3" s="775"/>
      <c r="AJ3" s="776"/>
      <c r="AK3" s="775">
        <f t="shared" ref="AK3:AK7" si="8">COUNT(AJ3)</f>
      </c>
    </row>
    <row r="4">
      <c r="A4" s="762"/>
      <c r="B4" s="763" t="s">
        <v>406</v>
      </c>
      <c r="C4" s="761" t="s">
        <v>410</v>
      </c>
      <c r="D4" s="764"/>
      <c r="E4" s="765"/>
      <c r="F4" s="766"/>
      <c r="G4" s="767">
        <f t="shared" si="0"/>
      </c>
      <c r="H4" s="768">
        <f t="shared" si="6"/>
      </c>
      <c r="I4" s="769">
        <f t="shared" si="11"/>
      </c>
      <c r="J4" s="770">
        <f t="shared" si="14"/>
      </c>
      <c r="K4" s="770">
        <f t="shared" si="16"/>
      </c>
      <c r="L4" s="771">
        <f t="shared" si="18"/>
      </c>
      <c r="M4" s="768">
        <f t="shared" si="22"/>
      </c>
      <c r="N4" s="768">
        <f t="shared" si="26"/>
      </c>
      <c r="O4" s="772">
        <f t="shared" si="1"/>
      </c>
      <c r="P4" s="772">
        <f t="shared" si="3"/>
      </c>
      <c r="Q4" s="772">
        <f t="shared" si="7"/>
      </c>
      <c r="R4" s="772">
        <f t="shared" si="12"/>
      </c>
      <c r="S4" s="768">
        <f t="shared" si="15"/>
      </c>
      <c r="T4" s="770">
        <f t="shared" si="17"/>
      </c>
      <c r="U4" s="772">
        <f t="shared" si="20"/>
      </c>
      <c r="V4" s="772">
        <f t="shared" si="24"/>
      </c>
      <c r="W4" s="772">
        <f t="shared" si="28"/>
      </c>
      <c r="X4" s="772">
        <f t="shared" si="5"/>
      </c>
      <c r="Y4" s="763" t="s">
        <v>408</v>
      </c>
      <c r="Z4" s="773" t="s">
        <v>409</v>
      </c>
      <c r="AA4" s="775"/>
      <c r="AB4" s="775"/>
      <c r="AC4" s="775"/>
      <c r="AD4" s="775"/>
      <c r="AE4" s="775"/>
      <c r="AF4" s="775"/>
      <c r="AG4" s="775"/>
      <c r="AH4" s="775"/>
      <c r="AI4" s="775"/>
      <c r="AJ4" s="776"/>
      <c r="AK4" s="775">
        <f t="shared" si="8"/>
      </c>
    </row>
    <row r="5">
      <c r="A5" s="762"/>
      <c r="B5" s="763" t="s">
        <v>406</v>
      </c>
      <c r="C5" s="761" t="s">
        <v>411</v>
      </c>
      <c r="D5" s="764"/>
      <c r="E5" s="765"/>
      <c r="F5" s="766"/>
      <c r="G5" s="767">
        <f t="shared" si="0"/>
      </c>
      <c r="H5" s="768">
        <f t="shared" si="6"/>
      </c>
      <c r="I5" s="769">
        <f t="shared" si="11"/>
      </c>
      <c r="J5" s="770">
        <f t="shared" si="14"/>
      </c>
      <c r="K5" s="770">
        <f t="shared" si="16"/>
      </c>
      <c r="L5" s="771">
        <f t="shared" si="18"/>
      </c>
      <c r="M5" s="768">
        <f t="shared" si="22"/>
      </c>
      <c r="N5" s="768">
        <f t="shared" si="26"/>
      </c>
      <c r="O5" s="772">
        <f t="shared" si="1"/>
      </c>
      <c r="P5" s="772">
        <f t="shared" si="3"/>
      </c>
      <c r="Q5" s="772">
        <f t="shared" si="7"/>
      </c>
      <c r="R5" s="772">
        <f t="shared" si="12"/>
      </c>
      <c r="S5" s="768">
        <f t="shared" si="15"/>
      </c>
      <c r="T5" s="770">
        <f t="shared" si="17"/>
      </c>
      <c r="U5" s="772">
        <f t="shared" si="20"/>
      </c>
      <c r="V5" s="772">
        <f t="shared" si="24"/>
      </c>
      <c r="W5" s="772">
        <f t="shared" si="28"/>
      </c>
      <c r="X5" s="772">
        <f t="shared" si="5"/>
      </c>
      <c r="Y5" s="763" t="s">
        <v>408</v>
      </c>
      <c r="Z5" s="773" t="s">
        <v>409</v>
      </c>
      <c r="AA5" s="775"/>
      <c r="AB5" s="775"/>
      <c r="AC5" s="775"/>
      <c r="AD5" s="775"/>
      <c r="AE5" s="775"/>
      <c r="AF5" s="775"/>
      <c r="AG5" s="775"/>
      <c r="AH5" s="775"/>
      <c r="AI5" s="775"/>
      <c r="AJ5" s="776"/>
      <c r="AK5" s="775">
        <f t="shared" si="8"/>
      </c>
    </row>
    <row r="6">
      <c r="A6" s="762"/>
      <c r="B6" s="763" t="s">
        <v>406</v>
      </c>
      <c r="C6" s="759" t="s">
        <v>412</v>
      </c>
      <c r="D6" s="777"/>
      <c r="E6" s="778"/>
      <c r="F6" s="779"/>
      <c r="G6" s="767">
        <f t="shared" si="0"/>
      </c>
      <c r="H6" s="768">
        <f t="shared" si="6"/>
      </c>
      <c r="I6" s="769">
        <f t="shared" si="11"/>
      </c>
      <c r="J6" s="770">
        <f t="shared" si="14"/>
      </c>
      <c r="K6" s="770">
        <f t="shared" si="16"/>
      </c>
      <c r="L6" s="771">
        <f t="shared" si="18"/>
      </c>
      <c r="M6" s="768">
        <f t="shared" si="22"/>
      </c>
      <c r="N6" s="768">
        <f t="shared" si="26"/>
      </c>
      <c r="O6" s="772">
        <f t="shared" si="1"/>
      </c>
      <c r="P6" s="772">
        <f t="shared" si="3"/>
      </c>
      <c r="Q6" s="772">
        <f t="shared" si="7"/>
      </c>
      <c r="R6" s="772">
        <f t="shared" si="12"/>
      </c>
      <c r="S6" s="768">
        <f t="shared" si="15"/>
      </c>
      <c r="T6" s="770">
        <f t="shared" si="17"/>
      </c>
      <c r="U6" s="772">
        <f t="shared" si="20"/>
      </c>
      <c r="V6" s="772">
        <f t="shared" si="24"/>
      </c>
      <c r="W6" s="772">
        <f t="shared" si="28"/>
      </c>
      <c r="X6" s="772">
        <f t="shared" si="5"/>
      </c>
      <c r="Y6" s="763" t="s">
        <v>408</v>
      </c>
      <c r="Z6" s="773" t="s">
        <v>409</v>
      </c>
      <c r="AA6" s="775"/>
      <c r="AB6" s="775"/>
      <c r="AC6" s="775"/>
      <c r="AD6" s="775"/>
      <c r="AE6" s="775"/>
      <c r="AF6" s="775"/>
      <c r="AG6" s="775"/>
      <c r="AH6" s="775"/>
      <c r="AI6" s="775"/>
      <c r="AJ6" s="776"/>
      <c r="AK6" s="775">
        <f t="shared" si="8"/>
      </c>
    </row>
    <row r="7">
      <c r="A7" s="762"/>
      <c r="B7" s="763" t="s">
        <v>406</v>
      </c>
      <c r="C7" s="780" t="s">
        <v>413</v>
      </c>
      <c r="D7" s="777"/>
      <c r="E7" s="778"/>
      <c r="F7" s="779"/>
      <c r="G7" s="767">
        <f t="shared" si="0"/>
      </c>
      <c r="H7" s="768">
        <f t="shared" si="6"/>
      </c>
      <c r="I7" s="769">
        <f t="shared" si="11"/>
      </c>
      <c r="J7" s="770">
        <f t="shared" si="14"/>
      </c>
      <c r="K7" s="770">
        <f t="shared" si="16"/>
      </c>
      <c r="L7" s="771">
        <f t="shared" si="18"/>
      </c>
      <c r="M7" s="768">
        <f t="shared" si="22"/>
      </c>
      <c r="N7" s="768">
        <f t="shared" si="26"/>
      </c>
      <c r="O7" s="772">
        <f t="shared" si="1"/>
      </c>
      <c r="P7" s="772">
        <f t="shared" si="3"/>
      </c>
      <c r="Q7" s="772">
        <f t="shared" si="7"/>
      </c>
      <c r="R7" s="772">
        <f t="shared" si="12"/>
      </c>
      <c r="S7" s="768">
        <f t="shared" si="15"/>
      </c>
      <c r="T7" s="770">
        <f t="shared" si="17"/>
      </c>
      <c r="U7" s="772">
        <f t="shared" si="20"/>
      </c>
      <c r="V7" s="772">
        <f t="shared" si="24"/>
      </c>
      <c r="W7" s="772">
        <f t="shared" si="28"/>
      </c>
      <c r="X7" s="772">
        <f t="shared" si="5"/>
      </c>
      <c r="Y7" s="763" t="s">
        <v>408</v>
      </c>
      <c r="Z7" s="773" t="s">
        <v>409</v>
      </c>
      <c r="AA7" s="775"/>
      <c r="AB7" s="775"/>
      <c r="AC7" s="775"/>
      <c r="AD7" s="775"/>
      <c r="AE7" s="775"/>
      <c r="AF7" s="775"/>
      <c r="AG7" s="775"/>
      <c r="AH7" s="775"/>
      <c r="AI7" s="775"/>
      <c r="AJ7" s="776"/>
      <c r="AK7" s="775">
        <f t="shared" si="8"/>
      </c>
    </row>
    <row r="8">
      <c r="A8" s="762"/>
      <c r="B8" s="781" t="s">
        <v>414</v>
      </c>
      <c r="C8" s="781"/>
      <c r="D8" s="782">
        <f>SUM(D3:D7)</f>
      </c>
      <c r="E8" s="782">
        <f>SUM(E3:E7)</f>
      </c>
      <c r="F8" s="782">
        <f>SUM(F3:F7)</f>
      </c>
      <c r="G8" s="782">
        <f t="shared" si="0"/>
      </c>
      <c r="H8" s="783">
        <f t="shared" si="6"/>
      </c>
      <c r="I8" s="784">
        <f t="shared" si="11"/>
      </c>
      <c r="J8" s="785">
        <f t="shared" si="14"/>
      </c>
      <c r="K8" s="785">
        <f t="shared" si="16"/>
      </c>
      <c r="L8" s="786">
        <f t="shared" si="18"/>
      </c>
      <c r="M8" s="783">
        <f t="shared" si="22"/>
      </c>
      <c r="N8" s="783">
        <f t="shared" si="26"/>
      </c>
      <c r="O8" s="787">
        <f t="shared" si="1"/>
      </c>
      <c r="P8" s="787">
        <f t="shared" si="3"/>
      </c>
      <c r="Q8" s="787">
        <f t="shared" si="7"/>
      </c>
      <c r="R8" s="787">
        <f t="shared" si="12"/>
      </c>
      <c r="S8" s="783">
        <f t="shared" si="15"/>
      </c>
      <c r="T8" s="785">
        <f t="shared" si="17"/>
      </c>
      <c r="U8" s="787">
        <f t="shared" si="20"/>
      </c>
      <c r="V8" s="787">
        <f t="shared" si="24"/>
      </c>
      <c r="W8" s="787">
        <f t="shared" si="28"/>
      </c>
      <c r="X8" s="787">
        <f t="shared" si="5"/>
      </c>
      <c r="Y8" s="787"/>
      <c r="Z8" s="788"/>
      <c r="AA8" s="782">
        <f>SUM(AA3:AA7)</f>
      </c>
      <c r="AB8" s="782">
        <f>SUM(AB3:AB7)</f>
      </c>
      <c r="AC8" s="782">
        <f>SUM(AC3:AC7)</f>
      </c>
      <c r="AD8" s="782">
        <f>SUM(AD3:AD7)</f>
      </c>
      <c r="AE8" s="782">
        <f>SUM(AE3:AE7)</f>
      </c>
      <c r="AF8" s="782">
        <f>SUM(AF3:AF7)</f>
      </c>
      <c r="AG8" s="782">
        <f>SUM(AG3:AG7)</f>
      </c>
      <c r="AH8" s="782">
        <f>SUM(AH3:AH7)</f>
      </c>
      <c r="AI8" s="782">
        <f>SUM(AI3:AI7)</f>
      </c>
      <c r="AJ8" s="782">
        <f>SUM(AJ3:AJ7)</f>
      </c>
      <c r="AK8" s="782">
        <f>SUM(AK3:AK7)</f>
      </c>
    </row>
    <row r="9">
      <c r="A9" s="762"/>
      <c r="B9" s="773" t="s">
        <v>415</v>
      </c>
      <c r="C9" s="789" t="s">
        <v>416</v>
      </c>
      <c r="D9" s="764"/>
      <c r="E9" s="765"/>
      <c r="F9" s="766"/>
      <c r="G9" s="767">
        <f t="shared" si="0"/>
      </c>
      <c r="H9" s="768">
        <f t="shared" si="6"/>
      </c>
      <c r="I9" s="769">
        <f t="shared" si="11"/>
      </c>
      <c r="J9" s="770">
        <f t="shared" si="14"/>
      </c>
      <c r="K9" s="770">
        <f t="shared" si="16"/>
      </c>
      <c r="L9" s="771">
        <f t="shared" si="18"/>
      </c>
      <c r="M9" s="768">
        <f t="shared" si="22"/>
      </c>
      <c r="N9" s="768">
        <f t="shared" si="26"/>
      </c>
      <c r="O9" s="772">
        <f t="shared" si="1"/>
      </c>
      <c r="P9" s="772">
        <f t="shared" si="3"/>
      </c>
      <c r="Q9" s="772">
        <f t="shared" si="7"/>
      </c>
      <c r="R9" s="772">
        <f t="shared" si="12"/>
      </c>
      <c r="S9" s="768">
        <f t="shared" si="15"/>
      </c>
      <c r="T9" s="770">
        <f t="shared" si="17"/>
      </c>
      <c r="U9" s="772">
        <f t="shared" si="20"/>
      </c>
      <c r="V9" s="772">
        <f t="shared" si="24"/>
      </c>
      <c r="W9" s="772">
        <f t="shared" si="28"/>
      </c>
      <c r="X9" s="772">
        <f t="shared" si="5"/>
      </c>
      <c r="Y9" s="763" t="s">
        <v>408</v>
      </c>
      <c r="Z9" s="773" t="s">
        <v>409</v>
      </c>
      <c r="AA9" s="774"/>
      <c r="AB9" s="774"/>
      <c r="AC9" s="774"/>
      <c r="AD9" s="775"/>
      <c r="AE9" s="775"/>
      <c r="AF9" s="774"/>
      <c r="AG9" s="775"/>
      <c r="AH9" s="775"/>
      <c r="AI9" s="775"/>
      <c r="AJ9" s="776"/>
      <c r="AK9" s="775">
        <f t="shared" ref="AK9:AK13" si="9">COUNT(AJ9)</f>
      </c>
    </row>
    <row r="10">
      <c r="A10" s="762"/>
      <c r="B10" s="773" t="s">
        <v>415</v>
      </c>
      <c r="C10" s="789" t="s">
        <v>417</v>
      </c>
      <c r="D10" s="764"/>
      <c r="E10" s="765"/>
      <c r="F10" s="766"/>
      <c r="G10" s="767">
        <f t="shared" si="0"/>
      </c>
      <c r="H10" s="768">
        <f t="shared" si="6"/>
      </c>
      <c r="I10" s="769">
        <f t="shared" si="11"/>
      </c>
      <c r="J10" s="770">
        <f t="shared" si="14"/>
      </c>
      <c r="K10" s="770">
        <f t="shared" si="16"/>
      </c>
      <c r="L10" s="771">
        <f>D10/AD10</f>
      </c>
      <c r="M10" s="768">
        <f>D10/AE10</f>
      </c>
      <c r="N10" s="768">
        <f>D10/AF10</f>
      </c>
      <c r="O10" s="772">
        <f>AE10/AD10</f>
      </c>
      <c r="P10" s="772">
        <f>AF10/AE10</f>
      </c>
      <c r="Q10" s="772">
        <f t="shared" si="7"/>
      </c>
      <c r="R10" s="772">
        <f>AF10/AB10</f>
      </c>
      <c r="S10" s="768">
        <f t="shared" si="15"/>
      </c>
      <c r="T10" s="770">
        <f t="shared" si="17"/>
      </c>
      <c r="U10" s="772">
        <f>AG10/AD10</f>
      </c>
      <c r="V10" s="772">
        <f>AH10/AD10</f>
      </c>
      <c r="W10" s="772">
        <f>AI10/AD10</f>
      </c>
      <c r="X10" s="772">
        <f t="shared" si="5"/>
      </c>
      <c r="Y10" s="763" t="s">
        <v>408</v>
      </c>
      <c r="Z10" s="773" t="s">
        <v>409</v>
      </c>
      <c r="AA10" s="775"/>
      <c r="AB10" s="775"/>
      <c r="AC10" s="790"/>
      <c r="AD10" s="791"/>
      <c r="AE10" s="791"/>
      <c r="AF10" s="791"/>
      <c r="AG10" s="792"/>
      <c r="AH10" s="791"/>
      <c r="AI10" s="791"/>
      <c r="AJ10" s="776"/>
      <c r="AK10" s="775">
        <f t="shared" si="9"/>
      </c>
    </row>
    <row r="11">
      <c r="A11" s="762"/>
      <c r="B11" s="773" t="s">
        <v>415</v>
      </c>
      <c r="C11" s="789" t="s">
        <v>418</v>
      </c>
      <c r="D11" s="764"/>
      <c r="E11" s="765"/>
      <c r="F11" s="766"/>
      <c r="G11" s="767">
        <f t="shared" si="0"/>
      </c>
      <c r="H11" s="768">
        <f t="shared" si="6"/>
      </c>
      <c r="I11" s="769">
        <f t="shared" si="11"/>
      </c>
      <c r="J11" s="770">
        <f t="shared" si="14"/>
      </c>
      <c r="K11" s="770">
        <f t="shared" si="16"/>
      </c>
      <c r="L11" s="771">
        <f t="shared" ref="L11:L21" si="19">D11/AC11</f>
      </c>
      <c r="M11" s="768">
        <f t="shared" ref="M11:M21" si="23">D11/AD11</f>
      </c>
      <c r="N11" s="768">
        <f t="shared" ref="N11:N21" si="27">D11/AE11</f>
      </c>
      <c r="O11" s="772">
        <f t="shared" ref="O11:O21" si="2">AD11/AC11</f>
      </c>
      <c r="P11" s="772">
        <f t="shared" ref="P11:P21" si="4">AE11/AD11</f>
      </c>
      <c r="Q11" s="772">
        <f t="shared" si="7"/>
      </c>
      <c r="R11" s="772">
        <f t="shared" ref="R11:R21" si="13">AE11/AB11</f>
      </c>
      <c r="S11" s="768">
        <f t="shared" si="15"/>
      </c>
      <c r="T11" s="770">
        <f t="shared" si="17"/>
      </c>
      <c r="U11" s="772">
        <f t="shared" ref="U11:U21" si="21">AF11/AC11</f>
      </c>
      <c r="V11" s="772">
        <f t="shared" ref="V11:V21" si="25">AG11/AC11</f>
      </c>
      <c r="W11" s="772">
        <f t="shared" ref="W11:W21" si="29">AH11/AC11</f>
      </c>
      <c r="X11" s="772">
        <f t="shared" si="5"/>
      </c>
      <c r="Y11" s="763" t="s">
        <v>408</v>
      </c>
      <c r="Z11" s="773" t="s">
        <v>409</v>
      </c>
      <c r="AA11" s="775"/>
      <c r="AB11" s="775"/>
      <c r="AC11" s="775"/>
      <c r="AD11" s="793"/>
      <c r="AE11" s="793"/>
      <c r="AF11" s="793"/>
      <c r="AG11" s="793"/>
      <c r="AH11" s="793"/>
      <c r="AI11" s="793"/>
      <c r="AJ11" s="776"/>
      <c r="AK11" s="775">
        <f t="shared" si="9"/>
      </c>
    </row>
    <row r="12">
      <c r="A12" s="762"/>
      <c r="B12" s="773" t="s">
        <v>415</v>
      </c>
      <c r="C12" s="780" t="s">
        <v>419</v>
      </c>
      <c r="D12" s="777"/>
      <c r="E12" s="778"/>
      <c r="F12" s="779"/>
      <c r="G12" s="767">
        <f t="shared" si="0"/>
      </c>
      <c r="H12" s="768">
        <f t="shared" si="6"/>
      </c>
      <c r="I12" s="769">
        <f t="shared" si="11"/>
      </c>
      <c r="J12" s="770">
        <f t="shared" si="14"/>
      </c>
      <c r="K12" s="770">
        <f t="shared" si="16"/>
      </c>
      <c r="L12" s="771">
        <f t="shared" si="19"/>
      </c>
      <c r="M12" s="768">
        <f t="shared" si="23"/>
      </c>
      <c r="N12" s="768">
        <f t="shared" si="27"/>
      </c>
      <c r="O12" s="772">
        <f t="shared" si="2"/>
      </c>
      <c r="P12" s="772">
        <f t="shared" si="4"/>
      </c>
      <c r="Q12" s="772">
        <f t="shared" si="7"/>
      </c>
      <c r="R12" s="772">
        <f t="shared" si="13"/>
      </c>
      <c r="S12" s="768">
        <f t="shared" si="15"/>
      </c>
      <c r="T12" s="770">
        <f t="shared" si="17"/>
      </c>
      <c r="U12" s="772">
        <f t="shared" si="21"/>
      </c>
      <c r="V12" s="772">
        <f t="shared" si="25"/>
      </c>
      <c r="W12" s="772">
        <f t="shared" si="29"/>
      </c>
      <c r="X12" s="772">
        <f t="shared" si="5"/>
      </c>
      <c r="Y12" s="763" t="s">
        <v>408</v>
      </c>
      <c r="Z12" s="773" t="s">
        <v>409</v>
      </c>
      <c r="AA12" s="775"/>
      <c r="AB12" s="775"/>
      <c r="AC12" s="775"/>
      <c r="AD12" s="775"/>
      <c r="AE12" s="775"/>
      <c r="AF12" s="775"/>
      <c r="AG12" s="775"/>
      <c r="AH12" s="775"/>
      <c r="AI12" s="775"/>
      <c r="AJ12" s="776"/>
      <c r="AK12" s="775">
        <f t="shared" si="9"/>
      </c>
    </row>
    <row r="13">
      <c r="A13" s="762"/>
      <c r="B13" s="773" t="s">
        <v>415</v>
      </c>
      <c r="C13" s="780" t="s">
        <v>420</v>
      </c>
      <c r="D13" s="777"/>
      <c r="E13" s="778"/>
      <c r="F13" s="779"/>
      <c r="G13" s="767">
        <f t="shared" si="0"/>
      </c>
      <c r="H13" s="768">
        <f t="shared" si="6"/>
      </c>
      <c r="I13" s="769">
        <f t="shared" si="11"/>
      </c>
      <c r="J13" s="770">
        <f t="shared" si="14"/>
      </c>
      <c r="K13" s="770">
        <f t="shared" si="16"/>
      </c>
      <c r="L13" s="771">
        <f t="shared" si="19"/>
      </c>
      <c r="M13" s="768">
        <f t="shared" si="23"/>
      </c>
      <c r="N13" s="768">
        <f t="shared" si="27"/>
      </c>
      <c r="O13" s="772">
        <f t="shared" si="2"/>
      </c>
      <c r="P13" s="772">
        <f t="shared" si="4"/>
      </c>
      <c r="Q13" s="772">
        <f t="shared" si="7"/>
      </c>
      <c r="R13" s="772">
        <f t="shared" si="13"/>
      </c>
      <c r="S13" s="768">
        <f t="shared" si="15"/>
      </c>
      <c r="T13" s="770">
        <f t="shared" si="17"/>
      </c>
      <c r="U13" s="772">
        <f t="shared" si="21"/>
      </c>
      <c r="V13" s="772">
        <f t="shared" si="25"/>
      </c>
      <c r="W13" s="772">
        <f t="shared" si="29"/>
      </c>
      <c r="X13" s="772">
        <f t="shared" si="5"/>
      </c>
      <c r="Y13" s="763" t="s">
        <v>408</v>
      </c>
      <c r="Z13" s="773" t="s">
        <v>409</v>
      </c>
      <c r="AA13" s="775"/>
      <c r="AB13" s="775"/>
      <c r="AC13" s="775"/>
      <c r="AD13" s="775"/>
      <c r="AE13" s="775"/>
      <c r="AF13" s="775"/>
      <c r="AG13" s="775"/>
      <c r="AH13" s="775"/>
      <c r="AI13" s="775"/>
      <c r="AJ13" s="776"/>
      <c r="AK13" s="775">
        <f t="shared" si="9"/>
      </c>
    </row>
    <row r="14">
      <c r="A14" s="762"/>
      <c r="B14" s="781" t="s">
        <v>414</v>
      </c>
      <c r="C14" s="781"/>
      <c r="D14" s="782">
        <f>SUM(D9:D13)</f>
      </c>
      <c r="E14" s="782">
        <f>SUM(E9:E13)</f>
      </c>
      <c r="F14" s="782">
        <f>SUM(F9:F13)</f>
      </c>
      <c r="G14" s="782">
        <f t="shared" si="0"/>
      </c>
      <c r="H14" s="783">
        <f t="shared" si="6"/>
      </c>
      <c r="I14" s="784">
        <f t="shared" si="11"/>
      </c>
      <c r="J14" s="785">
        <f t="shared" si="14"/>
      </c>
      <c r="K14" s="785">
        <f t="shared" si="16"/>
      </c>
      <c r="L14" s="786">
        <f t="shared" si="19"/>
      </c>
      <c r="M14" s="783">
        <f t="shared" si="23"/>
      </c>
      <c r="N14" s="783">
        <f t="shared" si="27"/>
      </c>
      <c r="O14" s="787">
        <f t="shared" si="2"/>
      </c>
      <c r="P14" s="787">
        <f t="shared" si="4"/>
      </c>
      <c r="Q14" s="787">
        <f t="shared" si="7"/>
      </c>
      <c r="R14" s="787">
        <f t="shared" si="13"/>
      </c>
      <c r="S14" s="783">
        <f t="shared" si="15"/>
      </c>
      <c r="T14" s="785">
        <f t="shared" si="17"/>
      </c>
      <c r="U14" s="787">
        <f t="shared" si="21"/>
      </c>
      <c r="V14" s="787">
        <f t="shared" si="25"/>
      </c>
      <c r="W14" s="787">
        <f t="shared" si="29"/>
      </c>
      <c r="X14" s="787">
        <f t="shared" si="5"/>
      </c>
      <c r="Y14" s="787"/>
      <c r="Z14" s="788"/>
      <c r="AA14" s="782">
        <f>SUM(AA9:AA13)</f>
      </c>
      <c r="AB14" s="782">
        <f>SUM(AB9:AB13)</f>
      </c>
      <c r="AC14" s="782">
        <f>SUM(AC9:AC13)</f>
      </c>
      <c r="AD14" s="782">
        <f>SUM(AD9:AD13)</f>
      </c>
      <c r="AE14" s="782">
        <f>SUM(AE9:AE13)</f>
      </c>
      <c r="AF14" s="782">
        <f>SUM(AF9:AF13)</f>
      </c>
      <c r="AG14" s="782">
        <f>SUM(AG9:AG13)</f>
      </c>
      <c r="AH14" s="782">
        <f>SUM(AH9:AH13)</f>
      </c>
      <c r="AI14" s="782">
        <f>SUM(AI9:AI13)</f>
      </c>
      <c r="AJ14" s="782">
        <f>SUM(AJ9:AJ13)</f>
      </c>
      <c r="AK14" s="782">
        <f>SUM(AK9:AK13)</f>
      </c>
    </row>
    <row r="15">
      <c r="A15" s="762"/>
      <c r="B15" s="773" t="s">
        <v>421</v>
      </c>
      <c r="C15" s="780" t="s">
        <v>422</v>
      </c>
      <c r="D15" s="794"/>
      <c r="E15" s="795"/>
      <c r="F15" s="779"/>
      <c r="G15" s="767">
        <f t="shared" si="0"/>
      </c>
      <c r="H15" s="768">
        <f t="shared" si="6"/>
      </c>
      <c r="I15" s="769">
        <f t="shared" si="11"/>
      </c>
      <c r="J15" s="770">
        <f t="shared" si="14"/>
      </c>
      <c r="K15" s="770">
        <f t="shared" si="16"/>
      </c>
      <c r="L15" s="771">
        <f t="shared" si="19"/>
      </c>
      <c r="M15" s="768">
        <f t="shared" si="23"/>
      </c>
      <c r="N15" s="775">
        <f t="shared" si="27"/>
      </c>
      <c r="O15" s="772">
        <f t="shared" si="2"/>
      </c>
      <c r="P15" s="772">
        <f t="shared" si="4"/>
      </c>
      <c r="Q15" s="772">
        <f t="shared" si="7"/>
      </c>
      <c r="R15" s="772">
        <f t="shared" si="13"/>
      </c>
      <c r="S15" s="768">
        <f t="shared" si="15"/>
      </c>
      <c r="T15" s="770">
        <f t="shared" si="17"/>
      </c>
      <c r="U15" s="772">
        <f t="shared" si="21"/>
      </c>
      <c r="V15" s="772">
        <f t="shared" si="25"/>
      </c>
      <c r="W15" s="772">
        <f t="shared" si="29"/>
      </c>
      <c r="X15" s="772">
        <f t="shared" si="5"/>
      </c>
      <c r="Y15" s="763" t="s">
        <v>408</v>
      </c>
      <c r="Z15" s="773" t="s">
        <v>409</v>
      </c>
      <c r="AA15" s="775"/>
      <c r="AB15" s="775"/>
      <c r="AC15" s="775"/>
      <c r="AD15" s="775"/>
      <c r="AE15" s="775"/>
      <c r="AF15" s="775"/>
      <c r="AG15" s="775"/>
      <c r="AH15" s="775"/>
      <c r="AI15" s="776"/>
      <c r="AJ15" s="776"/>
      <c r="AK15" s="775">
        <f t="shared" ref="AK15:AK19" si="10">COUNT(AJ15)</f>
      </c>
    </row>
    <row r="16">
      <c r="A16" s="762"/>
      <c r="B16" s="773" t="s">
        <v>421</v>
      </c>
      <c r="C16" s="780" t="s">
        <v>423</v>
      </c>
      <c r="D16" s="794"/>
      <c r="E16" s="795"/>
      <c r="F16" s="779"/>
      <c r="G16" s="767">
        <f t="shared" si="0"/>
      </c>
      <c r="H16" s="768">
        <f t="shared" si="6"/>
      </c>
      <c r="I16" s="769">
        <f t="shared" si="11"/>
      </c>
      <c r="J16" s="770">
        <f t="shared" si="14"/>
      </c>
      <c r="K16" s="770">
        <f t="shared" si="16"/>
      </c>
      <c r="L16" s="771">
        <f t="shared" si="19"/>
      </c>
      <c r="M16" s="768">
        <f t="shared" si="23"/>
      </c>
      <c r="N16" s="768">
        <f t="shared" si="27"/>
      </c>
      <c r="O16" s="772">
        <f t="shared" si="2"/>
      </c>
      <c r="P16" s="772">
        <f t="shared" si="4"/>
      </c>
      <c r="Q16" s="772">
        <f t="shared" si="7"/>
      </c>
      <c r="R16" s="772">
        <f t="shared" si="13"/>
      </c>
      <c r="S16" s="768">
        <f t="shared" si="15"/>
      </c>
      <c r="T16" s="770">
        <f t="shared" si="17"/>
      </c>
      <c r="U16" s="772">
        <f t="shared" si="21"/>
      </c>
      <c r="V16" s="772">
        <f t="shared" si="25"/>
      </c>
      <c r="W16" s="772">
        <f t="shared" si="29"/>
      </c>
      <c r="X16" s="772">
        <f t="shared" si="5"/>
      </c>
      <c r="Y16" s="763" t="s">
        <v>408</v>
      </c>
      <c r="Z16" s="773" t="s">
        <v>424</v>
      </c>
      <c r="AA16" s="775"/>
      <c r="AB16" s="775"/>
      <c r="AC16" s="775"/>
      <c r="AD16" s="775"/>
      <c r="AE16" s="775"/>
      <c r="AF16" s="775"/>
      <c r="AG16" s="775"/>
      <c r="AH16" s="775"/>
      <c r="AI16" s="775"/>
      <c r="AJ16" s="776"/>
      <c r="AK16" s="775">
        <f t="shared" si="10"/>
      </c>
    </row>
    <row r="17">
      <c r="A17" s="762"/>
      <c r="B17" s="773" t="s">
        <v>421</v>
      </c>
      <c r="C17" s="780" t="s">
        <v>425</v>
      </c>
      <c r="D17" s="794"/>
      <c r="E17" s="795"/>
      <c r="F17" s="779"/>
      <c r="G17" s="767">
        <f t="shared" si="0"/>
      </c>
      <c r="H17" s="768">
        <f t="shared" si="6"/>
      </c>
      <c r="I17" s="769">
        <f t="shared" si="11"/>
      </c>
      <c r="J17" s="770">
        <f t="shared" si="14"/>
      </c>
      <c r="K17" s="770">
        <f t="shared" si="16"/>
      </c>
      <c r="L17" s="771">
        <f t="shared" si="19"/>
      </c>
      <c r="M17" s="768">
        <f t="shared" si="23"/>
      </c>
      <c r="N17" s="768">
        <f t="shared" si="27"/>
      </c>
      <c r="O17" s="772">
        <f t="shared" si="2"/>
      </c>
      <c r="P17" s="772">
        <f t="shared" si="4"/>
      </c>
      <c r="Q17" s="772">
        <f t="shared" si="7"/>
      </c>
      <c r="R17" s="772">
        <f t="shared" si="13"/>
      </c>
      <c r="S17" s="768">
        <f t="shared" si="15"/>
      </c>
      <c r="T17" s="770">
        <f t="shared" si="17"/>
      </c>
      <c r="U17" s="772">
        <f t="shared" si="21"/>
      </c>
      <c r="V17" s="772">
        <f t="shared" si="25"/>
      </c>
      <c r="W17" s="772">
        <f t="shared" si="29"/>
      </c>
      <c r="X17" s="772">
        <f t="shared" si="5"/>
      </c>
      <c r="Y17" s="763" t="s">
        <v>408</v>
      </c>
      <c r="Z17" s="773" t="s">
        <v>424</v>
      </c>
      <c r="AA17" s="775"/>
      <c r="AB17" s="775"/>
      <c r="AC17" s="775"/>
      <c r="AD17" s="775"/>
      <c r="AE17" s="775"/>
      <c r="AF17" s="775"/>
      <c r="AG17" s="775"/>
      <c r="AH17" s="775"/>
      <c r="AI17" s="775"/>
      <c r="AJ17" s="776"/>
      <c r="AK17" s="775">
        <f t="shared" si="10"/>
      </c>
    </row>
    <row r="18">
      <c r="A18" s="762"/>
      <c r="B18" s="773" t="s">
        <v>421</v>
      </c>
      <c r="C18" s="780" t="s">
        <v>426</v>
      </c>
      <c r="D18" s="794"/>
      <c r="E18" s="795"/>
      <c r="F18" s="779"/>
      <c r="G18" s="767">
        <f t="shared" si="0"/>
      </c>
      <c r="H18" s="768">
        <f t="shared" si="6"/>
      </c>
      <c r="I18" s="769">
        <f t="shared" si="11"/>
      </c>
      <c r="J18" s="770">
        <f t="shared" si="14"/>
      </c>
      <c r="K18" s="770">
        <f t="shared" si="16"/>
      </c>
      <c r="L18" s="771">
        <f t="shared" si="19"/>
      </c>
      <c r="M18" s="768">
        <f t="shared" si="23"/>
      </c>
      <c r="N18" s="768">
        <f t="shared" si="27"/>
      </c>
      <c r="O18" s="772">
        <f t="shared" si="2"/>
      </c>
      <c r="P18" s="772">
        <f t="shared" si="4"/>
      </c>
      <c r="Q18" s="772">
        <f t="shared" si="7"/>
      </c>
      <c r="R18" s="772">
        <f t="shared" si="13"/>
      </c>
      <c r="S18" s="768">
        <f t="shared" si="15"/>
      </c>
      <c r="T18" s="770">
        <f t="shared" si="17"/>
      </c>
      <c r="U18" s="772">
        <f t="shared" si="21"/>
      </c>
      <c r="V18" s="772">
        <f t="shared" si="25"/>
      </c>
      <c r="W18" s="772">
        <f t="shared" si="29"/>
      </c>
      <c r="X18" s="772">
        <f t="shared" si="5"/>
      </c>
      <c r="Y18" s="763" t="s">
        <v>408</v>
      </c>
      <c r="Z18" s="773" t="s">
        <v>424</v>
      </c>
      <c r="AA18" s="775"/>
      <c r="AB18" s="775"/>
      <c r="AC18" s="775"/>
      <c r="AD18" s="775"/>
      <c r="AE18" s="775"/>
      <c r="AF18" s="775"/>
      <c r="AG18" s="775"/>
      <c r="AH18" s="775"/>
      <c r="AI18" s="775"/>
      <c r="AJ18" s="776"/>
      <c r="AK18" s="775">
        <f t="shared" si="10"/>
      </c>
    </row>
    <row r="19">
      <c r="A19" s="762"/>
      <c r="B19" s="773" t="s">
        <v>421</v>
      </c>
      <c r="C19" s="780" t="s">
        <v>427</v>
      </c>
      <c r="D19" s="794"/>
      <c r="E19" s="795"/>
      <c r="F19" s="779"/>
      <c r="G19" s="767">
        <f t="shared" si="0"/>
      </c>
      <c r="H19" s="768">
        <f t="shared" si="6"/>
      </c>
      <c r="I19" s="769">
        <f t="shared" si="11"/>
      </c>
      <c r="J19" s="770">
        <f t="shared" si="14"/>
      </c>
      <c r="K19" s="770">
        <f t="shared" si="16"/>
      </c>
      <c r="L19" s="771">
        <f t="shared" si="19"/>
      </c>
      <c r="M19" s="768">
        <f t="shared" si="23"/>
      </c>
      <c r="N19" s="768">
        <f t="shared" si="27"/>
      </c>
      <c r="O19" s="772">
        <f t="shared" si="2"/>
      </c>
      <c r="P19" s="772">
        <f t="shared" si="4"/>
      </c>
      <c r="Q19" s="772">
        <f t="shared" si="7"/>
      </c>
      <c r="R19" s="772">
        <f t="shared" si="13"/>
      </c>
      <c r="S19" s="768">
        <f t="shared" si="15"/>
      </c>
      <c r="T19" s="770">
        <f t="shared" si="17"/>
      </c>
      <c r="U19" s="772">
        <f t="shared" si="21"/>
      </c>
      <c r="V19" s="772">
        <f t="shared" si="25"/>
      </c>
      <c r="W19" s="772">
        <f t="shared" si="29"/>
      </c>
      <c r="X19" s="772">
        <f t="shared" si="5"/>
      </c>
      <c r="Y19" s="763" t="s">
        <v>408</v>
      </c>
      <c r="Z19" s="773" t="s">
        <v>424</v>
      </c>
      <c r="AA19" s="775"/>
      <c r="AB19" s="775"/>
      <c r="AC19" s="775"/>
      <c r="AD19" s="775"/>
      <c r="AE19" s="775"/>
      <c r="AF19" s="775"/>
      <c r="AG19" s="775"/>
      <c r="AH19" s="775"/>
      <c r="AI19" s="775"/>
      <c r="AJ19" s="776"/>
      <c r="AK19" s="775">
        <f t="shared" si="10"/>
      </c>
    </row>
    <row r="20">
      <c r="A20" s="762"/>
      <c r="B20" s="781" t="s">
        <v>414</v>
      </c>
      <c r="C20" s="781"/>
      <c r="D20" s="782">
        <f>SUM(D15:D19)</f>
      </c>
      <c r="E20" s="782">
        <f>SUM(E15:E19)</f>
      </c>
      <c r="F20" s="782">
        <f>SUM(F15:F19)</f>
      </c>
      <c r="G20" s="782">
        <f t="shared" si="0"/>
      </c>
      <c r="H20" s="783">
        <f t="shared" si="6"/>
      </c>
      <c r="I20" s="784">
        <f t="shared" si="11"/>
      </c>
      <c r="J20" s="785">
        <f t="shared" si="14"/>
      </c>
      <c r="K20" s="785">
        <f t="shared" si="16"/>
      </c>
      <c r="L20" s="786">
        <f t="shared" si="19"/>
      </c>
      <c r="M20" s="783">
        <f t="shared" si="23"/>
      </c>
      <c r="N20" s="783">
        <f t="shared" si="27"/>
      </c>
      <c r="O20" s="787">
        <f t="shared" si="2"/>
      </c>
      <c r="P20" s="787">
        <f t="shared" si="4"/>
      </c>
      <c r="Q20" s="787">
        <f t="shared" si="7"/>
      </c>
      <c r="R20" s="787">
        <f t="shared" si="13"/>
      </c>
      <c r="S20" s="783">
        <f t="shared" si="15"/>
      </c>
      <c r="T20" s="785">
        <f t="shared" si="17"/>
      </c>
      <c r="U20" s="787">
        <f t="shared" si="21"/>
      </c>
      <c r="V20" s="787">
        <f t="shared" si="25"/>
      </c>
      <c r="W20" s="787">
        <f t="shared" si="29"/>
      </c>
      <c r="X20" s="787">
        <f t="shared" si="5"/>
      </c>
      <c r="Y20" s="787"/>
      <c r="Z20" s="788"/>
      <c r="AA20" s="782">
        <f>SUM(AA15:AA19)</f>
      </c>
      <c r="AB20" s="782">
        <f>SUM(AB15:AB19)</f>
      </c>
      <c r="AC20" s="782">
        <f>SUM(AC15:AC19)</f>
      </c>
      <c r="AD20" s="782">
        <f>SUM(AD15:AD19)</f>
      </c>
      <c r="AE20" s="782">
        <f>SUM(AE15:AE19)</f>
      </c>
      <c r="AF20" s="782">
        <f>SUM(AF15:AF19)</f>
      </c>
      <c r="AG20" s="782">
        <f>SUM(AG15:AG19)</f>
      </c>
      <c r="AH20" s="782">
        <f>SUM(AH15:AH19)</f>
      </c>
      <c r="AI20" s="782">
        <f>SUM(AI15:AI19)</f>
      </c>
      <c r="AJ20" s="782">
        <f>SUM(AJ15:AJ19)</f>
      </c>
      <c r="AK20" s="782">
        <f>SUM(AK15:AK19)</f>
      </c>
    </row>
    <row r="21">
      <c r="A21" s="762"/>
      <c r="B21" s="796" t="s">
        <v>428</v>
      </c>
      <c r="C21" s="796"/>
      <c r="D21" s="797">
        <f>SUM(D20+D14+D8)</f>
      </c>
      <c r="E21" s="797">
        <f>SUM(E20+E14+E8)</f>
      </c>
      <c r="F21" s="797">
        <f>SUM(F20+F14+F8)</f>
      </c>
      <c r="G21" s="797">
        <f t="shared" si="0"/>
      </c>
      <c r="H21" s="798">
        <f t="shared" si="6"/>
      </c>
      <c r="I21" s="799">
        <f t="shared" si="11"/>
      </c>
      <c r="J21" s="800">
        <f t="shared" si="14"/>
      </c>
      <c r="K21" s="800">
        <f t="shared" si="16"/>
      </c>
      <c r="L21" s="801">
        <f t="shared" si="19"/>
      </c>
      <c r="M21" s="801">
        <f t="shared" si="23"/>
      </c>
      <c r="N21" s="802">
        <f t="shared" si="27"/>
      </c>
      <c r="O21" s="803">
        <f t="shared" si="2"/>
      </c>
      <c r="P21" s="803">
        <f t="shared" si="4"/>
      </c>
      <c r="Q21" s="803">
        <f t="shared" si="7"/>
      </c>
      <c r="R21" s="803">
        <f t="shared" si="13"/>
      </c>
      <c r="S21" s="802">
        <f t="shared" si="15"/>
      </c>
      <c r="T21" s="804">
        <f t="shared" si="17"/>
      </c>
      <c r="U21" s="805">
        <f t="shared" si="21"/>
      </c>
      <c r="V21" s="805">
        <f t="shared" si="25"/>
      </c>
      <c r="W21" s="805">
        <f t="shared" si="29"/>
      </c>
      <c r="X21" s="805">
        <f t="shared" si="5"/>
      </c>
      <c r="Y21" s="805"/>
      <c r="Z21" s="806"/>
      <c r="AA21" s="797">
        <f>SUM(AA20+AA14+AA8)</f>
      </c>
      <c r="AB21" s="797">
        <f>SUM(AB20+AB14+AB8)</f>
      </c>
      <c r="AC21" s="797">
        <f>SUM(AC20+AC14+AC8)</f>
      </c>
      <c r="AD21" s="797">
        <f>SUM(AD20+AD14+AD8)</f>
      </c>
      <c r="AE21" s="797">
        <f>SUM(AE20+AE14+AE8)</f>
      </c>
      <c r="AF21" s="797">
        <f>SUM(AF20+AF14+AF8)</f>
      </c>
      <c r="AG21" s="797">
        <f>SUM(AG20+AG14+AG8)</f>
      </c>
      <c r="AH21" s="797">
        <f>SUM(AH20+AH14+AH8)</f>
      </c>
      <c r="AI21" s="797">
        <f>SUM(AI20+AI14+AI8)</f>
      </c>
      <c r="AJ21" s="797">
        <f>SUM(AJ20+AJ14+AJ8)</f>
      </c>
      <c r="AK21" s="797">
        <f>SUM(AK20+AK14+AK8)</f>
      </c>
    </row>
    <row r="22">
      <c r="A22" s="807"/>
      <c r="B22" s="807"/>
      <c r="C22" s="807"/>
      <c r="D22" s="807">
        <f>D23+D24+D25</f>
      </c>
      <c r="E22">
        <f>E23-E21</f>
      </c>
      <c r="F22">
        <f>F23-F21</f>
      </c>
      <c r="G22" s="808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9">
        <f>AA23+AA24+AA25</f>
      </c>
      <c r="AB22" s="809">
        <f>AB23+AB24+AB25</f>
      </c>
      <c r="AC22" s="809">
        <f>AC23+AC24+AC25</f>
      </c>
      <c r="AD22" s="809">
        <f>AD23+AD24+AD25</f>
      </c>
      <c r="AE22" s="809">
        <f>AE23+AE24+AE25</f>
      </c>
      <c r="AF22" s="809">
        <f>AF23+AF24+AF25</f>
      </c>
      <c r="AG22" s="809">
        <f>AG23+AG24+AG25</f>
      </c>
      <c r="AH22" s="809">
        <f>AH23+AH24+AH25</f>
      </c>
      <c r="AI22" s="809">
        <f>AI23+AI24+AI25</f>
      </c>
      <c r="AJ22" s="809"/>
      <c r="AK22" s="807"/>
    </row>
    <row r="23">
      <c r="A23" s="807"/>
      <c r="B23" s="807">
        <f>B24+B25</f>
      </c>
      <c r="C23" s="810"/>
      <c r="D23" s="811">
        <v>214.438</v>
      </c>
      <c r="E23" s="810" cm="1">
        <f t="array" ref="E23:E23">IMPORTRANGE("https://meimeiwangluo.feishu.cn/sheets/CIpWsYvjKhxKJGt54epcdpaqnMc","'Sheet1'!D1")</f>
      </c>
      <c r="F23" s="810" cm="1">
        <f t="array" ref="F23:F23">IMPORTRANGE("https://meimeiwangluo.feishu.cn/sheets/CIpWsYvjKhxKJGt54epcdpaqnMc","'Sheet1'!E1")</f>
      </c>
      <c r="G23" s="810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12">
        <v>49316</v>
      </c>
      <c r="AB23" s="812">
        <v>5664</v>
      </c>
      <c r="AC23" s="812">
        <v>46152</v>
      </c>
      <c r="AD23" s="812">
        <v>208</v>
      </c>
      <c r="AE23" s="813">
        <v>1</v>
      </c>
      <c r="AF23" s="812">
        <v>4454</v>
      </c>
      <c r="AG23" s="813">
        <v>80</v>
      </c>
      <c r="AH23" s="813">
        <v>95</v>
      </c>
      <c r="AI23" s="814">
        <v>5</v>
      </c>
      <c r="AJ23" s="807"/>
      <c r="AK23" s="807"/>
    </row>
    <row r="24">
      <c r="A24" s="807"/>
      <c r="B24" s="815">
        <v>1167.408</v>
      </c>
      <c r="C24" s="810"/>
      <c r="D24" s="816">
        <v>1167.688</v>
      </c>
      <c r="E24" s="81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18">
        <v>198232</v>
      </c>
      <c r="AB24" s="818">
        <v>1532</v>
      </c>
      <c r="AC24" s="818">
        <v>168651</v>
      </c>
      <c r="AD24" s="818">
        <v>516</v>
      </c>
      <c r="AE24" s="819">
        <v>2</v>
      </c>
      <c r="AF24" s="818">
        <v>1922</v>
      </c>
      <c r="AG24" s="819">
        <v>90</v>
      </c>
      <c r="AH24" s="819">
        <v>40</v>
      </c>
      <c r="AI24" s="820">
        <v>3</v>
      </c>
      <c r="AJ24" s="807"/>
      <c r="AK24" s="807"/>
    </row>
    <row r="25">
      <c r="A25" s="821"/>
      <c r="B25" s="821">
        <v>0.28</v>
      </c>
      <c r="C25" s="822"/>
      <c r="D25" s="823">
        <v>615.904</v>
      </c>
      <c r="E25" s="821"/>
      <c r="F25" s="822"/>
      <c r="G25" s="821"/>
      <c r="H25" s="821"/>
      <c r="I25" s="821"/>
      <c r="J25" s="821"/>
      <c r="K25" s="821"/>
      <c r="L25" s="821"/>
      <c r="M25" s="821"/>
      <c r="N25" s="821"/>
      <c r="O25" s="821"/>
      <c r="P25" s="821"/>
      <c r="Q25" s="821"/>
      <c r="R25" s="821"/>
      <c r="S25" s="821"/>
      <c r="T25" s="821"/>
      <c r="U25" s="821"/>
      <c r="V25" s="821"/>
      <c r="W25" s="821"/>
      <c r="X25" s="821"/>
      <c r="Y25" s="821"/>
      <c r="Z25" s="821"/>
      <c r="AA25" s="824">
        <v>12457</v>
      </c>
      <c r="AB25" s="825">
        <v>1569</v>
      </c>
      <c r="AC25" s="824">
        <v>12194</v>
      </c>
      <c r="AD25" s="825">
        <v>64</v>
      </c>
      <c r="AE25" s="825">
        <v>2</v>
      </c>
      <c r="AF25" s="825">
        <v>1345</v>
      </c>
      <c r="AG25" s="825">
        <v>24</v>
      </c>
      <c r="AH25" s="825">
        <v>31</v>
      </c>
      <c r="AI25" s="824">
        <v>7</v>
      </c>
      <c r="AJ25" s="821"/>
      <c r="AK25" s="821"/>
    </row>
  </sheetData>
  <mergeCells>
    <mergeCell ref="A1:C1"/>
    <mergeCell ref="Y1:Z1"/>
    <mergeCell ref="U1:X1"/>
    <mergeCell ref="L1:T1"/>
    <mergeCell ref="D1:K1"/>
    <mergeCell ref="A3:A21"/>
    <mergeCell ref="B8:C8"/>
    <mergeCell ref="B14:C14"/>
    <mergeCell ref="B20:C20"/>
    <mergeCell ref="B21:C2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